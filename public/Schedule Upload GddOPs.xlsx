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LOUT 26" sheetId="1" r:id="rId5"/>
    <sheet state="visible" name="VACATION CALENDAR 26" sheetId="2" r:id="rId6"/>
    <sheet state="visible" name="ALT CAL" sheetId="3" r:id="rId7"/>
    <sheet state="hidden" name="January" sheetId="4" r:id="rId8"/>
    <sheet state="hidden" name="FEB" sheetId="5" r:id="rId9"/>
    <sheet state="hidden" name="MAR" sheetId="6" r:id="rId10"/>
    <sheet state="visible" name="April" sheetId="7" r:id="rId11"/>
    <sheet state="visible" name="May" sheetId="8" r:id="rId12"/>
    <sheet state="visible" name="June" sheetId="9" r:id="rId13"/>
    <sheet state="visible" name="July" sheetId="10" r:id="rId14"/>
    <sheet state="visible" name="August" sheetId="11" r:id="rId15"/>
  </sheets>
  <definedNames>
    <definedName name="CONTAINS">LAMBDA(cell, range, NOT(ISERROR(MATCH(cell,range,0))))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AUTO ENTRY
-Reduce by 1 for each last minute call-out - .25 for Tardy
-Send Notice to Schedule Exec when someone reaches 6
-Send another Notice when someone reaches 1</t>
      </text>
    </comment>
    <comment authorId="0" ref="DK59">
      <text>
        <t xml:space="preserve">ALP_Surgery meeting was cancelled</t>
      </text>
    </comment>
    <comment authorId="0" ref="DK68">
      <text>
        <t xml:space="preserve">ALP_Surgery meeting was cancelled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only available remotely</t>
      </text>
    </comment>
    <comment authorId="0" ref="K42">
      <text>
        <t xml:space="preserve">only available remotely</t>
      </text>
    </comment>
    <comment authorId="0" ref="L42">
      <text>
        <t xml:space="preserve">only available remotely</t>
      </text>
    </comment>
    <comment authorId="0" ref="M42">
      <text>
        <t xml:space="preserve">only available remotely</t>
      </text>
    </comment>
    <comment authorId="0" ref="S73">
      <text>
        <t xml:space="preserve">work from home</t>
      </text>
    </comment>
    <comment authorId="0" ref="CL80">
      <text>
        <t xml:space="preserve">until Jan 5th</t>
      </text>
    </comment>
    <comment authorId="0" ref="T73">
      <text>
        <t xml:space="preserve">work from home</t>
      </text>
    </comment>
    <comment authorId="0" ref="U73">
      <text>
        <t xml:space="preserve">work from home</t>
      </text>
    </comment>
    <comment authorId="0" ref="V73">
      <text>
        <t xml:space="preserve">work from home</t>
      </text>
    </comment>
    <comment authorId="0" ref="W73">
      <text>
        <t xml:space="preserve">work from home</t>
      </text>
    </comment>
    <comment authorId="0" ref="K25">
      <text>
        <t xml:space="preserve">only available remotely</t>
      </text>
    </comment>
    <comment authorId="0" ref="L25">
      <text>
        <t xml:space="preserve">only available remotely</t>
      </text>
    </comment>
    <comment authorId="0" ref="M25">
      <text>
        <t xml:space="preserve">only available remotely</t>
      </text>
    </comment>
    <comment authorId="0" ref="N25">
      <text>
        <t xml:space="preserve">only available remotely</t>
      </text>
    </comment>
    <comment authorId="0" ref="CR75">
      <text>
        <t xml:space="preserve">until Jan 9th.</t>
      </text>
    </comment>
    <comment authorId="0" ref="O25">
      <text>
        <t xml:space="preserve">only available remotely</t>
      </text>
    </comment>
    <comment authorId="0" ref="CR74">
      <text>
        <t xml:space="preserve">until Jan 10th.</t>
      </text>
    </comment>
    <comment authorId="0" ref="P25">
      <text>
        <t xml:space="preserve">only available remotely</t>
      </text>
    </comment>
    <comment authorId="0" ref="CR73">
      <text>
        <t xml:space="preserve">until Jan 16th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S43">
      <text>
        <t xml:space="preserve">until Jan 9th.</t>
      </text>
    </comment>
    <comment authorId="0" ref="CS42">
      <text>
        <t xml:space="preserve">until Jan 10th.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363">
      <text>
        <t xml:space="preserve">rechecks consults</t>
      </text>
    </comment>
    <comment authorId="0" ref="AE190">
      <text>
        <t xml:space="preserve">Admin day</t>
      </text>
    </comment>
    <comment authorId="0" ref="AJ190">
      <text>
        <t xml:space="preserve">8:30a - 5pm</t>
      </text>
    </comment>
    <comment authorId="0" ref="H191">
      <text>
        <t xml:space="preserve">rechecks consults</t>
      </text>
    </comment>
    <comment authorId="0" ref="AC273">
      <text>
        <t xml:space="preserve">MARKETING DAY WITH DRE</t>
      </text>
    </comment>
    <comment authorId="0" ref="O323">
      <text>
        <t xml:space="preserve">START 8:30A</t>
      </text>
    </comment>
    <comment authorId="0" ref="Q224">
      <text>
        <t xml:space="preserve">On road</t>
      </text>
    </comment>
    <comment authorId="0" ref="AL116">
      <text>
        <t xml:space="preserve">8:30A</t>
      </text>
    </comment>
    <comment authorId="0" ref="X100">
      <text>
        <t xml:space="preserve">ADMIN DAY PREP FOR WESTERN ROTATION</t>
      </text>
    </comment>
    <comment authorId="0" ref="X67">
      <text>
        <t xml:space="preserve">start 9am</t>
      </text>
    </comment>
    <comment authorId="0" ref="X290">
      <text>
        <t xml:space="preserve">9a</t>
      </text>
    </comment>
    <comment authorId="0" ref="V191">
      <text>
        <t xml:space="preserve">WFH</t>
      </text>
    </comment>
    <comment authorId="0" ref="AJ298">
      <text>
        <t xml:space="preserve">8a</t>
      </text>
    </comment>
    <comment authorId="0" ref="AL42">
      <text>
        <t xml:space="preserve">CSE support Float / Admin</t>
      </text>
    </comment>
    <comment authorId="0" ref="AE323">
      <text>
        <t xml:space="preserve">8;30a</t>
      </text>
    </comment>
    <comment authorId="0" ref="Q241">
      <text>
        <t xml:space="preserve">Ref with Dr Robertson .</t>
      </text>
    </comment>
    <comment authorId="0" ref="AL290">
      <text>
        <t xml:space="preserve">9A</t>
      </text>
    </comment>
    <comment authorId="0" ref="AJ191">
      <text>
        <t xml:space="preserve">WFH</t>
      </text>
    </comment>
    <comment authorId="0" ref="AS323">
      <text>
        <t xml:space="preserve">830a</t>
      </text>
    </comment>
    <comment authorId="0" ref="AC18">
      <text>
        <t xml:space="preserve">MARKETING DAY WITH DRE</t>
      </text>
    </comment>
    <comment authorId="0" ref="AL282">
      <text>
        <t xml:space="preserve">Ultrasound day with Doc</t>
      </text>
    </comment>
    <comment authorId="0" ref="X200">
      <text>
        <t xml:space="preserve">9:30a</t>
      </text>
    </comment>
    <comment authorId="0" ref="V101">
      <text>
        <t xml:space="preserve">MARKETING day</t>
      </text>
    </comment>
    <comment authorId="0" ref="H118">
      <text>
        <t xml:space="preserve">training</t>
      </text>
    </comment>
    <comment authorId="0" ref="J151">
      <text>
        <t xml:space="preserve">8:30a</t>
      </text>
    </comment>
    <comment authorId="0" ref="H19">
      <text>
        <t xml:space="preserve">WFH - Study day</t>
      </text>
    </comment>
    <comment authorId="0" ref="AL109">
      <text>
        <t xml:space="preserve">Ultrasound day with Doc</t>
      </text>
    </comment>
    <comment authorId="0" ref="F300">
      <text>
        <t xml:space="preserve">Float</t>
      </text>
    </comment>
    <comment authorId="0" ref="Q52">
      <text>
        <t xml:space="preserve">on road</t>
      </text>
    </comment>
    <comment authorId="0" ref="T151">
      <text>
        <t xml:space="preserve">start 8:30a</t>
      </text>
    </comment>
    <comment authorId="0" ref="V118">
      <text>
        <t xml:space="preserve">training</t>
      </text>
    </comment>
    <comment authorId="0" ref="X151">
      <text>
        <t xml:space="preserve">8:30a</t>
      </text>
    </comment>
    <comment authorId="0" ref="Q201">
      <text>
        <t xml:space="preserve">8a</t>
      </text>
    </comment>
    <comment authorId="0" ref="Q69">
      <text>
        <t xml:space="preserve">ref coord</t>
      </text>
    </comment>
    <comment authorId="0" ref="AJ118">
      <text>
        <t xml:space="preserve">training</t>
      </text>
    </comment>
    <comment authorId="0" ref="AL151">
      <text>
        <t xml:space="preserve">8:30a</t>
      </text>
    </comment>
    <comment authorId="0" ref="X201">
      <text>
        <t xml:space="preserve">8</t>
      </text>
    </comment>
    <comment authorId="0" ref="O127">
      <text>
        <t xml:space="preserve">EX WITH DR ROBERTSON</t>
      </text>
    </comment>
    <comment authorId="0" ref="AL118">
      <text>
        <t xml:space="preserve">9A</t>
      </text>
    </comment>
    <comment authorId="0" ref="J185">
      <text>
        <t xml:space="preserve">Only available REMOTELY</t>
      </text>
    </comment>
    <comment authorId="0" ref="AQ118">
      <text>
        <t xml:space="preserve">training</t>
      </text>
    </comment>
    <comment authorId="0" ref="AS151">
      <text>
        <t xml:space="preserve">8:30a</t>
      </text>
    </comment>
    <comment authorId="0" ref="Q185">
      <text>
        <t xml:space="preserve">Only available REMOTELY</t>
      </text>
    </comment>
    <comment authorId="0" ref="AH292">
      <text>
        <t xml:space="preserve">running late</t>
      </text>
    </comment>
    <comment authorId="0" ref="AE28">
      <text>
        <t xml:space="preserve">9:30a</t>
      </text>
    </comment>
    <comment authorId="0" ref="AE185">
      <text>
        <t xml:space="preserve">Only available REMOTELY</t>
      </text>
    </comment>
    <comment authorId="0" ref="O136">
      <text>
        <t xml:space="preserve">9a - 2pm</t>
      </text>
    </comment>
    <comment authorId="0" ref="AJ218">
      <text>
        <t xml:space="preserve">open up for urgent care planning guide</t>
      </text>
    </comment>
    <comment authorId="0" ref="AL185">
      <text>
        <t xml:space="preserve">Only available REMOTELY</t>
      </text>
    </comment>
    <comment authorId="0" ref="X202">
      <text>
        <t xml:space="preserve">8:30</t>
      </text>
    </comment>
    <comment authorId="0" ref="H277">
      <text>
        <t xml:space="preserve">rechecks consults</t>
      </text>
    </comment>
    <comment authorId="0" ref="Q186">
      <text>
        <t xml:space="preserve">Admin day - Western students.</t>
      </text>
    </comment>
    <comment authorId="0" ref="AE70">
      <text>
        <t xml:space="preserve">start 8:30a - help AP and SX check ins</t>
      </text>
    </comment>
    <comment authorId="0" ref="O277">
      <text>
        <t xml:space="preserve">rechecks consults</t>
      </text>
    </comment>
    <comment authorId="0" ref="AE128">
      <text>
        <t xml:space="preserve">FLOAT / ADMIN DAY</t>
      </text>
    </comment>
    <comment authorId="0" ref="AE29">
      <text>
        <t xml:space="preserve">8a</t>
      </text>
    </comment>
    <comment authorId="0" ref="X277">
      <text>
        <t xml:space="preserve">RECHECKS CONSULTS</t>
      </text>
    </comment>
    <comment authorId="0" ref="AE186">
      <text>
        <t xml:space="preserve">Admin day - Western students.</t>
      </text>
    </comment>
    <comment authorId="0" ref="AL128">
      <text>
        <t xml:space="preserve">FLOAT / ADMIN DAY</t>
      </text>
    </comment>
    <comment authorId="0" ref="X203">
      <text>
        <t xml:space="preserve">9</t>
      </text>
    </comment>
    <comment authorId="0" ref="AJ277">
      <text>
        <t xml:space="preserve">WFH</t>
      </text>
    </comment>
    <comment authorId="0" ref="Q286">
      <text>
        <t xml:space="preserve">Float to support between EX AND AP</t>
      </text>
    </comment>
    <comment authorId="0" ref="AC104">
      <text>
        <t xml:space="preserve">MARKETING day</t>
      </text>
    </comment>
    <comment authorId="0" ref="Q187">
      <text>
        <t xml:space="preserve">Admin day - Western students.</t>
      </text>
    </comment>
    <comment authorId="0" ref="AQ277">
      <text>
        <t xml:space="preserve">rechecks consults</t>
      </text>
    </comment>
    <comment authorId="0" ref="D105">
      <text>
        <t xml:space="preserve">10a - 4:30p</t>
      </text>
    </comment>
    <comment authorId="0" ref="AC30">
      <text>
        <t xml:space="preserve">training</t>
      </text>
    </comment>
    <comment authorId="0" ref="H105">
      <text>
        <t xml:space="preserve">rechecks consults</t>
      </text>
    </comment>
    <comment authorId="0" ref="AE30">
      <text>
        <t xml:space="preserve">8:30a</t>
      </text>
    </comment>
    <comment authorId="0" ref="O237">
      <text>
        <t xml:space="preserve">START 8:30A</t>
      </text>
    </comment>
    <comment authorId="0" ref="AE187">
      <text>
        <t xml:space="preserve">Admin day - Western students.</t>
      </text>
    </comment>
    <comment authorId="0" ref="X105">
      <text>
        <t xml:space="preserve">rechecks consults</t>
      </text>
    </comment>
    <comment authorId="0" ref="O31">
      <text>
        <t xml:space="preserve">training</t>
      </text>
    </comment>
    <comment authorId="0" ref="H23">
      <text>
        <t xml:space="preserve">prepare everything for Surgery</t>
      </text>
    </comment>
    <comment authorId="0" ref="AE237">
      <text>
        <t xml:space="preserve">8:30a</t>
      </text>
    </comment>
    <comment authorId="0" ref="Q287">
      <text>
        <t xml:space="preserve">8a</t>
      </text>
    </comment>
    <comment authorId="0" ref="AQ212">
      <text>
        <t xml:space="preserve">9a - 2pm</t>
      </text>
    </comment>
    <comment authorId="0" ref="AL237">
      <text>
        <t xml:space="preserve">START 8:30A</t>
      </text>
    </comment>
    <comment authorId="0" ref="X287">
      <text>
        <t xml:space="preserve">8a</t>
      </text>
    </comment>
    <comment authorId="0" ref="AJ105">
      <text>
        <t xml:space="preserve">recheck consults.</t>
      </text>
    </comment>
    <comment authorId="0" ref="J271">
      <text>
        <t xml:space="preserve">ALP_ Doc wherever he’s available.</t>
      </text>
    </comment>
    <comment authorId="0" ref="O15">
      <text>
        <t xml:space="preserve">DOC/ BIANCA/ DEIJA MEETING DAY</t>
      </text>
    </comment>
    <comment authorId="0" ref="Q271">
      <text>
        <t xml:space="preserve">ALP_ Doc wherever he’s available.</t>
      </text>
    </comment>
    <comment authorId="0" ref="AJ31">
      <text>
        <t xml:space="preserve">training start 9:30a</t>
      </text>
    </comment>
    <comment authorId="0" ref="V304">
      <text>
        <t xml:space="preserve">start after 1pm</t>
      </text>
    </comment>
    <comment authorId="0" ref="AL287">
      <text>
        <t xml:space="preserve">8A</t>
      </text>
    </comment>
    <comment authorId="0" ref="X271">
      <text>
        <t xml:space="preserve">ALP_ Doc wherever he’s available.</t>
      </text>
    </comment>
    <comment authorId="0" ref="AQ31">
      <text>
        <t xml:space="preserve">training start 9:30a</t>
      </text>
    </comment>
    <comment authorId="0" ref="AE271">
      <text>
        <t xml:space="preserve">ALP_ Doc wherever he’s available.</t>
      </text>
    </comment>
    <comment authorId="0" ref="Q288">
      <text>
        <t xml:space="preserve">8:30</t>
      </text>
    </comment>
    <comment authorId="0" ref="V32">
      <text>
        <t xml:space="preserve">training</t>
      </text>
    </comment>
    <comment authorId="0" ref="X65">
      <text>
        <t xml:space="preserve">8:30</t>
      </text>
    </comment>
    <comment authorId="0" ref="X288">
      <text>
        <t xml:space="preserve">start 8:30a</t>
      </text>
    </comment>
    <comment authorId="0" ref="H363">
      <text>
        <t xml:space="preserve">rechecks consults</t>
      </text>
    </comment>
    <comment authorId="0" ref="AE32">
      <text>
        <t xml:space="preserve">9a</t>
      </text>
    </comment>
    <comment authorId="0" ref="O16">
      <text>
        <t xml:space="preserve">DOC/ BIANCA/ DEIJA MEETING DAY</t>
      </text>
    </comment>
    <comment authorId="0" ref="Q272">
      <text>
        <t xml:space="preserve">Admin day in Aerta-- to help doc with one Endo appt</t>
      </text>
    </comment>
    <comment authorId="0" ref="O363">
      <text>
        <t xml:space="preserve">rechecks consults</t>
      </text>
    </comment>
    <comment authorId="0" ref="AL65">
      <text>
        <t xml:space="preserve">start 8:30a</t>
      </text>
    </comment>
    <comment authorId="0" ref="H99">
      <text>
        <t xml:space="preserve">ALP_ Doc wherever he’s available.</t>
      </text>
    </comment>
    <comment authorId="0" ref="AL288">
      <text>
        <t xml:space="preserve">8:30A</t>
      </text>
    </comment>
    <comment authorId="0" ref="V363">
      <text>
        <t xml:space="preserve">rechecks consults</t>
      </text>
    </comment>
    <comment authorId="0" ref="AQ189">
      <text>
        <t xml:space="preserve">WFH</t>
      </text>
    </comment>
    <comment authorId="0" ref="Q289">
      <text>
        <t xml:space="preserve">9a</t>
      </text>
    </comment>
    <comment authorId="0" ref="AC363">
      <text>
        <t xml:space="preserve">rechecks consults</t>
      </text>
    </comment>
    <comment authorId="0" ref="AL115">
      <text>
        <t xml:space="preserve">8A</t>
      </text>
    </comment>
    <comment authorId="0" ref="X99">
      <text>
        <t xml:space="preserve">ADMIN WFH</t>
      </text>
    </comment>
    <comment authorId="0" ref="AL272">
      <text>
        <t xml:space="preserve">WOrk from home</t>
      </text>
    </comment>
    <comment authorId="0" ref="AS214">
      <text>
        <t xml:space="preserve">9am 5:30p</t>
      </text>
    </comment>
    <comment authorId="0" ref="V190">
      <text>
        <t xml:space="preserve">Admin - marketing day</t>
      </text>
    </comment>
    <comment authorId="0" ref="AJ363">
      <text>
        <t xml:space="preserve">rechecks consults</t>
      </text>
    </comment>
    <comment authorId="0" ref="O116">
      <text>
        <t xml:space="preserve">FLOAT/ TRAIN WITH RAQUEL/ JESS IN SURGERY</t>
      </text>
    </comment>
    <comment authorId="0" ref="O17">
      <text>
        <t xml:space="preserve">DOC/ BIANCA/ DEIJA MEETING DAY</t>
      </text>
    </comment>
    <comment authorId="0" ref="O273">
      <text>
        <t xml:space="preserve">ADMIN DAY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16">
      <text>
        <t xml:space="preserve">start 8:30a</t>
      </text>
    </comment>
    <comment authorId="0" ref="AS41">
      <text>
        <t xml:space="preserve">start 930 - float to support in the dental rrom.</t>
      </text>
    </comment>
    <comment authorId="0" ref="H34">
      <text>
        <t xml:space="preserve">URGENT CARE DAY</t>
      </text>
    </comment>
    <comment authorId="0" ref="J100">
      <text>
        <t xml:space="preserve">remote</t>
      </text>
    </comment>
    <comment authorId="0" ref="AJ190">
      <text>
        <t xml:space="preserve">WFH</t>
      </text>
    </comment>
    <comment authorId="0" ref="AE116">
      <text>
        <t xml:space="preserve">9</t>
      </text>
    </comment>
    <comment authorId="0" ref="AQ190">
      <text>
        <t xml:space="preserve">rechecks consults</t>
      </text>
    </comment>
    <comment authorId="0" ref="AE273">
      <text>
        <t xml:space="preserve">western students - admin day</t>
      </text>
    </comment>
    <comment authorId="0" ref="AE108">
      <text>
        <t xml:space="preserve">FLOAT BETWEEN AP / SX</t>
      </text>
    </comment>
    <comment authorId="0" ref="J117">
      <text>
        <t xml:space="preserve">9:30a</t>
      </text>
    </comment>
    <comment authorId="0" ref="J208">
      <text>
        <t xml:space="preserve">she's ok to help as DA --- Dr Hab is also aware.
Per Dr Hab- she said she would need the schedule to be 2 NAD/hr only &amp; 4 VE total, No UC's.</t>
      </text>
    </comment>
    <comment authorId="0" ref="Q117">
      <text>
        <t xml:space="preserve">9:30</t>
      </text>
    </comment>
    <comment authorId="0" ref="X117">
      <text>
        <t xml:space="preserve">9:30a</t>
      </text>
    </comment>
    <comment authorId="0" ref="T43">
      <text>
        <t xml:space="preserve">she needs to leave early around 3:50pm</t>
      </text>
    </comment>
    <comment authorId="0" ref="Q200">
      <text>
        <t xml:space="preserve">8a</t>
      </text>
    </comment>
    <comment authorId="0" ref="O101">
      <text>
        <t xml:space="preserve">ADMIN DAY</t>
      </text>
    </comment>
    <comment authorId="0" ref="AE274">
      <text>
        <t xml:space="preserve">MARKETING DAY WITH DRE</t>
      </text>
    </comment>
    <comment authorId="0" ref="F151">
      <text>
        <t xml:space="preserve">830</t>
      </text>
    </comment>
    <comment authorId="0" ref="X200">
      <text>
        <t xml:space="preserve">8</t>
      </text>
    </comment>
    <comment authorId="0" ref="J118">
      <text>
        <t xml:space="preserve">9a</t>
      </text>
    </comment>
    <comment authorId="0" ref="AJ208">
      <text>
        <t xml:space="preserve">leave early</t>
      </text>
    </comment>
    <comment authorId="0" ref="H275">
      <text>
        <t xml:space="preserve">rechecks consults</t>
      </text>
    </comment>
    <comment authorId="0" ref="O151">
      <text>
        <t xml:space="preserve">830</t>
      </text>
    </comment>
    <comment authorId="0" ref="AC35">
      <text>
        <t xml:space="preserve">running late.</t>
      </text>
    </comment>
    <comment authorId="0" ref="Q118">
      <text>
        <t xml:space="preserve">9a</t>
      </text>
    </comment>
    <comment authorId="0" ref="AJ200">
      <text>
        <t xml:space="preserve">needs to leave early 2pm</t>
      </text>
    </comment>
    <comment authorId="0" ref="Q308">
      <text>
        <t xml:space="preserve">on road</t>
      </text>
    </comment>
    <comment authorId="0" ref="X118">
      <text>
        <t xml:space="preserve">9a</t>
      </text>
    </comment>
    <comment authorId="0" ref="V19">
      <text>
        <t xml:space="preserve">STUDY DAY</t>
      </text>
    </comment>
    <comment authorId="0" ref="X52">
      <text>
        <t xml:space="preserve">ON ROAD WITH LAURENCE.</t>
      </text>
    </comment>
    <comment authorId="0" ref="X275">
      <text>
        <t xml:space="preserve">RECHECKS CONSULTS</t>
      </text>
    </comment>
    <comment authorId="0" ref="Q201">
      <text>
        <t xml:space="preserve">START 830A</t>
      </text>
    </comment>
    <comment authorId="0" ref="AH151">
      <text>
        <t xml:space="preserve">830</t>
      </text>
    </comment>
    <comment authorId="0" ref="X300">
      <text>
        <t xml:space="preserve">FIDEL ASKED TO WORK 6 DAYS SOME WEEKS0- LETS PUT HIM HERE.</t>
      </text>
    </comment>
    <comment authorId="0" ref="J284">
      <text>
        <t xml:space="preserve">930a</t>
      </text>
    </comment>
    <comment authorId="0" ref="X201">
      <text>
        <t xml:space="preserve">8:30</t>
      </text>
    </comment>
    <comment authorId="0" ref="AJ275">
      <text>
        <t xml:space="preserve">WFH</t>
      </text>
    </comment>
    <comment authorId="0" ref="AE201">
      <text>
        <t xml:space="preserve">8:30a</t>
      </text>
    </comment>
    <comment authorId="0" ref="AQ275">
      <text>
        <t xml:space="preserve">rechecks consults</t>
      </text>
    </comment>
    <comment authorId="0" ref="AL201">
      <text>
        <t xml:space="preserve">830</t>
      </text>
    </comment>
    <comment authorId="0" ref="AE28">
      <text>
        <t xml:space="preserve">8:30a FLOAT between SX and AP</t>
      </text>
    </comment>
    <comment authorId="0" ref="Q202">
      <text>
        <t xml:space="preserve">9am</t>
      </text>
    </comment>
    <comment authorId="0" ref="V202">
      <text>
        <t xml:space="preserve">running late</t>
      </text>
    </comment>
    <comment authorId="0" ref="J29">
      <text>
        <t xml:space="preserve">8a</t>
      </text>
    </comment>
    <comment authorId="0" ref="X202">
      <text>
        <t xml:space="preserve">9</t>
      </text>
    </comment>
    <comment authorId="0" ref="Q285">
      <text>
        <t xml:space="preserve">8a</t>
      </text>
    </comment>
    <comment authorId="0" ref="H46">
      <text>
        <t xml:space="preserve">URGENT CARE DAY</t>
      </text>
    </comment>
    <comment authorId="0" ref="X285">
      <text>
        <t xml:space="preserve">8a</t>
      </text>
    </comment>
    <comment authorId="0" ref="AL202">
      <text>
        <t xml:space="preserve">START 930</t>
      </text>
    </comment>
    <comment authorId="0" ref="AE194">
      <text>
        <t xml:space="preserve">FLOAT AP / SURGERY</t>
      </text>
    </comment>
    <comment authorId="0" ref="AJ293">
      <text>
        <t xml:space="preserve">leave early</t>
      </text>
    </comment>
    <comment authorId="0" ref="AE29">
      <text>
        <t xml:space="preserve">8a</t>
      </text>
    </comment>
    <comment authorId="0" ref="O236">
      <text>
        <t xml:space="preserve">START 8:30A</t>
      </text>
    </comment>
    <comment authorId="0" ref="Q269">
      <text>
        <t xml:space="preserve">ALP_ Doc wherever he’s available.</t>
      </text>
    </comment>
    <comment authorId="0" ref="AJ29">
      <text>
        <t xml:space="preserve">needs to leave early 2pm</t>
      </text>
    </comment>
    <comment authorId="0" ref="AJ285">
      <text>
        <t xml:space="preserve">needs to leave early 2pm</t>
      </text>
    </comment>
    <comment authorId="0" ref="X269">
      <text>
        <t xml:space="preserve">Can do Endo</t>
      </text>
    </comment>
    <comment authorId="0" ref="AE269">
      <text>
        <t xml:space="preserve">western students - admin day</t>
      </text>
    </comment>
    <comment authorId="0" ref="AE236">
      <text>
        <t xml:space="preserve">830a</t>
      </text>
    </comment>
    <comment authorId="0" ref="AE203">
      <text>
        <t xml:space="preserve">9am</t>
      </text>
    </comment>
    <comment authorId="0" ref="Q55">
      <text>
        <t xml:space="preserve">FLOAT BETWEEN CLINIC/ EX</t>
      </text>
    </comment>
    <comment authorId="0" ref="X286">
      <text>
        <t xml:space="preserve">8:30</t>
      </text>
    </comment>
    <comment authorId="0" ref="AL203">
      <text>
        <t xml:space="preserve">STRT 9AM</t>
      </text>
    </comment>
    <comment authorId="0" ref="J14">
      <text>
        <t xml:space="preserve">ALP_ Doc wherever he’s available.</t>
      </text>
    </comment>
    <comment authorId="0" ref="J270">
      <text>
        <t xml:space="preserve">ALP_ Doc wherever he’s available.</t>
      </text>
    </comment>
    <comment authorId="0" ref="AE30">
      <text>
        <t xml:space="preserve">9a</t>
      </text>
    </comment>
    <comment authorId="0" ref="Q270">
      <text>
        <t xml:space="preserve">western students - admin day</t>
      </text>
    </comment>
    <comment authorId="0" ref="V14">
      <text>
        <t xml:space="preserve">ALP_ Doc wherever he’s available.</t>
      </text>
    </comment>
    <comment authorId="0" ref="V204">
      <text>
        <t xml:space="preserve">helping in clinic</t>
      </text>
    </comment>
    <comment authorId="0" ref="J31">
      <text>
        <t xml:space="preserve">9a</t>
      </text>
    </comment>
    <comment authorId="0" ref="J287">
      <text>
        <t xml:space="preserve">start at 9a</t>
      </text>
    </comment>
    <comment authorId="0" ref="X204">
      <text>
        <t xml:space="preserve">10a</t>
      </text>
    </comment>
    <comment authorId="0" ref="X105">
      <text>
        <t xml:space="preserve">RECHECKS CONSULTS</t>
      </text>
    </comment>
    <comment authorId="0" ref="J155">
      <text>
        <t xml:space="preserve">FAC with Maria</t>
      </text>
    </comment>
    <comment authorId="0" ref="AE270">
      <text>
        <t xml:space="preserve">western students - admin day</t>
      </text>
    </comment>
    <comment authorId="0" ref="AJ105">
      <text>
        <t xml:space="preserve">WFH</t>
      </text>
    </comment>
    <comment authorId="0" ref="AJ39">
      <text>
        <t xml:space="preserve">ADMIN FLOAT</t>
      </text>
    </comment>
    <comment authorId="0" ref="AQ105">
      <text>
        <t xml:space="preserve">rechecks consults</t>
      </text>
    </comment>
    <comment authorId="0" ref="Q271">
      <text>
        <t xml:space="preserve">western students - admin day</t>
      </text>
    </comment>
    <comment authorId="0" ref="F65">
      <text>
        <t xml:space="preserve">830a</t>
      </text>
    </comment>
    <comment authorId="0" ref="X271">
      <text>
        <t xml:space="preserve">Can assist with Endo</t>
      </text>
    </comment>
    <comment authorId="0" ref="J32">
      <text>
        <t xml:space="preserve">930a</t>
      </text>
    </comment>
    <comment authorId="0" ref="J288">
      <text>
        <t xml:space="preserve">running late</t>
      </text>
    </comment>
    <comment authorId="0" ref="O65">
      <text>
        <t xml:space="preserve">START 8:30A</t>
      </text>
    </comment>
    <comment authorId="0" ref="AS287">
      <text>
        <t xml:space="preserve">9am</t>
      </text>
    </comment>
    <comment authorId="0" ref="AQ188">
      <text>
        <t xml:space="preserve">WFH</t>
      </text>
    </comment>
    <comment authorId="0" ref="AE271">
      <text>
        <t xml:space="preserve">ALP_ Doc wherever he’s available.</t>
      </text>
    </comment>
    <comment authorId="0" ref="J115">
      <text>
        <t xml:space="preserve">8a</t>
      </text>
    </comment>
    <comment authorId="0" ref="X288">
      <text>
        <t xml:space="preserve">9AM</t>
      </text>
    </comment>
    <comment authorId="0" ref="AE65">
      <text>
        <t xml:space="preserve">start 8:30a</t>
      </text>
    </comment>
    <comment authorId="0" ref="Q115">
      <text>
        <t xml:space="preserve">8a</t>
      </text>
    </comment>
    <comment authorId="0" ref="AC189">
      <text>
        <t xml:space="preserve">Admin day - Western students./ marketing</t>
      </text>
    </comment>
    <comment authorId="0" ref="X115">
      <text>
        <t xml:space="preserve">8a</t>
      </text>
    </comment>
    <comment authorId="0" ref="V16">
      <text>
        <t xml:space="preserve">Admin - marketing day</t>
      </text>
    </comment>
    <comment authorId="0" ref="D190">
      <text>
        <t xml:space="preserve">10a - 4:30p</t>
      </text>
    </comment>
    <comment authorId="0" ref="J289">
      <text>
        <t xml:space="preserve">start at 9:30a</t>
      </text>
    </comment>
    <comment authorId="0" ref="Q99">
      <text>
        <t xml:space="preserve">remote</t>
      </text>
    </comment>
    <comment authorId="0" ref="AL24">
      <text>
        <t xml:space="preserve">Ultrasound day with Doc</t>
      </text>
    </comment>
    <comment authorId="0" ref="AE16">
      <text>
        <t xml:space="preserve">Admin - marketing day</t>
      </text>
    </comment>
    <comment authorId="0" ref="AJ115">
      <text>
        <t xml:space="preserve">needs to leave early 2pm</t>
      </text>
    </comment>
    <comment authorId="0" ref="J116">
      <text>
        <t xml:space="preserve">8:30a</t>
      </text>
    </comment>
    <comment authorId="0" ref="J240">
      <text>
        <t xml:space="preserve">FAC with Maria</t>
      </text>
    </comment>
    <comment authorId="0" ref="Q116">
      <text>
        <t xml:space="preserve">8:30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16">
      <text>
        <t xml:space="preserve">8</t>
      </text>
    </comment>
    <comment authorId="0" ref="AC215">
      <text>
        <t xml:space="preserve">with Brandon in clinic</t>
      </text>
    </comment>
    <comment authorId="0" ref="AE281">
      <text>
        <t xml:space="preserve">FLOAT BETWEEN AP / SX</t>
      </text>
    </comment>
    <comment authorId="0" ref="AE116">
      <text>
        <t xml:space="preserve">8a - moved from sx to AP_BA</t>
      </text>
    </comment>
    <comment authorId="0" ref="AJ116">
      <text>
        <t xml:space="preserve">needs to leave early 2pm</t>
      </text>
    </comment>
    <comment authorId="0" ref="AL116">
      <text>
        <t xml:space="preserve">8a</t>
      </text>
    </comment>
    <comment authorId="0" ref="J117">
      <text>
        <t xml:space="preserve">8:30a</t>
      </text>
    </comment>
    <comment authorId="0" ref="AE100">
      <text>
        <t xml:space="preserve">meeting with cat, brandon, Deja and Bianca.</t>
      </text>
    </comment>
    <comment authorId="0" ref="AE67">
      <text>
        <t xml:space="preserve">Training with Catherine at 9a</t>
      </text>
    </comment>
    <comment authorId="0" ref="Q117">
      <text>
        <t xml:space="preserve">830</t>
      </text>
    </comment>
    <comment authorId="0" ref="AJ67">
      <text>
        <t xml:space="preserve">Training with Aislinn at 9a</t>
      </text>
    </comment>
    <comment authorId="0" ref="X117">
      <text>
        <t xml:space="preserve">8:30A</t>
      </text>
    </comment>
    <comment authorId="0" ref="AL67">
      <text>
        <t xml:space="preserve">Training CSR with BIANCA at 10am.</t>
      </text>
    </comment>
    <comment authorId="0" ref="O299">
      <text>
        <t xml:space="preserve">with Brandon in clinic</t>
      </text>
    </comment>
    <comment authorId="0" ref="AQ67">
      <text>
        <t xml:space="preserve">Training with Aislinn at 9a</t>
      </text>
    </comment>
    <comment authorId="0" ref="AS67">
      <text>
        <t xml:space="preserve">Training with Catherine 9am.</t>
      </text>
    </comment>
    <comment authorId="0" ref="O101">
      <text>
        <t xml:space="preserve">meeting with Hab - CE prep
</t>
      </text>
    </comment>
    <comment authorId="0" ref="AE117">
      <text>
        <t xml:space="preserve">9am</t>
      </text>
    </comment>
    <comment authorId="0" ref="V299">
      <text>
        <t xml:space="preserve">with Brandon in clinic</t>
      </text>
    </comment>
    <comment authorId="0" ref="AL117">
      <text>
        <t xml:space="preserve">8:30a</t>
      </text>
    </comment>
    <comment authorId="0" ref="AC299">
      <text>
        <t xml:space="preserve">with Brandon in clinic</t>
      </text>
    </comment>
    <comment authorId="0" ref="O283">
      <text>
        <t xml:space="preserve">FLOAT</t>
      </text>
    </comment>
    <comment authorId="0" ref="AE200">
      <text>
        <t xml:space="preserve">western students - admin day</t>
      </text>
    </comment>
    <comment authorId="0" ref="AJ299">
      <text>
        <t xml:space="preserve">with Brandon in clinic</t>
      </text>
    </comment>
    <comment authorId="0" ref="Q118">
      <text>
        <t xml:space="preserve">9</t>
      </text>
    </comment>
    <comment authorId="0" ref="AQ299">
      <text>
        <t xml:space="preserve">with Brandon in clinic</t>
      </text>
    </comment>
    <comment authorId="0" ref="X118">
      <text>
        <t xml:space="preserve">start 9:30a</t>
      </text>
    </comment>
    <comment authorId="0" ref="X19">
      <text>
        <t xml:space="preserve">RECHECKS CONSULTS</t>
      </text>
    </comment>
    <comment authorId="0" ref="O102">
      <text>
        <t xml:space="preserve">ADMIN DAY- CE prep</t>
      </text>
    </comment>
    <comment authorId="0" ref="AE118">
      <text>
        <t xml:space="preserve">9:30a</t>
      </text>
    </comment>
    <comment authorId="0" ref="F119">
      <text>
        <t xml:space="preserve">9:30a</t>
      </text>
    </comment>
    <comment authorId="0" ref="AL118">
      <text>
        <t xml:space="preserve">AP trainee at 9a</t>
      </text>
    </comment>
    <comment authorId="0" ref="AJ19">
      <text>
        <t xml:space="preserve">WFH</t>
      </text>
    </comment>
    <comment authorId="0" ref="H119">
      <text>
        <t xml:space="preserve">Help prep for Tuesdays surgeries in Vencie</t>
      </text>
    </comment>
    <comment authorId="0" ref="J119">
      <text>
        <t xml:space="preserve">9a</t>
      </text>
    </comment>
    <comment authorId="0" ref="AE201">
      <text>
        <t xml:space="preserve">western students - admin day</t>
      </text>
    </comment>
    <comment authorId="0" ref="AS118">
      <text>
        <t xml:space="preserve">training - start at 8:30a</t>
      </text>
    </comment>
    <comment authorId="0" ref="O152">
      <text>
        <t xml:space="preserve">START 8:30A</t>
      </text>
    </comment>
    <comment authorId="0" ref="AQ19">
      <text>
        <t xml:space="preserve">rechecks consults</t>
      </text>
    </comment>
    <comment authorId="0" ref="Q119">
      <text>
        <t xml:space="preserve">930</t>
      </text>
    </comment>
    <comment authorId="0" ref="H202">
      <text>
        <t xml:space="preserve">Prep for Tuesdays surgeries in Vencie</t>
      </text>
    </comment>
    <comment authorId="0" ref="X218">
      <text>
        <t xml:space="preserve">SUPERVISING ALI AND ETHAN TO DETERMINE IF THEY CAN DO A FULL NAD DAY SOLO-- LET DEIJA AND FIDEL KNOW THIS TOO PLEASE</t>
      </text>
    </comment>
    <comment authorId="0" ref="J202">
      <text>
        <t xml:space="preserve">8A</t>
      </text>
    </comment>
    <comment authorId="0" ref="X119">
      <text>
        <t xml:space="preserve">9</t>
      </text>
    </comment>
    <comment authorId="0" ref="Q202">
      <text>
        <t xml:space="preserve">Help prep for Thurs surgeries in VLLY</t>
      </text>
    </comment>
    <comment authorId="0" ref="AE119">
      <text>
        <t xml:space="preserve">9</t>
      </text>
    </comment>
    <comment authorId="0" ref="AH152">
      <text>
        <t xml:space="preserve">8:30</t>
      </text>
    </comment>
    <comment authorId="0" ref="AJ152">
      <text>
        <t xml:space="preserve">Training with Aislinn 9am</t>
      </text>
    </comment>
    <comment authorId="0" ref="H186">
      <text>
        <t xml:space="preserve">ALP_ Doc wherever he’s available.</t>
      </text>
    </comment>
    <comment authorId="0" ref="X202">
      <text>
        <t xml:space="preserve">8a</t>
      </text>
    </comment>
    <comment authorId="0" ref="AL119">
      <text>
        <t xml:space="preserve">9a</t>
      </text>
    </comment>
    <comment authorId="0" ref="J120">
      <text>
        <t xml:space="preserve">training start at 8:30a</t>
      </text>
    </comment>
    <comment authorId="0" ref="AS152">
      <text>
        <t xml:space="preserve">Training CSR with Catherine</t>
      </text>
    </comment>
    <comment authorId="0" ref="AE202">
      <text>
        <t xml:space="preserve">western students - admin day</t>
      </text>
    </comment>
    <comment authorId="0" ref="Q186">
      <text>
        <t xml:space="preserve">ADMIN DAY -CE PREP</t>
      </text>
    </comment>
    <comment authorId="0" ref="Q153">
      <text>
        <t xml:space="preserve">Training with Catherine 9am CSR</t>
      </text>
    </comment>
    <comment authorId="0" ref="AJ202">
      <text>
        <t xml:space="preserve">needs to leave early 2pm</t>
      </text>
    </comment>
    <comment authorId="0" ref="AL202">
      <text>
        <t xml:space="preserve">8a</t>
      </text>
    </comment>
    <comment authorId="0" ref="AJ37">
      <text>
        <t xml:space="preserve">needs to leave early</t>
      </text>
    </comment>
    <comment authorId="0" ref="J203">
      <text>
        <t xml:space="preserve">8A</t>
      </text>
    </comment>
    <comment authorId="0" ref="AE153">
      <text>
        <t xml:space="preserve">Training with Catherine 9am</t>
      </text>
    </comment>
    <comment authorId="0" ref="Q203">
      <text>
        <t xml:space="preserve">Help prep for Thurs surgeries in VLLY</t>
      </text>
    </comment>
    <comment authorId="0" ref="O38">
      <text>
        <t xml:space="preserve">Training with Crystal + Karen</t>
      </text>
    </comment>
    <comment authorId="0" ref="X203">
      <text>
        <t xml:space="preserve">830A</t>
      </text>
    </comment>
    <comment authorId="0" ref="J154">
      <text>
        <t xml:space="preserve">Training with Bianca 10am</t>
      </text>
    </comment>
    <comment authorId="0" ref="AQ186">
      <text>
        <t xml:space="preserve">11a - 7pm</t>
      </text>
    </comment>
    <comment authorId="0" ref="AS120">
      <text>
        <t xml:space="preserve">AP trainee at 9a</t>
      </text>
    </comment>
    <comment authorId="0" ref="O154">
      <text>
        <t xml:space="preserve">Training with Aislinn 9am</t>
      </text>
    </comment>
    <comment authorId="0" ref="Q55">
      <text>
        <t xml:space="preserve">Float</t>
      </text>
    </comment>
    <comment authorId="0" ref="AL203">
      <text>
        <t xml:space="preserve">9a</t>
      </text>
    </comment>
    <comment authorId="0" ref="J204">
      <text>
        <t xml:space="preserve">9"30A</t>
      </text>
    </comment>
    <comment authorId="0" ref="AQ104">
      <text>
        <t xml:space="preserve">WFH</t>
      </text>
    </comment>
    <comment authorId="0" ref="AC154">
      <text>
        <t xml:space="preserve">Training with Aislinn 9am</t>
      </text>
    </comment>
    <comment authorId="0" ref="AE22">
      <text>
        <t xml:space="preserve">FLOAT BETWEEN AP / SX</t>
      </text>
    </comment>
    <comment authorId="0" ref="J287">
      <text>
        <t xml:space="preserve">start at 9a</t>
      </text>
    </comment>
    <comment authorId="0" ref="AL154">
      <text>
        <t xml:space="preserve">Training CSR</t>
      </text>
    </comment>
    <comment authorId="0" ref="AA204">
      <text>
        <t xml:space="preserve">strt 8</t>
      </text>
    </comment>
    <comment authorId="0" ref="AQ154">
      <text>
        <t xml:space="preserve">Training with Aislinn 9am</t>
      </text>
    </comment>
    <comment authorId="0" ref="Q188">
      <text>
        <t xml:space="preserve">ADMIN DAY -CE PREP</t>
      </text>
    </comment>
    <comment authorId="0" ref="X287">
      <text>
        <t xml:space="preserve">10a</t>
      </text>
    </comment>
    <comment authorId="0" ref="AL204">
      <text>
        <t xml:space="preserve">AP trainee at 9a</t>
      </text>
    </comment>
    <comment authorId="0" ref="V188">
      <text>
        <t xml:space="preserve">MARKETING DAY WITH DRE</t>
      </text>
    </comment>
    <comment authorId="0" ref="H205">
      <text>
        <t xml:space="preserve">Help prep for Tuesdays surgeries in Vencie</t>
      </text>
    </comment>
    <comment authorId="0" ref="J205">
      <text>
        <t xml:space="preserve">9A</t>
      </text>
    </comment>
    <comment authorId="0" ref="AL39">
      <text>
        <t xml:space="preserve">Be present to help meet/ train  Zowie with Bianca.</t>
      </text>
    </comment>
    <comment authorId="0" ref="O238">
      <text>
        <t xml:space="preserve">8:30a</t>
      </text>
    </comment>
    <comment authorId="0" ref="Q238">
      <text>
        <t xml:space="preserve">Training with Catherine</t>
      </text>
    </comment>
    <comment authorId="0" ref="Q139">
      <text>
        <t xml:space="preserve">On road</t>
      </text>
    </comment>
    <comment authorId="0" ref="H288">
      <text>
        <t xml:space="preserve">Prep for surgery</t>
      </text>
    </comment>
    <comment authorId="0" ref="J288">
      <text>
        <t xml:space="preserve">8a</t>
      </text>
    </comment>
    <comment authorId="0" ref="X205">
      <text>
        <t xml:space="preserve">9a</t>
      </text>
    </comment>
    <comment authorId="0" ref="AA238">
      <text>
        <t xml:space="preserve">Training CSR</t>
      </text>
    </comment>
    <comment authorId="0" ref="X106">
      <text>
        <t xml:space="preserve">recheck consults</t>
      </text>
    </comment>
    <comment authorId="0" ref="AQ188">
      <text>
        <t xml:space="preserve">9a - 5:30p</t>
      </text>
    </comment>
    <comment authorId="0" ref="Q288">
      <text>
        <t xml:space="preserve">8a</t>
      </text>
    </comment>
    <comment authorId="0" ref="AL238">
      <text>
        <t xml:space="preserve">Training CSR</t>
      </text>
    </comment>
    <comment authorId="0" ref="X288">
      <text>
        <t xml:space="preserve">8a</t>
      </text>
    </comment>
    <comment authorId="0" ref="AJ106">
      <text>
        <t xml:space="preserve">WFH</t>
      </text>
    </comment>
    <comment authorId="0" ref="J239">
      <text>
        <t xml:space="preserve">Training with Jenn/ Bianca</t>
      </text>
    </comment>
    <comment authorId="0" ref="J206">
      <text>
        <t xml:space="preserve">AP trainee at 9a</t>
      </text>
    </comment>
    <comment authorId="0" ref="AQ238">
      <text>
        <t xml:space="preserve">Training</t>
      </text>
    </comment>
    <comment authorId="0" ref="AS238">
      <text>
        <t xml:space="preserve">Training CSR</t>
      </text>
    </comment>
    <comment authorId="0" ref="AE288">
      <text>
        <t xml:space="preserve">8a</t>
      </text>
    </comment>
    <comment authorId="0" ref="Q239">
      <text>
        <t xml:space="preserve">START AT 9A</t>
      </text>
    </comment>
    <comment authorId="0" ref="AJ288">
      <text>
        <t xml:space="preserve">needs to leave early 2pm</t>
      </text>
    </comment>
    <comment authorId="0" ref="AL288">
      <text>
        <t xml:space="preserve">8a</t>
      </text>
    </comment>
    <comment authorId="0" ref="H289">
      <text>
        <t xml:space="preserve">Prep for surgery</t>
      </text>
    </comment>
    <comment authorId="0" ref="J289">
      <text>
        <t xml:space="preserve">8:30</t>
      </text>
    </comment>
    <comment authorId="0" ref="X206">
      <text>
        <t xml:space="preserve">AP trainee at 9a</t>
      </text>
    </comment>
    <comment authorId="0" ref="AL24">
      <text>
        <t xml:space="preserve">Ultrasound day with Doc</t>
      </text>
    </comment>
    <comment authorId="0" ref="AQ189">
      <text>
        <t xml:space="preserve">9a - 5:30p</t>
      </text>
    </comment>
    <comment authorId="0" ref="Q289">
      <text>
        <t xml:space="preserve">start 8:30a</t>
      </text>
    </comment>
    <comment authorId="0" ref="X289">
      <text>
        <t xml:space="preserve">start 8:30a</t>
      </text>
    </comment>
    <comment authorId="0" ref="AE289">
      <text>
        <t xml:space="preserve">9a</t>
      </text>
    </comment>
    <comment authorId="0" ref="O240">
      <text>
        <t xml:space="preserve">Training</t>
      </text>
    </comment>
    <comment authorId="0" ref="AL289">
      <text>
        <t xml:space="preserve">8:30</t>
      </text>
    </comment>
    <comment authorId="0" ref="AJ124">
      <text>
        <t xml:space="preserve">needs to leave early at 3om</t>
      </text>
    </comment>
    <comment authorId="0" ref="X240">
      <text>
        <t xml:space="preserve">Training CSR</t>
      </text>
    </comment>
    <comment authorId="0" ref="J290">
      <text>
        <t xml:space="preserve">AP trainee at 9a</t>
      </text>
    </comment>
    <comment authorId="0" ref="AQ190">
      <text>
        <t xml:space="preserve">11:30a – 8:00pm</t>
      </text>
    </comment>
    <comment authorId="0" ref="AC240">
      <text>
        <t xml:space="preserve">Training</t>
      </text>
    </comment>
    <comment authorId="0" ref="Q290">
      <text>
        <t xml:space="preserve">9:30a</t>
      </text>
    </comment>
    <comment authorId="0" ref="AJ240">
      <text>
        <t xml:space="preserve">Training</t>
      </text>
    </comment>
    <comment authorId="0" ref="X290">
      <text>
        <t xml:space="preserve">9:30a</t>
      </text>
    </comment>
    <comment authorId="0" ref="AS240">
      <text>
        <t xml:space="preserve">START AT 9A</t>
      </text>
    </comment>
    <comment authorId="0" ref="F324">
      <text>
        <t xml:space="preserve">8:30a</t>
      </text>
    </comment>
    <comment authorId="0" ref="AL290">
      <text>
        <t xml:space="preserve">9:30a</t>
      </text>
    </comment>
    <comment authorId="0" ref="J324">
      <text>
        <t xml:space="preserve">start 9a</t>
      </text>
    </comment>
    <comment authorId="0" ref="O324">
      <text>
        <t xml:space="preserve">Training 9</t>
      </text>
    </comment>
    <comment authorId="0" ref="AQ191">
      <text>
        <t xml:space="preserve">11:30a – 8:00pm</t>
      </text>
    </comment>
    <comment authorId="0" ref="Q291">
      <text>
        <t xml:space="preserve">9a</t>
      </text>
    </comment>
    <comment authorId="0" ref="D275">
      <text>
        <t xml:space="preserve">10a - 4:30p</t>
      </text>
    </comment>
    <comment authorId="0" ref="AE291">
      <text>
        <t xml:space="preserve">930</t>
      </text>
    </comment>
    <comment authorId="0" ref="AH324">
      <text>
        <t xml:space="preserve">start 830a</t>
      </text>
    </comment>
    <comment authorId="0" ref="AJ324">
      <text>
        <t xml:space="preserve">Training</t>
      </text>
    </comment>
    <comment authorId="0" ref="AL291">
      <text>
        <t xml:space="preserve">AP trainee at 9a</t>
      </text>
    </comment>
    <comment authorId="0" ref="AQ192">
      <text>
        <t xml:space="preserve">9a - 5:30p</t>
      </text>
    </comment>
    <comment authorId="0" ref="AE110">
      <text>
        <t xml:space="preserve">FLOAT SX / AP</t>
      </text>
    </comment>
    <comment authorId="0" ref="X292">
      <text>
        <t xml:space="preserve">AP trainee at 9a</t>
      </text>
    </comment>
    <comment authorId="0" ref="X28">
      <text>
        <t xml:space="preserve">running late</t>
      </text>
    </comment>
    <comment authorId="0" ref="O210">
      <text>
        <t xml:space="preserve">running about 2hrs late.</t>
      </text>
    </comment>
    <comment authorId="0" ref="AE127">
      <text>
        <t xml:space="preserve">8a - moved from AP to 9am clinic</t>
      </text>
    </comment>
    <comment authorId="0" ref="H326">
      <text>
        <t xml:space="preserve">Training</t>
      </text>
    </comment>
    <comment authorId="0" ref="AE28">
      <text>
        <t xml:space="preserve">FLOAT</t>
      </text>
    </comment>
    <comment authorId="0" ref="J326">
      <text>
        <t xml:space="preserve">Training CSR</t>
      </text>
    </comment>
    <comment authorId="0" ref="Q326">
      <text>
        <t xml:space="preserve">Training CSR</t>
      </text>
    </comment>
    <comment authorId="0" ref="V326">
      <text>
        <t xml:space="preserve">Training at 9a</t>
      </text>
    </comment>
    <comment authorId="0" ref="X326">
      <text>
        <t xml:space="preserve">Training CSR</t>
      </text>
    </comment>
    <comment authorId="0" ref="AL111">
      <text>
        <t xml:space="preserve">Ultrasound day with Doc</t>
      </text>
    </comment>
    <comment authorId="0" ref="X29">
      <text>
        <t xml:space="preserve">8a</t>
      </text>
    </comment>
    <comment authorId="0" ref="AL326">
      <text>
        <t xml:space="preserve">Training CSR at 9a</t>
      </text>
    </comment>
    <comment authorId="0" ref="AE29">
      <text>
        <t xml:space="preserve">8a</t>
      </text>
    </comment>
    <comment authorId="0" ref="J327">
      <text>
        <t xml:space="preserve">Training CSR</t>
      </text>
    </comment>
    <comment authorId="0" ref="AQ326">
      <text>
        <t xml:space="preserve">Training</t>
      </text>
    </comment>
    <comment authorId="0" ref="AJ29">
      <text>
        <t xml:space="preserve">needs to leave early 2pm</t>
      </text>
    </comment>
    <comment authorId="0" ref="AS326">
      <text>
        <t xml:space="preserve">Training CSR at 9a</t>
      </text>
    </comment>
    <comment authorId="0" ref="O195">
      <text>
        <t xml:space="preserve">float surgery supervisor with Dr Niko.</t>
      </text>
    </comment>
    <comment authorId="0" ref="AL112">
      <text>
        <t xml:space="preserve">TRAINING WITH SHERRY IN AP</t>
      </text>
    </comment>
    <comment authorId="0" ref="X30">
      <text>
        <t xml:space="preserve">8:30a</t>
      </text>
    </comment>
    <comment authorId="0" ref="Q311">
      <text>
        <t xml:space="preserve">On road</t>
      </text>
    </comment>
    <comment authorId="0" ref="J14">
      <text>
        <t xml:space="preserve">ALP_ Doc wherever he’s available.</t>
      </text>
    </comment>
    <comment authorId="0" ref="AE195">
      <text>
        <t xml:space="preserve">SX trainee at 9a</t>
      </text>
    </comment>
    <comment authorId="0" ref="AE30">
      <text>
        <t xml:space="preserve">8:30a</t>
      </text>
    </comment>
    <comment authorId="0" ref="X278">
      <text>
        <t xml:space="preserve">RECHECKS CONSULTS</t>
      </text>
    </comment>
    <comment authorId="0" ref="Q14">
      <text>
        <t xml:space="preserve">ALP_ Doc wherever he’s available.</t>
      </text>
    </comment>
    <comment authorId="0" ref="V14">
      <text>
        <t xml:space="preserve">ALP_ Doc wherever he’s available.</t>
      </text>
    </comment>
    <comment authorId="0" ref="J31">
      <text>
        <t xml:space="preserve">training</t>
      </text>
    </comment>
    <comment authorId="0" ref="AE14">
      <text>
        <t xml:space="preserve">ALP_ Doc wherever he’s available.</t>
      </text>
    </comment>
    <comment authorId="0" ref="Q31">
      <text>
        <t xml:space="preserve">9a</t>
      </text>
    </comment>
    <comment authorId="0" ref="H213">
      <text>
        <t xml:space="preserve">with Brandon in clinic</t>
      </text>
    </comment>
    <comment authorId="0" ref="AQ278">
      <text>
        <t xml:space="preserve">rechecks consults</t>
      </text>
    </comment>
    <comment authorId="0" ref="X31">
      <text>
        <t xml:space="preserve">9:00</t>
      </text>
    </comment>
    <comment authorId="0" ref="O213">
      <text>
        <t xml:space="preserve">with Brandon in clinic</t>
      </text>
    </comment>
    <comment authorId="0" ref="AE64">
      <text>
        <t xml:space="preserve">8;30a</t>
      </text>
    </comment>
    <comment authorId="0" ref="AE31">
      <text>
        <t xml:space="preserve">9a</t>
      </text>
    </comment>
    <comment authorId="0" ref="Q15">
      <text>
        <t xml:space="preserve">admin day-- meeting with Doc all day for lecture planning for wet labs,</t>
      </text>
    </comment>
    <comment authorId="0" ref="O197">
      <text>
        <t xml:space="preserve">SX trainee</t>
      </text>
    </comment>
    <comment authorId="0" ref="O65">
      <text>
        <t xml:space="preserve">830A</t>
      </text>
    </comment>
    <comment authorId="0" ref="AJ213">
      <text>
        <t xml:space="preserve">with Brandon in clinic</t>
      </text>
    </comment>
    <comment authorId="0" ref="Q32">
      <text>
        <t xml:space="preserve">930a</t>
      </text>
    </comment>
    <comment authorId="0" ref="X65">
      <text>
        <t xml:space="preserve">8:30a - training with Cat</t>
      </text>
    </comment>
    <comment authorId="0" ref="AE65">
      <text>
        <t xml:space="preserve">8:30a - training with Cat</t>
      </text>
    </comment>
    <comment authorId="0" ref="AH65">
      <text>
        <t xml:space="preserve">830</t>
      </text>
    </comment>
    <comment authorId="0" ref="AL197">
      <text>
        <t xml:space="preserve">Ultrasound day with Doc</t>
      </text>
    </comment>
    <comment authorId="0" ref="J264">
      <text>
        <t xml:space="preserve">MAX 4 AUS.</t>
      </text>
    </comment>
    <comment authorId="0" ref="AC16">
      <text>
        <t xml:space="preserve">MARKETING DAY WITH DRE</t>
      </text>
    </comment>
    <comment authorId="0" ref="H215">
      <text>
        <t xml:space="preserve">TRAINING AISLINN</t>
      </text>
    </comment>
    <comment authorId="0" ref="F116">
      <text>
        <t xml:space="preserve">8:30a</t>
      </text>
    </comment>
    <comment authorId="0" ref="AL115">
      <text>
        <t xml:space="preserve">9:30a</t>
      </text>
    </comment>
    <comment authorId="0" ref="H116">
      <text>
        <t xml:space="preserve">Prep for Tuesdays surgeries in Vencie</t>
      </text>
    </comment>
    <comment authorId="0" ref="X132">
      <text>
        <t xml:space="preserve">Training on the floor with Catherine/ bianca is in house floating.</t>
      </text>
    </comment>
    <comment authorId="0" ref="J116">
      <text>
        <t xml:space="preserve">8a</t>
      </text>
    </comment>
    <comment authorId="0" ref="O281">
      <text>
        <t xml:space="preserve">SX trainee at 9a</t>
      </text>
    </comment>
    <comment authorId="0" ref="X33">
      <text>
        <t xml:space="preserve">930</t>
      </text>
    </comment>
    <comment authorId="0" ref="O50">
      <text>
        <t xml:space="preserve">Training with Alysia</t>
      </text>
    </comment>
    <comment authorId="0" ref="Q116">
      <text>
        <t xml:space="preserve">8a</t>
      </text>
    </comment>
    <comment authorId="0" ref="AE33">
      <text>
        <t xml:space="preserve">930a</t>
      </text>
    </comment>
    <comment authorId="0" ref="V215">
      <text>
        <t xml:space="preserve">Clinic viistor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65">
      <text>
        <t xml:space="preserve">8;30a</t>
      </text>
    </comment>
    <comment authorId="0" ref="AS107">
      <text>
        <t xml:space="preserve">930a</t>
      </text>
    </comment>
    <comment authorId="0" ref="X182">
      <text>
        <t xml:space="preserve">ENDO with Doc</t>
      </text>
    </comment>
    <comment authorId="0" ref="Q207">
      <text>
        <t xml:space="preserve">ON ROAD</t>
      </text>
    </comment>
    <comment authorId="0" ref="AE347">
      <text>
        <t xml:space="preserve">9am</t>
      </text>
    </comment>
    <comment authorId="0" ref="AE25">
      <text>
        <t xml:space="preserve">9a</t>
      </text>
    </comment>
    <comment authorId="0" ref="AL380">
      <text>
        <t xml:space="preserve">start 930a</t>
      </text>
    </comment>
    <comment authorId="0" ref="H26">
      <text>
        <t xml:space="preserve">Prep for Tuesdays surgeries in Vencie</t>
      </text>
    </comment>
    <comment authorId="0" ref="X265">
      <text>
        <t xml:space="preserve">8:30a</t>
      </text>
    </comment>
    <comment authorId="0" ref="AS347">
      <text>
        <t xml:space="preserve">9:30a</t>
      </text>
    </comment>
    <comment authorId="0" ref="Q348">
      <text>
        <t xml:space="preserve">9am</t>
      </text>
    </comment>
    <comment authorId="0" ref="Q249">
      <text>
        <t xml:space="preserve">Admin day - Western Students</t>
      </text>
    </comment>
    <comment authorId="0" ref="H142">
      <text>
        <t xml:space="preserve">CSR TRAINEE</t>
      </text>
    </comment>
    <comment authorId="0" ref="AL265">
      <text>
        <t xml:space="preserve">8:30a</t>
      </text>
    </comment>
    <comment authorId="0" ref="X26">
      <text>
        <t xml:space="preserve">930a</t>
      </text>
    </comment>
    <comment authorId="0" ref="J266">
      <text>
        <t xml:space="preserve">9a</t>
      </text>
    </comment>
    <comment authorId="0" ref="O142">
      <text>
        <t xml:space="preserve">CSR TRAINEE</t>
      </text>
    </comment>
    <comment authorId="0" ref="AE26">
      <text>
        <t xml:space="preserve">9:30</t>
      </text>
    </comment>
    <comment authorId="0" ref="O266">
      <text>
        <t xml:space="preserve">AP trainee AT 9A</t>
      </text>
    </comment>
    <comment authorId="0" ref="V142">
      <text>
        <t xml:space="preserve">CSR TRAINEE</t>
      </text>
    </comment>
    <comment authorId="0" ref="AJ26">
      <text>
        <t xml:space="preserve">RUNNING late</t>
      </text>
    </comment>
    <comment authorId="0" ref="X266">
      <text>
        <t xml:space="preserve">9a</t>
      </text>
    </comment>
    <comment authorId="0" ref="AQ92">
      <text>
        <t xml:space="preserve">WFH</t>
      </text>
    </comment>
    <comment authorId="0" ref="AC142">
      <text>
        <t xml:space="preserve">CSR TRAINEE</t>
      </text>
    </comment>
    <comment authorId="0" ref="AL183">
      <text>
        <t xml:space="preserve">9:30a</t>
      </text>
    </comment>
    <comment authorId="0" ref="AQ59">
      <text>
        <t xml:space="preserve">Training</t>
      </text>
    </comment>
    <comment authorId="0" ref="AA266">
      <text>
        <t xml:space="preserve">930</t>
      </text>
    </comment>
    <comment authorId="0" ref="J184">
      <text>
        <t xml:space="preserve">8A</t>
      </text>
    </comment>
    <comment authorId="0" ref="V225">
      <text>
        <t xml:space="preserve">MARKETING DAY WITH DRE</t>
      </text>
    </comment>
    <comment authorId="0" ref="AJ142">
      <text>
        <t xml:space="preserve">CSR TRAINEE</t>
      </text>
    </comment>
    <comment authorId="0" ref="AS183">
      <text>
        <t xml:space="preserve">9am</t>
      </text>
    </comment>
    <comment authorId="0" ref="Q250">
      <text>
        <t xml:space="preserve">Admin day - Western Students</t>
      </text>
    </comment>
    <comment authorId="0" ref="Q184">
      <text>
        <t xml:space="preserve">8a</t>
      </text>
    </comment>
    <comment authorId="0" ref="F300">
      <text>
        <t xml:space="preserve">start 830</t>
      </text>
    </comment>
    <comment authorId="0" ref="AL266">
      <text>
        <t xml:space="preserve">9a</t>
      </text>
    </comment>
    <comment authorId="0" ref="X27">
      <text>
        <t xml:space="preserve">9:30a</t>
      </text>
    </comment>
    <comment authorId="0" ref="X250">
      <text>
        <t xml:space="preserve">Admin day</t>
      </text>
    </comment>
    <comment authorId="0" ref="J267">
      <text>
        <t xml:space="preserve">9:30</t>
      </text>
    </comment>
    <comment authorId="0" ref="X184">
      <text>
        <t xml:space="preserve">8a</t>
      </text>
    </comment>
    <comment authorId="0" ref="Q267">
      <text>
        <t xml:space="preserve">9:30a</t>
      </text>
    </comment>
    <comment authorId="0" ref="H61">
      <text>
        <t xml:space="preserve">Training</t>
      </text>
    </comment>
    <comment authorId="0" ref="AJ184">
      <text>
        <t xml:space="preserve">needs to leave early 2pm</t>
      </text>
    </comment>
    <comment authorId="0" ref="O259">
      <text>
        <t xml:space="preserve">8:30a</t>
      </text>
    </comment>
    <comment authorId="0" ref="J61">
      <text>
        <t xml:space="preserve">Training CSR</t>
      </text>
    </comment>
    <comment authorId="0" ref="X267">
      <text>
        <t xml:space="preserve">9:30a</t>
      </text>
    </comment>
    <comment authorId="0" ref="AL184">
      <text>
        <t xml:space="preserve">8a</t>
      </text>
    </comment>
    <comment authorId="0" ref="J185">
      <text>
        <t xml:space="preserve">8:30A</t>
      </text>
    </comment>
    <comment authorId="0" ref="Q61">
      <text>
        <t xml:space="preserve">Training CSR</t>
      </text>
    </comment>
    <comment authorId="0" ref="AS184">
      <text>
        <t xml:space="preserve">8am</t>
      </text>
    </comment>
    <comment authorId="0" ref="AH300">
      <text>
        <t xml:space="preserve">start 8:30a</t>
      </text>
    </comment>
    <comment authorId="0" ref="D334">
      <text>
        <t xml:space="preserve">9:30a-4:30pm</t>
      </text>
    </comment>
    <comment authorId="0" ref="V61">
      <text>
        <t xml:space="preserve">Training</t>
      </text>
    </comment>
    <comment authorId="0" ref="X94">
      <text>
        <t xml:space="preserve">rechecks consults</t>
      </text>
    </comment>
    <comment authorId="0" ref="AL267">
      <text>
        <t xml:space="preserve">9:30a</t>
      </text>
    </comment>
    <comment authorId="0" ref="O177">
      <text>
        <t xml:space="preserve">8:30a</t>
      </text>
    </comment>
    <comment authorId="0" ref="X185">
      <text>
        <t xml:space="preserve">8:30a</t>
      </text>
    </comment>
    <comment authorId="0" ref="AC61">
      <text>
        <t xml:space="preserve">Training</t>
      </text>
    </comment>
    <comment authorId="0" ref="J169">
      <text>
        <t xml:space="preserve">ALP_ Doc wherever he’s available.</t>
      </text>
    </comment>
    <comment authorId="0" ref="AE61">
      <text>
        <t xml:space="preserve">Training CSR</t>
      </text>
    </comment>
    <comment authorId="0" ref="Q367">
      <text>
        <t xml:space="preserve">NO LONGER NEEDED ON THE ROAD</t>
      </text>
    </comment>
    <comment authorId="0" ref="AL259">
      <text>
        <t xml:space="preserve">Ultrasound day with Doc</t>
      </text>
    </comment>
    <comment authorId="0" ref="AE185">
      <text>
        <t xml:space="preserve">830a</t>
      </text>
    </comment>
    <comment authorId="0" ref="AJ61">
      <text>
        <t xml:space="preserve">Training</t>
      </text>
    </comment>
    <comment authorId="0" ref="AL61">
      <text>
        <t xml:space="preserve">Training CSR</t>
      </text>
    </comment>
    <comment authorId="0" ref="X334">
      <text>
        <t xml:space="preserve">RECHECKS CONSULTS</t>
      </text>
    </comment>
    <comment authorId="0" ref="AL185">
      <text>
        <t xml:space="preserve">8:30a</t>
      </text>
    </comment>
    <comment authorId="0" ref="AS61">
      <text>
        <t xml:space="preserve">Training CSR</t>
      </text>
    </comment>
    <comment authorId="0" ref="J186">
      <text>
        <t xml:space="preserve">9:30AM</t>
      </text>
    </comment>
    <comment authorId="0" ref="J343">
      <text>
        <t xml:space="preserve">10a</t>
      </text>
    </comment>
    <comment authorId="0" ref="AS185">
      <text>
        <t xml:space="preserve">8:30am</t>
      </text>
    </comment>
    <comment authorId="0" ref="AE169">
      <text>
        <t xml:space="preserve">Need to be Aetna this day</t>
      </text>
    </comment>
    <comment authorId="0" ref="Q186">
      <text>
        <t xml:space="preserve">9am</t>
      </text>
    </comment>
    <comment authorId="0" ref="Q343">
      <text>
        <t xml:space="preserve">10a</t>
      </text>
    </comment>
    <comment authorId="0" ref="AQ334">
      <text>
        <t xml:space="preserve">rechecks consults</t>
      </text>
    </comment>
    <comment authorId="0" ref="X186">
      <text>
        <t xml:space="preserve">9a</t>
      </text>
    </comment>
    <comment authorId="0" ref="J104">
      <text>
        <t xml:space="preserve">8a</t>
      </text>
    </comment>
    <comment authorId="0" ref="AE186">
      <text>
        <t xml:space="preserve">9am</t>
      </text>
    </comment>
    <comment authorId="0" ref="AE343">
      <text>
        <t xml:space="preserve">10a</t>
      </text>
    </comment>
    <comment authorId="0" ref="Q104">
      <text>
        <t xml:space="preserve">8a</t>
      </text>
    </comment>
    <comment authorId="0" ref="X13">
      <text>
        <t xml:space="preserve">RECHECKS CONSULTS</t>
      </text>
    </comment>
    <comment authorId="0" ref="AE178">
      <text>
        <t xml:space="preserve">8am</t>
      </text>
    </comment>
    <comment authorId="0" ref="J187">
      <text>
        <t xml:space="preserve">9AM</t>
      </text>
    </comment>
    <comment authorId="0" ref="X104">
      <text>
        <t xml:space="preserve">8</t>
      </text>
    </comment>
    <comment authorId="0" ref="J344">
      <text>
        <t xml:space="preserve">8a</t>
      </text>
    </comment>
    <comment authorId="0" ref="AS186">
      <text>
        <t xml:space="preserve">9:30a</t>
      </text>
    </comment>
    <comment authorId="0" ref="AE170">
      <text>
        <t xml:space="preserve">ADMIN DAY</t>
      </text>
    </comment>
    <comment authorId="0" ref="Q187">
      <text>
        <t xml:space="preserve">9:30a</t>
      </text>
    </comment>
    <comment authorId="0" ref="AJ302">
      <text>
        <t xml:space="preserve">she's not available to work ( personal reasons )</t>
      </text>
    </comment>
    <comment authorId="0" ref="AJ13">
      <text>
        <t xml:space="preserve">recheck consults</t>
      </text>
    </comment>
    <comment authorId="0" ref="AE104">
      <text>
        <t xml:space="preserve">8a</t>
      </text>
    </comment>
    <comment authorId="0" ref="D171">
      <text>
        <t xml:space="preserve">8a - 12:30pm // Penmar Ave, Santa Monica, CA 90405</t>
      </text>
    </comment>
    <comment authorId="0" ref="Q344">
      <text>
        <t xml:space="preserve">8a</t>
      </text>
    </comment>
    <comment authorId="0" ref="AE261">
      <text>
        <t xml:space="preserve">Admin day - Western Students</t>
      </text>
    </comment>
    <comment authorId="0" ref="AJ104">
      <text>
        <t xml:space="preserve">needs to leave early 2pm</t>
      </text>
    </comment>
    <comment authorId="0" ref="O179">
      <text>
        <t xml:space="preserve">AP trainee</t>
      </text>
    </comment>
    <comment authorId="0" ref="X187">
      <text>
        <t xml:space="preserve">9:30a</t>
      </text>
    </comment>
    <comment authorId="0" ref="AL104">
      <text>
        <t xml:space="preserve">8a</t>
      </text>
    </comment>
    <comment authorId="0" ref="Q179">
      <text>
        <t xml:space="preserve">In for S Curry AP aurgery,</t>
      </text>
    </comment>
    <comment authorId="0" ref="X344">
      <text>
        <t xml:space="preserve">8a</t>
      </text>
    </comment>
    <comment authorId="0" ref="AE187">
      <text>
        <t xml:space="preserve">9:30a</t>
      </text>
    </comment>
    <comment authorId="0" ref="AS104">
      <text>
        <t xml:space="preserve">8a</t>
      </text>
    </comment>
    <comment authorId="0" ref="AE344">
      <text>
        <t xml:space="preserve">8:30am</t>
      </text>
    </comment>
    <comment authorId="0" ref="Q105">
      <text>
        <t xml:space="preserve">8:30a</t>
      </text>
    </comment>
    <comment authorId="0" ref="AL187">
      <text>
        <t xml:space="preserve">9am</t>
      </text>
    </comment>
    <comment authorId="0" ref="AJ344">
      <text>
        <t xml:space="preserve">needs to leave early 2pm</t>
      </text>
    </comment>
    <comment authorId="0" ref="F345">
      <text>
        <t xml:space="preserve">9am</t>
      </text>
    </comment>
    <comment authorId="0" ref="V72">
      <text>
        <t xml:space="preserve">2pm - 6pm</t>
      </text>
    </comment>
    <comment authorId="0" ref="X105">
      <text>
        <t xml:space="preserve">830</t>
      </text>
    </comment>
    <comment authorId="0" ref="H23">
      <text>
        <t xml:space="preserve">Prep for Tuesdays surgeries in Vencie</t>
      </text>
    </comment>
    <comment authorId="0" ref="J345">
      <text>
        <t xml:space="preserve">8:30a</t>
      </text>
    </comment>
    <comment authorId="0" ref="AS187">
      <text>
        <t xml:space="preserve">9am</t>
      </text>
    </comment>
    <comment authorId="0" ref="AL179">
      <text>
        <t xml:space="preserve">Ultrasound day with Doc</t>
      </text>
    </comment>
    <comment authorId="0" ref="AE105">
      <text>
        <t xml:space="preserve">AP trainee - 8:30</t>
      </text>
    </comment>
    <comment authorId="0" ref="Q345">
      <text>
        <t xml:space="preserve">8;30a</t>
      </text>
    </comment>
    <comment authorId="0" ref="AE262">
      <text>
        <t xml:space="preserve">Admin day - Western Students</t>
      </text>
    </comment>
    <comment authorId="0" ref="X254">
      <text>
        <t xml:space="preserve">RECHECKS CONSULTS</t>
      </text>
    </comment>
    <comment authorId="0" ref="X188">
      <text>
        <t xml:space="preserve">10a</t>
      </text>
    </comment>
    <comment authorId="0" ref="AL105">
      <text>
        <t xml:space="preserve">830a</t>
      </text>
    </comment>
    <comment authorId="0" ref="X345">
      <text>
        <t xml:space="preserve">8:30am</t>
      </text>
    </comment>
    <comment authorId="0" ref="J106">
      <text>
        <t xml:space="preserve">9a</t>
      </text>
    </comment>
    <comment authorId="0" ref="X23">
      <text>
        <t xml:space="preserve">8a</t>
      </text>
    </comment>
    <comment authorId="0" ref="J329">
      <text>
        <t xml:space="preserve">Admin Day - WFH</t>
      </text>
    </comment>
    <comment authorId="0" ref="AS105">
      <text>
        <t xml:space="preserve">needs to leave at 3:30p // start 830a</t>
      </text>
    </comment>
    <comment authorId="0" ref="AE345">
      <text>
        <t xml:space="preserve">8:30a</t>
      </text>
    </comment>
    <comment authorId="0" ref="Q106">
      <text>
        <t xml:space="preserve">9a</t>
      </text>
    </comment>
    <comment authorId="0" ref="AE23">
      <text>
        <t xml:space="preserve">8a</t>
      </text>
    </comment>
    <comment authorId="0" ref="Q329">
      <text>
        <t xml:space="preserve">Admin Day - WFH</t>
      </text>
    </comment>
    <comment authorId="0" ref="AJ23">
      <text>
        <t xml:space="preserve">needs to leave early 2pm</t>
      </text>
    </comment>
    <comment authorId="0" ref="AQ254">
      <text>
        <t xml:space="preserve">rechecks consults</t>
      </text>
    </comment>
    <comment authorId="0" ref="X106">
      <text>
        <t xml:space="preserve">9a</t>
      </text>
    </comment>
    <comment authorId="0" ref="J346">
      <text>
        <t xml:space="preserve">9:30a</t>
      </text>
    </comment>
    <comment authorId="0" ref="J24">
      <text>
        <t xml:space="preserve">830</t>
      </text>
    </comment>
    <comment authorId="0" ref="AS345">
      <text>
        <t xml:space="preserve">9am</t>
      </text>
    </comment>
    <comment authorId="0" ref="Q346">
      <text>
        <t xml:space="preserve">10a</t>
      </text>
    </comment>
    <comment authorId="0" ref="AE263">
      <text>
        <t xml:space="preserve">Admin day - Western Students</t>
      </text>
    </comment>
    <comment authorId="0" ref="AL106">
      <text>
        <t xml:space="preserve">9a</t>
      </text>
    </comment>
    <comment authorId="0" ref="X90">
      <text>
        <t xml:space="preserve">Admin Day/ Work on Lectures</t>
      </text>
    </comment>
    <comment authorId="0" ref="X346">
      <text>
        <t xml:space="preserve">9:30a</t>
      </text>
    </comment>
    <comment authorId="0" ref="O16">
      <text>
        <t xml:space="preserve">SX trainee</t>
      </text>
    </comment>
    <comment authorId="0" ref="AE189">
      <text>
        <t xml:space="preserve">needs to be in Aetna this day</t>
      </text>
    </comment>
    <comment authorId="0" ref="J264">
      <text>
        <t xml:space="preserve">8a</t>
      </text>
    </comment>
    <comment authorId="0" ref="AS106">
      <text>
        <t xml:space="preserve">9a</t>
      </text>
    </comment>
    <comment authorId="0" ref="O140">
      <text>
        <t xml:space="preserve">830a</t>
      </text>
    </comment>
    <comment authorId="0" ref="F33">
      <text>
        <t xml:space="preserve">needs to leave around 1:30p</t>
      </text>
    </comment>
    <comment authorId="0" ref="AE24">
      <text>
        <t xml:space="preserve">8:30</t>
      </text>
    </comment>
    <comment authorId="0" ref="J33">
      <text>
        <t xml:space="preserve">SHE'S OKK</t>
      </text>
    </comment>
    <comment authorId="0" ref="Q264">
      <text>
        <t xml:space="preserve">8a</t>
      </text>
    </comment>
    <comment authorId="0" ref="Q198">
      <text>
        <t xml:space="preserve">observe a day with Ali and Ethan in Aetna</t>
      </text>
    </comment>
    <comment authorId="0" ref="X107">
      <text>
        <t xml:space="preserve">930</t>
      </text>
    </comment>
    <comment authorId="0" ref="AE16">
      <text>
        <t xml:space="preserve">FLOAT BETWEEN AP / SX</t>
      </text>
    </comment>
    <comment authorId="0" ref="X264">
      <text>
        <t xml:space="preserve">8a</t>
      </text>
    </comment>
    <comment authorId="0" ref="J25">
      <text>
        <t xml:space="preserve">9a</t>
      </text>
    </comment>
    <comment authorId="0" ref="AL181">
      <text>
        <t xml:space="preserve">ENDO DAY</t>
      </text>
    </comment>
    <comment authorId="0" ref="O380">
      <text>
        <t xml:space="preserve">8:30</t>
      </text>
    </comment>
    <comment authorId="0" ref="AE107">
      <text>
        <t xml:space="preserve">930a</t>
      </text>
    </comment>
    <comment authorId="0" ref="Q347">
      <text>
        <t xml:space="preserve">9:30a</t>
      </text>
    </comment>
    <comment authorId="0" ref="AE264">
      <text>
        <t xml:space="preserve">Admin day - Western Students</t>
      </text>
    </comment>
    <comment authorId="0" ref="Q25">
      <text>
        <t xml:space="preserve">9a</t>
      </text>
    </comment>
    <comment authorId="0" ref="Q248">
      <text>
        <t xml:space="preserve">Admin day - Western Students</t>
      </text>
    </comment>
    <comment authorId="0" ref="AL107">
      <text>
        <t xml:space="preserve">9:30</t>
      </text>
    </comment>
    <comment authorId="0" ref="AJ264">
      <text>
        <t xml:space="preserve">needs to leave early 2pm</t>
      </text>
    </comment>
    <comment authorId="0" ref="X347">
      <text>
        <t xml:space="preserve">9AM</t>
      </text>
    </comment>
    <comment authorId="0" ref="AL264">
      <text>
        <t xml:space="preserve">8a</t>
      </text>
    </comment>
    <comment authorId="0" ref="X25">
      <text>
        <t xml:space="preserve">9a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73">
      <text>
        <t xml:space="preserve">8:30a</t>
      </text>
    </comment>
    <comment authorId="0" ref="AS107">
      <text>
        <t xml:space="preserve">AP trainee</t>
      </text>
    </comment>
    <comment authorId="0" ref="AS8">
      <text>
        <t xml:space="preserve">7:30a - 12:30p</t>
      </text>
    </comment>
    <comment authorId="0" ref="AS264">
      <text>
        <t xml:space="preserve">8a</t>
      </text>
    </comment>
    <comment authorId="0" ref="Q265">
      <text>
        <t xml:space="preserve">9- confirmed</t>
      </text>
    </comment>
    <comment authorId="0" ref="AE182">
      <text>
        <t xml:space="preserve">10a</t>
      </text>
    </comment>
    <comment authorId="0" ref="AL25">
      <text>
        <t xml:space="preserve">9:30a</t>
      </text>
    </comment>
    <comment authorId="0" ref="X9">
      <text>
        <t xml:space="preserve">ADMIN DAY</t>
      </text>
    </comment>
    <comment authorId="0" ref="X265">
      <text>
        <t xml:space="preserve">8:30a</t>
      </text>
    </comment>
    <comment authorId="0" ref="AL116">
      <text>
        <t xml:space="preserve">Helps close the CSR shift and floats to CSR throughout the day as mneded</t>
      </text>
    </comment>
    <comment authorId="0" ref="J183">
      <text>
        <t xml:space="preserve">8a</t>
      </text>
    </comment>
    <comment authorId="0" ref="AS25">
      <text>
        <t xml:space="preserve">9am</t>
      </text>
    </comment>
    <comment authorId="0" ref="AE265">
      <text>
        <t xml:space="preserve">830a</t>
      </text>
    </comment>
    <comment authorId="0" ref="AS116">
      <text>
        <t xml:space="preserve">Helps close the CSR shift and floats to CSR throughout the day as mneded</t>
      </text>
    </comment>
    <comment authorId="0" ref="Q183">
      <text>
        <t xml:space="preserve">8a</t>
      </text>
    </comment>
    <comment authorId="0" ref="AL265">
      <text>
        <t xml:space="preserve">830a</t>
      </text>
    </comment>
    <comment authorId="0" ref="Q274">
      <text>
        <t xml:space="preserve">9 confirmed</t>
      </text>
    </comment>
    <comment authorId="0" ref="X183">
      <text>
        <t xml:space="preserve">8a</t>
      </text>
    </comment>
    <comment authorId="0" ref="AQ9">
      <text>
        <t xml:space="preserve">8a - 4:30p</t>
      </text>
    </comment>
    <comment authorId="0" ref="AS9">
      <text>
        <t xml:space="preserve">7:30a - 12:30p</t>
      </text>
    </comment>
    <comment authorId="0" ref="AS265">
      <text>
        <t xml:space="preserve">830a</t>
      </text>
    </comment>
    <comment authorId="0" ref="AE249">
      <text>
        <t xml:space="preserve">admin day</t>
      </text>
    </comment>
    <comment authorId="0" ref="Q266">
      <text>
        <t xml:space="preserve">9a</t>
      </text>
    </comment>
    <comment authorId="0" ref="AE183">
      <text>
        <t xml:space="preserve">8 and need to leave at 2pm</t>
      </text>
    </comment>
    <comment authorId="0" ref="AJ183">
      <text>
        <t xml:space="preserve">needs to leave early 2pm</t>
      </text>
    </comment>
    <comment authorId="0" ref="X266">
      <text>
        <t xml:space="preserve">930a</t>
      </text>
    </comment>
    <comment authorId="0" ref="J184">
      <text>
        <t xml:space="preserve">8:30</t>
      </text>
    </comment>
    <comment authorId="0" ref="AE266">
      <text>
        <t xml:space="preserve">10a</t>
      </text>
    </comment>
    <comment authorId="0" ref="Q184">
      <text>
        <t xml:space="preserve">8:30a</t>
      </text>
    </comment>
    <comment authorId="0" ref="AJ266">
      <text>
        <t xml:space="preserve">start 930a</t>
      </text>
    </comment>
    <comment authorId="0" ref="X93">
      <text>
        <t xml:space="preserve">rechecks consults</t>
      </text>
    </comment>
    <comment authorId="0" ref="AL266">
      <text>
        <t xml:space="preserve">930a</t>
      </text>
    </comment>
    <comment authorId="0" ref="Q275">
      <text>
        <t xml:space="preserve">8:30a</t>
      </text>
    </comment>
    <comment authorId="0" ref="X184">
      <text>
        <t xml:space="preserve">8:30</t>
      </text>
    </comment>
    <comment authorId="0" ref="AQ266">
      <text>
        <t xml:space="preserve">AP trainee</t>
      </text>
    </comment>
    <comment authorId="0" ref="AS266">
      <text>
        <t xml:space="preserve">9a</t>
      </text>
    </comment>
    <comment authorId="0" ref="Q267">
      <text>
        <t xml:space="preserve">930a</t>
      </text>
    </comment>
    <comment authorId="0" ref="AE184">
      <text>
        <t xml:space="preserve">8:30a</t>
      </text>
    </comment>
    <comment authorId="0" ref="T300">
      <text>
        <t xml:space="preserve">start 830a</t>
      </text>
    </comment>
    <comment authorId="0" ref="Q102">
      <text>
        <t xml:space="preserve">10a</t>
      </text>
    </comment>
    <comment authorId="0" ref="O259">
      <text>
        <t xml:space="preserve">8:30</t>
      </text>
    </comment>
    <comment authorId="0" ref="X300">
      <text>
        <t xml:space="preserve">start 920a</t>
      </text>
    </comment>
    <comment authorId="0" ref="X267">
      <text>
        <t xml:space="preserve">9a</t>
      </text>
    </comment>
    <comment authorId="0" ref="J185">
      <text>
        <t xml:space="preserve">9a</t>
      </text>
    </comment>
    <comment authorId="0" ref="AE267">
      <text>
        <t xml:space="preserve">AP trainee at 930a</t>
      </text>
    </comment>
    <comment authorId="0" ref="X259">
      <text>
        <t xml:space="preserve">For Curry procedure.</t>
      </text>
    </comment>
    <comment authorId="0" ref="X193">
      <text>
        <t xml:space="preserve">Needs to leave at 2:30pm</t>
      </text>
    </comment>
    <comment authorId="0" ref="Q185">
      <text>
        <t xml:space="preserve">9a</t>
      </text>
    </comment>
    <comment authorId="0" ref="AE102">
      <text>
        <t xml:space="preserve">10a</t>
      </text>
    </comment>
    <comment authorId="0" ref="AJ267">
      <text>
        <t xml:space="preserve">AP trainee</t>
      </text>
    </comment>
    <comment authorId="0" ref="AL267">
      <text>
        <t xml:space="preserve">9a</t>
      </text>
    </comment>
    <comment authorId="0" ref="H12">
      <text>
        <t xml:space="preserve">recheck consults</t>
      </text>
    </comment>
    <comment authorId="0" ref="V185">
      <text>
        <t xml:space="preserve">930</t>
      </text>
    </comment>
    <comment authorId="0" ref="AO300">
      <text>
        <t xml:space="preserve">start 830a</t>
      </text>
    </comment>
    <comment authorId="0" ref="X185">
      <text>
        <t xml:space="preserve">930</t>
      </text>
    </comment>
    <comment authorId="0" ref="AL102">
      <text>
        <t xml:space="preserve">10a</t>
      </text>
    </comment>
    <comment authorId="0" ref="AS267">
      <text>
        <t xml:space="preserve">930a</t>
      </text>
    </comment>
    <comment authorId="0" ref="J103">
      <text>
        <t xml:space="preserve">9am</t>
      </text>
    </comment>
    <comment authorId="0" ref="AL259">
      <text>
        <t xml:space="preserve">AUS day 12pm-3pm</t>
      </text>
    </comment>
    <comment authorId="0" ref="Q301">
      <text>
        <t xml:space="preserve">ALP_ She's ok to work on that day.</t>
      </text>
    </comment>
    <comment authorId="0" ref="Q268">
      <text>
        <t xml:space="preserve">8:30</t>
      </text>
    </comment>
    <comment authorId="0" ref="AE185">
      <text>
        <t xml:space="preserve">9a</t>
      </text>
    </comment>
    <comment authorId="0" ref="Q103">
      <text>
        <t xml:space="preserve">8a</t>
      </text>
    </comment>
    <comment authorId="0" ref="AJ185">
      <text>
        <t xml:space="preserve">AP trainee</t>
      </text>
    </comment>
    <comment authorId="0" ref="X12">
      <text>
        <t xml:space="preserve">RECHECKS CONSULTS</t>
      </text>
    </comment>
    <comment authorId="0" ref="AL185">
      <text>
        <t xml:space="preserve">start 9</t>
      </text>
    </comment>
    <comment authorId="0" ref="H186">
      <text>
        <t xml:space="preserve">ALP_running late - medical appt</t>
      </text>
    </comment>
    <comment authorId="0" ref="F21">
      <text>
        <t xml:space="preserve">Jury Duty</t>
      </text>
    </comment>
    <comment authorId="0" ref="X103">
      <text>
        <t xml:space="preserve">8</t>
      </text>
    </comment>
    <comment authorId="0" ref="AE268">
      <text>
        <t xml:space="preserve">9a</t>
      </text>
    </comment>
    <comment authorId="0" ref="Q186">
      <text>
        <t xml:space="preserve">9:30a</t>
      </text>
    </comment>
    <comment authorId="0" ref="AJ12">
      <text>
        <t xml:space="preserve">recheck consults</t>
      </text>
    </comment>
    <comment authorId="0" ref="AE103">
      <text>
        <t xml:space="preserve">8a</t>
      </text>
    </comment>
    <comment authorId="0" ref="AJ103">
      <text>
        <t xml:space="preserve">needs to leave early 2pm</t>
      </text>
    </comment>
    <comment authorId="0" ref="F104">
      <text>
        <t xml:space="preserve">start 9a</t>
      </text>
    </comment>
    <comment authorId="0" ref="X186">
      <text>
        <t xml:space="preserve">9a</t>
      </text>
    </comment>
    <comment authorId="0" ref="AL103">
      <text>
        <t xml:space="preserve">8a</t>
      </text>
    </comment>
    <comment authorId="0" ref="J104">
      <text>
        <t xml:space="preserve">8:30a</t>
      </text>
    </comment>
    <comment authorId="0" ref="Q302">
      <text>
        <t xml:space="preserve">CSR trainee</t>
      </text>
    </comment>
    <comment authorId="0" ref="AE186">
      <text>
        <t xml:space="preserve">9:30a</t>
      </text>
    </comment>
    <comment authorId="0" ref="Q104">
      <text>
        <t xml:space="preserve">8:30</t>
      </text>
    </comment>
    <comment authorId="0" ref="AJ219">
      <text>
        <t xml:space="preserve">cover BF shit fat 8</t>
      </text>
    </comment>
    <comment authorId="0" ref="X302">
      <text>
        <t xml:space="preserve">CSR trainee</t>
      </text>
    </comment>
    <comment authorId="0" ref="J352">
      <text>
        <t xml:space="preserve">9:30a</t>
      </text>
    </comment>
    <comment authorId="0" ref="AL186">
      <text>
        <t xml:space="preserve">9:30a</t>
      </text>
    </comment>
    <comment authorId="0" ref="M352">
      <text>
        <t xml:space="preserve">9:30a</t>
      </text>
    </comment>
    <comment authorId="0" ref="O352">
      <text>
        <t xml:space="preserve">9:30a</t>
      </text>
    </comment>
    <comment authorId="0" ref="X104">
      <text>
        <t xml:space="preserve">830</t>
      </text>
    </comment>
    <comment authorId="0" ref="AQ186">
      <text>
        <t xml:space="preserve">AP trainee at 10a</t>
      </text>
    </comment>
    <comment authorId="0" ref="AE302">
      <text>
        <t xml:space="preserve">CSR trainee</t>
      </text>
    </comment>
    <comment authorId="0" ref="Q352">
      <text>
        <t xml:space="preserve">9:30a</t>
      </text>
    </comment>
    <comment authorId="0" ref="H22">
      <text>
        <t xml:space="preserve">Prep for Tuesdays surgeries in Vencie</t>
      </text>
    </comment>
    <comment authorId="0" ref="J22">
      <text>
        <t xml:space="preserve">8am</t>
      </text>
    </comment>
    <comment authorId="0" ref="T352">
      <text>
        <t xml:space="preserve">9:30a</t>
      </text>
    </comment>
    <comment authorId="0" ref="V352">
      <text>
        <t xml:space="preserve">9:30a</t>
      </text>
    </comment>
    <comment authorId="0" ref="AE104">
      <text>
        <t xml:space="preserve">8:30</t>
      </text>
    </comment>
    <comment authorId="0" ref="AS21">
      <text>
        <t xml:space="preserve">9:30a</t>
      </text>
    </comment>
    <comment authorId="0" ref="X352">
      <text>
        <t xml:space="preserve">9:30a</t>
      </text>
    </comment>
    <comment authorId="0" ref="AL269">
      <text>
        <t xml:space="preserve">ALP_ running a bit late, she need another DVM scheduled with her</t>
      </text>
    </comment>
    <comment authorId="0" ref="Q22">
      <text>
        <t xml:space="preserve">8am</t>
      </text>
    </comment>
    <comment authorId="0" ref="AA352">
      <text>
        <t xml:space="preserve">9:30a</t>
      </text>
    </comment>
    <comment authorId="0" ref="AH38">
      <text>
        <t xml:space="preserve">training with Nick</t>
      </text>
    </comment>
    <comment authorId="0" ref="F105">
      <text>
        <t xml:space="preserve">start 9a</t>
      </text>
    </comment>
    <comment authorId="0" ref="AC352">
      <text>
        <t xml:space="preserve">9:30a</t>
      </text>
    </comment>
    <comment authorId="0" ref="AL104">
      <text>
        <t xml:space="preserve">8:30</t>
      </text>
    </comment>
    <comment authorId="0" ref="H105">
      <text>
        <t xml:space="preserve">start 9a</t>
      </text>
    </comment>
    <comment authorId="0" ref="AE352">
      <text>
        <t xml:space="preserve">9:30a</t>
      </text>
    </comment>
    <comment authorId="0" ref="J105">
      <text>
        <t xml:space="preserve">start 9a</t>
      </text>
    </comment>
    <comment authorId="0" ref="X22">
      <text>
        <t xml:space="preserve">8a</t>
      </text>
    </comment>
    <comment authorId="0" ref="AH352">
      <text>
        <t xml:space="preserve">9:30a</t>
      </text>
    </comment>
    <comment authorId="0" ref="AJ352">
      <text>
        <t xml:space="preserve">9:30a</t>
      </text>
    </comment>
    <comment authorId="0" ref="AL352">
      <text>
        <t xml:space="preserve">9:30a</t>
      </text>
    </comment>
    <comment authorId="0" ref="Q105">
      <text>
        <t xml:space="preserve">9am</t>
      </text>
    </comment>
    <comment authorId="0" ref="AE22">
      <text>
        <t xml:space="preserve">8</t>
      </text>
    </comment>
    <comment authorId="0" ref="AO352">
      <text>
        <t xml:space="preserve">9:30a</t>
      </text>
    </comment>
    <comment authorId="0" ref="AL187">
      <text>
        <t xml:space="preserve">AP trainee</t>
      </text>
    </comment>
    <comment authorId="0" ref="AQ352">
      <text>
        <t xml:space="preserve">9:30a</t>
      </text>
    </comment>
    <comment authorId="0" ref="AS352">
      <text>
        <t xml:space="preserve">9:30a</t>
      </text>
    </comment>
    <comment authorId="0" ref="AJ22">
      <text>
        <t xml:space="preserve">needs to leave early 2pm</t>
      </text>
    </comment>
    <comment authorId="0" ref="X105">
      <text>
        <t xml:space="preserve">9a</t>
      </text>
    </comment>
    <comment authorId="0" ref="AL22">
      <text>
        <t xml:space="preserve">830a</t>
      </text>
    </comment>
    <comment authorId="0" ref="H23">
      <text>
        <t xml:space="preserve">Prep for Tuesdays surgeries in Vencie</t>
      </text>
    </comment>
    <comment authorId="0" ref="J23">
      <text>
        <t xml:space="preserve">8:30a</t>
      </text>
    </comment>
    <comment authorId="0" ref="AE105">
      <text>
        <t xml:space="preserve">9:30a</t>
      </text>
    </comment>
    <comment authorId="0" ref="D172">
      <text>
        <t xml:space="preserve">9:30a-4:30pm</t>
      </text>
    </comment>
    <comment authorId="0" ref="Q23">
      <text>
        <t xml:space="preserve">830a</t>
      </text>
    </comment>
    <comment authorId="0" ref="X254">
      <text>
        <t xml:space="preserve">RECHECKS CONSULTS</t>
      </text>
    </comment>
    <comment authorId="0" ref="AL105">
      <text>
        <t xml:space="preserve">9:30a</t>
      </text>
    </comment>
    <comment authorId="0" ref="X23">
      <text>
        <t xml:space="preserve">8:30a</t>
      </text>
    </comment>
    <comment authorId="0" ref="AE89">
      <text>
        <t xml:space="preserve">Admin day - western students.</t>
      </text>
    </comment>
    <comment authorId="0" ref="AE23">
      <text>
        <t xml:space="preserve">8:30am</t>
      </text>
    </comment>
    <comment authorId="0" ref="J222">
      <text>
        <t xml:space="preserve">CSR trainee</t>
      </text>
    </comment>
    <comment authorId="0" ref="AQ254">
      <text>
        <t xml:space="preserve">WFH</t>
      </text>
    </comment>
    <comment authorId="0" ref="X106">
      <text>
        <t xml:space="preserve">930</t>
      </text>
    </comment>
    <comment authorId="0" ref="AL23">
      <text>
        <t xml:space="preserve">8:30am</t>
      </text>
    </comment>
    <comment authorId="0" ref="AL246">
      <text>
        <t xml:space="preserve">12pm-3pm</t>
      </text>
    </comment>
    <comment authorId="0" ref="J24">
      <text>
        <t xml:space="preserve">9:30a</t>
      </text>
    </comment>
    <comment authorId="0" ref="Q222">
      <text>
        <t xml:space="preserve">CSR trainee</t>
      </text>
    </comment>
    <comment authorId="0" ref="AE106">
      <text>
        <t xml:space="preserve">9a</t>
      </text>
    </comment>
    <comment authorId="0" ref="AS23">
      <text>
        <t xml:space="preserve">8:30a</t>
      </text>
    </comment>
    <comment authorId="0" ref="AE263">
      <text>
        <t xml:space="preserve">930a</t>
      </text>
    </comment>
    <comment authorId="0" ref="Q24">
      <text>
        <t xml:space="preserve">9:30a</t>
      </text>
    </comment>
    <comment authorId="0" ref="X222">
      <text>
        <t xml:space="preserve">CSR trainee</t>
      </text>
    </comment>
    <comment authorId="0" ref="H173">
      <text>
        <t xml:space="preserve">study day</t>
      </text>
    </comment>
    <comment authorId="0" ref="AL106">
      <text>
        <t xml:space="preserve">9am</t>
      </text>
    </comment>
    <comment authorId="0" ref="X24">
      <text>
        <t xml:space="preserve">930a</t>
      </text>
    </comment>
    <comment authorId="0" ref="AE222">
      <text>
        <t xml:space="preserve">CSR trainee</t>
      </text>
    </comment>
    <comment authorId="0" ref="AS7">
      <text>
        <t xml:space="preserve">7:30 a.m - 12:30pm.
Valley Plaza Recreation Center 12240 Archwood St North Hollywood, CA 91606</t>
      </text>
    </comment>
    <comment authorId="0" ref="AE24">
      <text>
        <t xml:space="preserve">9:30a</t>
      </text>
    </comment>
    <comment authorId="0" ref="Q264">
      <text>
        <t xml:space="preserve">8a</t>
      </text>
    </comment>
    <comment authorId="0" ref="X264">
      <text>
        <t xml:space="preserve">8a</t>
      </text>
    </comment>
    <comment authorId="0" ref="AC107">
      <text>
        <t xml:space="preserve">AP trainee</t>
      </text>
    </comment>
    <comment authorId="0" ref="J182">
      <text>
        <t xml:space="preserve">930</t>
      </text>
    </comment>
    <comment authorId="0" ref="AJ173">
      <text>
        <t xml:space="preserve">recheck consults</t>
      </text>
    </comment>
    <comment authorId="0" ref="AE264">
      <text>
        <t xml:space="preserve">8a</t>
      </text>
    </comment>
    <comment authorId="0" ref="Q25">
      <text>
        <t xml:space="preserve">9a</t>
      </text>
    </comment>
    <comment authorId="0" ref="AJ107">
      <text>
        <t xml:space="preserve">AP trainee</t>
      </text>
    </comment>
    <comment authorId="0" ref="AJ264">
      <text>
        <t xml:space="preserve">needs to leave early 2pm</t>
      </text>
    </comment>
    <comment authorId="0" ref="AL264">
      <text>
        <t xml:space="preserve">8a</t>
      </text>
    </comment>
    <comment authorId="0" ref="X25">
      <text>
        <t xml:space="preserve">9am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65">
      <text>
        <t xml:space="preserve">830a</t>
      </text>
    </comment>
    <comment authorId="0" ref="AE380">
      <text>
        <t xml:space="preserve">start 8:30</t>
      </text>
    </comment>
    <comment authorId="0" ref="AE347">
      <text>
        <t xml:space="preserve">10a</t>
      </text>
    </comment>
    <comment authorId="0" ref="H34">
      <text>
        <t xml:space="preserve">9</t>
      </text>
    </comment>
    <comment authorId="0" ref="AQ99">
      <text>
        <t xml:space="preserve">10a - 630p</t>
      </text>
    </comment>
    <comment authorId="0" ref="Q265">
      <text>
        <t xml:space="preserve">830</t>
      </text>
    </comment>
    <comment authorId="0" ref="AL347">
      <text>
        <t xml:space="preserve">930</t>
      </text>
    </comment>
    <comment authorId="0" ref="H348">
      <text>
        <t xml:space="preserve">AP trainee start at 930a</t>
      </text>
    </comment>
    <comment authorId="0" ref="J348">
      <text>
        <t xml:space="preserve">start at 9a</t>
      </text>
    </comment>
    <comment authorId="0" ref="X265">
      <text>
        <t xml:space="preserve">830a</t>
      </text>
    </comment>
    <comment authorId="0" ref="V34">
      <text>
        <t xml:space="preserve">930</t>
      </text>
    </comment>
    <comment authorId="0" ref="Q348">
      <text>
        <t xml:space="preserve">start 9a</t>
      </text>
    </comment>
    <comment authorId="0" ref="AE265">
      <text>
        <t xml:space="preserve">830a</t>
      </text>
    </comment>
    <comment authorId="0" ref="V348">
      <text>
        <t xml:space="preserve">Train w/ Saul at 8:30</t>
      </text>
    </comment>
    <comment authorId="0" ref="F299">
      <text>
        <t xml:space="preserve">start 8:30a</t>
      </text>
    </comment>
    <comment authorId="0" ref="X348">
      <text>
        <t xml:space="preserve">9a</t>
      </text>
    </comment>
    <comment authorId="0" ref="AL265">
      <text>
        <t xml:space="preserve">830a</t>
      </text>
    </comment>
    <comment authorId="0" ref="J266">
      <text>
        <t xml:space="preserve">930a</t>
      </text>
    </comment>
    <comment authorId="0" ref="AC348">
      <text>
        <t xml:space="preserve">AP trainee start at 930a</t>
      </text>
    </comment>
    <comment authorId="0" ref="O365">
      <text>
        <t xml:space="preserve">second DA</t>
      </text>
    </comment>
    <comment authorId="0" ref="AE348">
      <text>
        <t xml:space="preserve">start 9a</t>
      </text>
    </comment>
    <comment authorId="0" ref="O266">
      <text>
        <t xml:space="preserve">AP trainee start at 10a</t>
      </text>
    </comment>
    <comment authorId="0" ref="AQ100">
      <text>
        <t xml:space="preserve">11;30a - 8pm</t>
      </text>
    </comment>
    <comment authorId="0" ref="Q266">
      <text>
        <t xml:space="preserve">9a</t>
      </text>
    </comment>
    <comment authorId="0" ref="AJ348">
      <text>
        <t xml:space="preserve">AP trainee start at 930a</t>
      </text>
    </comment>
    <comment authorId="0" ref="AL348">
      <text>
        <t xml:space="preserve">10a</t>
      </text>
    </comment>
    <comment authorId="0" ref="X266">
      <text>
        <t xml:space="preserve">9a</t>
      </text>
    </comment>
    <comment authorId="0" ref="O250">
      <text>
        <t xml:space="preserve">WFH</t>
      </text>
    </comment>
    <comment authorId="0" ref="AE266">
      <text>
        <t xml:space="preserve">930a</t>
      </text>
    </comment>
    <comment authorId="0" ref="AH299">
      <text>
        <t xml:space="preserve">830a</t>
      </text>
    </comment>
    <comment authorId="0" ref="Q184">
      <text>
        <t xml:space="preserve">8a</t>
      </text>
    </comment>
    <comment authorId="0" ref="AL266">
      <text>
        <t xml:space="preserve">930a</t>
      </text>
    </comment>
    <comment authorId="0" ref="J267">
      <text>
        <t xml:space="preserve">9a</t>
      </text>
    </comment>
    <comment authorId="0" ref="H168">
      <text>
        <t xml:space="preserve">ALP_ Doc wherever he’s available.</t>
      </text>
    </comment>
    <comment authorId="0" ref="X184">
      <text>
        <t xml:space="preserve">8a</t>
      </text>
    </comment>
    <comment authorId="0" ref="Q300">
      <text>
        <t xml:space="preserve">start 8:30</t>
      </text>
    </comment>
    <comment authorId="0" ref="AQ101">
      <text>
        <t xml:space="preserve">11;30a - 8pm</t>
      </text>
    </comment>
    <comment authorId="0" ref="Q267">
      <text>
        <t xml:space="preserve">930a</t>
      </text>
    </comment>
    <comment authorId="0" ref="AJ184">
      <text>
        <t xml:space="preserve">needs to leave early 2pm</t>
      </text>
    </comment>
    <comment authorId="0" ref="X300">
      <text>
        <t xml:space="preserve">start 8:30</t>
      </text>
    </comment>
    <comment authorId="0" ref="AL184">
      <text>
        <t xml:space="preserve">leave early - med appt</t>
      </text>
    </comment>
    <comment authorId="0" ref="J185">
      <text>
        <t xml:space="preserve">8:30a</t>
      </text>
    </comment>
    <comment authorId="0" ref="AC267">
      <text>
        <t xml:space="preserve">AP trainee start at 10a</t>
      </text>
    </comment>
    <comment authorId="0" ref="AE267">
      <text>
        <t xml:space="preserve">9a</t>
      </text>
    </comment>
    <comment authorId="0" ref="AS184">
      <text>
        <t xml:space="preserve">start 830a</t>
      </text>
    </comment>
    <comment authorId="0" ref="D334">
      <text>
        <t xml:space="preserve">9:30a-4:30pm</t>
      </text>
    </comment>
    <comment authorId="0" ref="O119">
      <text>
        <t xml:space="preserve">RUNNING LATE</t>
      </text>
    </comment>
    <comment authorId="0" ref="Q185">
      <text>
        <t xml:space="preserve">8:30a</t>
      </text>
    </comment>
    <comment authorId="0" ref="AL267">
      <text>
        <t xml:space="preserve">9a</t>
      </text>
    </comment>
    <comment authorId="0" ref="H268">
      <text>
        <t xml:space="preserve">AP trainee start at 10a</t>
      </text>
    </comment>
    <comment authorId="0" ref="J268">
      <text>
        <t xml:space="preserve">start at 9a</t>
      </text>
    </comment>
    <comment authorId="0" ref="X185">
      <text>
        <t xml:space="preserve">8:30a</t>
      </text>
    </comment>
    <comment authorId="0" ref="AQ102">
      <text>
        <t xml:space="preserve">9a-8p</t>
      </text>
    </comment>
    <comment authorId="0" ref="AE185">
      <text>
        <t xml:space="preserve">8:30a</t>
      </text>
    </comment>
    <comment authorId="0" ref="V268">
      <text>
        <t xml:space="preserve">AP trainee start at 10a</t>
      </text>
    </comment>
    <comment authorId="0" ref="X334">
      <text>
        <t xml:space="preserve">RECHECKS CONSULTS</t>
      </text>
    </comment>
    <comment authorId="0" ref="X268">
      <text>
        <t xml:space="preserve">start at 9a</t>
      </text>
    </comment>
    <comment authorId="0" ref="AL185">
      <text>
        <t xml:space="preserve">8:30a needs to leave early // appt at 2pm</t>
      </text>
    </comment>
    <comment authorId="0" ref="J186">
      <text>
        <t xml:space="preserve">930a</t>
      </text>
    </comment>
    <comment authorId="0" ref="AE268">
      <text>
        <t xml:space="preserve">9</t>
      </text>
    </comment>
    <comment authorId="0" ref="O186">
      <text>
        <t xml:space="preserve">930</t>
      </text>
    </comment>
    <comment authorId="0" ref="AE169">
      <text>
        <t xml:space="preserve">ALP_ Doc wherever he’s available.</t>
      </text>
    </comment>
    <comment authorId="0" ref="AJ268">
      <text>
        <t xml:space="preserve">AP trainee start at 10a</t>
      </text>
    </comment>
    <comment authorId="0" ref="AL268">
      <text>
        <t xml:space="preserve">start at 10</t>
      </text>
    </comment>
    <comment authorId="0" ref="H302">
      <text>
        <t xml:space="preserve">start at 9:30a</t>
      </text>
    </comment>
    <comment authorId="0" ref="O302">
      <text>
        <t xml:space="preserve">start at 9:30a</t>
      </text>
    </comment>
    <comment authorId="0" ref="J104">
      <text>
        <t xml:space="preserve">8a</t>
      </text>
    </comment>
    <comment authorId="0" ref="AQ169">
      <text>
        <t xml:space="preserve">11:30a - 8:30pm</t>
      </text>
    </comment>
    <comment authorId="0" ref="AQ103">
      <text>
        <t xml:space="preserve">11;30a - 8pm</t>
      </text>
    </comment>
    <comment authorId="0" ref="AE186">
      <text>
        <t xml:space="preserve">9:30</t>
      </text>
    </comment>
    <comment authorId="0" ref="V302">
      <text>
        <t xml:space="preserve">start at 9:30a</t>
      </text>
    </comment>
    <comment authorId="0" ref="Q104">
      <text>
        <t xml:space="preserve">8a</t>
      </text>
    </comment>
    <comment authorId="0" ref="AL186">
      <text>
        <t xml:space="preserve">9:30a</t>
      </text>
    </comment>
    <comment authorId="0" ref="AC302">
      <text>
        <t xml:space="preserve">start at 10a</t>
      </text>
    </comment>
    <comment authorId="0" ref="J187">
      <text>
        <t xml:space="preserve">9a</t>
      </text>
    </comment>
    <comment authorId="0" ref="Q187">
      <text>
        <t xml:space="preserve">9a</t>
      </text>
    </comment>
    <comment authorId="0" ref="AE104">
      <text>
        <t xml:space="preserve">8a</t>
      </text>
    </comment>
    <comment authorId="0" ref="AL302">
      <text>
        <t xml:space="preserve">start at 10a</t>
      </text>
    </comment>
    <comment authorId="0" ref="AJ104">
      <text>
        <t xml:space="preserve">needs to leave early 2pm</t>
      </text>
    </comment>
    <comment authorId="0" ref="X187">
      <text>
        <t xml:space="preserve">10a</t>
      </text>
    </comment>
    <comment authorId="0" ref="AL104">
      <text>
        <t xml:space="preserve">8a</t>
      </text>
    </comment>
    <comment authorId="0" ref="J105">
      <text>
        <t xml:space="preserve">830</t>
      </text>
    </comment>
    <comment authorId="0" ref="AQ170">
      <text>
        <t xml:space="preserve">11:30a - 8:30pm</t>
      </text>
    </comment>
    <comment authorId="0" ref="AQ104">
      <text>
        <t xml:space="preserve">11;30a - 8pm</t>
      </text>
    </comment>
    <comment authorId="0" ref="AE187">
      <text>
        <t xml:space="preserve">9a</t>
      </text>
    </comment>
    <comment authorId="0" ref="Q105">
      <text>
        <t xml:space="preserve">830</t>
      </text>
    </comment>
    <comment authorId="0" ref="AL187">
      <text>
        <t xml:space="preserve">9a</t>
      </text>
    </comment>
    <comment authorId="0" ref="AJ88">
      <text>
        <t xml:space="preserve">NO AUS THIS DAY_ prepare everything for adoptapalooza,</t>
      </text>
    </comment>
    <comment authorId="0" ref="F23">
      <text>
        <t xml:space="preserve">off</t>
      </text>
    </comment>
    <comment authorId="0" ref="H23">
      <text>
        <t xml:space="preserve">Prep for Tuesdays surgeries in Vencie</t>
      </text>
    </comment>
    <comment authorId="0" ref="V353">
      <text>
        <t xml:space="preserve">second DA 9:30a</t>
      </text>
    </comment>
    <comment authorId="0" ref="AE105">
      <text>
        <t xml:space="preserve">- 8:30</t>
      </text>
    </comment>
    <comment authorId="0" ref="O23">
      <text>
        <t xml:space="preserve">start at 8a</t>
      </text>
    </comment>
    <comment authorId="0" ref="Q23">
      <text>
        <t xml:space="preserve">8a</t>
      </text>
    </comment>
    <comment authorId="0" ref="V188">
      <text>
        <t xml:space="preserve">9:30</t>
      </text>
    </comment>
    <comment authorId="0" ref="X254">
      <text>
        <t xml:space="preserve">RECHECKS CONSULTS</t>
      </text>
    </comment>
    <comment authorId="0" ref="X188">
      <text>
        <t xml:space="preserve">9a</t>
      </text>
    </comment>
    <comment authorId="0" ref="AL105">
      <text>
        <t xml:space="preserve">830</t>
      </text>
    </comment>
    <comment authorId="0" ref="AS303">
      <text>
        <t xml:space="preserve">medical leave</t>
      </text>
    </comment>
    <comment authorId="0" ref="O337">
      <text>
        <t xml:space="preserve">start 845a</t>
      </text>
    </comment>
    <comment authorId="0" ref="AQ171">
      <text>
        <t xml:space="preserve">11:30a - 8:30pm</t>
      </text>
    </comment>
    <comment authorId="0" ref="J106">
      <text>
        <t xml:space="preserve">9:30</t>
      </text>
    </comment>
    <comment authorId="0" ref="X23">
      <text>
        <t xml:space="preserve">8a</t>
      </text>
    </comment>
    <comment authorId="0" ref="AQ105">
      <text>
        <t xml:space="preserve">11;30a - 8pm</t>
      </text>
    </comment>
    <comment authorId="0" ref="Q106">
      <text>
        <t xml:space="preserve">9a</t>
      </text>
    </comment>
    <comment authorId="0" ref="AJ89">
      <text>
        <t xml:space="preserve">ADOPTAPALOOZA PREP </t>
      </text>
    </comment>
    <comment authorId="0" ref="J222">
      <text>
        <t xml:space="preserve">start at 10a</t>
      </text>
    </comment>
    <comment authorId="0" ref="AQ254">
      <text>
        <t xml:space="preserve">rechecks consults</t>
      </text>
    </comment>
    <comment authorId="0" ref="AJ23">
      <text>
        <t xml:space="preserve">needs to leave early 2pm</t>
      </text>
    </comment>
    <comment authorId="0" ref="F24">
      <text>
        <t xml:space="preserve">9a</t>
      </text>
    </comment>
    <comment authorId="0" ref="AL23">
      <text>
        <t xml:space="preserve">8a</t>
      </text>
    </comment>
    <comment authorId="0" ref="AE304">
      <text>
        <t xml:space="preserve">medical leave</t>
      </text>
    </comment>
    <comment authorId="0" ref="H24">
      <text>
        <t xml:space="preserve">Prep for Tuesdays surgeries in Vencie</t>
      </text>
    </comment>
    <comment authorId="0" ref="Q222">
      <text>
        <t xml:space="preserve">start 9:30a training w/ aislinn</t>
      </text>
    </comment>
    <comment authorId="0" ref="O90">
      <text>
        <t xml:space="preserve">WFH</t>
      </text>
    </comment>
    <comment authorId="0" ref="AE106">
      <text>
        <t xml:space="preserve">930a</t>
      </text>
    </comment>
    <comment authorId="0" ref="O24">
      <text>
        <t xml:space="preserve">8:30a</t>
      </text>
    </comment>
    <comment authorId="0" ref="Q24">
      <text>
        <t xml:space="preserve">830</t>
      </text>
    </comment>
    <comment authorId="0" ref="J305">
      <text>
        <t xml:space="preserve">medical leave</t>
      </text>
    </comment>
    <comment authorId="0" ref="X222">
      <text>
        <t xml:space="preserve">start at 9:30a</t>
      </text>
    </comment>
    <comment authorId="0" ref="AL106">
      <text>
        <t xml:space="preserve">10a</t>
      </text>
    </comment>
    <comment authorId="0" ref="O338">
      <text>
        <t xml:space="preserve">8:30</t>
      </text>
    </comment>
    <comment authorId="0" ref="J107">
      <text>
        <t xml:space="preserve">9a</t>
      </text>
    </comment>
    <comment authorId="0" ref="AC222">
      <text>
        <t xml:space="preserve">start at 10a</t>
      </text>
    </comment>
    <comment authorId="0" ref="X24">
      <text>
        <t xml:space="preserve">830</t>
      </text>
    </comment>
    <comment authorId="0" ref="Q305">
      <text>
        <t xml:space="preserve">medical leave</t>
      </text>
    </comment>
    <comment authorId="0" ref="AQ106">
      <text>
        <t xml:space="preserve">11;30a - 8pm</t>
      </text>
    </comment>
    <comment authorId="0" ref="AE222">
      <text>
        <t xml:space="preserve">CSR trainee 9:30a</t>
      </text>
    </comment>
    <comment authorId="0" ref="Q107">
      <text>
        <t xml:space="preserve">9:30a</t>
      </text>
    </comment>
    <comment authorId="0" ref="AE24">
      <text>
        <t xml:space="preserve">830</t>
      </text>
    </comment>
    <comment authorId="0" ref="AL222">
      <text>
        <t xml:space="preserve">start at 10a - training w Bianca</t>
      </text>
    </comment>
    <comment authorId="0" ref="AJ90">
      <text>
        <t xml:space="preserve">ADOPTAPALOOZA PREP </t>
      </text>
    </comment>
    <comment authorId="0" ref="F25">
      <text>
        <t xml:space="preserve">9a</t>
      </text>
    </comment>
    <comment authorId="0" ref="AE338">
      <text>
        <t xml:space="preserve">830a</t>
      </text>
    </comment>
    <comment authorId="0" ref="AL24">
      <text>
        <t xml:space="preserve">830</t>
      </text>
    </comment>
    <comment authorId="0" ref="Q223">
      <text>
        <t xml:space="preserve">start at 10a - training w/ Catherine</t>
      </text>
    </comment>
    <comment authorId="0" ref="AE107">
      <text>
        <t xml:space="preserve">9A</t>
      </text>
    </comment>
    <comment authorId="0" ref="O25">
      <text>
        <t xml:space="preserve">9a</t>
      </text>
    </comment>
    <comment authorId="0" ref="Q25">
      <text>
        <t xml:space="preserve">9</t>
      </text>
    </comment>
    <comment authorId="0" ref="AL107">
      <text>
        <t xml:space="preserve">9a</t>
      </text>
    </comment>
    <comment authorId="0" ref="AO140">
      <text>
        <t xml:space="preserve">830a</t>
      </text>
    </comment>
    <comment authorId="0" ref="X25">
      <text>
        <t xml:space="preserve">9a</t>
      </text>
    </comment>
    <comment authorId="0" ref="AQ107">
      <text>
        <t xml:space="preserve">11;30a - 8pm</t>
      </text>
    </comment>
    <comment authorId="0" ref="AE25">
      <text>
        <t xml:space="preserve">9a</t>
      </text>
    </comment>
    <comment authorId="0" ref="AE339">
      <text>
        <t xml:space="preserve">FLOAT</t>
      </text>
    </comment>
    <comment authorId="0" ref="AL25">
      <text>
        <t xml:space="preserve">9a</t>
      </text>
    </comment>
    <comment authorId="0" ref="O257">
      <text>
        <t xml:space="preserve">start 845</t>
      </text>
    </comment>
    <comment authorId="0" ref="Q59">
      <text>
        <t xml:space="preserve">CSR trainee</t>
      </text>
    </comment>
    <comment authorId="0" ref="Q26">
      <text>
        <t xml:space="preserve">930</t>
      </text>
    </comment>
    <comment authorId="0" ref="J142">
      <text>
        <t xml:space="preserve">start 10</t>
      </text>
    </comment>
    <comment authorId="0" ref="AQ174">
      <text>
        <t xml:space="preserve">WFH</t>
      </text>
    </comment>
    <comment authorId="0" ref="AE257">
      <text>
        <t xml:space="preserve">FLOAT BETWEEN AP / SX</t>
      </text>
    </comment>
    <comment authorId="0" ref="Q142">
      <text>
        <t xml:space="preserve">start 10</t>
      </text>
    </comment>
    <comment authorId="0" ref="AH59">
      <text>
        <t xml:space="preserve">830a</t>
      </text>
    </comment>
    <comment authorId="0" ref="H93">
      <text>
        <t xml:space="preserve">Vet-Exam Pro Installation // 9a - 9:45a</t>
      </text>
    </comment>
    <comment authorId="0" ref="AL26">
      <text>
        <t xml:space="preserve">930</t>
      </text>
    </comment>
    <comment authorId="0" ref="H27">
      <text>
        <t xml:space="preserve">start 9"30a</t>
      </text>
    </comment>
    <comment authorId="0" ref="X10">
      <text>
        <t xml:space="preserve">meeting w/ Bianca and Deija</t>
      </text>
    </comment>
    <comment authorId="0" ref="O93">
      <text>
        <t xml:space="preserve">Remote admin</t>
      </text>
    </comment>
    <comment authorId="0" ref="V93">
      <text>
        <t xml:space="preserve">Remote admin</t>
      </text>
    </comment>
    <comment authorId="0" ref="AQ109">
      <text>
        <t xml:space="preserve">11;30a - 8pm</t>
      </text>
    </comment>
    <comment authorId="0" ref="AS142">
      <text>
        <t xml:space="preserve">CSR trainee // she's OK to work on that day.</t>
      </text>
    </comment>
    <comment authorId="0" ref="AH60">
      <text>
        <t xml:space="preserve">9am - float</t>
      </text>
    </comment>
    <comment authorId="0" ref="AJ93">
      <text>
        <t xml:space="preserve">Remote admin</t>
      </text>
    </comment>
    <comment authorId="0" ref="F61">
      <text>
        <t xml:space="preserve">CSR trainee</t>
      </text>
    </comment>
    <comment authorId="0" ref="X94">
      <text>
        <t xml:space="preserve">rechecks consults</t>
      </text>
    </comment>
    <comment authorId="0" ref="X61">
      <text>
        <t xml:space="preserve">CSR trainee</t>
      </text>
    </comment>
    <comment authorId="0" ref="AQ110">
      <text>
        <t xml:space="preserve">11;30a - 8pm</t>
      </text>
    </comment>
    <comment authorId="0" ref="O177">
      <text>
        <t xml:space="preserve">start 845</t>
      </text>
    </comment>
    <comment authorId="0" ref="X343">
      <text>
        <t xml:space="preserve">10</t>
      </text>
    </comment>
    <comment authorId="0" ref="AE343">
      <text>
        <t xml:space="preserve">10</t>
      </text>
    </comment>
    <comment authorId="0" ref="X13">
      <text>
        <t xml:space="preserve">RECHECKS CONSULTS</t>
      </text>
    </comment>
    <comment authorId="0" ref="AL343">
      <text>
        <t xml:space="preserve">10</t>
      </text>
    </comment>
    <comment authorId="0" ref="J344">
      <text>
        <t xml:space="preserve">8a</t>
      </text>
    </comment>
    <comment authorId="0" ref="AJ13">
      <text>
        <t xml:space="preserve">recheck consults</t>
      </text>
    </comment>
    <comment authorId="0" ref="X344">
      <text>
        <t xml:space="preserve">8a</t>
      </text>
    </comment>
    <comment authorId="0" ref="J328">
      <text>
        <t xml:space="preserve">WFH</t>
      </text>
    </comment>
    <comment authorId="0" ref="AE344">
      <text>
        <t xml:space="preserve">start 8a</t>
      </text>
    </comment>
    <comment authorId="0" ref="H31">
      <text>
        <t xml:space="preserve">bit late - physical t</t>
      </text>
    </comment>
    <comment authorId="0" ref="AJ344">
      <text>
        <t xml:space="preserve">needs to leave early 2pm</t>
      </text>
    </comment>
    <comment authorId="0" ref="O97">
      <text>
        <t xml:space="preserve">start 845a</t>
      </text>
    </comment>
    <comment authorId="0" ref="AL344">
      <text>
        <t xml:space="preserve">8a</t>
      </text>
    </comment>
    <comment authorId="0" ref="J345">
      <text>
        <t xml:space="preserve">830</t>
      </text>
    </comment>
    <comment authorId="0" ref="AJ113">
      <text>
        <t xml:space="preserve">930 DA</t>
      </text>
    </comment>
    <comment authorId="0" ref="AL179">
      <text>
        <t xml:space="preserve">Ultrasound day with Doc - 12pm - 3pm</t>
      </text>
    </comment>
    <comment authorId="0" ref="Q345">
      <text>
        <t xml:space="preserve">830</t>
      </text>
    </comment>
    <comment authorId="0" ref="X345">
      <text>
        <t xml:space="preserve">830</t>
      </text>
    </comment>
    <comment authorId="0" ref="J329">
      <text>
        <t xml:space="preserve">move to manager this day- deijas first day back- needs to catch up on admin/</t>
      </text>
    </comment>
    <comment authorId="0" ref="AE345">
      <text>
        <t xml:space="preserve">830</t>
      </text>
    </comment>
    <comment authorId="0" ref="F379">
      <text>
        <t xml:space="preserve">Float CSR/ LEAD</t>
      </text>
    </comment>
    <comment authorId="0" ref="AL345">
      <text>
        <t xml:space="preserve">830</t>
      </text>
    </comment>
    <comment authorId="0" ref="J346">
      <text>
        <t xml:space="preserve">930</t>
      </text>
    </comment>
    <comment authorId="0" ref="X263">
      <text>
        <t xml:space="preserve">10</t>
      </text>
    </comment>
    <comment authorId="0" ref="O346">
      <text>
        <t xml:space="preserve">Train w/ Saul at 8:30</t>
      </text>
    </comment>
    <comment authorId="0" ref="Q346">
      <text>
        <t xml:space="preserve">930</t>
      </text>
    </comment>
    <comment authorId="0" ref="X346">
      <text>
        <t xml:space="preserve">930</t>
      </text>
    </comment>
    <comment authorId="0" ref="J264">
      <text>
        <t xml:space="preserve">8a</t>
      </text>
    </comment>
    <comment authorId="0" ref="AE346">
      <text>
        <t xml:space="preserve">9a</t>
      </text>
    </comment>
    <comment authorId="0" ref="AH379">
      <text>
        <t xml:space="preserve">Float CSR/ LEAD</t>
      </text>
    </comment>
    <comment authorId="0" ref="AQ98">
      <text>
        <t xml:space="preserve">10a - 630p</t>
      </text>
    </comment>
    <comment authorId="0" ref="Q264">
      <text>
        <t xml:space="preserve">8a</t>
      </text>
    </comment>
    <comment authorId="0" ref="F347">
      <text>
        <t xml:space="preserve">9:30a</t>
      </text>
    </comment>
    <comment authorId="0" ref="AL346">
      <text>
        <t xml:space="preserve">9a</t>
      </text>
    </comment>
    <comment authorId="0" ref="J347">
      <text>
        <t xml:space="preserve">9a</t>
      </text>
    </comment>
    <comment authorId="0" ref="X264">
      <text>
        <t xml:space="preserve">8a</t>
      </text>
    </comment>
    <comment authorId="0" ref="Q380">
      <text>
        <t xml:space="preserve">start 8:30</t>
      </text>
    </comment>
    <comment authorId="0" ref="Q347">
      <text>
        <t xml:space="preserve">9a</t>
      </text>
    </comment>
    <comment authorId="0" ref="AE264">
      <text>
        <t xml:space="preserve">8a</t>
      </text>
    </comment>
    <comment authorId="0" ref="AJ264">
      <text>
        <t xml:space="preserve">needs to leave early 2pm</t>
      </text>
    </comment>
    <comment authorId="0" ref="X347">
      <text>
        <t xml:space="preserve">9a</t>
      </text>
    </comment>
    <comment authorId="0" ref="AL264">
      <text>
        <t xml:space="preserve">8a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82">
      <text>
        <t xml:space="preserve">10a</t>
      </text>
    </comment>
    <comment authorId="0" ref="X182">
      <text>
        <t xml:space="preserve">8a</t>
      </text>
    </comment>
    <comment authorId="0" ref="O265">
      <text>
        <t xml:space="preserve">Training in AP</t>
      </text>
    </comment>
    <comment authorId="0" ref="AC182">
      <text>
        <t xml:space="preserve">10</t>
      </text>
    </comment>
    <comment authorId="0" ref="AE182">
      <text>
        <t xml:space="preserve">10a</t>
      </text>
    </comment>
    <comment authorId="0" ref="V265">
      <text>
        <t xml:space="preserve">Training in AP</t>
      </text>
    </comment>
    <comment authorId="0" ref="AL182">
      <text>
        <t xml:space="preserve">8</t>
      </text>
    </comment>
    <comment authorId="0" ref="H183">
      <text>
        <t xml:space="preserve">8a</t>
      </text>
    </comment>
    <comment authorId="0" ref="J183">
      <text>
        <t xml:space="preserve">8a</t>
      </text>
    </comment>
    <comment authorId="0" ref="AC265">
      <text>
        <t xml:space="preserve">Training in AP</t>
      </text>
    </comment>
    <comment authorId="0" ref="AQ182">
      <text>
        <t xml:space="preserve">10a</t>
      </text>
    </comment>
    <comment authorId="0" ref="X34">
      <text>
        <t xml:space="preserve">START 9A:30</t>
      </text>
    </comment>
    <comment authorId="0" ref="O183">
      <text>
        <t xml:space="preserve">8a</t>
      </text>
    </comment>
    <comment authorId="0" ref="Q183">
      <text>
        <t xml:space="preserve">8a</t>
      </text>
    </comment>
    <comment authorId="0" ref="AE34">
      <text>
        <t xml:space="preserve">START 930</t>
      </text>
    </comment>
    <comment authorId="0" ref="V183">
      <text>
        <t xml:space="preserve">8a</t>
      </text>
    </comment>
    <comment authorId="0" ref="X183">
      <text>
        <t xml:space="preserve">830</t>
      </text>
    </comment>
    <comment authorId="0" ref="AE348">
      <text>
        <t xml:space="preserve">FLOAT BETWEEN AP / SX</t>
      </text>
    </comment>
    <comment authorId="0" ref="AL34">
      <text>
        <t xml:space="preserve">START 9A:30</t>
      </text>
    </comment>
    <comment authorId="0" ref="AC183">
      <text>
        <t xml:space="preserve">8a</t>
      </text>
    </comment>
    <comment authorId="0" ref="AE183">
      <text>
        <t xml:space="preserve">8a</t>
      </text>
    </comment>
    <comment authorId="0" ref="AS34">
      <text>
        <t xml:space="preserve">START 9:30A</t>
      </text>
    </comment>
    <comment authorId="0" ref="Q101">
      <text>
        <t xml:space="preserve">10A</t>
      </text>
    </comment>
    <comment authorId="0" ref="AL183">
      <text>
        <t xml:space="preserve">830</t>
      </text>
    </comment>
    <comment authorId="0" ref="H184">
      <text>
        <t xml:space="preserve">830</t>
      </text>
    </comment>
    <comment authorId="0" ref="J184">
      <text>
        <t xml:space="preserve">830a</t>
      </text>
    </comment>
    <comment authorId="0" ref="X101">
      <text>
        <t xml:space="preserve">10a</t>
      </text>
    </comment>
    <comment authorId="0" ref="AL18">
      <text>
        <t xml:space="preserve">Let Christina know I have to be in by 10am on this day please</t>
      </text>
    </comment>
    <comment authorId="0" ref="AQ183">
      <text>
        <t xml:space="preserve">8a</t>
      </text>
    </comment>
    <comment authorId="0" ref="O184">
      <text>
        <t xml:space="preserve">830</t>
      </text>
    </comment>
    <comment authorId="0" ref="M85">
      <text>
        <t xml:space="preserve">8am</t>
      </text>
    </comment>
    <comment authorId="0" ref="Q184">
      <text>
        <t xml:space="preserve">830</t>
      </text>
    </comment>
    <comment authorId="0" ref="AE101">
      <text>
        <t xml:space="preserve">10a</t>
      </text>
    </comment>
    <comment authorId="0" ref="Q85">
      <text>
        <t xml:space="preserve">8a</t>
      </text>
    </comment>
    <comment authorId="0" ref="V184">
      <text>
        <t xml:space="preserve">830</t>
      </text>
    </comment>
    <comment authorId="0" ref="X184">
      <text>
        <t xml:space="preserve">9a</t>
      </text>
    </comment>
    <comment authorId="0" ref="H102">
      <text>
        <t xml:space="preserve">10</t>
      </text>
    </comment>
    <comment authorId="0" ref="X85">
      <text>
        <t xml:space="preserve">Start EOD</t>
      </text>
    </comment>
    <comment authorId="0" ref="J102">
      <text>
        <t xml:space="preserve">10am</t>
      </text>
    </comment>
    <comment authorId="0" ref="AC184">
      <text>
        <t xml:space="preserve">830</t>
      </text>
    </comment>
    <comment authorId="0" ref="AE184">
      <text>
        <t xml:space="preserve">830</t>
      </text>
    </comment>
    <comment authorId="0" ref="AC85">
      <text>
        <t xml:space="preserve">START 8A</t>
      </text>
    </comment>
    <comment authorId="0" ref="AE85">
      <text>
        <t xml:space="preserve">Start at 8a</t>
      </text>
    </comment>
    <comment authorId="0" ref="Q102">
      <text>
        <t xml:space="preserve">8a</t>
      </text>
    </comment>
    <comment authorId="0" ref="AL184">
      <text>
        <t xml:space="preserve">9</t>
      </text>
    </comment>
    <comment authorId="0" ref="H185">
      <text>
        <t xml:space="preserve">9a</t>
      </text>
    </comment>
    <comment authorId="0" ref="J185">
      <text>
        <t xml:space="preserve">9a</t>
      </text>
    </comment>
    <comment authorId="0" ref="X102">
      <text>
        <t xml:space="preserve">8a</t>
      </text>
    </comment>
    <comment authorId="0" ref="AQ184">
      <text>
        <t xml:space="preserve">830</t>
      </text>
    </comment>
    <comment authorId="0" ref="O185">
      <text>
        <t xml:space="preserve">9a</t>
      </text>
    </comment>
    <comment authorId="0" ref="AE102">
      <text>
        <t xml:space="preserve">8a</t>
      </text>
    </comment>
    <comment authorId="0" ref="D103">
      <text>
        <t xml:space="preserve">10a - 4pm</t>
      </text>
    </comment>
    <comment authorId="0" ref="V185">
      <text>
        <t xml:space="preserve">9a</t>
      </text>
    </comment>
    <comment authorId="0" ref="AJ102">
      <text>
        <t xml:space="preserve">10a</t>
      </text>
    </comment>
    <comment authorId="0" ref="X185">
      <text>
        <t xml:space="preserve">9a</t>
      </text>
    </comment>
    <comment authorId="0" ref="AL102">
      <text>
        <t xml:space="preserve">930</t>
      </text>
    </comment>
    <comment authorId="0" ref="H103">
      <text>
        <t xml:space="preserve">8a</t>
      </text>
    </comment>
    <comment authorId="0" ref="J103">
      <text>
        <t xml:space="preserve">8am</t>
      </text>
    </comment>
    <comment authorId="0" ref="AC185">
      <text>
        <t xml:space="preserve">9a</t>
      </text>
    </comment>
    <comment authorId="0" ref="AQ102">
      <text>
        <t xml:space="preserve">Help assess and train the new Venice team as an AP manager this day.  </t>
      </text>
    </comment>
    <comment authorId="0" ref="AE185">
      <text>
        <t xml:space="preserve">9a</t>
      </text>
    </comment>
    <comment authorId="0" ref="O103">
      <text>
        <t xml:space="preserve">8a</t>
      </text>
    </comment>
    <comment authorId="0" ref="Q103">
      <text>
        <t xml:space="preserve">8:30a</t>
      </text>
    </comment>
    <comment authorId="0" ref="AL185">
      <text>
        <t xml:space="preserve">9a</t>
      </text>
    </comment>
    <comment authorId="0" ref="H186">
      <text>
        <t xml:space="preserve">930</t>
      </text>
    </comment>
    <comment authorId="0" ref="J186">
      <text>
        <t xml:space="preserve">930a</t>
      </text>
    </comment>
    <comment authorId="0" ref="X103">
      <text>
        <t xml:space="preserve">830a</t>
      </text>
    </comment>
    <comment authorId="0" ref="AQ185">
      <text>
        <t xml:space="preserve">9a</t>
      </text>
    </comment>
    <comment authorId="0" ref="J21">
      <text>
        <t xml:space="preserve">start 10a-- spend time training Megan on this day directly</t>
      </text>
    </comment>
    <comment authorId="0" ref="O186">
      <text>
        <t xml:space="preserve">930</t>
      </text>
    </comment>
    <comment authorId="0" ref="AC103">
      <text>
        <t xml:space="preserve">8a</t>
      </text>
    </comment>
    <comment authorId="0" ref="Q186">
      <text>
        <t xml:space="preserve">9a</t>
      </text>
    </comment>
    <comment authorId="0" ref="AE103">
      <text>
        <t xml:space="preserve">8:30a</t>
      </text>
    </comment>
    <comment authorId="0" ref="Q21">
      <text>
        <t xml:space="preserve">10a</t>
      </text>
    </comment>
    <comment authorId="0" ref="V186">
      <text>
        <t xml:space="preserve">930</t>
      </text>
    </comment>
    <comment authorId="0" ref="AJ103">
      <text>
        <t xml:space="preserve">8a</t>
      </text>
    </comment>
    <comment authorId="0" ref="X186">
      <text>
        <t xml:space="preserve">930a</t>
      </text>
    </comment>
    <comment authorId="0" ref="AL103">
      <text>
        <t xml:space="preserve">8A</t>
      </text>
    </comment>
    <comment authorId="0" ref="H104">
      <text>
        <t xml:space="preserve">830</t>
      </text>
    </comment>
    <comment authorId="0" ref="J104">
      <text>
        <t xml:space="preserve">830am</t>
      </text>
    </comment>
    <comment authorId="0" ref="X21">
      <text>
        <t xml:space="preserve">10a</t>
      </text>
    </comment>
    <comment authorId="0" ref="AC186">
      <text>
        <t xml:space="preserve">930</t>
      </text>
    </comment>
    <comment authorId="0" ref="AE186">
      <text>
        <t xml:space="preserve">930</t>
      </text>
    </comment>
    <comment authorId="0" ref="AS103">
      <text>
        <t xml:space="preserve">8a</t>
      </text>
    </comment>
    <comment authorId="0" ref="O104">
      <text>
        <t xml:space="preserve">830</t>
      </text>
    </comment>
    <comment authorId="0" ref="Q104">
      <text>
        <t xml:space="preserve">9a</t>
      </text>
    </comment>
    <comment authorId="0" ref="AL186">
      <text>
        <t xml:space="preserve">930a</t>
      </text>
    </comment>
    <comment authorId="0" ref="J187">
      <text>
        <t xml:space="preserve">10a</t>
      </text>
    </comment>
    <comment authorId="0" ref="X104">
      <text>
        <t xml:space="preserve">930</t>
      </text>
    </comment>
    <comment authorId="0" ref="AQ186">
      <text>
        <t xml:space="preserve">930</t>
      </text>
    </comment>
    <comment authorId="0" ref="AC203">
      <text>
        <t xml:space="preserve">DA assist</t>
      </text>
    </comment>
    <comment authorId="0" ref="J22">
      <text>
        <t xml:space="preserve">8a</t>
      </text>
    </comment>
    <comment authorId="0" ref="O187">
      <text>
        <t xml:space="preserve">10</t>
      </text>
    </comment>
    <comment authorId="0" ref="AC104">
      <text>
        <t xml:space="preserve">830</t>
      </text>
    </comment>
    <comment authorId="0" ref="Q187">
      <text>
        <t xml:space="preserve">930</t>
      </text>
    </comment>
    <comment authorId="0" ref="AE104">
      <text>
        <t xml:space="preserve">9a</t>
      </text>
    </comment>
    <comment authorId="0" ref="O22">
      <text>
        <t xml:space="preserve">8A</t>
      </text>
    </comment>
    <comment authorId="0" ref="AJ203">
      <text>
        <t xml:space="preserve">DA assist</t>
      </text>
    </comment>
    <comment authorId="0" ref="Q22">
      <text>
        <t xml:space="preserve">8a</t>
      </text>
    </comment>
    <comment authorId="0" ref="AJ104">
      <text>
        <t xml:space="preserve">830</t>
      </text>
    </comment>
    <comment authorId="0" ref="X187">
      <text>
        <t xml:space="preserve">10a</t>
      </text>
    </comment>
    <comment authorId="0" ref="AL104">
      <text>
        <t xml:space="preserve">830</t>
      </text>
    </comment>
    <comment authorId="0" ref="H105">
      <text>
        <t xml:space="preserve">9a</t>
      </text>
    </comment>
    <comment authorId="0" ref="V22">
      <text>
        <t xml:space="preserve">845a</t>
      </text>
    </comment>
    <comment authorId="0" ref="J105">
      <text>
        <t xml:space="preserve">9a</t>
      </text>
    </comment>
    <comment authorId="0" ref="X22">
      <text>
        <t xml:space="preserve">8a</t>
      </text>
    </comment>
    <comment authorId="0" ref="AQ104">
      <text>
        <t xml:space="preserve">830</t>
      </text>
    </comment>
    <comment authorId="0" ref="AS104">
      <text>
        <t xml:space="preserve">830a</t>
      </text>
    </comment>
    <comment authorId="0" ref="O105">
      <text>
        <t xml:space="preserve">9a</t>
      </text>
    </comment>
    <comment authorId="0" ref="Q105">
      <text>
        <t xml:space="preserve">9A</t>
      </text>
    </comment>
    <comment authorId="0" ref="AE22">
      <text>
        <t xml:space="preserve">8a</t>
      </text>
    </comment>
    <comment authorId="0" ref="AL187">
      <text>
        <t xml:space="preserve">10a</t>
      </text>
    </comment>
    <comment authorId="0" ref="AQ253">
      <text>
        <t xml:space="preserve">rechecks consults</t>
      </text>
    </comment>
    <comment authorId="0" ref="X105">
      <text>
        <t xml:space="preserve">9a</t>
      </text>
    </comment>
    <comment authorId="0" ref="AL22">
      <text>
        <t xml:space="preserve">8a</t>
      </text>
    </comment>
    <comment authorId="0" ref="J23">
      <text>
        <t xml:space="preserve">start 8:30a</t>
      </text>
    </comment>
    <comment authorId="0" ref="AC105">
      <text>
        <t xml:space="preserve">9a</t>
      </text>
    </comment>
    <comment authorId="0" ref="AE105">
      <text>
        <t xml:space="preserve">8am opener with Meghan for training- please let megan know of this plan.</t>
      </text>
    </comment>
    <comment authorId="0" ref="AS22">
      <text>
        <t xml:space="preserve">8a</t>
      </text>
    </comment>
    <comment authorId="0" ref="O23">
      <text>
        <t xml:space="preserve">830</t>
      </text>
    </comment>
    <comment authorId="0" ref="Q23">
      <text>
        <t xml:space="preserve">830</t>
      </text>
    </comment>
    <comment authorId="0" ref="AJ105">
      <text>
        <t xml:space="preserve">9a</t>
      </text>
    </comment>
    <comment authorId="0" ref="AL105">
      <text>
        <t xml:space="preserve">9A</t>
      </text>
    </comment>
    <comment authorId="0" ref="H106">
      <text>
        <t xml:space="preserve">9a</t>
      </text>
    </comment>
    <comment authorId="0" ref="V23">
      <text>
        <t xml:space="preserve">9a</t>
      </text>
    </comment>
    <comment authorId="0" ref="J106">
      <text>
        <t xml:space="preserve">9am</t>
      </text>
    </comment>
    <comment authorId="0" ref="X23">
      <text>
        <t xml:space="preserve">830</t>
      </text>
    </comment>
    <comment authorId="0" ref="AQ105">
      <text>
        <t xml:space="preserve">9a</t>
      </text>
    </comment>
    <comment authorId="0" ref="AS105">
      <text>
        <t xml:space="preserve">9a</t>
      </text>
    </comment>
    <comment authorId="0" ref="O106">
      <text>
        <t xml:space="preserve">830</t>
      </text>
    </comment>
    <comment authorId="0" ref="AC23">
      <text>
        <t xml:space="preserve">830</t>
      </text>
    </comment>
    <comment authorId="0" ref="Q106">
      <text>
        <t xml:space="preserve">10am</t>
      </text>
    </comment>
    <comment authorId="0" ref="AE23">
      <text>
        <t xml:space="preserve">830</t>
      </text>
    </comment>
    <comment authorId="0" ref="F57">
      <text>
        <t xml:space="preserve">start 8:30</t>
      </text>
    </comment>
    <comment authorId="0" ref="X106">
      <text>
        <t xml:space="preserve">930a</t>
      </text>
    </comment>
    <comment authorId="0" ref="AL23">
      <text>
        <t xml:space="preserve">830a</t>
      </text>
    </comment>
    <comment authorId="0" ref="J24">
      <text>
        <t xml:space="preserve">10a</t>
      </text>
    </comment>
    <comment authorId="0" ref="AC106">
      <text>
        <t xml:space="preserve">930</t>
      </text>
    </comment>
    <comment authorId="0" ref="O123">
      <text>
        <t xml:space="preserve">IM - DA</t>
      </text>
    </comment>
    <comment authorId="0" ref="AE106">
      <text>
        <t xml:space="preserve">930a</t>
      </text>
    </comment>
    <comment authorId="0" ref="AS23">
      <text>
        <t xml:space="preserve">830a</t>
      </text>
    </comment>
    <comment authorId="0" ref="O24">
      <text>
        <t xml:space="preserve">930</t>
      </text>
    </comment>
    <comment authorId="0" ref="Q24">
      <text>
        <t xml:space="preserve">10a</t>
      </text>
    </comment>
    <comment authorId="0" ref="AJ106">
      <text>
        <t xml:space="preserve">930</t>
      </text>
    </comment>
    <comment authorId="0" ref="V123">
      <text>
        <t xml:space="preserve">IM - DA</t>
      </text>
    </comment>
    <comment authorId="0" ref="AL106">
      <text>
        <t xml:space="preserve">10A</t>
      </text>
    </comment>
    <comment authorId="0" ref="H107">
      <text>
        <t xml:space="preserve">830</t>
      </text>
    </comment>
    <comment authorId="0" ref="AE354">
      <text>
        <t xml:space="preserve">FLOAT</t>
      </text>
    </comment>
    <comment authorId="0" ref="V24">
      <text>
        <t xml:space="preserve">9:30q</t>
      </text>
    </comment>
    <comment authorId="0" ref="J107">
      <text>
        <t xml:space="preserve">930a</t>
      </text>
    </comment>
    <comment authorId="0" ref="X24">
      <text>
        <t xml:space="preserve">9:30a</t>
      </text>
    </comment>
    <comment authorId="0" ref="AQ106">
      <text>
        <t xml:space="preserve">930</t>
      </text>
    </comment>
    <comment authorId="0" ref="AS106">
      <text>
        <t xml:space="preserve">930a</t>
      </text>
    </comment>
    <comment authorId="0" ref="Q107">
      <text>
        <t xml:space="preserve">8am opener with Meghan for training- please let megan know of this plan.</t>
      </text>
    </comment>
    <comment authorId="0" ref="AH57">
      <text>
        <t xml:space="preserve">START 830</t>
      </text>
    </comment>
    <comment authorId="0" ref="D91">
      <text>
        <t xml:space="preserve">830A - 5PM</t>
      </text>
    </comment>
    <comment authorId="0" ref="X107">
      <text>
        <t xml:space="preserve">10a</t>
      </text>
    </comment>
    <comment authorId="0" ref="AL24">
      <text>
        <t xml:space="preserve">9a</t>
      </text>
    </comment>
    <comment authorId="0" ref="O289">
      <text>
        <t xml:space="preserve">DA assist</t>
      </text>
    </comment>
    <comment authorId="0" ref="Q355">
      <text>
        <t xml:space="preserve">8a</t>
      </text>
    </comment>
    <comment authorId="0" ref="J25">
      <text>
        <t xml:space="preserve">Keep Megan at 930- she needs to train as a lead.  8 am isnt righ to do that.</t>
      </text>
    </comment>
    <comment authorId="0" ref="AE107">
      <text>
        <t xml:space="preserve">10a</t>
      </text>
    </comment>
    <comment authorId="0" ref="AS24">
      <text>
        <t xml:space="preserve">930a</t>
      </text>
    </comment>
    <comment authorId="0" ref="X355">
      <text>
        <t xml:space="preserve">8a</t>
      </text>
    </comment>
    <comment authorId="0" ref="O25">
      <text>
        <t xml:space="preserve">Train w/ Saul at 8:30</t>
      </text>
    </comment>
    <comment authorId="0" ref="X289">
      <text>
        <t xml:space="preserve">DA assist</t>
      </text>
    </comment>
    <comment authorId="0" ref="Q25">
      <text>
        <t xml:space="preserve">9a</t>
      </text>
    </comment>
    <comment authorId="0" ref="AC289">
      <text>
        <t xml:space="preserve">DA assist</t>
      </text>
    </comment>
    <comment authorId="0" ref="V25">
      <text>
        <t xml:space="preserve">start 9a</t>
      </text>
    </comment>
    <comment authorId="0" ref="X25">
      <text>
        <t xml:space="preserve">9a</t>
      </text>
    </comment>
    <comment authorId="0" ref="AQ107">
      <text>
        <t xml:space="preserve">9a</t>
      </text>
    </comment>
    <comment authorId="0" ref="AJ355">
      <text>
        <t xml:space="preserve">needs to leave early 2pm</t>
      </text>
    </comment>
    <comment authorId="0" ref="AC25">
      <text>
        <t xml:space="preserve">Train w/ Saul at 8:30</t>
      </text>
    </comment>
    <comment authorId="0" ref="O42">
      <text>
        <t xml:space="preserve">IM - DA</t>
      </text>
    </comment>
    <comment authorId="0" ref="AE25">
      <text>
        <t xml:space="preserve">9:30a</t>
      </text>
    </comment>
    <comment authorId="0" ref="AJ25">
      <text>
        <t xml:space="preserve">Train w/ Saul at 8:30</t>
      </text>
    </comment>
    <comment authorId="0" ref="V9">
      <text>
        <t xml:space="preserve">REMOTE ADMIN</t>
      </text>
    </comment>
    <comment authorId="0" ref="AL25">
      <text>
        <t xml:space="preserve">930a</t>
      </text>
    </comment>
    <comment authorId="0" ref="Q356">
      <text>
        <t xml:space="preserve">8:30</t>
      </text>
    </comment>
    <comment authorId="0" ref="H26">
      <text>
        <t xml:space="preserve">Training in AP</t>
      </text>
    </comment>
    <comment authorId="0" ref="X42">
      <text>
        <t xml:space="preserve">IM - DA</t>
      </text>
    </comment>
    <comment authorId="0" ref="AQ25">
      <text>
        <t xml:space="preserve">Train w/ Raquel at 8:30</t>
      </text>
    </comment>
    <comment authorId="0" ref="AC42">
      <text>
        <t xml:space="preserve">IM - DA</t>
      </text>
    </comment>
    <comment authorId="0" ref="AS25">
      <text>
        <t xml:space="preserve">9a</t>
      </text>
    </comment>
    <comment authorId="0" ref="O26">
      <text>
        <t xml:space="preserve">Training in AP 930</t>
      </text>
    </comment>
    <comment authorId="0" ref="AH108">
      <text>
        <t xml:space="preserve">No need for acupuncture this day.</t>
      </text>
    </comment>
    <comment authorId="0" ref="Q26">
      <text>
        <t xml:space="preserve">930a</t>
      </text>
    </comment>
    <comment authorId="0" ref="V26">
      <text>
        <t xml:space="preserve">Training in AP 930</t>
      </text>
    </comment>
    <comment authorId="0" ref="AQ9">
      <text>
        <t xml:space="preserve">12pm = 5pm</t>
      </text>
    </comment>
    <comment authorId="0" ref="AC26">
      <text>
        <t xml:space="preserve">Training in AP 930</t>
      </text>
    </comment>
    <comment authorId="0" ref="AE26">
      <text>
        <t xml:space="preserve">9a</t>
      </text>
    </comment>
    <comment authorId="0" ref="AJ26">
      <text>
        <t xml:space="preserve">Training in AP 930</t>
      </text>
    </comment>
    <comment authorId="0" ref="AL26">
      <text>
        <t xml:space="preserve">10a</t>
      </text>
    </comment>
    <comment authorId="0" ref="Q357">
      <text>
        <t xml:space="preserve">9:30</t>
      </text>
    </comment>
    <comment authorId="0" ref="X357">
      <text>
        <t xml:space="preserve">9:30a</t>
      </text>
    </comment>
    <comment authorId="0" ref="H143">
      <text>
        <t xml:space="preserve">AVMA event in Anaheim // 9a - 5:30pm</t>
      </text>
    </comment>
    <comment authorId="0" ref="X93">
      <text>
        <t xml:space="preserve">rechecks consults</t>
      </text>
    </comment>
    <comment authorId="0" ref="Q341">
      <text>
        <t xml:space="preserve">ADMIN DAY</t>
      </text>
    </comment>
    <comment authorId="0" ref="O391">
      <text>
        <t xml:space="preserve">830</t>
      </text>
    </comment>
    <comment authorId="0" ref="Q358">
      <text>
        <t xml:space="preserve">9a</t>
      </text>
    </comment>
    <comment authorId="0" ref="X358">
      <text>
        <t xml:space="preserve">AP trainee</t>
      </text>
    </comment>
    <comment authorId="0" ref="H144">
      <text>
        <t xml:space="preserve">AVMA event in Anaheim // 9a - 5:30pm</t>
      </text>
    </comment>
    <comment authorId="0" ref="X12">
      <text>
        <t xml:space="preserve">RECHECKS CONSULTS</t>
      </text>
    </comment>
    <comment authorId="0" ref="AJ12">
      <text>
        <t xml:space="preserve">recheck consults</t>
      </text>
    </comment>
    <comment authorId="0" ref="J195">
      <text>
        <t xml:space="preserve">start time 930a</t>
      </text>
    </comment>
    <comment authorId="0" ref="Q393">
      <text>
        <t xml:space="preserve">CSR trainee</t>
      </text>
    </comment>
    <comment authorId="0" ref="Q195">
      <text>
        <t xml:space="preserve">start time 9:30</t>
      </text>
    </comment>
    <comment authorId="0" ref="X393">
      <text>
        <t xml:space="preserve">CSR trainee</t>
      </text>
    </comment>
    <comment authorId="0" ref="X195">
      <text>
        <t xml:space="preserve">start time 9:30</t>
      </text>
    </comment>
    <comment authorId="0" ref="AE393">
      <text>
        <t xml:space="preserve">CSR trainee</t>
      </text>
    </comment>
    <comment authorId="0" ref="AE195">
      <text>
        <t xml:space="preserve">start time 930a</t>
      </text>
    </comment>
    <comment authorId="0" ref="AL195">
      <text>
        <t xml:space="preserve">start time</t>
      </text>
    </comment>
    <comment authorId="0" ref="AJ63">
      <text>
        <t xml:space="preserve">AVMA event in Anaheim the weekend of July 10th - 14th</t>
      </text>
    </comment>
    <comment authorId="0" ref="AS195">
      <text>
        <t xml:space="preserve">start time 930</t>
      </text>
    </comment>
    <comment authorId="0" ref="Q378">
      <text>
        <t xml:space="preserve">ON ROAD</t>
      </text>
    </comment>
    <comment authorId="0" ref="X345">
      <text>
        <t xml:space="preserve">RECHECKS CONSULTS</t>
      </text>
    </comment>
    <comment authorId="0" ref="AQ345">
      <text>
        <t xml:space="preserve">rechecks consults</t>
      </text>
    </comment>
    <comment authorId="0" ref="J115">
      <text>
        <t xml:space="preserve">start time 9:30</t>
      </text>
    </comment>
    <comment authorId="0" ref="Q181">
      <text>
        <t xml:space="preserve">10a</t>
      </text>
    </comment>
    <comment authorId="0" ref="AE98">
      <text>
        <t xml:space="preserve">endo day</t>
      </text>
    </comment>
    <comment authorId="0" ref="Q115">
      <text>
        <t xml:space="preserve">start time - 9:30a</t>
      </text>
    </comment>
    <comment authorId="0" ref="X181">
      <text>
        <t xml:space="preserve">10a</t>
      </text>
    </comment>
    <comment authorId="0" ref="X115">
      <text>
        <t xml:space="preserve">start time 9:30</t>
      </text>
    </comment>
    <comment authorId="0" ref="J165">
      <text>
        <t xml:space="preserve">Start EOD</t>
      </text>
    </comment>
    <comment authorId="0" ref="AE115">
      <text>
        <t xml:space="preserve">start 9:30</t>
      </text>
    </comment>
    <comment authorId="0" ref="AS32">
      <text>
        <t xml:space="preserve">help in clinic the first half of the day and move to help with CE the second half of the day.</t>
      </text>
    </comment>
    <comment authorId="0" ref="AL181">
      <text>
        <t xml:space="preserve">10a</t>
      </text>
    </comment>
    <comment authorId="0" ref="H182">
      <text>
        <t xml:space="preserve">10a</t>
      </text>
    </comment>
    <comment authorId="0" ref="AL115">
      <text>
        <t xml:space="preserve">start time 9:30a</t>
      </text>
    </comment>
    <comment authorId="0" ref="J182">
      <text>
        <t xml:space="preserve">10a</t>
      </text>
    </comment>
    <comment authorId="0" ref="O182">
      <text>
        <t xml:space="preserve">FLOAT between SX &amp; AP 10a</t>
      </text>
    </comment>
    <comment authorId="0" ref="AS115">
      <text>
        <t xml:space="preserve">starttime 9:30a</t>
      </text>
    </comment>
    <comment authorId="0" ref="Q182">
      <text>
        <t xml:space="preserve">10a</t>
      </text>
    </comment>
    <comment authorId="0" ref="H265">
      <text>
        <t xml:space="preserve">Training in AP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287">
      <text>
        <t xml:space="preserve">Admin day - Western Students</t>
      </text>
    </comment>
    <comment authorId="0" ref="AS204">
      <text>
        <t xml:space="preserve">she's ok working on that Sat since you'll be off on Monday.</t>
      </text>
    </comment>
    <comment authorId="0" ref="AE283">
      <text>
        <t xml:space="preserve">FLOAT - ADMIN DAY/ western students.</t>
      </text>
    </comment>
    <comment authorId="0" ref="AC184">
      <text>
        <t xml:space="preserve">To be present: Clinic techs + dental techs + DAs</t>
      </text>
    </comment>
    <comment authorId="0" ref="AE279">
      <text>
        <t xml:space="preserve">Remote admin</t>
      </text>
    </comment>
    <comment authorId="0" ref="X104">
      <text>
        <t xml:space="preserve">rechecks consults</t>
      </text>
    </comment>
    <comment authorId="0" ref="AJ209">
      <text>
        <t xml:space="preserve">Training in AP 930</t>
      </text>
    </comment>
    <comment authorId="0" ref="AJ304">
      <text>
        <t xml:space="preserve">needs lo leave at 2pm</t>
      </text>
    </comment>
    <comment authorId="0" ref="AJ13">
      <text>
        <t xml:space="preserve">recheck consults</t>
      </text>
    </comment>
    <comment authorId="0" ref="AJ203">
      <text>
        <t xml:space="preserve">needs to leave early 2pm</t>
      </text>
    </comment>
    <comment authorId="0" ref="AJ331">
      <text>
        <t xml:space="preserve">ALP_ He need to start at 8:30a due  his tutoring</t>
      </text>
    </comment>
    <comment authorId="0" ref="Q276">
      <text>
        <t xml:space="preserve">Admin day - Western Students</t>
      </text>
    </comment>
    <comment authorId="0" ref="Q274">
      <text>
        <t xml:space="preserve">Admin day - Western Students</t>
      </text>
    </comment>
    <comment authorId="0" ref="AE288">
      <text>
        <t xml:space="preserve">Admin day - Western Students</t>
      </text>
    </comment>
    <comment authorId="0" ref="X280">
      <text>
        <t xml:space="preserve">RECHECKS CONSULTS</t>
      </text>
    </comment>
    <comment authorId="0" ref="AE286">
      <text>
        <t xml:space="preserve">Admin day - Western Students</t>
      </text>
    </comment>
    <comment authorId="0" ref="AS203">
      <text>
        <t xml:space="preserve">she's ok working on that Sat since you'll be off on Monday.</t>
      </text>
    </comment>
    <comment authorId="0" ref="AC216">
      <text>
        <t xml:space="preserve">ALP_ He need to start at 8:30a due  his tutoring</t>
      </text>
    </comment>
    <comment authorId="0" ref="AJ24">
      <text>
        <t xml:space="preserve">needs to leave early 2pm</t>
      </text>
    </comment>
    <comment authorId="0" ref="AJ216">
      <text>
        <t xml:space="preserve">ALP_ He need to start at 8:30a due  his tutoring</t>
      </text>
    </comment>
    <comment authorId="0" ref="AJ115">
      <text>
        <t xml:space="preserve">needs to leave early 2pm</t>
      </text>
    </comment>
    <comment authorId="0" ref="AQ280">
      <text>
        <t xml:space="preserve">rechecks consults</t>
      </text>
    </comment>
    <comment authorId="0" ref="AJ206">
      <text>
        <t xml:space="preserve">9</t>
      </text>
    </comment>
    <comment authorId="0" ref="AC37">
      <text>
        <t xml:space="preserve">ALP_ He need to start at 8:30a due  his tutoring</t>
      </text>
    </comment>
    <comment authorId="0" ref="Q277">
      <text>
        <t xml:space="preserve">Admin day - Western Students</t>
      </text>
    </comment>
    <comment authorId="0" ref="AC128">
      <text>
        <t xml:space="preserve">ALP_ He need to start at 8:30a due  his tutoring</t>
      </text>
    </comment>
    <comment authorId="0" ref="Q275">
      <text>
        <t xml:space="preserve">Admin day - Western Students</t>
      </text>
    </comment>
    <comment authorId="0" ref="AJ37">
      <text>
        <t xml:space="preserve">ALP_ He need to start at 8:30a due  his tutoring</t>
      </text>
    </comment>
  </commentList>
</comments>
</file>

<file path=xl/sharedStrings.xml><?xml version="1.0" encoding="utf-8"?>
<sst xmlns="http://schemas.openxmlformats.org/spreadsheetml/2006/main" count="23802" uniqueCount="1199">
  <si>
    <t>T - Tardy
TE - Excused Tardy 
A - Absent 
AE - Excused Absence 
BLUE - did not report to Angie 
BLACK - reported to Angie
Absent +4
Tardy +1</t>
  </si>
  <si>
    <t>DO NOT RE-SORT EMPLOYEE NAMES!
Add new employees to New Employee Sections</t>
  </si>
  <si>
    <t>CALLOUTS AND TARDIES</t>
  </si>
  <si>
    <t>PTO Left</t>
  </si>
  <si>
    <t>2025 Totals</t>
  </si>
  <si>
    <t>GRACE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</si>
  <si>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</si>
  <si>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</si>
  <si>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</si>
  <si>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</si>
  <si>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</si>
  <si>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</si>
  <si>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</si>
  <si>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</si>
  <si>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</si>
  <si>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</si>
  <si>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</si>
  <si>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</si>
  <si>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Dates of call outs </t>
  </si>
  <si>
    <t>A</t>
  </si>
  <si>
    <t>AE</t>
  </si>
  <si>
    <t>T</t>
  </si>
  <si>
    <t>TE</t>
  </si>
  <si>
    <t>A%</t>
  </si>
  <si>
    <t>T%</t>
  </si>
  <si>
    <t>POINTS</t>
  </si>
  <si>
    <t>UR - T</t>
  </si>
  <si>
    <t>UR - A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</si>
  <si>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</si>
  <si>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</si>
  <si>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</si>
  <si>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</si>
  <si>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</si>
  <si>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</si>
  <si>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</si>
  <si>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</si>
  <si>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</si>
  <si>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</si>
  <si>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</si>
  <si>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</si>
  <si>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</si>
  <si>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</si>
  <si>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</si>
  <si>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</si>
  <si>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</si>
  <si>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</si>
  <si>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</si>
  <si>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</si>
  <si>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</si>
  <si>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</si>
  <si>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</si>
  <si>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</si>
  <si>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</si>
  <si>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1/26</t>
  </si>
  <si>
    <t>1/27</t>
  </si>
  <si>
    <t>1/28</t>
  </si>
  <si>
    <t>1/29</t>
  </si>
  <si>
    <t>1/30</t>
  </si>
  <si>
    <t>1/31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</si>
  <si>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</si>
  <si>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</si>
  <si>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</si>
  <si>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</si>
  <si>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</si>
  <si>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</si>
  <si>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</si>
  <si>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</si>
  <si>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</si>
  <si>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</si>
  <si>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</si>
  <si>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</si>
  <si>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</si>
  <si>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</si>
  <si>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</si>
  <si>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</si>
  <si>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</si>
  <si>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</si>
  <si>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</si>
  <si>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</si>
  <si>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</si>
  <si>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</si>
  <si>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</si>
  <si>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</si>
  <si>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</si>
  <si>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</si>
  <si>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</si>
  <si>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</si>
  <si>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</si>
  <si>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</si>
  <si>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</si>
  <si>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</si>
  <si>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</si>
  <si>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</si>
  <si>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</si>
  <si>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</si>
  <si>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</si>
  <si>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</si>
  <si>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</si>
  <si>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</si>
  <si>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</si>
  <si>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</si>
  <si>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</si>
  <si>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</si>
  <si>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</si>
  <si>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</si>
  <si>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</si>
  <si>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</si>
  <si>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</si>
  <si>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</si>
  <si>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</si>
  <si>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</si>
  <si>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</si>
  <si>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</si>
  <si>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</si>
  <si>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</si>
  <si>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3/29</t>
  </si>
  <si>
    <t>3/30</t>
  </si>
  <si>
    <t>3/31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</si>
  <si>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</si>
  <si>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</si>
  <si>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</si>
  <si>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</si>
  <si>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</si>
  <si>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</si>
  <si>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</si>
  <si>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</si>
  <si>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</si>
  <si>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</si>
  <si>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</si>
  <si>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</si>
  <si>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</si>
  <si>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</si>
  <si>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</si>
  <si>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</si>
  <si>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</si>
  <si>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</si>
  <si>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</si>
  <si>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</si>
  <si>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</si>
  <si>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</si>
  <si>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</si>
  <si>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4/24</t>
  </si>
  <si>
    <t>4/25</t>
  </si>
  <si>
    <t>4/26</t>
  </si>
  <si>
    <t>4/27</t>
  </si>
  <si>
    <t>4/28</t>
  </si>
  <si>
    <t>4/29</t>
  </si>
  <si>
    <t>4/30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</si>
  <si>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</si>
  <si>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</si>
  <si>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</si>
  <si>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</si>
  <si>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</si>
  <si>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</si>
  <si>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</si>
  <si>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</si>
  <si>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</si>
  <si>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</si>
  <si>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5/11</t>
  </si>
  <si>
    <t>5/12</t>
  </si>
  <si>
    <t>5/13</t>
  </si>
  <si>
    <t>5/14</t>
  </si>
  <si>
    <t>5/15</t>
  </si>
  <si>
    <t>5/16</t>
  </si>
  <si>
    <t>5/17</t>
  </si>
  <si>
    <t>5/18</t>
  </si>
  <si>
    <t>5/19</t>
  </si>
  <si>
    <t>5/20</t>
  </si>
  <si>
    <t>5/21</t>
  </si>
  <si>
    <t>5/22</t>
  </si>
  <si>
    <t>5/23</t>
  </si>
  <si>
    <t>5/24</t>
  </si>
  <si>
    <t>5/25</t>
  </si>
  <si>
    <t>5/26</t>
  </si>
  <si>
    <t>5/27</t>
  </si>
  <si>
    <t>5/28</t>
  </si>
  <si>
    <t>5/29</t>
  </si>
  <si>
    <t>5/30</t>
  </si>
  <si>
    <t>5/31</t>
  </si>
  <si>
    <t>6/1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</si>
  <si>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</si>
  <si>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</si>
  <si>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</si>
  <si>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</si>
  <si>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</si>
  <si>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</si>
  <si>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</si>
  <si>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</si>
  <si>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</si>
  <si>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</si>
  <si>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6/12</t>
  </si>
  <si>
    <t>6/13</t>
  </si>
  <si>
    <t>6/14</t>
  </si>
  <si>
    <t>6/15</t>
  </si>
  <si>
    <t>6/16</t>
  </si>
  <si>
    <t>6/17</t>
  </si>
  <si>
    <t>6/18</t>
  </si>
  <si>
    <t>6/19</t>
  </si>
  <si>
    <t>6/20</t>
  </si>
  <si>
    <t>6/21</t>
  </si>
  <si>
    <t>6/22</t>
  </si>
  <si>
    <t>6/23</t>
  </si>
  <si>
    <t>6/24</t>
  </si>
  <si>
    <t>6/25</t>
  </si>
  <si>
    <t>6/26</t>
  </si>
  <si>
    <t>6/27</t>
  </si>
  <si>
    <t>6/28</t>
  </si>
  <si>
    <t>6/29</t>
  </si>
  <si>
    <t>6/30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</si>
  <si>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</si>
  <si>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</si>
  <si>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</si>
  <si>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</si>
  <si>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</si>
  <si>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</si>
  <si>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</si>
  <si>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</si>
  <si>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</si>
  <si>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</si>
  <si>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</si>
  <si>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7/12</t>
  </si>
  <si>
    <t>7/13</t>
  </si>
  <si>
    <t>7/14</t>
  </si>
  <si>
    <t>7/15</t>
  </si>
  <si>
    <t>7/16</t>
  </si>
  <si>
    <t>7/17</t>
  </si>
  <si>
    <t>7/18</t>
  </si>
  <si>
    <t>7/19</t>
  </si>
  <si>
    <t>7/20</t>
  </si>
  <si>
    <t>7/21</t>
  </si>
  <si>
    <t>7/22</t>
  </si>
  <si>
    <t>7/23</t>
  </si>
  <si>
    <t>7/24</t>
  </si>
  <si>
    <t>7/25</t>
  </si>
  <si>
    <t>7/26</t>
  </si>
  <si>
    <t>7/27</t>
  </si>
  <si>
    <t>7/28</t>
  </si>
  <si>
    <t>7/29</t>
  </si>
  <si>
    <t>7/30</t>
  </si>
  <si>
    <t>7/31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</si>
  <si>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</si>
  <si>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</si>
  <si>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</si>
  <si>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</si>
  <si>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</si>
  <si>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</si>
  <si>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</si>
  <si>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</si>
  <si>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</si>
  <si>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</si>
  <si>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</si>
  <si>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8/12</t>
  </si>
  <si>
    <t>8/13</t>
  </si>
  <si>
    <t>8/14</t>
  </si>
  <si>
    <t>8/15</t>
  </si>
  <si>
    <t>8/16</t>
  </si>
  <si>
    <t>8/17</t>
  </si>
  <si>
    <t>8/18</t>
  </si>
  <si>
    <t>8/19</t>
  </si>
  <si>
    <t>8/20</t>
  </si>
  <si>
    <t>8/21</t>
  </si>
  <si>
    <t>8/22</t>
  </si>
  <si>
    <t>8/23</t>
  </si>
  <si>
    <t>8/24</t>
  </si>
  <si>
    <t>8/25</t>
  </si>
  <si>
    <t>8/26</t>
  </si>
  <si>
    <t>8/27</t>
  </si>
  <si>
    <t>8/28</t>
  </si>
  <si>
    <t>8/29</t>
  </si>
  <si>
    <t>8/30</t>
  </si>
  <si>
    <t>8/31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</si>
  <si>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</si>
  <si>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</si>
  <si>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</si>
  <si>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</si>
  <si>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</si>
  <si>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</si>
  <si>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</si>
  <si>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</si>
  <si>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</si>
  <si>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>9/10</t>
  </si>
  <si>
    <t>9/11</t>
  </si>
  <si>
    <t>9/12</t>
  </si>
  <si>
    <t>9/13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</si>
  <si>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</si>
  <si>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</si>
  <si>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</si>
  <si>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</si>
  <si>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</si>
  <si>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</si>
  <si>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</si>
  <si>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</si>
  <si>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</si>
  <si>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</si>
  <si>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9/24</t>
  </si>
  <si>
    <t>9/25</t>
  </si>
  <si>
    <t>9/26</t>
  </si>
  <si>
    <t>9/27</t>
  </si>
  <si>
    <t>9/28</t>
  </si>
  <si>
    <t>9/29</t>
  </si>
  <si>
    <t>9/30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</si>
  <si>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</si>
  <si>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</si>
  <si>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</si>
  <si>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</si>
  <si>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</si>
  <si>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</si>
  <si>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</si>
  <si>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</si>
  <si>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</si>
  <si>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</si>
  <si>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10/11</t>
  </si>
  <si>
    <t>10/12</t>
  </si>
  <si>
    <t>10/13</t>
  </si>
  <si>
    <t>10/14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</si>
  <si>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</si>
  <si>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</si>
  <si>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</si>
  <si>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</si>
  <si>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</si>
  <si>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</si>
  <si>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</si>
  <si>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</si>
  <si>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</si>
  <si>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</si>
  <si>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</si>
  <si>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</si>
  <si>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</si>
  <si>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</si>
  <si>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</si>
  <si>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</si>
  <si>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</si>
  <si>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</si>
  <si>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</si>
  <si>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</si>
  <si>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</si>
  <si>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</si>
  <si>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</si>
  <si>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</si>
  <si>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</si>
  <si>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</si>
  <si>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</si>
  <si>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</si>
  <si>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</si>
  <si>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</si>
  <si>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</si>
  <si>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</si>
  <si>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</si>
  <si>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</si>
  <si>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</si>
  <si>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</si>
  <si>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</si>
  <si>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</si>
  <si>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</si>
  <si>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</si>
  <si>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</si>
  <si>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</si>
  <si>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</si>
  <si>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</si>
  <si>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</si>
  <si>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</si>
  <si>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</si>
  <si>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12/1</t>
  </si>
  <si>
    <t>12/2</t>
  </si>
  <si>
    <t>12/3</t>
  </si>
  <si>
    <t>12/4</t>
  </si>
  <si>
    <t>12/5</t>
  </si>
  <si>
    <t>12/6</t>
  </si>
  <si>
    <t>12/7</t>
  </si>
  <si>
    <t>12/8</t>
  </si>
  <si>
    <t>12/9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</si>
  <si>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</si>
  <si>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</si>
  <si>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</si>
  <si>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</si>
  <si>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</si>
  <si>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</si>
  <si>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</si>
  <si>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</si>
  <si>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</si>
  <si>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</si>
  <si>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</si>
  <si>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</si>
  <si>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</si>
  <si>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</si>
  <si>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</si>
  <si>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</si>
  <si>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</si>
  <si>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</si>
  <si>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</si>
  <si>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</si>
  <si>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12/30</t>
  </si>
  <si>
    <t>12/31</t>
  </si>
  <si>
    <t>Adriana Gutierrez</t>
  </si>
  <si>
    <t>Aislinn Dickey</t>
  </si>
  <si>
    <t>Alexandra Martin</t>
  </si>
  <si>
    <t xml:space="preserve">A </t>
  </si>
  <si>
    <t>Alexei Marquez</t>
  </si>
  <si>
    <t>Alysia Sanford</t>
  </si>
  <si>
    <t>Ana Diaz</t>
  </si>
  <si>
    <t>Ana Livia</t>
  </si>
  <si>
    <t>Angela Fraga</t>
  </si>
  <si>
    <t>Angela Lina</t>
  </si>
  <si>
    <t>Ashley Paredes</t>
  </si>
  <si>
    <t>Barbara Long</t>
  </si>
  <si>
    <t>Bianca Alfonso</t>
  </si>
  <si>
    <t>Brandon Orange</t>
  </si>
  <si>
    <t>Brittany Finch</t>
  </si>
  <si>
    <t>Caitlin Quenn</t>
  </si>
  <si>
    <t>Carmen Chan</t>
  </si>
  <si>
    <t>Catherine Ramirez</t>
  </si>
  <si>
    <t>Christina Earnest</t>
  </si>
  <si>
    <t>Crystal Barrom</t>
  </si>
  <si>
    <t>Cynthia Garcia</t>
  </si>
  <si>
    <t>Deija Lighon</t>
  </si>
  <si>
    <t>Diana Monterde</t>
  </si>
  <si>
    <t>Dr. Claudia Lau</t>
  </si>
  <si>
    <t>Dr. Ella Scott</t>
  </si>
  <si>
    <t>Dr. Faro</t>
  </si>
  <si>
    <t>Dr. Garcia</t>
  </si>
  <si>
    <t>Dr. Geist</t>
  </si>
  <si>
    <t>Dr. Habawel</t>
  </si>
  <si>
    <t>Dr. Hoh</t>
  </si>
  <si>
    <t>Dr. Niko Alzate</t>
  </si>
  <si>
    <t>Dr. Rally</t>
  </si>
  <si>
    <t>Dr. Robertson</t>
  </si>
  <si>
    <t>Dr. Sherry Vartanian</t>
  </si>
  <si>
    <t>Esmeralda Alfonso</t>
  </si>
  <si>
    <t>Ethan Young</t>
  </si>
  <si>
    <t>Fidel Fraga</t>
  </si>
  <si>
    <t>Gladys Castro</t>
  </si>
  <si>
    <t>Isabelle Johnstone</t>
  </si>
  <si>
    <t>Jennifer Velasquez</t>
  </si>
  <si>
    <t>Jessica Lucra</t>
  </si>
  <si>
    <t>Jessica Salazar</t>
  </si>
  <si>
    <t>Joseph Reyes</t>
  </si>
  <si>
    <t>Karen Cuestas</t>
  </si>
  <si>
    <t>Ken Padilla</t>
  </si>
  <si>
    <t>Kirtlynn Moller</t>
  </si>
  <si>
    <t>Laura Lucia</t>
  </si>
  <si>
    <t>Laurence Marai</t>
  </si>
  <si>
    <t>Leticia Ceja</t>
  </si>
  <si>
    <t>Lisa Girtain</t>
  </si>
  <si>
    <t>Lizbeth Martinez</t>
  </si>
  <si>
    <t>Madison Greco</t>
  </si>
  <si>
    <t>Marelyn Ventura</t>
  </si>
  <si>
    <t>Maria Portillo</t>
  </si>
  <si>
    <t>Maria Salazar</t>
  </si>
  <si>
    <t>Markie Perez</t>
  </si>
  <si>
    <t>Megan Rolnik</t>
  </si>
  <si>
    <t>Miguel Antonio</t>
  </si>
  <si>
    <t>Monica Vargaa</t>
  </si>
  <si>
    <t>Natalie Ulloa</t>
  </si>
  <si>
    <t>Nauman Ali</t>
  </si>
  <si>
    <t>Nichole Gibbs</t>
  </si>
  <si>
    <t>Nick Bermudez</t>
  </si>
  <si>
    <t>Olivia Saenz</t>
  </si>
  <si>
    <t>Rachel Banyasz</t>
  </si>
  <si>
    <t>Raquel Velez</t>
  </si>
  <si>
    <t>Saul Garcia</t>
  </si>
  <si>
    <t>Shelby Ackerman</t>
  </si>
  <si>
    <t>Sierra Frasier</t>
  </si>
  <si>
    <t>Sonora Chavez</t>
  </si>
  <si>
    <t>Tanya Bennett</t>
  </si>
  <si>
    <t>Taylor Fox</t>
  </si>
  <si>
    <t>Tiffany Tesoro</t>
  </si>
  <si>
    <t>Vero Rios</t>
  </si>
  <si>
    <t>Victoria Portillo</t>
  </si>
  <si>
    <t>Yalila Martinez</t>
  </si>
  <si>
    <t>Yasuko Sano</t>
  </si>
  <si>
    <t>Zuleyka Chuc</t>
  </si>
  <si>
    <t>Lesly Solorzarno</t>
  </si>
  <si>
    <t>Eric Flores</t>
  </si>
  <si>
    <t>r-[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</si>
  <si>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</si>
  <si>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</si>
  <si>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</si>
  <si>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</si>
  <si>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</si>
  <si>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</si>
  <si>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</si>
  <si>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</si>
  <si>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</si>
  <si>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</si>
  <si>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</si>
  <si>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</si>
  <si>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SUNDAY</t>
  </si>
  <si>
    <t>MONDAY</t>
  </si>
  <si>
    <t>TUESDAY</t>
  </si>
  <si>
    <t>WEDNESDAY</t>
  </si>
  <si>
    <t>THURSDAY</t>
  </si>
  <si>
    <t>FRIDAY</t>
  </si>
  <si>
    <t>SATURDAY</t>
  </si>
  <si>
    <t>Megan</t>
  </si>
  <si>
    <t>Dr Lau</t>
  </si>
  <si>
    <t>Dr V</t>
  </si>
  <si>
    <t>Doc</t>
  </si>
  <si>
    <t>Jenn V</t>
  </si>
  <si>
    <t>Brandon</t>
  </si>
  <si>
    <t>Dr Rally</t>
  </si>
  <si>
    <t>Dr Niko</t>
  </si>
  <si>
    <t>Eric</t>
  </si>
  <si>
    <t>Isabelle</t>
  </si>
  <si>
    <t>Dr Hab</t>
  </si>
  <si>
    <t>Dr Geist</t>
  </si>
  <si>
    <t>Alysia</t>
  </si>
  <si>
    <t>Dr Hoh</t>
  </si>
  <si>
    <t>Angela</t>
  </si>
  <si>
    <t>Dr Scott</t>
  </si>
  <si>
    <t>Vero</t>
  </si>
  <si>
    <t>Joseph</t>
  </si>
  <si>
    <t>Laura</t>
  </si>
  <si>
    <t>Lesly</t>
  </si>
  <si>
    <t>Jenn</t>
  </si>
  <si>
    <t>Dre</t>
  </si>
  <si>
    <t xml:space="preserve">Brittany F </t>
  </si>
  <si>
    <t>Markie</t>
  </si>
  <si>
    <t>Diana</t>
  </si>
  <si>
    <t>Aislinn</t>
  </si>
  <si>
    <t>Natalie</t>
  </si>
  <si>
    <t>Karen</t>
  </si>
  <si>
    <t>Ali</t>
  </si>
  <si>
    <t>Dr Robertson</t>
  </si>
  <si>
    <t>Sierra M</t>
  </si>
  <si>
    <t>Zuleyka</t>
  </si>
  <si>
    <t>Lizbeth</t>
  </si>
  <si>
    <t>Brittany F</t>
  </si>
  <si>
    <t>Ken</t>
  </si>
  <si>
    <t>Bianca</t>
  </si>
  <si>
    <t>Tay Fox</t>
  </si>
  <si>
    <t>Dr Alzate</t>
  </si>
  <si>
    <t>Crystal</t>
  </si>
  <si>
    <t>Batia</t>
  </si>
  <si>
    <t>Naomi Folta</t>
  </si>
  <si>
    <t>Jess S</t>
  </si>
  <si>
    <t>Christina</t>
  </si>
  <si>
    <t>Fidel</t>
  </si>
  <si>
    <t>Miguel</t>
  </si>
  <si>
    <t>Jess Salazar</t>
  </si>
  <si>
    <t>Kirtlynn</t>
  </si>
  <si>
    <t>Yalila</t>
  </si>
  <si>
    <t>Jisun</t>
  </si>
  <si>
    <t>Sonora</t>
  </si>
  <si>
    <t>Adriana</t>
  </si>
  <si>
    <t>Nichole</t>
  </si>
  <si>
    <t>Jessica S</t>
  </si>
  <si>
    <t>Ervin</t>
  </si>
  <si>
    <t>Dr Faro</t>
  </si>
  <si>
    <t>Tanya</t>
  </si>
  <si>
    <t>Carmen</t>
  </si>
  <si>
    <t>Kenny</t>
  </si>
  <si>
    <t>Maria S</t>
  </si>
  <si>
    <t>Caitlin</t>
  </si>
  <si>
    <t>Veronica</t>
  </si>
  <si>
    <t>Kirtlyn</t>
  </si>
  <si>
    <t>Raquel</t>
  </si>
  <si>
    <t>Alexei</t>
  </si>
  <si>
    <t>Catherine</t>
  </si>
  <si>
    <t>Zowie</t>
  </si>
  <si>
    <t>Rachael</t>
  </si>
  <si>
    <t>Saul</t>
  </si>
  <si>
    <t>Victoria</t>
  </si>
  <si>
    <t>Olivia</t>
  </si>
  <si>
    <t>Alex M</t>
  </si>
  <si>
    <t>Shelby</t>
  </si>
  <si>
    <t>Ashley P</t>
  </si>
  <si>
    <t>Dr G</t>
  </si>
  <si>
    <t>Nichole G</t>
  </si>
  <si>
    <t>Liz</t>
  </si>
  <si>
    <t>Ethan</t>
  </si>
  <si>
    <t>Angie</t>
  </si>
  <si>
    <t>Zue</t>
  </si>
  <si>
    <t>Jennifer</t>
  </si>
  <si>
    <t>Naomi</t>
  </si>
  <si>
    <t>Migue</t>
  </si>
  <si>
    <t>Deija</t>
  </si>
  <si>
    <t>Ashley</t>
  </si>
  <si>
    <t>Maria P</t>
  </si>
  <si>
    <t>Ana L</t>
  </si>
  <si>
    <t>EMPLOYEE</t>
  </si>
  <si>
    <t>Cynthia (Legal) 1pm-9pm</t>
  </si>
  <si>
    <t>Emergencies only</t>
  </si>
  <si>
    <t>Remote/ Available</t>
  </si>
  <si>
    <t>Off</t>
  </si>
  <si>
    <t>Gladys (CCO)</t>
  </si>
  <si>
    <t xml:space="preserve">If need-Remote </t>
  </si>
  <si>
    <t>Unavailable</t>
  </si>
  <si>
    <t>Marc (COO)</t>
  </si>
  <si>
    <t>Aetna/Ven</t>
  </si>
  <si>
    <t>Out Early</t>
  </si>
  <si>
    <t>As Needed</t>
  </si>
  <si>
    <t>OFF GRID- BM</t>
  </si>
  <si>
    <t>Angie (Schedule Admin)</t>
  </si>
  <si>
    <t>Christina (Remote Admin)</t>
  </si>
  <si>
    <t>Dre (Marketing Dir)</t>
  </si>
  <si>
    <t>Venice/ Aetna</t>
  </si>
  <si>
    <t>Remote</t>
  </si>
  <si>
    <t>Venice</t>
  </si>
  <si>
    <t>Adoptapalooza</t>
  </si>
  <si>
    <t>Event</t>
  </si>
  <si>
    <t>Dog PPL</t>
  </si>
  <si>
    <t xml:space="preserve">POSSIBLE LAST DAY </t>
  </si>
  <si>
    <t xml:space="preserve"> </t>
  </si>
  <si>
    <t>*</t>
  </si>
  <si>
    <t>WEEK 1</t>
  </si>
  <si>
    <t>PUB</t>
  </si>
  <si>
    <t>Shift Counter</t>
  </si>
  <si>
    <t>Total</t>
  </si>
  <si>
    <t>Role</t>
  </si>
  <si>
    <t>Shift</t>
  </si>
  <si>
    <t>SO</t>
  </si>
  <si>
    <t>VENICE</t>
  </si>
  <si>
    <t>AETNA</t>
  </si>
  <si>
    <t>Employee</t>
  </si>
  <si>
    <t>Wk1</t>
  </si>
  <si>
    <t>Wk2</t>
  </si>
  <si>
    <t>Wk3</t>
  </si>
  <si>
    <t>Wk4</t>
  </si>
  <si>
    <t>Wk5</t>
  </si>
  <si>
    <t>Hrs</t>
  </si>
  <si>
    <t>MEETING</t>
  </si>
  <si>
    <t>Closed</t>
  </si>
  <si>
    <t>Lunch: 2:30p-3:15p</t>
  </si>
  <si>
    <t>VE Note</t>
  </si>
  <si>
    <t>11:30a - 6:30p</t>
  </si>
  <si>
    <t>Heavy NAD day/ 3/hr</t>
  </si>
  <si>
    <t>3/hr</t>
  </si>
  <si>
    <t>2-3/hr</t>
  </si>
  <si>
    <t>Heavy VE day/ 2/hr</t>
  </si>
  <si>
    <t>AP Note</t>
  </si>
  <si>
    <t xml:space="preserve">IM Notes </t>
  </si>
  <si>
    <t>5 ex. 2 Pro</t>
  </si>
  <si>
    <t>UC Notes</t>
  </si>
  <si>
    <t>Surgery/Cardio/ Exotics</t>
  </si>
  <si>
    <t>Cardio/ SX</t>
  </si>
  <si>
    <t>Cardio</t>
  </si>
  <si>
    <t>Cardio / SX/ EX</t>
  </si>
  <si>
    <t>MPMV</t>
  </si>
  <si>
    <t>Manager</t>
  </si>
  <si>
    <t>10-6:30</t>
  </si>
  <si>
    <t>Marc Mercury</t>
  </si>
  <si>
    <t>HOLIDAY</t>
  </si>
  <si>
    <t>In House Admin</t>
  </si>
  <si>
    <t>PARTY</t>
  </si>
  <si>
    <t>Inventory</t>
  </si>
  <si>
    <t>9:30-6  (8)</t>
  </si>
  <si>
    <t>Office Admin</t>
  </si>
  <si>
    <t>9-5:30 // 8-5:30</t>
  </si>
  <si>
    <t>VET-SURGERY</t>
  </si>
  <si>
    <t>9-6:30  (9)</t>
  </si>
  <si>
    <t>Intern</t>
  </si>
  <si>
    <t>Exrtern/Student</t>
  </si>
  <si>
    <t xml:space="preserve">9-5:30  (8) </t>
  </si>
  <si>
    <t>Surgery Lead</t>
  </si>
  <si>
    <t>8:30-5  (8)</t>
  </si>
  <si>
    <t>Ervin Tenorio</t>
  </si>
  <si>
    <t>Surgery Tech 1</t>
  </si>
  <si>
    <t>9-5:30  (8)</t>
  </si>
  <si>
    <t>Surgery Tech 2</t>
  </si>
  <si>
    <t>Dr. Claudia Lau1</t>
  </si>
  <si>
    <t>VET-AP</t>
  </si>
  <si>
    <t>Claire Stewart</t>
  </si>
  <si>
    <t>AP Lead</t>
  </si>
  <si>
    <t>10-6:30  (8)</t>
  </si>
  <si>
    <t>Laura Lucia1</t>
  </si>
  <si>
    <t>AP Tech</t>
  </si>
  <si>
    <t>Jessica Salazar1</t>
  </si>
  <si>
    <t>Remote AP Tech</t>
  </si>
  <si>
    <t>Ervin Tenorio1</t>
  </si>
  <si>
    <t>VET-NAD</t>
  </si>
  <si>
    <t>Dr. Geist1</t>
  </si>
  <si>
    <t>Grant Roberts</t>
  </si>
  <si>
    <t>Andres Muñoz</t>
  </si>
  <si>
    <t>DA - NAD</t>
  </si>
  <si>
    <t>9-6:30</t>
  </si>
  <si>
    <t>Crystal Barrom1</t>
  </si>
  <si>
    <t>Batia Blank</t>
  </si>
  <si>
    <t>DA - TRAINING</t>
  </si>
  <si>
    <t>Batia Blank1</t>
  </si>
  <si>
    <t>Clinic Tech</t>
  </si>
  <si>
    <t xml:space="preserve">8:30-5  (8) </t>
  </si>
  <si>
    <t>Arron Bryant</t>
  </si>
  <si>
    <t>Ken Padilla1</t>
  </si>
  <si>
    <t xml:space="preserve">10-6:30  (8) </t>
  </si>
  <si>
    <t>Float/ Lead</t>
  </si>
  <si>
    <t xml:space="preserve">10-6:30 (8) </t>
  </si>
  <si>
    <t>Dentals</t>
  </si>
  <si>
    <t xml:space="preserve"> 9:30-6  (8)</t>
  </si>
  <si>
    <t>Dentals (trainee)</t>
  </si>
  <si>
    <t>Fidel Fraga1</t>
  </si>
  <si>
    <t>VET-IM</t>
  </si>
  <si>
    <t>IM Tech/DA</t>
  </si>
  <si>
    <t>IM Tech</t>
  </si>
  <si>
    <t>_</t>
  </si>
  <si>
    <t>VET-EXOTICS</t>
  </si>
  <si>
    <t>Rachel Sanders</t>
  </si>
  <si>
    <t>Laura Callison</t>
  </si>
  <si>
    <t>Exotic Tech/DA</t>
  </si>
  <si>
    <t>Exotics Tech</t>
  </si>
  <si>
    <t>VET-MPMV</t>
  </si>
  <si>
    <t>MPMV TECH</t>
  </si>
  <si>
    <t>Aislinn Dickey1</t>
  </si>
  <si>
    <t>VET-CARDIO</t>
  </si>
  <si>
    <t>CSR Lead</t>
  </si>
  <si>
    <t xml:space="preserve">8-4:30  (8) </t>
  </si>
  <si>
    <t>CSR</t>
  </si>
  <si>
    <t>Verenice Mendoza</t>
  </si>
  <si>
    <t>Jennifer Velasquez1</t>
  </si>
  <si>
    <t>FAC</t>
  </si>
  <si>
    <t>Referral C</t>
  </si>
  <si>
    <t>9:30 - 6p</t>
  </si>
  <si>
    <t>Nick Bermudez1</t>
  </si>
  <si>
    <t>Marketing Assit</t>
  </si>
  <si>
    <t>Catherine Ramirez1</t>
  </si>
  <si>
    <t>REMOTE SCHDULE</t>
  </si>
  <si>
    <t>RCSR Manager</t>
  </si>
  <si>
    <t>9-5:30</t>
  </si>
  <si>
    <t>Morning Lead</t>
  </si>
  <si>
    <t xml:space="preserve">7:30 - 4  </t>
  </si>
  <si>
    <t>Mid</t>
  </si>
  <si>
    <t xml:space="preserve">8 - 4:30 </t>
  </si>
  <si>
    <t>AP/SX</t>
  </si>
  <si>
    <t xml:space="preserve">8:45-5:15 </t>
  </si>
  <si>
    <t>Support</t>
  </si>
  <si>
    <t>9-:5:30pm</t>
  </si>
  <si>
    <t>Closer</t>
  </si>
  <si>
    <t>9:45-6:15</t>
  </si>
  <si>
    <t>ERASE SX / Specialty</t>
  </si>
  <si>
    <t>8:45-6:15 (8)</t>
  </si>
  <si>
    <t xml:space="preserve">Float </t>
  </si>
  <si>
    <t>10:30-7</t>
  </si>
  <si>
    <t xml:space="preserve">Texting / Tidio </t>
  </si>
  <si>
    <t>8 - 5:30</t>
  </si>
  <si>
    <t>Admin/Backend</t>
  </si>
  <si>
    <t>10 - 7</t>
  </si>
  <si>
    <t>MPMV MED TEAM</t>
  </si>
  <si>
    <t>10-6:30 (8)</t>
  </si>
  <si>
    <t>9-5:30 (8)</t>
  </si>
  <si>
    <t>VACATION</t>
  </si>
  <si>
    <t>Doc, Megan, Dr Hab, Dr V</t>
  </si>
  <si>
    <t>Megan, Dr Hab, Dr Hoh, Dr V</t>
  </si>
  <si>
    <t>Megan, Dr Hab, Jess S, Dr Hoh, Dr V</t>
  </si>
  <si>
    <t>Megan, Dr Hab, Carmen, Dr Hoh, Dr Rally</t>
  </si>
  <si>
    <t>Megan, Dr Hab, Doc, Kenny, Carmen,Dr Hoh, Dr Rally, Kirtlyn</t>
  </si>
  <si>
    <t>Megan, Ervin, Markie, Kenny, Carmen, Sonora, Dr Hoh, Kirtlyn</t>
  </si>
  <si>
    <t>Tanya, Caitlin</t>
  </si>
  <si>
    <t>WEEK 2</t>
  </si>
  <si>
    <t xml:space="preserve">CSR </t>
  </si>
  <si>
    <t>DA</t>
  </si>
  <si>
    <t>Ultrasound day w/ Doc</t>
  </si>
  <si>
    <t>1-2/hr</t>
  </si>
  <si>
    <t>4 and ENDO DAY</t>
  </si>
  <si>
    <t>Surgery day</t>
  </si>
  <si>
    <t>Exotics</t>
  </si>
  <si>
    <t>SX / Exotics</t>
  </si>
  <si>
    <t>Surgery Meeting</t>
  </si>
  <si>
    <t>Truck Day</t>
  </si>
  <si>
    <t>Sch Admin</t>
  </si>
  <si>
    <t>DOG PPL</t>
  </si>
  <si>
    <t>Lizbeth Martinez1</t>
  </si>
  <si>
    <t>Dr Garcia</t>
  </si>
  <si>
    <t>CLOSE - Update Pg</t>
  </si>
  <si>
    <t>Alondra Aldana</t>
  </si>
  <si>
    <t>Diba Bagheri</t>
  </si>
  <si>
    <t>Miguel Antonio1</t>
  </si>
  <si>
    <t>Jisun Choi</t>
  </si>
  <si>
    <t>Ashley Parades</t>
  </si>
  <si>
    <t>Caitlin Quinn1</t>
  </si>
  <si>
    <t>Nichole Gibbs1</t>
  </si>
  <si>
    <t>Shelby Ackerman1</t>
  </si>
  <si>
    <t>Adriana, Dr Niko, Carmen, Kirtlyn</t>
  </si>
  <si>
    <t>Doc, Adriana, Carmen, Liz</t>
  </si>
  <si>
    <t>Adriana, Carmen, Liz</t>
  </si>
  <si>
    <t>TTiffaiff</t>
  </si>
  <si>
    <t>Adriana, Dr Geist, Carmen, Liz</t>
  </si>
  <si>
    <t>Adriana, Dr Geist, Carmen</t>
  </si>
  <si>
    <t>Diana, Adriana, Ervin, Dr Geist, Carmen, Dr Lau, Bianca</t>
  </si>
  <si>
    <t xml:space="preserve">Dre, Tiff, Sara </t>
  </si>
  <si>
    <t>WEEK 3</t>
  </si>
  <si>
    <t>Western Students</t>
  </si>
  <si>
    <t>2-3/ hr</t>
  </si>
  <si>
    <t>Close</t>
  </si>
  <si>
    <t>Cardio/ Surgery Day</t>
  </si>
  <si>
    <t>Cardio/ Exotics/ SX</t>
  </si>
  <si>
    <t>Adriana Gutierrez1</t>
  </si>
  <si>
    <t>Victoria Portillo1</t>
  </si>
  <si>
    <t>Dr Rally, Diana, Adriana, Jenn, Dr Geist, Carmen, Brandon, Bianca</t>
  </si>
  <si>
    <t>Jisun, Dr Rally, Carmen, Bianca</t>
  </si>
  <si>
    <t>Doc, Jisun, Dr Rally, Rachael, Carmen, Bianca</t>
  </si>
  <si>
    <t>Jisun, Dr Rally, Rachael, Carmen, Bianca</t>
  </si>
  <si>
    <t>Vero, Ervin, Markie, Rachael, Carmen, Bianca, Jisun</t>
  </si>
  <si>
    <t>WEEK 4</t>
  </si>
  <si>
    <t>FULL</t>
  </si>
  <si>
    <t>TEAM</t>
  </si>
  <si>
    <t>Surgery Day</t>
  </si>
  <si>
    <t>Surgery Day/ Exotics</t>
  </si>
  <si>
    <t>AP Leads Dinner</t>
  </si>
  <si>
    <t>Alexei Marquez1</t>
  </si>
  <si>
    <t>Natalie Ulloa1</t>
  </si>
  <si>
    <t xml:space="preserve">IN CLINIC </t>
  </si>
  <si>
    <t>Jisun, Vero, Dr Geist, Carmen, Bianca</t>
  </si>
  <si>
    <t>Jisun, Dr Geist, Carmen, Bianca</t>
  </si>
  <si>
    <t>Jisun, Adriana, Carmen, Dr Lau, Bianca</t>
  </si>
  <si>
    <t>Jisun, Adriana, Aislinn, Carmen, Dr Lau, Bianca</t>
  </si>
  <si>
    <t>Jisun, Maria P, Ervin, Carmen, Dr Lau, Bianca, Kirtlyn</t>
  </si>
  <si>
    <r>
      <rPr>
        <rFont val="Arial"/>
        <color theme="1"/>
        <sz val="9.0"/>
      </rPr>
      <t>Sara</t>
    </r>
    <r>
      <rPr>
        <rFont val="Arial"/>
        <color rgb="FF00FF00"/>
        <sz val="9.0"/>
      </rPr>
      <t>Sara clinic</t>
    </r>
  </si>
  <si>
    <r>
      <rPr>
        <rFont val="Arial"/>
        <color theme="1"/>
        <sz val="9.0"/>
      </rPr>
      <t>sar</t>
    </r>
    <r>
      <rPr>
        <rFont val="Arial"/>
        <color rgb="FF00FF00"/>
        <sz val="9.0"/>
      </rPr>
      <t xml:space="preserve">sara clinic- off remote </t>
    </r>
  </si>
  <si>
    <t xml:space="preserve">Sara </t>
  </si>
  <si>
    <t>WEEK 5</t>
  </si>
  <si>
    <t>Working on it</t>
  </si>
  <si>
    <t>Surgery/Cardio/ Ophtho</t>
  </si>
  <si>
    <t>9:30-6</t>
  </si>
  <si>
    <t>Lead / Open</t>
  </si>
  <si>
    <t>7:30 - 4  (8)</t>
  </si>
  <si>
    <t>Support / Midshift</t>
  </si>
  <si>
    <t>8 - 4:30 (8)</t>
  </si>
  <si>
    <t>Backup/Close</t>
  </si>
  <si>
    <t xml:space="preserve">Phones AP./ AP SX </t>
  </si>
  <si>
    <t>8:45-5:15 (8)</t>
  </si>
  <si>
    <t>Support 10:30 -7</t>
  </si>
  <si>
    <t>Back End</t>
  </si>
  <si>
    <t>HR ADMIN</t>
  </si>
  <si>
    <t>7 - 3 (8)</t>
  </si>
  <si>
    <t>FEB</t>
  </si>
  <si>
    <t>UPPER</t>
  </si>
  <si>
    <t>MANAGEMENT</t>
  </si>
  <si>
    <t>PRE CSR meeting ( CSR leads )</t>
  </si>
  <si>
    <t>Journal Club</t>
  </si>
  <si>
    <t>CLOSE</t>
  </si>
  <si>
    <t>SX/ Cardio</t>
  </si>
  <si>
    <t>SX / EX / Cardio</t>
  </si>
  <si>
    <t>Diana Monterde1</t>
  </si>
  <si>
    <t>Dr. Sherry Vartanian1</t>
  </si>
  <si>
    <t>Dr. Habawel1</t>
  </si>
  <si>
    <t>Dr. Niko Alzate1</t>
  </si>
  <si>
    <t>Maria Capodieci</t>
  </si>
  <si>
    <t>Brittany Finch1</t>
  </si>
  <si>
    <t>Vero Rios1</t>
  </si>
  <si>
    <t>Miahuatl Kuauhtzin</t>
  </si>
  <si>
    <t>Gladys Castro1</t>
  </si>
  <si>
    <t>Laurence Marai1</t>
  </si>
  <si>
    <t>Kirtlynn Moller1</t>
  </si>
  <si>
    <t>Maria Portillo1</t>
  </si>
  <si>
    <t xml:space="preserve">Operations Manager </t>
  </si>
  <si>
    <t>Sara Drickman</t>
  </si>
  <si>
    <t>Sierra Mendez</t>
  </si>
  <si>
    <t>Sierra Mendez1</t>
  </si>
  <si>
    <t>Caitlin Quinn</t>
  </si>
  <si>
    <t>Dr Lau, Dr Rally, Dr Hoh</t>
  </si>
  <si>
    <t>Dr Lau, Dr Rally, Dr Hoh, Batia</t>
  </si>
  <si>
    <t>Dr Lau, Dr Rally, Aislinn, Dr Hoh, Batia</t>
  </si>
  <si>
    <t>Dr Lau, Dr Rally, Alysia, Laura, Dr Hoh, Batia</t>
  </si>
  <si>
    <t>Surgery Day / EX</t>
  </si>
  <si>
    <t>Kimberly Parra</t>
  </si>
  <si>
    <t>Bharath Guduri</t>
  </si>
  <si>
    <t>Raquel Velez1</t>
  </si>
  <si>
    <t>Dr. Robertson1</t>
  </si>
  <si>
    <t>Zuleyka Chuc1</t>
  </si>
  <si>
    <t>Jessica George</t>
  </si>
  <si>
    <t>Ashley training</t>
  </si>
  <si>
    <t>Sara Drickman1</t>
  </si>
  <si>
    <t>Sierra Mendez 1-</t>
  </si>
  <si>
    <t>Caitlin Quinn 1-</t>
  </si>
  <si>
    <t>Alexandra Martin1</t>
  </si>
  <si>
    <t>Lizbeth, Jess S, Dr Lau, Dr Scott, Dr Hoh, Batia</t>
  </si>
  <si>
    <t>Dr Lau, Dr Hoh, Batia</t>
  </si>
  <si>
    <t>Dr Lau, Doc, Dr Hoh, Dr Robertson, Batia</t>
  </si>
  <si>
    <t>Crystal, Dr Lau, Doc, Jess S, Bianca, Dr Hoh, Batia</t>
  </si>
  <si>
    <t>Crystal, Dr Lau, Doc, Bianca, Dr Hoh, Vero, Batia</t>
  </si>
  <si>
    <t>Crystal, Dr Lau, Doc, Jess S, Lizbeth, Vero, Jenn, Alysia, Dr Hab, Laura</t>
  </si>
  <si>
    <t>Bianca, Dr Hoh, Batia</t>
  </si>
  <si>
    <t>2/hr</t>
  </si>
  <si>
    <t>No UC</t>
  </si>
  <si>
    <t>Cardio Day / SX/ EX</t>
  </si>
  <si>
    <t>Angela Fraga1</t>
  </si>
  <si>
    <t>Lisa Girtain 1-</t>
  </si>
  <si>
    <t>Jessica George1</t>
  </si>
  <si>
    <t>Tanya Bennett 1-</t>
  </si>
  <si>
    <t>Crystal, Lizbeth, Laura, Dr Lau, Bianca, Alysia, Dr Rally, Dr Hoh, Batia</t>
  </si>
  <si>
    <t>Dr Lau, Bianca, Dr Hoh, Batia</t>
  </si>
  <si>
    <t>Zue, Dr Lau, Dr Hoh, Batia, Natalie, Doc</t>
  </si>
  <si>
    <t>Zue, Dr Lau, Dr Hoh, Batia, Angela.</t>
  </si>
  <si>
    <t>Zue, Dr Hoh, Batia, Angela, Doc</t>
  </si>
  <si>
    <t>Zue, Alysia, Laura, Dr Hoh, Batia, Angela</t>
  </si>
  <si>
    <t xml:space="preserve"> Ashley P</t>
  </si>
  <si>
    <t xml:space="preserve">TEAM </t>
  </si>
  <si>
    <t>CLOSED</t>
  </si>
  <si>
    <t>Exotics/ SX</t>
  </si>
  <si>
    <t>Endo day</t>
  </si>
  <si>
    <t>s</t>
  </si>
  <si>
    <t>AP LEADS MEETING</t>
  </si>
  <si>
    <t>Diana, Dr Hoh, Batia</t>
  </si>
  <si>
    <t>Joseph, Dr Hoh, Batia</t>
  </si>
  <si>
    <t>Joseph, Batia, Kirtlynn</t>
  </si>
  <si>
    <t>Jess S, Joseph, Dr Rally, Dr Geist, Batia, Ken, Crystal</t>
  </si>
  <si>
    <t>Dr Geist, Joseph, Alysia, Dr Hab, Laura, Batia, Ken</t>
  </si>
  <si>
    <t>Sierra M, Ashley P</t>
  </si>
  <si>
    <t>SX / Cardio</t>
  </si>
  <si>
    <t>Exotics/ SX/ Cardio</t>
  </si>
  <si>
    <t>Brian Gillete</t>
  </si>
  <si>
    <t>Zowie Vasquez</t>
  </si>
  <si>
    <t>Yasuko Sano1</t>
  </si>
  <si>
    <t xml:space="preserve">Tiffany Tesoro </t>
  </si>
  <si>
    <t xml:space="preserve">Ashley  </t>
  </si>
  <si>
    <t>Sierra Mendez -1</t>
  </si>
  <si>
    <t>Tanya Bennett -1</t>
  </si>
  <si>
    <t>Joseph, Dr Geist, Markie</t>
  </si>
  <si>
    <t>Dr Scott, Diana, Alysia, Laura, Dr V, Dr Geist</t>
  </si>
  <si>
    <t>Ultrasound day w/Doc</t>
  </si>
  <si>
    <t>CE EVENT</t>
  </si>
  <si>
    <t>2 DVM PG</t>
  </si>
  <si>
    <t>Surgery</t>
  </si>
  <si>
    <t>Exotics / SX</t>
  </si>
  <si>
    <t>Megan Rolnik1</t>
  </si>
  <si>
    <t xml:space="preserve">9-2pm </t>
  </si>
  <si>
    <t>Nichole Gibbs 1-</t>
  </si>
  <si>
    <t>Shelby Ackerman 1-</t>
  </si>
  <si>
    <t>Nichole Gibbs -1</t>
  </si>
  <si>
    <t>Alexei, Crystal</t>
  </si>
  <si>
    <t>Dr Robertson, Ervin, Alexei, Alysia</t>
  </si>
  <si>
    <t>Dr V, Dr Alzate, Dr Geist, Alexei, Dr Scott, Dr Rally, Laura, Ervin</t>
  </si>
  <si>
    <t>Dr Robertson, Alysia</t>
  </si>
  <si>
    <t>caitlin</t>
  </si>
  <si>
    <t>AVMA visit</t>
  </si>
  <si>
    <t>only UC + VE</t>
  </si>
  <si>
    <t>Cardio / Surgery</t>
  </si>
  <si>
    <t>Cardio / EX/ Surgery</t>
  </si>
  <si>
    <t>Event " Venice love fest"</t>
  </si>
  <si>
    <t>1 DVM + 2 Cl tech</t>
  </si>
  <si>
    <t>Endo</t>
  </si>
  <si>
    <t>Maria Salazar1</t>
  </si>
  <si>
    <t>Monica Vargas</t>
  </si>
  <si>
    <t xml:space="preserve">Ashely </t>
  </si>
  <si>
    <t>ALysia, Alexei, Dr Faro, Liz</t>
  </si>
  <si>
    <t>Dr Robertson, Alexei, Dr Faro</t>
  </si>
  <si>
    <t>Alexei, Dr Faro</t>
  </si>
  <si>
    <t>Alexei, Angie, Zue, Dr Faro</t>
  </si>
  <si>
    <t>Alexei, Doc, Dr Faro, Angie, Zue</t>
  </si>
  <si>
    <t>Alexei, Doc, Alysia, Markie, Saul, Angie, Vero, Zue, Dr Faro</t>
  </si>
  <si>
    <t>&amp;</t>
  </si>
  <si>
    <t>FIRST AID DEMO</t>
  </si>
  <si>
    <t>Jessica Lucra1</t>
  </si>
  <si>
    <t>Nauman Ali1</t>
  </si>
  <si>
    <t>Sonora Chavez1</t>
  </si>
  <si>
    <t>In house Admin/Marketing Assit</t>
  </si>
  <si>
    <t xml:space="preserve">Tiffany  </t>
  </si>
  <si>
    <t>Brian Mossbrooks</t>
  </si>
  <si>
    <t>Doc, Alexei, Migue</t>
  </si>
  <si>
    <t>Doc, Alexei, Jenn</t>
  </si>
  <si>
    <t>Doc, Adriana, Alexei, Dr Robertson, Dr Rally</t>
  </si>
  <si>
    <t>Doc, Adriana, Kenny, ALEXEI, Dr Robertson, Dr Rally, Zowie</t>
  </si>
  <si>
    <t>Doc, Adriana, Dr Faro, Alysia, Kirtlyn, Alexei, Dr Robertson, Dr Rally</t>
  </si>
  <si>
    <t>Doc, Dr Faro, Dr Geist, Alysia, Dr Hab, Laura, Markie, Kirtlyn, Alexei</t>
  </si>
  <si>
    <t>Vero, Dr Robertson, Dr Rally, Dr Lau</t>
  </si>
  <si>
    <t>Shelby, Tanya, Caitlin</t>
  </si>
  <si>
    <t>Tanya, Shelby, Caitlin</t>
  </si>
  <si>
    <t>–––</t>
  </si>
  <si>
    <t>Ashley Training</t>
  </si>
  <si>
    <t>Tiffany</t>
  </si>
  <si>
    <t xml:space="preserve">Ashley Training </t>
  </si>
  <si>
    <t xml:space="preserve"> Dr Faro, Dr Geist, Kirtlynn, Aislinn, Dr Rally, Doc</t>
  </si>
  <si>
    <t xml:space="preserve"> Dr Geist, Dr Rally, Doc</t>
  </si>
  <si>
    <t xml:space="preserve"> Dr Geist, Adriana, Dr Rally, Doc</t>
  </si>
  <si>
    <t>Dr Geist, Adriana, Dr V, Dr Scott, Dr Rally, Doc, Rachael</t>
  </si>
  <si>
    <t>Jenn, Alysia, Dr V, Dr Scott, Dr Rally, Doc</t>
  </si>
  <si>
    <t>Jenn, Alysia, Dr V, Dr Scott, Dr Rally, Markie, Laura, Lizbeth, Doc</t>
  </si>
  <si>
    <t>SHelby</t>
  </si>
  <si>
    <t>Juan Jose Galeano</t>
  </si>
  <si>
    <t>Kyara Cashion</t>
  </si>
  <si>
    <t>Barbara Long1</t>
  </si>
  <si>
    <t>Taylor Stepnosky</t>
  </si>
  <si>
    <t xml:space="preserve"> Alysia, Dr Rally, Doc</t>
  </si>
  <si>
    <t>Natalie, Doc, Bianca</t>
  </si>
  <si>
    <t>Dr V, Natalie, Laura, Dr Rally, Bianca</t>
  </si>
  <si>
    <t>Ultrasound w/ Doc</t>
  </si>
  <si>
    <t>EVENT</t>
  </si>
  <si>
    <t>Yalila Martinez1</t>
  </si>
  <si>
    <t>Brooke St George</t>
  </si>
  <si>
    <t>Alysia Sanford1</t>
  </si>
  <si>
    <t>Viviana Gutierrez</t>
  </si>
  <si>
    <t>Tanya Bennett1</t>
  </si>
  <si>
    <t xml:space="preserve">Tiffany </t>
  </si>
  <si>
    <t>Ashley Training Taylor</t>
  </si>
  <si>
    <t>Dr Rally, Natalie, Bianca</t>
  </si>
  <si>
    <t>Dr Rally, Angela</t>
  </si>
  <si>
    <t>Ali, Barbara</t>
  </si>
  <si>
    <t>Dr Faro, Ali, Zowie</t>
  </si>
  <si>
    <t>Alysia, Dr Faro, Ali, Laura, Raquel, Zuleyka, Dr Niko, Zowie,  Alexei</t>
  </si>
  <si>
    <t>upper management meeting</t>
  </si>
  <si>
    <t>Markie Perez1</t>
  </si>
  <si>
    <t>Zuleyka, Ali, Zowie</t>
  </si>
  <si>
    <t>Dr Hoh, Zuleyka, Doc</t>
  </si>
  <si>
    <t>Dr Rally, Dr Hoh, Ethan, Vero, Raquel, Barbara</t>
  </si>
  <si>
    <t>Dr Rally, Dr Hoh, Vero, Karen, Dr Alzate,</t>
  </si>
  <si>
    <t>Doc, Dr Hoh, Vero, Alysia, Karen, Dr Alzate, Laura, Markie, Dr Rally</t>
  </si>
  <si>
    <t xml:space="preserve"> Tiffany Tesoro</t>
  </si>
  <si>
    <t xml:space="preserve">Ashley </t>
  </si>
  <si>
    <t>AshleyTraining</t>
  </si>
  <si>
    <t>Doc, Dr Hoh, Vero, Karen</t>
  </si>
  <si>
    <t>Doc, Dr Hoh, Vero, Karen, Jenn</t>
  </si>
  <si>
    <t>Doc, Dr Hoh, Vero, karen, Laura, Jenn, Dr Hab</t>
  </si>
  <si>
    <t>-</t>
  </si>
  <si>
    <t>Coco Beach Event</t>
  </si>
  <si>
    <t>FUR FEST Event</t>
  </si>
  <si>
    <t>Marc</t>
  </si>
  <si>
    <t>Joseph Reyes1</t>
  </si>
  <si>
    <t>Marelyn Ventura1</t>
  </si>
  <si>
    <t>Leticia Ceja1</t>
  </si>
  <si>
    <t xml:space="preserve">Brian Mossbrooks </t>
  </si>
  <si>
    <t>Doc, Dr Hoh, Alysia, Vero, Karen</t>
  </si>
  <si>
    <t>Doc, Dr Hoh</t>
  </si>
  <si>
    <t>Doc, Dr Hoh, Alysia, Aislinn</t>
  </si>
  <si>
    <t>Doc, Alysia, Jessica Salazar</t>
  </si>
  <si>
    <t>Doc, Alysia, Laura, Lizbeth</t>
  </si>
  <si>
    <t>AP leads meeting</t>
  </si>
  <si>
    <t>Middle manag. meeting</t>
  </si>
  <si>
    <t>AP team meeting</t>
  </si>
  <si>
    <t>Deija Lighon1</t>
  </si>
  <si>
    <t>Kayla Tran and Alyssa Janini</t>
  </si>
  <si>
    <t>Sonora, Adriana, Doc, Maria Salazar, Lizbeth</t>
  </si>
  <si>
    <t>Sonora, Adriana, Doc, Maria Portillo</t>
  </si>
  <si>
    <t>Sonora, Adriana, Doc, Dr Robertson, Jenn, Ken</t>
  </si>
  <si>
    <t>Sonora, Adriana, Doc, Dr Lau, Dr Robertson, Alysia, Jenn, Aislinn</t>
  </si>
  <si>
    <t>Sonora, Adriana, Doc, Dr Lau, Dr Robertson, Alysia, Jenn, Dr Hab</t>
  </si>
  <si>
    <t>Sonora, Dr Lau, Dr Robertson, Alysia, Laura, Dr Hab, Catherine, Dr Geist</t>
  </si>
  <si>
    <t>Catherine, Dr Geist, Brandon</t>
  </si>
  <si>
    <t>Brandon, Veronica, Dr Scott, Rally</t>
  </si>
  <si>
    <t>Cl/ dental techs meeting</t>
  </si>
  <si>
    <t>DVM Meeting</t>
  </si>
  <si>
    <t>Isabelle Johnstone1</t>
  </si>
  <si>
    <t>Darleen Geekie</t>
  </si>
  <si>
    <t>q</t>
  </si>
  <si>
    <t>Bianca Alfonso1</t>
  </si>
  <si>
    <t>Lesly Solorzano</t>
  </si>
  <si>
    <t>Dr Lau, Alysia, Dr Hab, Saul, Doc, Brandon</t>
  </si>
  <si>
    <t xml:space="preserve"> Dr Lau, Dr Hab, Dr Robertson, Saul, Doc, Brandon</t>
  </si>
  <si>
    <t>Dr Lau, Dr Hab, Crystal, Natalie, Saul, Doc, Maria Portillo</t>
  </si>
  <si>
    <t>Dr Lau, Diana, Dr Hab, Crystal, Natalie, Saul, Doc</t>
  </si>
  <si>
    <t>Doc, Diana, Dr Hab, Crystal, Natalie, Dr Scott, Saul, Doc</t>
  </si>
  <si>
    <t>Diana, Dr Hab, Laura, Crystal, Natalie, Dr Scott, Lizbeth, Doc</t>
  </si>
  <si>
    <t>Shelby, Ashley P</t>
  </si>
  <si>
    <t>FOR</t>
  </si>
  <si>
    <t>MEMORIAL DAY</t>
  </si>
  <si>
    <t>Diana, Dr Alzate, Dr Scott, Dr Rally, Aislinn</t>
  </si>
  <si>
    <t>Diana, Dr Robertson, Dr ALzate, Markie, Ken, Dr Rally, Dr Geist</t>
  </si>
  <si>
    <t>Diana, Dr Robertson, Markie</t>
  </si>
  <si>
    <t>Diana, Markie, Ken, Jenn, Victoria</t>
  </si>
  <si>
    <t>Doc, Markie, Brittany F, Diana, Zuleyka, Jenn</t>
  </si>
  <si>
    <t>Laura, Diana, Zuleyka, Veronica, Alsyia</t>
  </si>
  <si>
    <t>Ashley P, Shelby</t>
  </si>
  <si>
    <t xml:space="preserve">UPPER </t>
  </si>
  <si>
    <t>PRE CSR leads MEETING</t>
  </si>
  <si>
    <t>DVM meeting</t>
  </si>
  <si>
    <t>CLOSED FOR AN EVENT</t>
  </si>
  <si>
    <t>G. Roberts</t>
  </si>
  <si>
    <t>Ashley Paredes1</t>
  </si>
  <si>
    <t>Doc, Brittany F, Diana, Zuleyka, Tay Fox, Ace, Lizbeth</t>
  </si>
  <si>
    <t>Doc, Diana, Zuleyka, Tay Fox, Ace</t>
  </si>
  <si>
    <t>Doc, Diana, Zuleyka, Ace, Jenn</t>
  </si>
  <si>
    <t>Diana, Zuleyka, Ace, Jess Salazar</t>
  </si>
  <si>
    <t>Doc, Zuleyka, Ace, Kirtlynn</t>
  </si>
  <si>
    <t>Zuleyka, Ace, Kirtlynn, Dr Alzate, Laura, Alysia</t>
  </si>
  <si>
    <t>Adoptapalooza event</t>
  </si>
  <si>
    <t>Gladys</t>
  </si>
  <si>
    <t>ENDO</t>
  </si>
  <si>
    <t>Sydney Adams</t>
  </si>
  <si>
    <t>Maricely Martinez</t>
  </si>
  <si>
    <t>Ace,  Veronica, Kirtlynn, Dr Rally</t>
  </si>
  <si>
    <t>Brandon, Kirtlynn, Dr Rally</t>
  </si>
  <si>
    <t>Dr Rally, Dr Faro</t>
  </si>
  <si>
    <t xml:space="preserve"> Brittany F, laura, Liz, Dr Rally, Rachael, Dr Faro, Maria S</t>
  </si>
  <si>
    <t>Christina, Caitlinn</t>
  </si>
  <si>
    <t>Christina, Olivia, Caitlinn</t>
  </si>
  <si>
    <t>Caitlinn</t>
  </si>
  <si>
    <t>Venice Fest</t>
  </si>
  <si>
    <t>ENDO DAY</t>
  </si>
  <si>
    <t>Olivia Saenz1</t>
  </si>
  <si>
    <t>Ashley  Training</t>
  </si>
  <si>
    <t>Brittany F, Dr Faro, Lesly</t>
  </si>
  <si>
    <t>Brittany F, Brandon, Doc</t>
  </si>
  <si>
    <t>Brittany F, Dr V, Dr Scott</t>
  </si>
  <si>
    <t>Brittany F, Dr V, Dr Scott, Maria</t>
  </si>
  <si>
    <t>Ken, Alysia, Brittany F, Dr V, Dr Scott, Maria</t>
  </si>
  <si>
    <t>Alysia, Brittany F, Diana, Dr V, Dr Scott, Jenn, Carmen, Nick, Maria</t>
  </si>
  <si>
    <t>Alex M, Nichole G</t>
  </si>
  <si>
    <t>Melania Khanian</t>
  </si>
  <si>
    <t>Saul Garcia1</t>
  </si>
  <si>
    <t>Giselle Retiguin</t>
  </si>
  <si>
    <t>Deija, Dr V, Dr Scott, Carmen, Doc</t>
  </si>
  <si>
    <t>Dr Robertson, Megan, Brandon, Deija, Carmen, Doc</t>
  </si>
  <si>
    <t>Dr V, Victoria, Doc, Deija, Carmen, Doc</t>
  </si>
  <si>
    <t>Dr V, Deija, Carmen, Doc</t>
  </si>
  <si>
    <t>Dr V, Crystal, Deija, Carmen, Veronica, Markie, Doc</t>
  </si>
  <si>
    <t>Dr V, Dr Alzate, Alysia, Lizbeth, Crystal, Deija, Carmen, Veronica, Markie</t>
  </si>
  <si>
    <t>AUS day w/ Doc</t>
  </si>
  <si>
    <t>INDEPENDENCE</t>
  </si>
  <si>
    <t>DAY</t>
  </si>
  <si>
    <t>Eric Flores1</t>
  </si>
  <si>
    <t>Maricely Martinez-1</t>
  </si>
  <si>
    <t>Brian Mossbrooks -1</t>
  </si>
  <si>
    <t>Shelby Ackerman -1</t>
  </si>
  <si>
    <t>Taylor Stepnosky -1</t>
  </si>
  <si>
    <t>Olivia Saenz -1</t>
  </si>
  <si>
    <t>Dr V, Carmen, Crystal, Ana</t>
  </si>
  <si>
    <t>Dr Robertson, Dr V, Carmen, Brandon, Doc</t>
  </si>
  <si>
    <t>Jenn, Dr V, Carmen, Rachael, Doc</t>
  </si>
  <si>
    <t>Jenn, Dr Scott, Dr V, Dr Geist</t>
  </si>
  <si>
    <t>Dr Scott, Dr V, Dr Geist, Dr Rally., Alexei</t>
  </si>
  <si>
    <t>Dr Scott, Dr V, Dr Geist, Dr Rally, Alysia, Ken</t>
  </si>
  <si>
    <t xml:space="preserve">PRE </t>
  </si>
  <si>
    <t>CSR leads</t>
  </si>
  <si>
    <t>AUS day</t>
  </si>
  <si>
    <t>AUS - CE EVENT</t>
  </si>
  <si>
    <t>AVMA conference</t>
  </si>
  <si>
    <t>Staff supporting</t>
  </si>
  <si>
    <t>Raquel Romero</t>
  </si>
  <si>
    <t>Referral C/ Marketing client support</t>
  </si>
  <si>
    <t>Dr V, Dr Scott, Dr Rally, Dr Geist, Lizbeth, Yalila, Alexei</t>
  </si>
  <si>
    <t>Dr V, Dr Rally, Doc</t>
  </si>
  <si>
    <t>Dr V, Dr Rally, Jenn, Ken</t>
  </si>
  <si>
    <t>Dr V, Dr Rally, Aislinn, Ali, Jisun</t>
  </si>
  <si>
    <t>Dr V, Dr Rally, Brittany F, Aislinn, Ali, Lesly, Kirtlyn, Jisun</t>
  </si>
  <si>
    <t>Dr V, Dr Rally, Brandon, Brittany F, Dr ALzate, Aislinn, Ali, Lesly, Markie</t>
  </si>
  <si>
    <t>Ken, Kirtlyn, Jisun, Maria Portillo, aALzate</t>
  </si>
  <si>
    <t>CSR  meeting</t>
  </si>
  <si>
    <t>DA's MEETING</t>
  </si>
  <si>
    <t>AP leads Meeting</t>
  </si>
  <si>
    <t>CLINIC/ DTs MEETING</t>
  </si>
  <si>
    <t>AP team + SX + DVM Meeting</t>
  </si>
  <si>
    <t>Dr Rally, Brittany F, Aislinn, Lesly, Kirtlyn, Ali</t>
  </si>
  <si>
    <t>Lesly, Dr Robertson, Bianca</t>
  </si>
  <si>
    <t>Lesly, Bianca, Rachael</t>
  </si>
  <si>
    <t>Lesly, Dr Geist, Bianca, Yasuko</t>
  </si>
  <si>
    <t>Lesly, Alysia, Dr Rally, Dr Geist, Lizbeth, Saul, Bianca</t>
  </si>
  <si>
    <t>Lesly, Alysia, Dr Geist, Veronica, Saul, Bianca</t>
  </si>
  <si>
    <t>Nichole, Olivia, Tanya</t>
  </si>
  <si>
    <t>Olivia, Tanya</t>
  </si>
  <si>
    <t>Middle M. Meeting</t>
  </si>
  <si>
    <t>Alysia, Dr Scott, Dr Rally, Dr Geist, Lesly, Dr Faro, Bianca</t>
  </si>
  <si>
    <t>Alysia, Dr Scott, Dr Rally, Dr Geist, Lesly, Veronica, Dr Faro</t>
  </si>
  <si>
    <t>Dr Scott, Dr Rally, Dr Geist, Lesly, Rachael, Dr Alzate, Dr Faro, Rachael</t>
  </si>
  <si>
    <t>Dr Scott, Dr Rally, Lesly, Rachael, Dr Alzate</t>
  </si>
  <si>
    <t>Dr Scott, Dr Rally, Lesly, Dr Alzate, Natalie, Jess Salazar, Maria Salazar</t>
  </si>
  <si>
    <t>Dr Scott, Dr Rally, Lesly, Dr Alzate, Lizbeth, Veronica, Markie, Natalie</t>
  </si>
  <si>
    <t>Maria Portillo, Jess Salazar</t>
  </si>
  <si>
    <t>Nichole, Tanya</t>
  </si>
  <si>
    <t>Nichole, Ashley</t>
  </si>
  <si>
    <t>Nichole, Tanya, Ashley</t>
  </si>
  <si>
    <t>RTC</t>
  </si>
  <si>
    <t>2nd VET-AP</t>
  </si>
  <si>
    <t>8-4:30p (8)</t>
  </si>
  <si>
    <t>8:30-5p (8)</t>
  </si>
  <si>
    <t>9:5:30p (8)</t>
  </si>
  <si>
    <t>9-5:30p (8)</t>
  </si>
  <si>
    <t>9:30-6 (8)</t>
  </si>
  <si>
    <t>10:6:30p (8)</t>
  </si>
  <si>
    <t>2nd VET-NAD</t>
  </si>
  <si>
    <t>Dr Alexis Bagdy</t>
  </si>
  <si>
    <t>9:30-6p (8)</t>
  </si>
  <si>
    <t>8-4:30  (8) /8:30-5p</t>
  </si>
  <si>
    <t>Dr Scott, Dr Rally, Dr Alzate, Natalie, Veronica, Dr Faro</t>
  </si>
  <si>
    <t>Dr Scott, Dr Rally, Ken, Dr Alzate, Doc, Dr Faro</t>
  </si>
  <si>
    <t>Dr Scott, Dr Rally, Dr Alzate, Doc, Dr Faro</t>
  </si>
  <si>
    <t>Aislinn, Dr Rally, Dr Alzate, Doc, Dr FARO</t>
  </si>
  <si>
    <t>Dr Rally, Doc, Ali, Ken, dr faro</t>
  </si>
  <si>
    <t>Dr Rally, Doc, Ali, Ken, Dr Faro, Miguel, Laura</t>
  </si>
  <si>
    <t>Upper M. Meeting</t>
  </si>
  <si>
    <t>Pre CSR leads Meeting</t>
  </si>
  <si>
    <t>Dr Rally, Doc, Ken, Miguel, Brandon, Isabelle</t>
  </si>
  <si>
    <t>Dr Rally, Doc, Miguel, Isabelle</t>
  </si>
  <si>
    <t>Dr Rally, Doc, Isabelle</t>
  </si>
  <si>
    <t>Dr Rally,  Doc, Isabelle</t>
  </si>
  <si>
    <t>Dr Rally,  Doc, Fidel, Ken , Dr Hab, Isabelle</t>
  </si>
  <si>
    <t>Dr Rally, Dr Lau,  Doc, Markie, Ali, Ken, Fidel, Dr Hab,Isabelle, Laura</t>
  </si>
  <si>
    <t>DA's Meeting</t>
  </si>
  <si>
    <t>CSR &amp; rCSR Meeting</t>
  </si>
  <si>
    <t>Ashley Trianing</t>
  </si>
  <si>
    <t>Doc, Fidel, Brandon, Dr Hab, Victoria, Bianca, Isabelle</t>
  </si>
  <si>
    <t>Ken, Doc, Dr Rpbertson, Fidel, Dr Hab, Bianca, Isabelle</t>
  </si>
  <si>
    <t>Doc, Megan, Dr Hab, Bianca</t>
  </si>
  <si>
    <t>Doc, Jenn V, Dr Hab, Victoria, Bianca</t>
  </si>
  <si>
    <t>Doc, Ken, Alysia, Brandon, Dr Hab, Bianca</t>
  </si>
  <si>
    <t>Doc, Alysia, Ali, Lizbeth, Brandon, Dr Hab, Laura, Bianca</t>
  </si>
  <si>
    <t>Tanya, Alex M</t>
  </si>
  <si>
    <t>Cl tech + DT Meeting</t>
  </si>
  <si>
    <t>Doc, Dr Hab, Maria Salazar, Adriana, Victoria, Jess Salazar, Brandon</t>
  </si>
  <si>
    <t>Doc, Dr Hab, Adriana, Vero,  Bianca</t>
  </si>
  <si>
    <t>Dr Hab, Adriana, Kirtlynn, Vero</t>
  </si>
  <si>
    <t>Dr Alzate, Dr Hab, Adriana, Kirtlynn, Dr Geist, Vero</t>
  </si>
  <si>
    <t>Dr Alzate, Dr Geist, Adriana, Kirtlynn, Vero, Dr Lau</t>
  </si>
  <si>
    <t>Dr Alzate, Dr Geist, Ken, Markie, Kirtlynn, Vero, Ethan , Laura, Dr Lau</t>
  </si>
  <si>
    <t>Bianca, Jenn V</t>
  </si>
  <si>
    <t>Full Team Meeting</t>
  </si>
  <si>
    <t>Dr Alzate, Kirtlynn, Veronica, Brandon, Megan</t>
  </si>
  <si>
    <t>Isabelle, Dr Alzate, Kirtlynn, Megan</t>
  </si>
  <si>
    <t>Kirtlynn, Megan</t>
  </si>
  <si>
    <t>Isabelle, Kirtlynn, Megan</t>
  </si>
  <si>
    <t>Dr Scott, Kirtlynn, Lesly, Megan</t>
  </si>
  <si>
    <t>Lesly, Laura, Megan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</si>
</sst>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0">
    <font>
      <sz val="10.0"/>
      <color rgb="FF000000"/>
      <name val="Arial"/>
      <scheme val="minor"/>
    </font>
    <font>
      <b/>
      <sz val="10.0"/>
      <color rgb="FF00FFFF"/>
      <name val="Calibri"/>
    </font>
    <font>
      <b/>
      <sz val="19.0"/>
      <color rgb="FF00FFFF"/>
      <name val="Calibri"/>
    </font>
    <font>
      <color rgb="FF00FFFF"/>
      <name val="Arial"/>
      <scheme val="minor"/>
    </font>
    <font>
      <color theme="1"/>
      <name val="Arial"/>
    </font>
    <font>
      <b/>
      <u/>
      <sz val="11.0"/>
      <color rgb="FF00FFFF"/>
      <name val="Calibri"/>
    </font>
    <font>
      <sz val="9.0"/>
      <color rgb="FF00FFFF"/>
      <name val="Arial"/>
    </font>
    <font>
      <b/>
      <sz val="12.0"/>
      <color rgb="FF00FFFF"/>
      <name val="Arial"/>
      <scheme val="minor"/>
    </font>
    <font/>
    <font>
      <b/>
      <sz val="10.0"/>
      <color rgb="FF00FFFF"/>
      <name val="Arial"/>
      <scheme val="minor"/>
    </font>
    <font>
      <b/>
      <u/>
      <sz val="14.0"/>
      <color rgb="FF00FFFF"/>
      <name val="Arial"/>
      <scheme val="minor"/>
    </font>
    <font>
      <b/>
      <u/>
      <sz val="14.0"/>
      <color rgb="FF00FFFF"/>
      <name val="Arial"/>
      <scheme val="minor"/>
    </font>
    <font>
      <b/>
      <u/>
      <sz val="14.0"/>
      <color rgb="FF00FFFF"/>
      <name val="Arial"/>
      <scheme val="minor"/>
    </font>
    <font>
      <b/>
      <u/>
      <sz val="14.0"/>
      <color rgb="FF00FFFF"/>
      <name val="Arial"/>
    </font>
    <font>
      <b/>
      <sz val="9.0"/>
      <color rgb="FF00FFFF"/>
      <name val="Arial"/>
      <scheme val="minor"/>
    </font>
    <font>
      <sz val="9.0"/>
      <color rgb="FF00FFFF"/>
      <name val="Arial"/>
      <scheme val="minor"/>
    </font>
    <font>
      <color rgb="FF000000"/>
      <name val="Arial"/>
    </font>
    <font>
      <color rgb="FF000000"/>
      <name val="Arial"/>
      <scheme val="minor"/>
    </font>
    <font>
      <b/>
      <color rgb="FF000000"/>
      <name val="Arial"/>
    </font>
    <font>
      <b/>
      <color rgb="FF0000FF"/>
      <name val="Arial"/>
    </font>
    <font>
      <strike/>
      <color rgb="FF000000"/>
      <name val="Arial"/>
    </font>
    <font>
      <color theme="1"/>
      <name val="Arial"/>
      <scheme val="minor"/>
    </font>
    <font>
      <b/>
      <sz val="24.0"/>
      <color rgb="FFFFFFFF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u/>
      <sz val="12.0"/>
      <color rgb="FFFFFFFF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sz val="12.0"/>
      <color rgb="FFFFFFFF"/>
      <name val="Arial"/>
    </font>
    <font>
      <sz val="14.0"/>
      <color theme="1"/>
      <name val="Arial"/>
      <scheme val="minor"/>
    </font>
    <font>
      <sz val="9.0"/>
      <color theme="1"/>
      <name val="Arial"/>
    </font>
    <font>
      <sz val="9.0"/>
      <color theme="1"/>
      <name val="Arial"/>
      <scheme val="minor"/>
    </font>
    <font>
      <b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4.0"/>
      <color theme="1"/>
      <name val="Arial"/>
    </font>
    <font>
      <b/>
      <sz val="14.0"/>
      <color rgb="FF000000"/>
      <name val="Arial"/>
    </font>
    <font>
      <b/>
      <sz val="14.0"/>
      <color rgb="FFFFFFFF"/>
      <name val="Arial"/>
    </font>
    <font>
      <sz val="14.0"/>
      <color rgb="FFFF0000"/>
      <name val="Arial"/>
    </font>
    <font>
      <b/>
      <u/>
      <sz val="14.0"/>
      <color rgb="FFFFFFFF"/>
      <name val="Arial"/>
    </font>
    <font>
      <b/>
      <u/>
      <sz val="11.0"/>
      <color rgb="FFFFFFFF"/>
      <name val="Arial"/>
    </font>
    <font>
      <b/>
      <sz val="9.0"/>
      <color theme="1"/>
      <name val="Arial"/>
    </font>
    <font>
      <b/>
      <u/>
      <sz val="9.0"/>
      <color theme="0"/>
      <name val="Calibri"/>
    </font>
    <font>
      <b/>
      <sz val="9.0"/>
      <color theme="0"/>
      <name val="Arial"/>
    </font>
    <font>
      <b/>
      <u/>
      <sz val="9.0"/>
      <color theme="0"/>
      <name val="Calibri"/>
    </font>
    <font>
      <sz val="8.0"/>
      <color theme="1"/>
      <name val="Arial"/>
    </font>
    <font>
      <b/>
      <sz val="8.0"/>
      <color theme="1"/>
      <name val="Arial"/>
    </font>
    <font>
      <sz val="8.0"/>
      <color theme="1"/>
      <name val="Calibri"/>
    </font>
    <font>
      <sz val="8.0"/>
      <color rgb="FF000000"/>
      <name val="Calibri"/>
    </font>
    <font>
      <b/>
      <sz val="8.0"/>
      <color rgb="FFD9D9D9"/>
      <name val="Arial"/>
    </font>
    <font>
      <b/>
      <sz val="8.0"/>
      <color rgb="FF000000"/>
      <name val="Arial"/>
    </font>
    <font>
      <i/>
      <sz val="8.0"/>
      <color rgb="FFF3F3F3"/>
      <name val="Arial"/>
    </font>
    <font>
      <b/>
      <sz val="8.0"/>
      <color theme="1"/>
      <name val="Arial"/>
      <scheme val="minor"/>
    </font>
    <font>
      <sz val="8.0"/>
      <color rgb="FF000000"/>
      <name val="Arial"/>
    </font>
    <font>
      <i/>
      <sz val="9.0"/>
      <color rgb="FFEFEFEF"/>
      <name val="Arial"/>
    </font>
    <font>
      <color rgb="FF1F1F1F"/>
      <name val="&quot;Google Sans Mono&quot;"/>
    </font>
    <font>
      <sz val="10.0"/>
      <color rgb="FFFFFFFF"/>
      <name val="Arial"/>
    </font>
    <font>
      <b/>
      <u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color theme="1"/>
      <name val="Arial"/>
    </font>
    <font>
      <b/>
      <strike/>
      <u/>
      <sz val="9.0"/>
      <color rgb="FFFFFFFF"/>
      <name val="Arial"/>
    </font>
    <font>
      <b/>
      <u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strike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strike/>
      <sz val="9.0"/>
      <color theme="1"/>
      <name val="Arial"/>
    </font>
    <font>
      <b/>
      <u/>
      <color rgb="FFFFFFFF"/>
      <name val="Arial"/>
    </font>
    <font>
      <b/>
      <u/>
      <sz val="9.0"/>
      <color rgb="FFFFFFFF"/>
      <name val="Arial"/>
    </font>
    <font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u/>
      <sz val="9.0"/>
      <color theme="1"/>
      <name val="Arial"/>
    </font>
    <font>
      <u/>
      <sz val="9.0"/>
      <color theme="1"/>
      <name val="Arial"/>
    </font>
    <font>
      <sz val="9.0"/>
      <color rgb="FF1D1C1D"/>
      <name val="Arial"/>
    </font>
    <font>
      <b/>
      <color theme="1"/>
      <name val="Arial"/>
      <scheme val="minor"/>
    </font>
    <font>
      <b/>
      <sz val="9.0"/>
      <color theme="1"/>
      <name val="Arial"/>
      <scheme val="minor"/>
    </font>
    <font>
      <color rgb="FF1D1C1D"/>
      <name val="Slack-Lato"/>
    </font>
    <font>
      <sz val="9.0"/>
      <color rgb="FFD9D9D9"/>
      <name val="Arial"/>
    </font>
    <font>
      <strike/>
      <sz val="9.0"/>
      <color theme="1"/>
      <name val="Arial"/>
      <scheme val="minor"/>
    </font>
    <font>
      <sz val="9.0"/>
      <color rgb="FF00FF00"/>
      <name val="Arial"/>
    </font>
    <font>
      <color rgb="FF00FF00"/>
      <name val="Arial"/>
    </font>
    <font>
      <sz val="9.0"/>
      <color rgb="FF00FF00"/>
      <name val="Arial"/>
      <scheme val="minor"/>
    </font>
    <font>
      <b/>
      <strike/>
      <sz val="8.0"/>
      <color theme="1"/>
      <name val="Arial"/>
    </font>
    <font>
      <u/>
      <sz val="9.0"/>
      <color rgb="FF000000"/>
      <name val="Arial"/>
    </font>
    <font>
      <b/>
      <u/>
      <sz val="9.0"/>
      <color rgb="FFFFFFFF"/>
      <name val="Arial"/>
    </font>
    <font>
      <strike/>
      <u/>
      <sz val="9.0"/>
      <color theme="1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strike/>
      <sz val="9.0"/>
      <color rgb="FF000000"/>
      <name val="Arial"/>
    </font>
    <font>
      <strike/>
      <color theme="1"/>
      <name val="Arial"/>
      <scheme val="minor"/>
    </font>
    <font>
      <b/>
      <u/>
      <sz val="9.0"/>
      <color rgb="FFFFFFFF"/>
      <name val="Arial"/>
    </font>
    <font>
      <u/>
      <sz val="9.0"/>
      <color theme="1"/>
      <name val="Arial"/>
    </font>
    <font>
      <b/>
      <u/>
      <sz val="9.0"/>
      <color rgb="FFFFFFFF"/>
      <name val="Arial"/>
    </font>
    <font>
      <b/>
      <sz val="10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b/>
      <u/>
      <sz val="9.0"/>
      <color rgb="FFFFFFFF"/>
      <name val="Arial"/>
    </font>
    <font>
      <strike/>
      <u/>
      <sz val="9.0"/>
      <color theme="1"/>
      <name val="Arial"/>
    </font>
    <font>
      <u/>
      <sz val="9.0"/>
      <color theme="1"/>
      <name val="Arial"/>
    </font>
    <font>
      <b/>
      <u/>
      <sz val="9.0"/>
      <color rgb="FFFFFFFF"/>
      <name val="Arial"/>
    </font>
    <font>
      <u/>
      <sz val="9.0"/>
      <color theme="1"/>
      <name val="Arial"/>
    </font>
    <font>
      <u/>
      <sz val="9.0"/>
      <color theme="1"/>
      <name val="Arial"/>
    </font>
    <font>
      <b/>
      <strike/>
      <u/>
      <sz val="9.0"/>
      <color rgb="FFFFFFFF"/>
      <name val="Arial"/>
    </font>
    <font>
      <strike/>
      <sz val="9.0"/>
      <color rgb="FF1D1C1D"/>
      <name val="Arial"/>
      <scheme val="minor"/>
    </font>
    <font>
      <strike/>
      <u/>
      <sz val="9.0"/>
      <color theme="1"/>
      <name val="Arial"/>
    </font>
    <font>
      <u/>
      <sz val="9.0"/>
      <color rgb="FFFFFFFF"/>
      <name val="Arial"/>
    </font>
    <font>
      <b/>
      <u/>
      <sz val="9.0"/>
      <color rgb="FFFFFFFF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theme="1"/>
      <name val="Arial"/>
    </font>
    <font>
      <strike/>
      <color rgb="FF1D1C1D"/>
      <name val="Arial"/>
    </font>
    <font>
      <u/>
      <sz val="9.0"/>
      <color theme="1"/>
      <name val="Arial"/>
    </font>
    <font>
      <u/>
      <sz val="9.0"/>
      <color theme="1"/>
      <name val="Arial"/>
    </font>
    <font>
      <u/>
      <sz val="9.0"/>
      <color theme="1"/>
      <name val="Arial"/>
    </font>
    <font>
      <u/>
      <sz val="10.0"/>
      <color theme="1"/>
      <name val="Arial"/>
    </font>
    <font>
      <u/>
      <sz val="9.0"/>
      <color theme="1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u/>
      <sz val="9.0"/>
      <color theme="1"/>
      <name val="Arial"/>
    </font>
    <font>
      <sz val="9.0"/>
      <color rgb="FFFFFFFF"/>
      <name val="Arial"/>
    </font>
    <font>
      <sz val="9.0"/>
      <color rgb="FF000000"/>
      <name val="Arial"/>
      <scheme val="minor"/>
    </font>
    <font>
      <b/>
      <u/>
      <sz val="9.0"/>
      <color rgb="FF000000"/>
      <name val="Arial"/>
    </font>
    <font>
      <u/>
      <sz val="9.0"/>
      <color rgb="FF000000"/>
      <name val="Arial"/>
    </font>
    <font>
      <b/>
      <color rgb="FFFFFFFF"/>
      <name val="Arial"/>
      <scheme val="minor"/>
    </font>
    <font>
      <strike/>
      <u/>
      <sz val="9.0"/>
      <color theme="1"/>
      <name val="Arial"/>
    </font>
    <font>
      <u/>
      <sz val="9.0"/>
      <color rgb="FF000000"/>
      <name val="Arial"/>
    </font>
    <font>
      <b/>
      <u/>
      <sz val="9.0"/>
      <color rgb="FFFFFFFF"/>
      <name val="Arial"/>
    </font>
    <font>
      <b/>
      <u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FFFFFF"/>
      <name val="Arial"/>
    </font>
    <font>
      <b/>
      <u/>
      <sz val="9.0"/>
      <color rgb="FF000000"/>
      <name val="Arial"/>
    </font>
    <font>
      <b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000000"/>
      <name val="Arial"/>
    </font>
    <font>
      <b/>
      <u/>
      <sz val="9.0"/>
      <color rgb="FFFFFFFF"/>
      <name val="Arial"/>
    </font>
  </fonts>
  <fills count="52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203764"/>
        <bgColor rgb="FF203764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3D85C6"/>
        <bgColor rgb="FF3D85C6"/>
      </patternFill>
    </fill>
    <fill>
      <patternFill patternType="solid">
        <fgColor rgb="FF073763"/>
        <bgColor rgb="FF073763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434343"/>
        <bgColor rgb="FF434343"/>
      </patternFill>
    </fill>
    <fill>
      <patternFill patternType="solid">
        <fgColor rgb="FF134F5C"/>
        <bgColor rgb="FF134F5C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980000"/>
        <bgColor rgb="FF980000"/>
      </patternFill>
    </fill>
    <fill>
      <patternFill patternType="solid">
        <fgColor rgb="FFEAD1DC"/>
        <bgColor rgb="FFEAD1DC"/>
      </patternFill>
    </fill>
    <fill>
      <patternFill patternType="solid">
        <fgColor rgb="FFF8F8F8"/>
        <bgColor rgb="FFF8F8F8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990000"/>
        <bgColor rgb="FF990000"/>
      </patternFill>
    </fill>
    <fill>
      <patternFill patternType="solid">
        <fgColor rgb="FFF6B26B"/>
        <bgColor rgb="FFF6B26B"/>
      </patternFill>
    </fill>
    <fill>
      <patternFill patternType="solid">
        <fgColor rgb="FFCC4125"/>
        <bgColor rgb="FFCC4125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45818E"/>
        <bgColor rgb="FF45818E"/>
      </patternFill>
    </fill>
    <fill>
      <patternFill patternType="solid">
        <fgColor rgb="FF00FF00"/>
        <bgColor rgb="FF00FF00"/>
      </patternFill>
    </fill>
    <fill>
      <patternFill patternType="solid">
        <fgColor rgb="FF76A5AF"/>
        <bgColor rgb="FF76A5AF"/>
      </patternFill>
    </fill>
    <fill>
      <patternFill patternType="solid">
        <fgColor rgb="FFE6B8AF"/>
        <bgColor rgb="FFE6B8AF"/>
      </patternFill>
    </fill>
    <fill>
      <patternFill patternType="solid">
        <fgColor rgb="FFC27BA0"/>
        <bgColor rgb="FFC27BA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wrapText="0"/>
    </xf>
    <xf borderId="0" fillId="2" fontId="3" numFmtId="0" xfId="0" applyAlignment="1" applyFont="1">
      <alignment horizontal="center" readingOrder="0" shrinkToFit="0" wrapText="0"/>
    </xf>
    <xf borderId="0" fillId="3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1" fillId="2" fontId="5" numFmtId="0" xfId="0" applyAlignment="1" applyBorder="1" applyFont="1">
      <alignment horizontal="center" readingOrder="0" shrinkToFit="0" vertical="center" wrapText="0"/>
    </xf>
    <xf borderId="2" fillId="2" fontId="6" numFmtId="0" xfId="0" applyAlignment="1" applyBorder="1" applyFont="1">
      <alignment horizontal="center" readingOrder="0" shrinkToFit="0" vertical="center" wrapText="1"/>
    </xf>
    <xf borderId="3" fillId="2" fontId="7" numFmtId="0" xfId="0" applyAlignment="1" applyBorder="1" applyFont="1">
      <alignment horizontal="center" readingOrder="0" shrinkToFit="0" wrapText="0"/>
    </xf>
    <xf borderId="3" fillId="0" fontId="8" numFmtId="0" xfId="0" applyBorder="1" applyFont="1"/>
    <xf borderId="3" fillId="2" fontId="7" numFmtId="10" xfId="0" applyAlignment="1" applyBorder="1" applyFont="1" applyNumberFormat="1">
      <alignment horizontal="center" readingOrder="0" shrinkToFit="0" wrapText="0"/>
    </xf>
    <xf borderId="3" fillId="2" fontId="9" numFmtId="0" xfId="0" applyAlignment="1" applyBorder="1" applyFont="1">
      <alignment horizontal="center" readingOrder="0" shrinkToFit="0" wrapText="0"/>
    </xf>
    <xf borderId="3" fillId="2" fontId="10" numFmtId="0" xfId="0" applyAlignment="1" applyBorder="1" applyFont="1">
      <alignment horizontal="center" readingOrder="0" shrinkToFit="0" wrapText="0"/>
    </xf>
    <xf borderId="0" fillId="3" fontId="11" numFmtId="0" xfId="0" applyAlignment="1" applyFont="1">
      <alignment horizontal="center" readingOrder="0" shrinkToFit="0" wrapText="0"/>
    </xf>
    <xf borderId="0" fillId="2" fontId="12" numFmtId="0" xfId="0" applyAlignment="1" applyFont="1">
      <alignment horizontal="center" readingOrder="0" shrinkToFit="0" wrapText="0"/>
    </xf>
    <xf borderId="3" fillId="2" fontId="13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horizontal="center" readingOrder="0" shrinkToFit="0" vertical="center" wrapText="0"/>
    </xf>
    <xf borderId="4" fillId="0" fontId="8" numFmtId="0" xfId="0" applyBorder="1" applyFont="1"/>
    <xf borderId="4" fillId="2" fontId="14" numFmtId="49" xfId="0" applyAlignment="1" applyBorder="1" applyFont="1" applyNumberFormat="1">
      <alignment horizontal="center" readingOrder="0" shrinkToFit="0" wrapText="0"/>
    </xf>
    <xf borderId="4" fillId="2" fontId="14" numFmtId="10" xfId="0" applyAlignment="1" applyBorder="1" applyFont="1" applyNumberFormat="1">
      <alignment horizontal="center" readingOrder="0" shrinkToFit="0" wrapText="0"/>
    </xf>
    <xf borderId="4" fillId="2" fontId="9" numFmtId="49" xfId="0" applyAlignment="1" applyBorder="1" applyFont="1" applyNumberFormat="1">
      <alignment horizontal="center" readingOrder="0" shrinkToFit="0" wrapText="0"/>
    </xf>
    <xf borderId="4" fillId="2" fontId="15" numFmtId="49" xfId="0" applyAlignment="1" applyBorder="1" applyFont="1" applyNumberFormat="1">
      <alignment horizontal="center" readingOrder="0" shrinkToFit="0" wrapText="0"/>
    </xf>
    <xf borderId="0" fillId="3" fontId="15" numFmtId="49" xfId="0" applyAlignment="1" applyFont="1" applyNumberFormat="1">
      <alignment horizontal="center" readingOrder="0" shrinkToFit="0" wrapText="0"/>
    </xf>
    <xf borderId="0" fillId="3" fontId="4" numFmtId="49" xfId="0" applyAlignment="1" applyFont="1" applyNumberFormat="1">
      <alignment vertical="bottom"/>
    </xf>
    <xf borderId="4" fillId="2" fontId="6" numFmtId="49" xfId="0" applyAlignment="1" applyBorder="1" applyFont="1" applyNumberFormat="1">
      <alignment horizontal="center" readingOrder="0" vertical="bottom"/>
    </xf>
    <xf borderId="5" fillId="4" fontId="16" numFmtId="0" xfId="0" applyAlignment="1" applyBorder="1" applyFill="1" applyFont="1">
      <alignment horizontal="center" readingOrder="0" vertical="bottom"/>
    </xf>
    <xf borderId="5" fillId="4" fontId="16" numFmtId="10" xfId="0" applyAlignment="1" applyBorder="1" applyFont="1" applyNumberFormat="1">
      <alignment horizontal="center" readingOrder="0" vertical="bottom"/>
    </xf>
    <xf borderId="5" fillId="4" fontId="16" numFmtId="0" xfId="0" applyAlignment="1" applyBorder="1" applyFont="1">
      <alignment horizontal="center" vertical="bottom"/>
    </xf>
    <xf borderId="0" fillId="3" fontId="17" numFmtId="0" xfId="0" applyAlignment="1" applyFont="1">
      <alignment horizontal="center" readingOrder="0" shrinkToFit="0" wrapText="0"/>
    </xf>
    <xf borderId="5" fillId="4" fontId="18" numFmtId="0" xfId="0" applyAlignment="1" applyBorder="1" applyFont="1">
      <alignment horizontal="center" readingOrder="0" vertical="bottom"/>
    </xf>
    <xf borderId="5" fillId="4" fontId="16" numFmtId="0" xfId="0" applyAlignment="1" applyBorder="1" applyFont="1">
      <alignment vertical="bottom"/>
    </xf>
    <xf borderId="0" fillId="3" fontId="16" numFmtId="0" xfId="0" applyAlignment="1" applyFont="1">
      <alignment vertical="bottom"/>
    </xf>
    <xf borderId="5" fillId="4" fontId="16" numFmtId="0" xfId="0" applyAlignment="1" applyBorder="1" applyFont="1">
      <alignment vertical="bottom"/>
    </xf>
    <xf borderId="5" fillId="4" fontId="16" numFmtId="0" xfId="0" applyAlignment="1" applyBorder="1" applyFont="1">
      <alignment horizontal="center" readingOrder="0" vertical="bottom"/>
    </xf>
    <xf borderId="5" fillId="4" fontId="16" numFmtId="0" xfId="0" applyAlignment="1" applyBorder="1" applyFont="1">
      <alignment horizontal="center" vertical="bottom"/>
    </xf>
    <xf borderId="5" fillId="4" fontId="16" numFmtId="0" xfId="0" applyAlignment="1" applyBorder="1" applyFont="1">
      <alignment readingOrder="0" vertical="bottom"/>
    </xf>
    <xf borderId="5" fillId="5" fontId="19" numFmtId="0" xfId="0" applyAlignment="1" applyBorder="1" applyFill="1" applyFont="1">
      <alignment horizontal="center" readingOrder="0" vertical="bottom"/>
    </xf>
    <xf borderId="0" fillId="3" fontId="16" numFmtId="0" xfId="0" applyAlignment="1" applyFont="1">
      <alignment vertical="bottom"/>
    </xf>
    <xf borderId="5" fillId="4" fontId="16" numFmtId="0" xfId="0" applyAlignment="1" applyBorder="1" applyFont="1">
      <alignment vertical="bottom"/>
    </xf>
    <xf borderId="5" fillId="4" fontId="16" numFmtId="0" xfId="0" applyAlignment="1" applyBorder="1" applyFont="1">
      <alignment horizontal="center" readingOrder="0" vertical="bottom"/>
    </xf>
    <xf borderId="5" fillId="4" fontId="16" numFmtId="0" xfId="0" applyAlignment="1" applyBorder="1" applyFont="1">
      <alignment readingOrder="0" vertical="bottom"/>
    </xf>
    <xf borderId="5" fillId="5" fontId="16" numFmtId="0" xfId="0" applyAlignment="1" applyBorder="1" applyFont="1">
      <alignment horizontal="center" readingOrder="0" vertical="bottom"/>
    </xf>
    <xf borderId="5" fillId="5" fontId="16" numFmtId="0" xfId="0" applyAlignment="1" applyBorder="1" applyFont="1">
      <alignment horizontal="center" vertical="bottom"/>
    </xf>
    <xf borderId="5" fillId="5" fontId="16" numFmtId="10" xfId="0" applyAlignment="1" applyBorder="1" applyFont="1" applyNumberFormat="1">
      <alignment horizontal="center" vertical="bottom"/>
    </xf>
    <xf borderId="5" fillId="6" fontId="16" numFmtId="0" xfId="0" applyAlignment="1" applyBorder="1" applyFill="1" applyFont="1">
      <alignment horizontal="center" vertical="bottom"/>
    </xf>
    <xf borderId="5" fillId="6" fontId="16" numFmtId="10" xfId="0" applyAlignment="1" applyBorder="1" applyFont="1" applyNumberFormat="1">
      <alignment horizontal="center" vertical="bottom"/>
    </xf>
    <xf borderId="5" fillId="6" fontId="16" numFmtId="0" xfId="0" applyAlignment="1" applyBorder="1" applyFont="1">
      <alignment horizontal="center" readingOrder="0" vertical="bottom"/>
    </xf>
    <xf borderId="6" fillId="3" fontId="17" numFmtId="0" xfId="0" applyAlignment="1" applyBorder="1" applyFont="1">
      <alignment horizontal="center" readingOrder="0" shrinkToFit="0" wrapText="0"/>
    </xf>
    <xf borderId="6" fillId="3" fontId="16" numFmtId="0" xfId="0" applyAlignment="1" applyBorder="1" applyFont="1">
      <alignment vertical="bottom"/>
    </xf>
    <xf borderId="5" fillId="5" fontId="16" numFmtId="0" xfId="0" applyAlignment="1" applyBorder="1" applyFont="1">
      <alignment horizontal="center" vertical="bottom"/>
    </xf>
    <xf borderId="5" fillId="5" fontId="16" numFmtId="10" xfId="0" applyAlignment="1" applyBorder="1" applyFont="1" applyNumberFormat="1">
      <alignment horizontal="center" vertical="bottom"/>
    </xf>
    <xf borderId="6" fillId="3" fontId="16" numFmtId="0" xfId="0" applyAlignment="1" applyBorder="1" applyFont="1">
      <alignment horizontal="center" vertical="bottom"/>
    </xf>
    <xf borderId="5" fillId="6" fontId="16" numFmtId="10" xfId="0" applyAlignment="1" applyBorder="1" applyFont="1" applyNumberFormat="1">
      <alignment horizontal="center" readingOrder="0" vertical="bottom"/>
    </xf>
    <xf borderId="4" fillId="4" fontId="4" numFmtId="0" xfId="0" applyAlignment="1" applyBorder="1" applyFont="1">
      <alignment horizontal="center" readingOrder="0" vertical="center"/>
    </xf>
    <xf borderId="5" fillId="6" fontId="16" numFmtId="0" xfId="0" applyAlignment="1" applyBorder="1" applyFont="1">
      <alignment horizontal="center" vertical="bottom"/>
    </xf>
    <xf borderId="5" fillId="6" fontId="16" numFmtId="10" xfId="0" applyAlignment="1" applyBorder="1" applyFont="1" applyNumberFormat="1">
      <alignment horizontal="center" vertical="bottom"/>
    </xf>
    <xf borderId="5" fillId="6" fontId="19" numFmtId="0" xfId="0" applyAlignment="1" applyBorder="1" applyFont="1">
      <alignment horizontal="center" readingOrder="0" vertical="bottom"/>
    </xf>
    <xf borderId="5" fillId="4" fontId="16" numFmtId="0" xfId="0" applyAlignment="1" applyBorder="1" applyFont="1">
      <alignment readingOrder="0" vertical="bottom"/>
    </xf>
    <xf borderId="5" fillId="5" fontId="18" numFmtId="0" xfId="0" applyAlignment="1" applyBorder="1" applyFont="1">
      <alignment horizontal="center" readingOrder="0" vertical="bottom"/>
    </xf>
    <xf borderId="5" fillId="5" fontId="20" numFmtId="0" xfId="0" applyAlignment="1" applyBorder="1" applyFont="1">
      <alignment horizontal="center" vertical="bottom"/>
    </xf>
    <xf borderId="5" fillId="5" fontId="20" numFmtId="10" xfId="0" applyAlignment="1" applyBorder="1" applyFont="1" applyNumberFormat="1">
      <alignment horizontal="center" vertical="bottom"/>
    </xf>
    <xf borderId="6" fillId="3" fontId="20" numFmtId="0" xfId="0" applyAlignment="1" applyBorder="1" applyFont="1">
      <alignment horizontal="center" vertical="bottom"/>
    </xf>
    <xf borderId="5" fillId="4" fontId="19" numFmtId="0" xfId="0" applyAlignment="1" applyBorder="1" applyFont="1">
      <alignment horizontal="center" readingOrder="0" vertical="bottom"/>
    </xf>
    <xf borderId="5" fillId="6" fontId="18" numFmtId="0" xfId="0" applyAlignment="1" applyBorder="1" applyFont="1">
      <alignment horizontal="center" readingOrder="0" vertical="bottom"/>
    </xf>
    <xf borderId="5" fillId="6" fontId="16" numFmtId="0" xfId="0" applyAlignment="1" applyBorder="1" applyFont="1">
      <alignment horizontal="center" readingOrder="0" vertical="bottom"/>
    </xf>
    <xf borderId="5" fillId="5" fontId="16" numFmtId="0" xfId="0" applyAlignment="1" applyBorder="1" applyFont="1">
      <alignment horizontal="center" readingOrder="0" vertical="bottom"/>
    </xf>
    <xf borderId="5" fillId="5" fontId="16" numFmtId="0" xfId="0" applyAlignment="1" applyBorder="1" applyFont="1">
      <alignment horizontal="center" vertical="bottom"/>
    </xf>
    <xf borderId="5" fillId="5" fontId="16" numFmtId="10" xfId="0" applyAlignment="1" applyBorder="1" applyFont="1" applyNumberFormat="1">
      <alignment horizontal="center" vertical="bottom"/>
    </xf>
    <xf borderId="5" fillId="5" fontId="16" numFmtId="0" xfId="0" applyAlignment="1" applyBorder="1" applyFont="1">
      <alignment vertical="bottom"/>
    </xf>
    <xf borderId="5" fillId="6" fontId="16" numFmtId="0" xfId="0" applyAlignment="1" applyBorder="1" applyFont="1">
      <alignment vertical="bottom"/>
    </xf>
    <xf borderId="5" fillId="0" fontId="16" numFmtId="0" xfId="0" applyAlignment="1" applyBorder="1" applyFont="1">
      <alignment horizontal="center" readingOrder="0" vertical="bottom"/>
    </xf>
    <xf borderId="5" fillId="0" fontId="16" numFmtId="0" xfId="0" applyAlignment="1" applyBorder="1" applyFont="1">
      <alignment horizontal="center" vertical="bottom"/>
    </xf>
    <xf borderId="5" fillId="0" fontId="16" numFmtId="10" xfId="0" applyAlignment="1" applyBorder="1" applyFont="1" applyNumberFormat="1">
      <alignment horizontal="center" vertical="bottom"/>
    </xf>
    <xf borderId="5" fillId="0" fontId="21" numFmtId="0" xfId="0" applyBorder="1" applyFont="1"/>
    <xf borderId="5" fillId="0" fontId="16" numFmtId="0" xfId="0" applyAlignment="1" applyBorder="1" applyFont="1">
      <alignment vertical="bottom"/>
    </xf>
    <xf borderId="0" fillId="4" fontId="16" numFmtId="0" xfId="0" applyAlignment="1" applyFont="1">
      <alignment horizontal="center" vertical="bottom"/>
    </xf>
    <xf borderId="5" fillId="3" fontId="16" numFmtId="0" xfId="0" applyAlignment="1" applyBorder="1" applyFont="1">
      <alignment horizontal="center" readingOrder="0" vertical="bottom"/>
    </xf>
    <xf borderId="5" fillId="3" fontId="16" numFmtId="0" xfId="0" applyAlignment="1" applyBorder="1" applyFont="1">
      <alignment horizontal="center" vertical="bottom"/>
    </xf>
    <xf borderId="5" fillId="3" fontId="16" numFmtId="10" xfId="0" applyAlignment="1" applyBorder="1" applyFont="1" applyNumberFormat="1">
      <alignment horizontal="center" vertical="bottom"/>
    </xf>
    <xf borderId="5" fillId="3" fontId="16" numFmtId="0" xfId="0" applyAlignment="1" applyBorder="1" applyFont="1">
      <alignment horizontal="center" vertical="bottom"/>
    </xf>
    <xf borderId="5" fillId="3" fontId="16" numFmtId="0" xfId="0" applyAlignment="1" applyBorder="1" applyFont="1">
      <alignment horizontal="center" readingOrder="0" vertical="bottom"/>
    </xf>
    <xf borderId="5" fillId="3" fontId="16" numFmtId="0" xfId="0" applyAlignment="1" applyBorder="1" applyFont="1">
      <alignment vertical="bottom"/>
    </xf>
    <xf borderId="5" fillId="6" fontId="16" numFmtId="0" xfId="0" applyAlignment="1" applyBorder="1" applyFont="1">
      <alignment horizontal="center" readingOrder="0" vertical="bottom"/>
    </xf>
    <xf borderId="5" fillId="7" fontId="16" numFmtId="0" xfId="0" applyAlignment="1" applyBorder="1" applyFill="1" applyFont="1">
      <alignment horizontal="center" readingOrder="0" vertical="bottom"/>
    </xf>
    <xf borderId="7" fillId="3" fontId="4" numFmtId="0" xfId="0" applyAlignment="1" applyBorder="1" applyFont="1">
      <alignment readingOrder="0"/>
    </xf>
    <xf borderId="8" fillId="3" fontId="22" numFmtId="0" xfId="0" applyAlignment="1" applyBorder="1" applyFont="1">
      <alignment horizontal="center" readingOrder="0"/>
    </xf>
    <xf borderId="8" fillId="0" fontId="8" numFmtId="0" xfId="0" applyBorder="1" applyFont="1"/>
    <xf borderId="9" fillId="0" fontId="8" numFmtId="0" xfId="0" applyBorder="1" applyFont="1"/>
    <xf borderId="10" fillId="3" fontId="4" numFmtId="0" xfId="0" applyBorder="1" applyFont="1"/>
    <xf borderId="11" fillId="3" fontId="4" numFmtId="0" xfId="0" applyBorder="1" applyFont="1"/>
    <xf borderId="0" fillId="8" fontId="23" numFmtId="0" xfId="0" applyAlignment="1" applyFill="1" applyFont="1">
      <alignment horizontal="center" readingOrder="0" shrinkToFit="0" vertical="center" wrapText="0"/>
    </xf>
    <xf borderId="12" fillId="3" fontId="22" numFmtId="0" xfId="0" applyAlignment="1" applyBorder="1" applyFont="1">
      <alignment horizontal="center" readingOrder="0" shrinkToFit="0" vertical="center" wrapText="0"/>
    </xf>
    <xf borderId="5" fillId="8" fontId="24" numFmtId="0" xfId="0" applyAlignment="1" applyBorder="1" applyFont="1">
      <alignment horizontal="center" shrinkToFit="0" vertical="center" wrapText="0"/>
    </xf>
    <xf borderId="7" fillId="3" fontId="4" numFmtId="0" xfId="0" applyAlignment="1" applyBorder="1" applyFont="1">
      <alignment horizontal="center" vertical="center"/>
    </xf>
    <xf borderId="8" fillId="3" fontId="22" numFmtId="0" xfId="0" applyAlignment="1" applyBorder="1" applyFont="1">
      <alignment horizontal="center" readingOrder="0" vertical="center"/>
    </xf>
    <xf borderId="7" fillId="3" fontId="4" numFmtId="0" xfId="0" applyBorder="1" applyFont="1"/>
    <xf borderId="13" fillId="0" fontId="8" numFmtId="0" xfId="0" applyBorder="1" applyFont="1"/>
    <xf borderId="6" fillId="0" fontId="8" numFmtId="0" xfId="0" applyBorder="1" applyFont="1"/>
    <xf borderId="6" fillId="3" fontId="4" numFmtId="0" xfId="0" applyBorder="1" applyFont="1"/>
    <xf borderId="0" fillId="8" fontId="25" numFmtId="0" xfId="0" applyAlignment="1" applyFont="1">
      <alignment horizontal="center" readingOrder="0" shrinkToFit="0" vertical="center" wrapText="0"/>
    </xf>
    <xf borderId="14" fillId="0" fontId="8" numFmtId="0" xfId="0" applyBorder="1" applyFont="1"/>
    <xf borderId="6" fillId="6" fontId="26" numFmtId="0" xfId="0" applyAlignment="1" applyBorder="1" applyFont="1">
      <alignment horizontal="center"/>
    </xf>
    <xf borderId="0" fillId="8" fontId="27" numFmtId="0" xfId="0" applyAlignment="1" applyFont="1">
      <alignment horizontal="center" readingOrder="0" shrinkToFit="0" vertical="center" wrapText="0"/>
    </xf>
    <xf borderId="5" fillId="6" fontId="27" numFmtId="0" xfId="0" applyAlignment="1" applyBorder="1" applyFont="1">
      <alignment horizontal="center" readingOrder="0" shrinkToFit="0" vertical="center" wrapText="0"/>
    </xf>
    <xf borderId="5" fillId="8" fontId="28" numFmtId="0" xfId="0" applyAlignment="1" applyBorder="1" applyFont="1">
      <alignment horizontal="center" vertical="center"/>
    </xf>
    <xf borderId="7" fillId="3" fontId="29" numFmtId="0" xfId="0" applyAlignment="1" applyBorder="1" applyFont="1">
      <alignment horizontal="center" vertical="center"/>
    </xf>
    <xf borderId="6" fillId="6" fontId="26" numFmtId="0" xfId="0" applyAlignment="1" applyBorder="1" applyFont="1">
      <alignment horizontal="center" vertical="center"/>
    </xf>
    <xf borderId="6" fillId="3" fontId="30" numFmtId="0" xfId="0" applyAlignment="1" applyBorder="1" applyFont="1">
      <alignment horizontal="center" readingOrder="0"/>
    </xf>
    <xf borderId="6" fillId="9" fontId="30" numFmtId="0" xfId="0" applyAlignment="1" applyBorder="1" applyFill="1" applyFont="1">
      <alignment horizontal="center" readingOrder="0"/>
    </xf>
    <xf borderId="10" fillId="3" fontId="4" numFmtId="0" xfId="0" applyAlignment="1" applyBorder="1" applyFont="1">
      <alignment readingOrder="0"/>
    </xf>
    <xf borderId="0" fillId="8" fontId="30" numFmtId="0" xfId="0" applyAlignment="1" applyFont="1">
      <alignment horizontal="center" readingOrder="0" shrinkToFit="0" vertical="center" wrapText="0"/>
    </xf>
    <xf borderId="5" fillId="9" fontId="30" numFmtId="0" xfId="0" applyAlignment="1" applyBorder="1" applyFont="1">
      <alignment horizontal="center" readingOrder="0" shrinkToFit="0" vertical="center" wrapText="0"/>
    </xf>
    <xf borderId="5" fillId="8" fontId="31" numFmtId="0" xfId="0" applyAlignment="1" applyBorder="1" applyFont="1">
      <alignment horizontal="center" vertical="center"/>
    </xf>
    <xf borderId="6" fillId="9" fontId="30" numFmtId="0" xfId="0" applyAlignment="1" applyBorder="1" applyFont="1">
      <alignment horizontal="center" readingOrder="0" vertical="center"/>
    </xf>
    <xf borderId="7" fillId="3" fontId="32" numFmtId="0" xfId="0" applyBorder="1" applyFont="1"/>
    <xf borderId="5" fillId="4" fontId="33" numFmtId="0" xfId="0" applyAlignment="1" applyBorder="1" applyFont="1">
      <alignment horizontal="center" readingOrder="0" vertical="center"/>
    </xf>
    <xf borderId="5" fillId="4" fontId="24" numFmtId="0" xfId="0" applyAlignment="1" applyBorder="1" applyFont="1">
      <alignment horizontal="center" readingOrder="0"/>
    </xf>
    <xf borderId="6" fillId="4" fontId="24" numFmtId="0" xfId="0" applyAlignment="1" applyBorder="1" applyFont="1">
      <alignment horizontal="center" readingOrder="0"/>
    </xf>
    <xf borderId="7" fillId="3" fontId="32" numFmtId="0" xfId="0" applyBorder="1" applyFont="1"/>
    <xf borderId="6" fillId="4" fontId="33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readingOrder="0"/>
    </xf>
    <xf borderId="5" fillId="10" fontId="33" numFmtId="0" xfId="0" applyAlignment="1" applyBorder="1" applyFill="1" applyFont="1">
      <alignment horizontal="center" readingOrder="0" vertical="center"/>
    </xf>
    <xf borderId="5" fillId="4" fontId="32" numFmtId="0" xfId="0" applyAlignment="1" applyBorder="1" applyFont="1">
      <alignment horizontal="center"/>
    </xf>
    <xf borderId="0" fillId="0" fontId="21" numFmtId="0" xfId="0" applyAlignment="1" applyFont="1">
      <alignment horizontal="center" readingOrder="0"/>
    </xf>
    <xf borderId="5" fillId="11" fontId="33" numFmtId="0" xfId="0" applyAlignment="1" applyBorder="1" applyFill="1" applyFont="1">
      <alignment horizontal="center" readingOrder="0" vertical="center"/>
    </xf>
    <xf borderId="10" fillId="3" fontId="32" numFmtId="0" xfId="0" applyBorder="1" applyFont="1"/>
    <xf borderId="0" fillId="3" fontId="32" numFmtId="0" xfId="0" applyFont="1"/>
    <xf borderId="10" fillId="3" fontId="32" numFmtId="0" xfId="0" applyBorder="1" applyFont="1"/>
    <xf borderId="0" fillId="3" fontId="32" numFmtId="0" xfId="0" applyFont="1"/>
    <xf borderId="5" fillId="12" fontId="24" numFmtId="0" xfId="0" applyAlignment="1" applyBorder="1" applyFill="1" applyFont="1">
      <alignment horizontal="center" readingOrder="0"/>
    </xf>
    <xf borderId="5" fillId="4" fontId="32" numFmtId="0" xfId="0" applyAlignment="1" applyBorder="1" applyFont="1">
      <alignment horizontal="center" vertical="bottom"/>
    </xf>
    <xf borderId="5" fillId="3" fontId="33" numFmtId="0" xfId="0" applyAlignment="1" applyBorder="1" applyFont="1">
      <alignment horizontal="center" readingOrder="0" vertical="center"/>
    </xf>
    <xf borderId="5" fillId="3" fontId="32" numFmtId="0" xfId="0" applyBorder="1" applyFont="1"/>
    <xf borderId="5" fillId="3" fontId="32" numFmtId="0" xfId="0" applyAlignment="1" applyBorder="1" applyFont="1">
      <alignment horizontal="center"/>
    </xf>
    <xf borderId="6" fillId="3" fontId="33" numFmtId="0" xfId="0" applyAlignment="1" applyBorder="1" applyFont="1">
      <alignment horizontal="center" readingOrder="0" vertical="center"/>
    </xf>
    <xf borderId="6" fillId="3" fontId="32" numFmtId="0" xfId="0" applyAlignment="1" applyBorder="1" applyFont="1">
      <alignment horizontal="center" readingOrder="0"/>
    </xf>
    <xf borderId="6" fillId="3" fontId="32" numFmtId="0" xfId="0" applyAlignment="1" applyBorder="1" applyFont="1">
      <alignment horizontal="center"/>
    </xf>
    <xf borderId="5" fillId="3" fontId="24" numFmtId="0" xfId="0" applyAlignment="1" applyBorder="1" applyFont="1">
      <alignment horizontal="center" readingOrder="0"/>
    </xf>
    <xf borderId="5" fillId="11" fontId="24" numFmtId="0" xfId="0" applyAlignment="1" applyBorder="1" applyFont="1">
      <alignment horizontal="center" readingOrder="0"/>
    </xf>
    <xf borderId="5" fillId="3" fontId="33" numFmtId="0" xfId="0" applyAlignment="1" applyBorder="1" applyFont="1">
      <alignment horizontal="center" readingOrder="0"/>
    </xf>
    <xf borderId="5" fillId="3" fontId="32" numFmtId="0" xfId="0" applyBorder="1" applyFont="1"/>
    <xf borderId="5" fillId="3" fontId="24" numFmtId="0" xfId="0" applyAlignment="1" applyBorder="1" applyFont="1">
      <alignment horizontal="left" readingOrder="0"/>
    </xf>
    <xf borderId="0" fillId="4" fontId="24" numFmtId="0" xfId="0" applyAlignment="1" applyFont="1">
      <alignment horizontal="center" readingOrder="0"/>
    </xf>
    <xf borderId="0" fillId="3" fontId="24" numFmtId="0" xfId="0" applyAlignment="1" applyFont="1">
      <alignment horizontal="left" readingOrder="0"/>
    </xf>
    <xf borderId="0" fillId="3" fontId="24" numFmtId="0" xfId="0" applyAlignment="1" applyFont="1">
      <alignment horizontal="center" readingOrder="0"/>
    </xf>
    <xf borderId="0" fillId="3" fontId="33" numFmtId="0" xfId="0" applyAlignment="1" applyFont="1">
      <alignment horizontal="center" readingOrder="0" vertical="center"/>
    </xf>
    <xf borderId="0" fillId="3" fontId="32" numFmtId="0" xfId="0" applyAlignment="1" applyFont="1">
      <alignment horizontal="center" readingOrder="0"/>
    </xf>
    <xf borderId="0" fillId="3" fontId="32" numFmtId="0" xfId="0" applyAlignment="1" applyFont="1">
      <alignment horizontal="center"/>
    </xf>
    <xf borderId="0" fillId="3" fontId="4" numFmtId="0" xfId="0" applyAlignment="1" applyFont="1">
      <alignment horizontal="center" readingOrder="0"/>
    </xf>
    <xf borderId="3" fillId="3" fontId="22" numFmtId="0" xfId="0" applyAlignment="1" applyBorder="1" applyFont="1">
      <alignment horizontal="center" readingOrder="0"/>
    </xf>
    <xf borderId="11" fillId="0" fontId="8" numFmtId="0" xfId="0" applyBorder="1" applyFont="1"/>
    <xf borderId="1" fillId="3" fontId="22" numFmtId="0" xfId="0" applyAlignment="1" applyBorder="1" applyFont="1">
      <alignment horizontal="center" readingOrder="0" shrinkToFit="0" vertical="center" wrapText="0"/>
    </xf>
    <xf borderId="3" fillId="3" fontId="22" numFmtId="0" xfId="0" applyAlignment="1" applyBorder="1" applyFont="1">
      <alignment horizontal="center" readingOrder="0" vertical="center"/>
    </xf>
    <xf borderId="0" fillId="3" fontId="34" numFmtId="0" xfId="0" applyAlignment="1" applyFont="1">
      <alignment horizontal="center" readingOrder="0"/>
    </xf>
    <xf borderId="0" fillId="3" fontId="4" numFmtId="0" xfId="0" applyAlignment="1" applyFont="1">
      <alignment horizontal="center"/>
    </xf>
    <xf borderId="0" fillId="3" fontId="35" numFmtId="0" xfId="0" applyAlignment="1" applyFont="1">
      <alignment horizontal="center" readingOrder="0"/>
    </xf>
    <xf borderId="5" fillId="13" fontId="33" numFmtId="0" xfId="0" applyAlignment="1" applyBorder="1" applyFill="1" applyFont="1">
      <alignment horizontal="center" readingOrder="0" vertical="center"/>
    </xf>
    <xf borderId="5" fillId="10" fontId="24" numFmtId="0" xfId="0" applyAlignment="1" applyBorder="1" applyFont="1">
      <alignment horizontal="center" readingOrder="0"/>
    </xf>
    <xf borderId="6" fillId="5" fontId="4" numFmtId="0" xfId="0" applyAlignment="1" applyBorder="1" applyFont="1">
      <alignment horizontal="center" readingOrder="0"/>
    </xf>
    <xf borderId="5" fillId="5" fontId="33" numFmtId="0" xfId="0" applyAlignment="1" applyBorder="1" applyFont="1">
      <alignment horizontal="center" readingOrder="0" vertical="center"/>
    </xf>
    <xf borderId="5" fillId="14" fontId="24" numFmtId="0" xfId="0" applyAlignment="1" applyBorder="1" applyFill="1" applyFont="1">
      <alignment horizontal="center" readingOrder="0"/>
    </xf>
    <xf borderId="5" fillId="5" fontId="24" numFmtId="0" xfId="0" applyAlignment="1" applyBorder="1" applyFont="1">
      <alignment horizontal="center" readingOrder="0"/>
    </xf>
    <xf borderId="5" fillId="15" fontId="24" numFmtId="0" xfId="0" applyAlignment="1" applyBorder="1" applyFill="1" applyFont="1">
      <alignment horizontal="center" readingOrder="0"/>
    </xf>
    <xf borderId="6" fillId="4" fontId="36" numFmtId="0" xfId="0" applyAlignment="1" applyBorder="1" applyFont="1">
      <alignment horizontal="center" readingOrder="0"/>
    </xf>
    <xf borderId="5" fillId="4" fontId="37" numFmtId="0" xfId="0" applyAlignment="1" applyBorder="1" applyFont="1">
      <alignment horizontal="center" readingOrder="0"/>
    </xf>
    <xf borderId="5" fillId="5" fontId="37" numFmtId="0" xfId="0" applyAlignment="1" applyBorder="1" applyFont="1">
      <alignment horizontal="center" readingOrder="0"/>
    </xf>
    <xf borderId="0" fillId="3" fontId="35" numFmtId="0" xfId="0" applyAlignment="1" applyFont="1">
      <alignment horizontal="center"/>
    </xf>
    <xf borderId="6" fillId="4" fontId="32" numFmtId="0" xfId="0" applyAlignment="1" applyBorder="1" applyFont="1">
      <alignment horizontal="center" readingOrder="0"/>
    </xf>
    <xf borderId="5" fillId="16" fontId="38" numFmtId="0" xfId="0" applyAlignment="1" applyBorder="1" applyFill="1" applyFont="1">
      <alignment horizontal="center" readingOrder="0"/>
    </xf>
    <xf borderId="5" fillId="14" fontId="33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/>
    </xf>
    <xf borderId="0" fillId="3" fontId="39" numFmtId="0" xfId="0" applyAlignment="1" applyFont="1">
      <alignment horizontal="center" readingOrder="0" vertical="center"/>
    </xf>
    <xf borderId="0" fillId="3" fontId="40" numFmtId="0" xfId="0" applyAlignment="1" applyFont="1">
      <alignment horizontal="center" readingOrder="0" vertical="center"/>
    </xf>
    <xf borderId="0" fillId="3" fontId="41" numFmtId="0" xfId="0" applyAlignment="1" applyFont="1">
      <alignment horizontal="center" vertical="center"/>
    </xf>
    <xf borderId="2" fillId="8" fontId="39" numFmtId="0" xfId="0" applyAlignment="1" applyBorder="1" applyFont="1">
      <alignment horizontal="center" vertical="center"/>
    </xf>
    <xf borderId="0" fillId="3" fontId="39" numFmtId="0" xfId="0" applyAlignment="1" applyFont="1">
      <alignment horizontal="center" vertical="center"/>
    </xf>
    <xf borderId="2" fillId="3" fontId="39" numFmtId="0" xfId="0" applyAlignment="1" applyBorder="1" applyFont="1">
      <alignment horizontal="center" vertical="center"/>
    </xf>
    <xf borderId="0" fillId="3" fontId="41" numFmtId="0" xfId="0" applyAlignment="1" applyFont="1">
      <alignment horizontal="center" readingOrder="0" vertical="center"/>
    </xf>
    <xf borderId="0" fillId="3" fontId="42" numFmtId="0" xfId="0" applyAlignment="1" applyFont="1">
      <alignment horizontal="center" vertical="center"/>
    </xf>
    <xf borderId="7" fillId="8" fontId="39" numFmtId="0" xfId="0" applyAlignment="1" applyBorder="1" applyFont="1">
      <alignment horizontal="center" vertical="center"/>
    </xf>
    <xf borderId="7" fillId="3" fontId="39" numFmtId="0" xfId="0" applyAlignment="1" applyBorder="1" applyFont="1">
      <alignment horizontal="center" vertical="center"/>
    </xf>
    <xf borderId="0" fillId="3" fontId="32" numFmtId="0" xfId="0" applyAlignment="1" applyFont="1">
      <alignment horizontal="center" vertical="center"/>
    </xf>
    <xf borderId="0" fillId="17" fontId="43" numFmtId="0" xfId="0" applyAlignment="1" applyFill="1" applyFont="1">
      <alignment horizontal="center" readingOrder="0" vertical="center"/>
    </xf>
    <xf borderId="0" fillId="17" fontId="44" numFmtId="0" xfId="0" applyAlignment="1" applyFont="1">
      <alignment horizontal="center" readingOrder="0" vertical="center"/>
    </xf>
    <xf borderId="0" fillId="6" fontId="45" numFmtId="0" xfId="0" applyAlignment="1" applyFont="1">
      <alignment horizontal="center" vertical="center"/>
    </xf>
    <xf borderId="7" fillId="8" fontId="45" numFmtId="0" xfId="0" applyAlignment="1" applyBorder="1" applyFont="1">
      <alignment horizontal="center" vertical="center"/>
    </xf>
    <xf borderId="0" fillId="18" fontId="32" numFmtId="0" xfId="0" applyAlignment="1" applyFill="1" applyFont="1">
      <alignment horizontal="center" vertical="center"/>
    </xf>
    <xf borderId="0" fillId="9" fontId="23" numFmtId="0" xfId="0" applyAlignment="1" applyFont="1">
      <alignment horizontal="center" readingOrder="0" vertical="center"/>
    </xf>
    <xf borderId="7" fillId="8" fontId="23" numFmtId="0" xfId="0" applyAlignment="1" applyBorder="1" applyFont="1">
      <alignment horizontal="center" vertical="center"/>
    </xf>
    <xf borderId="0" fillId="2" fontId="46" numFmtId="0" xfId="0" applyAlignment="1" applyFont="1">
      <alignment horizontal="center" vertical="center"/>
    </xf>
    <xf borderId="5" fillId="2" fontId="47" numFmtId="0" xfId="0" applyAlignment="1" applyBorder="1" applyFont="1">
      <alignment horizontal="center" vertical="center"/>
    </xf>
    <xf borderId="0" fillId="2" fontId="47" numFmtId="0" xfId="0" applyAlignment="1" applyFont="1">
      <alignment horizontal="center" vertical="center"/>
    </xf>
    <xf borderId="0" fillId="18" fontId="23" numFmtId="0" xfId="0" applyAlignment="1" applyFont="1">
      <alignment horizontal="center" vertical="center"/>
    </xf>
    <xf borderId="0" fillId="18" fontId="23" numFmtId="0" xfId="0" applyAlignment="1" applyFont="1">
      <alignment horizontal="center" readingOrder="0" vertical="center"/>
    </xf>
    <xf borderId="0" fillId="3" fontId="23" numFmtId="0" xfId="0" applyAlignment="1" applyFont="1">
      <alignment horizontal="center" vertical="center"/>
    </xf>
    <xf borderId="5" fillId="2" fontId="48" numFmtId="0" xfId="0" applyAlignment="1" applyBorder="1" applyFont="1">
      <alignment horizontal="center" vertical="center"/>
    </xf>
    <xf borderId="5" fillId="2" fontId="23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left" readingOrder="0" vertical="center"/>
    </xf>
    <xf borderId="0" fillId="3" fontId="49" numFmtId="0" xfId="0" applyAlignment="1" applyFont="1">
      <alignment horizontal="center" vertical="center"/>
    </xf>
    <xf borderId="1" fillId="19" fontId="50" numFmtId="0" xfId="0" applyAlignment="1" applyBorder="1" applyFill="1" applyFont="1">
      <alignment horizontal="center" vertical="center"/>
    </xf>
    <xf borderId="3" fillId="19" fontId="49" numFmtId="0" xfId="0" applyAlignment="1" applyBorder="1" applyFont="1">
      <alignment horizontal="center" vertical="center"/>
    </xf>
    <xf borderId="5" fillId="8" fontId="49" numFmtId="0" xfId="0" applyAlignment="1" applyBorder="1" applyFont="1">
      <alignment horizontal="center" vertical="center"/>
    </xf>
    <xf borderId="3" fillId="19" fontId="50" numFmtId="0" xfId="0" applyAlignment="1" applyBorder="1" applyFont="1">
      <alignment horizontal="center" readingOrder="0" vertical="center"/>
    </xf>
    <xf borderId="3" fillId="3" fontId="50" numFmtId="0" xfId="0" applyAlignment="1" applyBorder="1" applyFont="1">
      <alignment horizontal="center" readingOrder="0" vertical="center"/>
    </xf>
    <xf borderId="5" fillId="8" fontId="50" numFmtId="0" xfId="0" applyAlignment="1" applyBorder="1" applyFont="1">
      <alignment horizontal="center" vertical="center"/>
    </xf>
    <xf borderId="5" fillId="6" fontId="24" numFmtId="0" xfId="0" applyAlignment="1" applyBorder="1" applyFont="1">
      <alignment horizontal="center" readingOrder="0" vertical="center"/>
    </xf>
    <xf borderId="5" fillId="20" fontId="51" numFmtId="0" xfId="0" applyAlignment="1" applyBorder="1" applyFill="1" applyFont="1">
      <alignment horizontal="center" vertical="center"/>
    </xf>
    <xf borderId="5" fillId="6" fontId="49" numFmtId="0" xfId="0" applyAlignment="1" applyBorder="1" applyFont="1">
      <alignment horizontal="center" vertical="center"/>
    </xf>
    <xf borderId="6" fillId="6" fontId="49" numFmtId="0" xfId="0" applyAlignment="1" applyBorder="1" applyFont="1">
      <alignment horizontal="center" vertical="center"/>
    </xf>
    <xf borderId="5" fillId="21" fontId="50" numFmtId="0" xfId="0" applyAlignment="1" applyBorder="1" applyFill="1" applyFont="1">
      <alignment horizontal="center" vertical="center"/>
    </xf>
    <xf borderId="5" fillId="4" fontId="52" numFmtId="0" xfId="0" applyAlignment="1" applyBorder="1" applyFont="1">
      <alignment horizontal="center" readingOrder="0" shrinkToFit="0" vertical="center" wrapText="0"/>
    </xf>
    <xf borderId="0" fillId="4" fontId="52" numFmtId="0" xfId="0" applyAlignment="1" applyFont="1">
      <alignment horizontal="left" readingOrder="0" shrinkToFit="0" vertical="center" wrapText="0"/>
    </xf>
    <xf borderId="1" fillId="22" fontId="50" numFmtId="0" xfId="0" applyAlignment="1" applyBorder="1" applyFill="1" applyFont="1">
      <alignment horizontal="center" readingOrder="0" vertical="center"/>
    </xf>
    <xf borderId="3" fillId="22" fontId="49" numFmtId="0" xfId="0" applyAlignment="1" applyBorder="1" applyFont="1">
      <alignment horizontal="center" vertical="center"/>
    </xf>
    <xf borderId="13" fillId="22" fontId="49" numFmtId="0" xfId="0" applyAlignment="1" applyBorder="1" applyFont="1">
      <alignment horizontal="center" vertical="center"/>
    </xf>
    <xf borderId="4" fillId="3" fontId="49" numFmtId="0" xfId="0" applyAlignment="1" applyBorder="1" applyFont="1">
      <alignment horizontal="center" vertical="center"/>
    </xf>
    <xf borderId="3" fillId="22" fontId="26" numFmtId="0" xfId="0" applyAlignment="1" applyBorder="1" applyFont="1">
      <alignment horizontal="center" readingOrder="0" vertical="bottom"/>
    </xf>
    <xf borderId="5" fillId="3" fontId="53" numFmtId="0" xfId="0" applyAlignment="1" applyBorder="1" applyFont="1">
      <alignment horizontal="center" vertical="center"/>
    </xf>
    <xf borderId="3" fillId="22" fontId="45" numFmtId="0" xfId="0" applyAlignment="1" applyBorder="1" applyFont="1">
      <alignment horizontal="center" readingOrder="0" vertical="bottom"/>
    </xf>
    <xf borderId="5" fillId="3" fontId="54" numFmtId="0" xfId="0" applyAlignment="1" applyBorder="1" applyFont="1">
      <alignment horizontal="center" vertical="center"/>
    </xf>
    <xf borderId="5" fillId="3" fontId="50" numFmtId="0" xfId="0" applyAlignment="1" applyBorder="1" applyFont="1">
      <alignment horizontal="center" vertical="center"/>
    </xf>
    <xf borderId="3" fillId="23" fontId="45" numFmtId="0" xfId="0" applyAlignment="1" applyBorder="1" applyFill="1" applyFont="1">
      <alignment horizontal="center" readingOrder="0" vertical="bottom"/>
    </xf>
    <xf borderId="3" fillId="24" fontId="45" numFmtId="0" xfId="0" applyAlignment="1" applyBorder="1" applyFill="1" applyFont="1">
      <alignment horizontal="center" readingOrder="0" vertical="bottom"/>
    </xf>
    <xf borderId="3" fillId="25" fontId="45" numFmtId="0" xfId="0" applyAlignment="1" applyBorder="1" applyFill="1" applyFont="1">
      <alignment horizontal="center" readingOrder="0" vertical="bottom"/>
    </xf>
    <xf borderId="0" fillId="3" fontId="55" numFmtId="0" xfId="0" applyAlignment="1" applyFont="1">
      <alignment horizontal="center" vertical="center"/>
    </xf>
    <xf borderId="1" fillId="22" fontId="50" numFmtId="0" xfId="0" applyAlignment="1" applyBorder="1" applyFont="1">
      <alignment horizontal="center" vertical="center"/>
    </xf>
    <xf borderId="13" fillId="22" fontId="45" numFmtId="0" xfId="0" applyAlignment="1" applyBorder="1" applyFont="1">
      <alignment horizontal="center" readingOrder="0" vertical="center"/>
    </xf>
    <xf borderId="3" fillId="26" fontId="45" numFmtId="0" xfId="0" applyAlignment="1" applyBorder="1" applyFill="1" applyFont="1">
      <alignment horizontal="center" readingOrder="0" vertical="bottom"/>
    </xf>
    <xf borderId="0" fillId="22" fontId="56" numFmtId="0" xfId="0" applyAlignment="1" applyFont="1">
      <alignment horizontal="center" readingOrder="0" vertical="center"/>
    </xf>
    <xf borderId="5" fillId="3" fontId="49" numFmtId="0" xfId="0" applyAlignment="1" applyBorder="1" applyFont="1">
      <alignment horizontal="center" vertical="center"/>
    </xf>
    <xf borderId="4" fillId="3" fontId="57" numFmtId="0" xfId="0" applyAlignment="1" applyBorder="1" applyFont="1">
      <alignment horizontal="center" vertical="center"/>
    </xf>
    <xf borderId="13" fillId="22" fontId="50" numFmtId="0" xfId="0" applyAlignment="1" applyBorder="1" applyFont="1">
      <alignment horizontal="center" readingOrder="0" vertical="center"/>
    </xf>
    <xf borderId="13" fillId="22" fontId="49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0" fillId="3" fontId="35" numFmtId="0" xfId="0" applyAlignment="1" applyFont="1">
      <alignment horizontal="center" vertical="center"/>
    </xf>
    <xf borderId="0" fillId="3" fontId="4" numFmtId="0" xfId="0" applyAlignment="1" applyFont="1">
      <alignment horizontal="center" vertical="center"/>
    </xf>
    <xf borderId="7" fillId="8" fontId="4" numFmtId="0" xfId="0" applyAlignment="1" applyBorder="1" applyFont="1">
      <alignment horizontal="center" vertical="center"/>
    </xf>
    <xf borderId="0" fillId="3" fontId="58" numFmtId="0" xfId="0" applyAlignment="1" applyFont="1">
      <alignment horizontal="center" vertical="center"/>
    </xf>
    <xf borderId="7" fillId="3" fontId="32" numFmtId="0" xfId="0" applyAlignment="1" applyBorder="1" applyFont="1">
      <alignment horizontal="center" vertical="center"/>
    </xf>
    <xf borderId="2" fillId="3" fontId="36" numFmtId="0" xfId="0" applyAlignment="1" applyBorder="1" applyFont="1">
      <alignment horizontal="center" vertical="center"/>
    </xf>
    <xf borderId="2" fillId="6" fontId="36" numFmtId="0" xfId="0" applyAlignment="1" applyBorder="1" applyFont="1">
      <alignment horizontal="center" vertical="center"/>
    </xf>
    <xf borderId="2" fillId="6" fontId="32" numFmtId="0" xfId="0" applyAlignment="1" applyBorder="1" applyFont="1">
      <alignment horizontal="center" vertical="center"/>
    </xf>
    <xf borderId="8" fillId="27" fontId="36" numFmtId="0" xfId="0" applyAlignment="1" applyBorder="1" applyFill="1" applyFont="1">
      <alignment horizontal="center" vertical="center"/>
    </xf>
    <xf borderId="2" fillId="8" fontId="36" numFmtId="0" xfId="0" applyAlignment="1" applyBorder="1" applyFont="1">
      <alignment horizontal="center" readingOrder="0" vertical="center"/>
    </xf>
    <xf borderId="2" fillId="27" fontId="4" numFmtId="0" xfId="0" applyAlignment="1" applyBorder="1" applyFont="1">
      <alignment vertical="bottom"/>
    </xf>
    <xf borderId="5" fillId="3" fontId="59" numFmtId="0" xfId="0" applyBorder="1" applyFont="1"/>
    <xf borderId="2" fillId="6" fontId="4" numFmtId="0" xfId="0" applyAlignment="1" applyBorder="1" applyFont="1">
      <alignment vertical="bottom"/>
    </xf>
    <xf borderId="2" fillId="6" fontId="4" numFmtId="0" xfId="0" applyAlignment="1" applyBorder="1" applyFont="1">
      <alignment horizontal="center" readingOrder="0" vertical="bottom"/>
    </xf>
    <xf borderId="5" fillId="8" fontId="36" numFmtId="0" xfId="0" applyAlignment="1" applyBorder="1" applyFont="1">
      <alignment horizontal="center" readingOrder="0" vertical="center"/>
    </xf>
    <xf borderId="5" fillId="27" fontId="4" numFmtId="0" xfId="0" applyAlignment="1" applyBorder="1" applyFont="1">
      <alignment vertical="bottom"/>
    </xf>
    <xf borderId="4" fillId="6" fontId="32" numFmtId="0" xfId="0" applyAlignment="1" applyBorder="1" applyFont="1">
      <alignment horizontal="center" vertical="bottom"/>
    </xf>
    <xf borderId="5" fillId="6" fontId="4" numFmtId="0" xfId="0" applyAlignment="1" applyBorder="1" applyFont="1">
      <alignment vertical="bottom"/>
    </xf>
    <xf borderId="7" fillId="28" fontId="23" numFmtId="0" xfId="0" applyAlignment="1" applyBorder="1" applyFill="1" applyFont="1">
      <alignment horizontal="center" vertical="bottom"/>
    </xf>
    <xf borderId="2" fillId="3" fontId="59" numFmtId="0" xfId="0" applyBorder="1" applyFont="1"/>
    <xf borderId="8" fillId="3" fontId="36" numFmtId="0" xfId="0" applyAlignment="1" applyBorder="1" applyFont="1">
      <alignment horizontal="center" vertical="center"/>
    </xf>
    <xf borderId="7" fillId="6" fontId="4" numFmtId="0" xfId="0" applyAlignment="1" applyBorder="1" applyFont="1">
      <alignment horizontal="center" vertical="center"/>
    </xf>
    <xf borderId="7" fillId="6" fontId="32" numFmtId="0" xfId="0" applyAlignment="1" applyBorder="1" applyFont="1">
      <alignment horizontal="center" vertical="center"/>
    </xf>
    <xf borderId="8" fillId="27" fontId="60" numFmtId="0" xfId="0" applyAlignment="1" applyBorder="1" applyFont="1">
      <alignment horizontal="center" readingOrder="0" vertical="center"/>
    </xf>
    <xf borderId="2" fillId="8" fontId="4" numFmtId="0" xfId="0" applyAlignment="1" applyBorder="1" applyFont="1">
      <alignment horizontal="center" readingOrder="0" vertical="center"/>
    </xf>
    <xf borderId="7" fillId="27" fontId="4" numFmtId="0" xfId="0" applyAlignment="1" applyBorder="1" applyFont="1">
      <alignment vertical="bottom"/>
    </xf>
    <xf borderId="5" fillId="8" fontId="4" numFmtId="0" xfId="0" applyAlignment="1" applyBorder="1" applyFont="1">
      <alignment horizontal="center" readingOrder="0" vertical="center"/>
    </xf>
    <xf borderId="5" fillId="27" fontId="4" numFmtId="0" xfId="0" applyAlignment="1" applyBorder="1" applyFont="1">
      <alignment vertical="bottom"/>
    </xf>
    <xf borderId="7" fillId="6" fontId="45" numFmtId="0" xfId="0" applyAlignment="1" applyBorder="1" applyFont="1">
      <alignment horizontal="center" vertical="bottom"/>
    </xf>
    <xf borderId="7" fillId="6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6" fontId="4" numFmtId="0" xfId="0" applyAlignment="1" applyBorder="1" applyFont="1">
      <alignment vertical="bottom"/>
    </xf>
    <xf borderId="5" fillId="0" fontId="32" numFmtId="0" xfId="0" applyAlignment="1" applyBorder="1" applyFont="1">
      <alignment horizontal="center" vertical="bottom"/>
    </xf>
    <xf borderId="5" fillId="6" fontId="32" numFmtId="0" xfId="0" applyAlignment="1" applyBorder="1" applyFont="1">
      <alignment horizontal="center" vertical="bottom"/>
    </xf>
    <xf borderId="8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4" fillId="0" fontId="33" numFmtId="0" xfId="0" applyAlignment="1" applyBorder="1" applyFont="1">
      <alignment horizontal="center" vertical="center"/>
    </xf>
    <xf borderId="4" fillId="27" fontId="4" numFmtId="0" xfId="0" applyAlignment="1" applyBorder="1" applyFont="1">
      <alignment vertical="bottom"/>
    </xf>
    <xf borderId="7" fillId="6" fontId="32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7" fillId="0" fontId="21" numFmtId="0" xfId="0" applyAlignment="1" applyBorder="1" applyFont="1">
      <alignment horizontal="center" vertical="center"/>
    </xf>
    <xf borderId="7" fillId="0" fontId="33" numFmtId="0" xfId="0" applyAlignment="1" applyBorder="1" applyFont="1">
      <alignment horizontal="center" vertical="center"/>
    </xf>
    <xf borderId="7" fillId="27" fontId="4" numFmtId="0" xfId="0" applyAlignment="1" applyBorder="1" applyFont="1">
      <alignment vertical="bottom"/>
    </xf>
    <xf borderId="7" fillId="0" fontId="32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5" fillId="0" fontId="32" numFmtId="0" xfId="0" applyAlignment="1" applyBorder="1" applyFont="1">
      <alignment horizontal="center" vertical="bottom"/>
    </xf>
    <xf borderId="4" fillId="6" fontId="4" numFmtId="0" xfId="0" applyAlignment="1" applyBorder="1" applyFont="1">
      <alignment horizontal="center" vertical="center"/>
    </xf>
    <xf borderId="4" fillId="6" fontId="32" numFmtId="0" xfId="0" applyAlignment="1" applyBorder="1" applyFont="1">
      <alignment horizontal="center" vertical="center"/>
    </xf>
    <xf borderId="0" fillId="27" fontId="21" numFmtId="0" xfId="0" applyFont="1"/>
    <xf borderId="4" fillId="6" fontId="32" numFmtId="0" xfId="0" applyAlignment="1" applyBorder="1" applyFont="1">
      <alignment horizontal="center" vertical="bottom"/>
    </xf>
    <xf borderId="5" fillId="27" fontId="32" numFmtId="0" xfId="0" applyAlignment="1" applyBorder="1" applyFont="1">
      <alignment horizontal="center" vertical="bottom"/>
    </xf>
    <xf borderId="4" fillId="6" fontId="4" numFmtId="0" xfId="0" applyAlignment="1" applyBorder="1" applyFont="1">
      <alignment vertical="bottom"/>
    </xf>
    <xf borderId="0" fillId="6" fontId="4" numFmtId="0" xfId="0" applyAlignment="1" applyFont="1">
      <alignment horizontal="center" vertical="bottom"/>
    </xf>
    <xf borderId="5" fillId="28" fontId="61" numFmtId="0" xfId="0" applyAlignment="1" applyBorder="1" applyFont="1">
      <alignment horizontal="center" readingOrder="0" vertical="center"/>
    </xf>
    <xf borderId="5" fillId="28" fontId="62" numFmtId="0" xfId="0" applyAlignment="1" applyBorder="1" applyFont="1">
      <alignment horizontal="center" vertical="center"/>
    </xf>
    <xf borderId="5" fillId="28" fontId="63" numFmtId="0" xfId="0" applyAlignment="1" applyBorder="1" applyFont="1">
      <alignment horizontal="center" vertical="bottom"/>
    </xf>
    <xf borderId="5" fillId="28" fontId="4" numFmtId="0" xfId="0" applyAlignment="1" applyBorder="1" applyFont="1">
      <alignment vertical="bottom"/>
    </xf>
    <xf borderId="5" fillId="29" fontId="4" numFmtId="0" xfId="0" applyAlignment="1" applyBorder="1" applyFill="1" applyFont="1">
      <alignment vertical="bottom"/>
    </xf>
    <xf borderId="5" fillId="30" fontId="4" numFmtId="0" xfId="0" applyAlignment="1" applyBorder="1" applyFill="1" applyFont="1">
      <alignment horizontal="center" readingOrder="0" vertical="center"/>
    </xf>
    <xf borderId="5" fillId="12" fontId="32" numFmtId="0" xfId="0" applyAlignment="1" applyBorder="1" applyFont="1">
      <alignment horizontal="center" vertical="center"/>
    </xf>
    <xf borderId="5" fillId="3" fontId="4" numFmtId="0" xfId="0" applyAlignment="1" applyBorder="1" applyFont="1">
      <alignment vertical="bottom"/>
    </xf>
    <xf borderId="2" fillId="12" fontId="4" numFmtId="0" xfId="0" applyAlignment="1" applyBorder="1" applyFont="1">
      <alignment vertical="bottom"/>
    </xf>
    <xf borderId="5" fillId="12" fontId="4" numFmtId="0" xfId="0" applyAlignment="1" applyBorder="1" applyFont="1">
      <alignment vertical="bottom"/>
    </xf>
    <xf borderId="7" fillId="10" fontId="4" numFmtId="0" xfId="0" applyAlignment="1" applyBorder="1" applyFont="1">
      <alignment horizontal="center" readingOrder="0" vertical="center"/>
    </xf>
    <xf borderId="7" fillId="10" fontId="32" numFmtId="0" xfId="0" applyAlignment="1" applyBorder="1" applyFont="1">
      <alignment horizontal="center" vertical="center"/>
    </xf>
    <xf borderId="7" fillId="10" fontId="4" numFmtId="0" xfId="0" applyAlignment="1" applyBorder="1" applyFont="1">
      <alignment vertical="bottom"/>
    </xf>
    <xf borderId="5" fillId="10" fontId="4" numFmtId="0" xfId="0" applyAlignment="1" applyBorder="1" applyFont="1">
      <alignment vertical="bottom"/>
    </xf>
    <xf borderId="5" fillId="31" fontId="64" numFmtId="0" xfId="0" applyAlignment="1" applyBorder="1" applyFill="1" applyFont="1">
      <alignment horizontal="center" vertical="center"/>
    </xf>
    <xf borderId="5" fillId="31" fontId="45" numFmtId="0" xfId="0" applyAlignment="1" applyBorder="1" applyFont="1">
      <alignment horizontal="center" vertical="center"/>
    </xf>
    <xf borderId="5" fillId="31" fontId="4" numFmtId="0" xfId="0" applyAlignment="1" applyBorder="1" applyFont="1">
      <alignment vertical="bottom"/>
    </xf>
    <xf borderId="0" fillId="31" fontId="4" numFmtId="0" xfId="0" applyAlignment="1" applyFont="1">
      <alignment horizontal="center" vertical="bottom"/>
    </xf>
    <xf borderId="7" fillId="31" fontId="32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vertical="center"/>
    </xf>
    <xf borderId="0" fillId="6" fontId="4" numFmtId="0" xfId="0" applyAlignment="1" applyFont="1">
      <alignment horizontal="center" vertical="bottom"/>
    </xf>
    <xf borderId="0" fillId="27" fontId="4" numFmtId="0" xfId="0" applyAlignment="1" applyFont="1">
      <alignment vertical="bottom"/>
    </xf>
    <xf borderId="5" fillId="32" fontId="65" numFmtId="0" xfId="0" applyAlignment="1" applyBorder="1" applyFill="1" applyFont="1">
      <alignment horizontal="center" readingOrder="0" vertical="bottom"/>
    </xf>
    <xf borderId="5" fillId="28" fontId="66" numFmtId="0" xfId="0" applyAlignment="1" applyBorder="1" applyFont="1">
      <alignment horizontal="center" vertical="center"/>
    </xf>
    <xf borderId="5" fillId="28" fontId="67" numFmtId="0" xfId="0" applyAlignment="1" applyBorder="1" applyFont="1">
      <alignment horizontal="center" vertical="center"/>
    </xf>
    <xf borderId="5" fillId="27" fontId="68" numFmtId="0" xfId="0" applyAlignment="1" applyBorder="1" applyFont="1">
      <alignment horizontal="center" vertical="bottom"/>
    </xf>
    <xf borderId="5" fillId="29" fontId="4" numFmtId="0" xfId="0" applyAlignment="1" applyBorder="1" applyFont="1">
      <alignment vertical="bottom"/>
    </xf>
    <xf borderId="5" fillId="12" fontId="4" numFmtId="0" xfId="0" applyAlignment="1" applyBorder="1" applyFont="1">
      <alignment horizontal="center" vertical="bottom"/>
    </xf>
    <xf borderId="7" fillId="12" fontId="4" numFmtId="0" xfId="0" applyAlignment="1" applyBorder="1" applyFont="1">
      <alignment vertical="bottom"/>
    </xf>
    <xf borderId="7" fillId="29" fontId="4" numFmtId="0" xfId="0" applyAlignment="1" applyBorder="1" applyFont="1">
      <alignment vertical="bottom"/>
    </xf>
    <xf borderId="7" fillId="10" fontId="4" numFmtId="0" xfId="0" applyAlignment="1" applyBorder="1" applyFont="1">
      <alignment horizontal="center" readingOrder="0" vertical="bottom"/>
    </xf>
    <xf borderId="5" fillId="31" fontId="64" numFmtId="0" xfId="0" applyAlignment="1" applyBorder="1" applyFont="1">
      <alignment horizontal="center" readingOrder="0" vertical="center"/>
    </xf>
    <xf borderId="3" fillId="27" fontId="4" numFmtId="0" xfId="0" applyAlignment="1" applyBorder="1" applyFont="1">
      <alignment horizontal="center" vertical="center"/>
    </xf>
    <xf borderId="5" fillId="27" fontId="32" numFmtId="0" xfId="0" applyAlignment="1" applyBorder="1" applyFont="1">
      <alignment horizontal="center" vertical="bottom"/>
    </xf>
    <xf borderId="0" fillId="32" fontId="69" numFmtId="0" xfId="0" applyAlignment="1" applyFont="1">
      <alignment horizontal="center" readingOrder="0" vertical="bottom"/>
    </xf>
    <xf borderId="7" fillId="31" fontId="32" numFmtId="0" xfId="0" applyAlignment="1" applyBorder="1" applyFont="1">
      <alignment horizontal="center" vertical="bottom"/>
    </xf>
    <xf borderId="7" fillId="31" fontId="4" numFmtId="0" xfId="0" applyAlignment="1" applyBorder="1" applyFont="1">
      <alignment vertical="bottom"/>
    </xf>
    <xf borderId="7" fillId="6" fontId="4" numFmtId="0" xfId="0" applyAlignment="1" applyBorder="1" applyFont="1">
      <alignment horizontal="center" vertical="center"/>
    </xf>
    <xf borderId="7" fillId="6" fontId="32" numFmtId="0" xfId="0" applyAlignment="1" applyBorder="1" applyFont="1">
      <alignment horizontal="center" vertical="center"/>
    </xf>
    <xf borderId="0" fillId="27" fontId="4" numFmtId="0" xfId="0" applyAlignment="1" applyFont="1">
      <alignment horizontal="center" vertical="center"/>
    </xf>
    <xf borderId="0" fillId="27" fontId="4" numFmtId="0" xfId="0" applyAlignment="1" applyFont="1">
      <alignment horizontal="center" vertical="bottom"/>
    </xf>
    <xf borderId="7" fillId="27" fontId="32" numFmtId="0" xfId="0" applyAlignment="1" applyBorder="1" applyFont="1">
      <alignment horizontal="center" vertical="bottom"/>
    </xf>
    <xf borderId="5" fillId="27" fontId="4" numFmtId="0" xfId="0" applyAlignment="1" applyBorder="1" applyFont="1">
      <alignment horizontal="center" vertical="bottom"/>
    </xf>
    <xf borderId="5" fillId="33" fontId="32" numFmtId="0" xfId="0" applyAlignment="1" applyBorder="1" applyFill="1" applyFont="1">
      <alignment horizontal="center" vertical="bottom"/>
    </xf>
    <xf borderId="7" fillId="6" fontId="32" numFmtId="0" xfId="0" applyAlignment="1" applyBorder="1" applyFont="1">
      <alignment horizontal="center" readingOrder="0" vertical="bottom"/>
    </xf>
    <xf borderId="5" fillId="6" fontId="32" numFmtId="0" xfId="0" applyAlignment="1" applyBorder="1" applyFont="1">
      <alignment horizontal="center" vertical="bottom"/>
    </xf>
    <xf borderId="7" fillId="6" fontId="4" numFmtId="0" xfId="0" applyAlignment="1" applyBorder="1" applyFont="1">
      <alignment horizontal="center" readingOrder="0" vertical="center"/>
    </xf>
    <xf borderId="7" fillId="6" fontId="32" numFmtId="0" xfId="0" applyAlignment="1" applyBorder="1" applyFont="1">
      <alignment horizontal="center" readingOrder="0" vertical="center"/>
    </xf>
    <xf borderId="0" fillId="6" fontId="21" numFmtId="0" xfId="0" applyAlignment="1" applyFont="1">
      <alignment horizontal="center" readingOrder="0"/>
    </xf>
    <xf borderId="7" fillId="6" fontId="32" numFmtId="0" xfId="0" applyAlignment="1" applyBorder="1" applyFont="1">
      <alignment horizontal="center" vertical="bottom"/>
    </xf>
    <xf borderId="5" fillId="27" fontId="21" numFmtId="0" xfId="0" applyBorder="1" applyFont="1"/>
    <xf borderId="5" fillId="0" fontId="4" numFmtId="0" xfId="0" applyAlignment="1" applyBorder="1" applyFont="1">
      <alignment horizontal="center" readingOrder="0" vertical="center"/>
    </xf>
    <xf borderId="5" fillId="0" fontId="32" numFmtId="0" xfId="0" applyAlignment="1" applyBorder="1" applyFont="1">
      <alignment horizontal="center" vertical="center"/>
    </xf>
    <xf borderId="2" fillId="27" fontId="70" numFmtId="0" xfId="0" applyAlignment="1" applyBorder="1" applyFont="1">
      <alignment horizontal="center" vertical="bottom"/>
    </xf>
    <xf borderId="2" fillId="6" fontId="71" numFmtId="0" xfId="0" applyAlignment="1" applyBorder="1" applyFont="1">
      <alignment horizontal="center" vertical="bottom"/>
    </xf>
    <xf borderId="5" fillId="27" fontId="72" numFmtId="0" xfId="0" applyAlignment="1" applyBorder="1" applyFont="1">
      <alignment horizontal="center" vertical="bottom"/>
    </xf>
    <xf borderId="2" fillId="0" fontId="73" numFmtId="0" xfId="0" applyAlignment="1" applyBorder="1" applyFont="1">
      <alignment horizontal="center" vertical="bottom"/>
    </xf>
    <xf borderId="7" fillId="32" fontId="74" numFmtId="0" xfId="0" applyAlignment="1" applyBorder="1" applyFont="1">
      <alignment horizontal="center" readingOrder="0" vertical="bottom"/>
    </xf>
    <xf borderId="2" fillId="28" fontId="75" numFmtId="0" xfId="0" applyAlignment="1" applyBorder="1" applyFont="1">
      <alignment horizontal="center" readingOrder="0" vertical="center"/>
    </xf>
    <xf borderId="2" fillId="28" fontId="76" numFmtId="0" xfId="0" applyAlignment="1" applyBorder="1" applyFont="1">
      <alignment horizontal="center" readingOrder="0" vertical="center"/>
    </xf>
    <xf borderId="8" fillId="27" fontId="77" numFmtId="0" xfId="0" applyAlignment="1" applyBorder="1" applyFont="1">
      <alignment horizontal="center" vertical="center"/>
    </xf>
    <xf borderId="5" fillId="27" fontId="78" numFmtId="0" xfId="0" applyAlignment="1" applyBorder="1" applyFont="1">
      <alignment horizontal="center" vertical="bottom"/>
    </xf>
    <xf borderId="5" fillId="28" fontId="79" numFmtId="0" xfId="0" applyAlignment="1" applyBorder="1" applyFont="1">
      <alignment horizontal="center" vertical="bottom"/>
    </xf>
    <xf borderId="5" fillId="27" fontId="80" numFmtId="0" xfId="0" applyAlignment="1" applyBorder="1" applyFont="1">
      <alignment horizontal="center" readingOrder="0" vertical="bottom"/>
    </xf>
    <xf borderId="7" fillId="28" fontId="81" numFmtId="0" xfId="0" applyAlignment="1" applyBorder="1" applyFont="1">
      <alignment horizontal="center" readingOrder="0" vertical="bottom"/>
    </xf>
    <xf borderId="0" fillId="28" fontId="34" numFmtId="0" xfId="0" applyAlignment="1" applyFont="1">
      <alignment horizontal="center" vertical="bottom"/>
    </xf>
    <xf borderId="7" fillId="28" fontId="82" numFmtId="0" xfId="0" applyAlignment="1" applyBorder="1" applyFont="1">
      <alignment horizontal="center" vertical="bottom"/>
    </xf>
    <xf borderId="4" fillId="12" fontId="32" numFmtId="0" xfId="0" applyAlignment="1" applyBorder="1" applyFont="1">
      <alignment horizontal="center" vertical="bottom"/>
    </xf>
    <xf borderId="2" fillId="30" fontId="4" numFmtId="0" xfId="0" applyAlignment="1" applyBorder="1" applyFont="1">
      <alignment vertical="bottom"/>
    </xf>
    <xf borderId="5" fillId="10" fontId="4" numFmtId="0" xfId="0" applyAlignment="1" applyBorder="1" applyFont="1">
      <alignment horizontal="center" readingOrder="0" vertical="bottom"/>
    </xf>
    <xf borderId="2" fillId="6" fontId="64" numFmtId="0" xfId="0" applyAlignment="1" applyBorder="1" applyFont="1">
      <alignment horizontal="center" vertical="center"/>
    </xf>
    <xf borderId="2" fillId="6" fontId="45" numFmtId="0" xfId="0" applyAlignment="1" applyBorder="1" applyFont="1">
      <alignment horizontal="center" vertical="center"/>
    </xf>
    <xf borderId="8" fillId="27" fontId="4" numFmtId="0" xfId="0" applyAlignment="1" applyBorder="1" applyFont="1">
      <alignment horizontal="center" vertical="center"/>
    </xf>
    <xf borderId="4" fillId="32" fontId="74" numFmtId="0" xfId="0" applyAlignment="1" applyBorder="1" applyFont="1">
      <alignment horizontal="center" readingOrder="0" vertical="bottom"/>
    </xf>
    <xf borderId="4" fillId="0" fontId="32" numFmtId="0" xfId="0" applyAlignment="1" applyBorder="1" applyFont="1">
      <alignment horizontal="center" vertical="bottom"/>
    </xf>
    <xf borderId="2" fillId="6" fontId="32" numFmtId="0" xfId="0" applyAlignment="1" applyBorder="1" applyFont="1">
      <alignment horizontal="center" vertical="bottom"/>
    </xf>
    <xf borderId="4" fillId="6" fontId="64" numFmtId="0" xfId="0" applyAlignment="1" applyBorder="1" applyFont="1">
      <alignment horizontal="center" vertical="center"/>
    </xf>
    <xf borderId="4" fillId="6" fontId="45" numFmtId="0" xfId="0" applyAlignment="1" applyBorder="1" applyFont="1">
      <alignment horizontal="center" vertical="center"/>
    </xf>
    <xf borderId="13" fillId="27" fontId="4" numFmtId="0" xfId="0" applyAlignment="1" applyBorder="1" applyFont="1">
      <alignment horizontal="center" vertical="center"/>
    </xf>
    <xf borderId="2" fillId="32" fontId="74" numFmtId="0" xfId="0" applyAlignment="1" applyBorder="1" applyFont="1">
      <alignment horizontal="center" readingOrder="0" vertical="bottom"/>
    </xf>
    <xf borderId="7" fillId="6" fontId="4" numFmtId="0" xfId="0" applyAlignment="1" applyBorder="1" applyFont="1">
      <alignment vertical="bottom"/>
    </xf>
    <xf borderId="5" fillId="3" fontId="4" numFmtId="0" xfId="0" applyAlignment="1" applyBorder="1" applyFont="1">
      <alignment horizontal="center" vertical="center"/>
    </xf>
    <xf borderId="0" fillId="27" fontId="69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7" fillId="27" fontId="83" numFmtId="0" xfId="0" applyAlignment="1" applyBorder="1" applyFont="1">
      <alignment horizontal="center" vertical="bottom"/>
    </xf>
    <xf borderId="7" fillId="6" fontId="84" numFmtId="0" xfId="0" applyAlignment="1" applyBorder="1" applyFont="1">
      <alignment horizontal="center" vertical="bottom"/>
    </xf>
    <xf borderId="5" fillId="6" fontId="64" numFmtId="0" xfId="0" applyAlignment="1" applyBorder="1" applyFont="1">
      <alignment horizontal="center" readingOrder="0" vertical="center"/>
    </xf>
    <xf borderId="5" fillId="6" fontId="45" numFmtId="0" xfId="0" applyAlignment="1" applyBorder="1" applyFont="1">
      <alignment horizontal="center" vertical="center"/>
    </xf>
    <xf borderId="3" fillId="27" fontId="64" numFmtId="0" xfId="0" applyAlignment="1" applyBorder="1" applyFont="1">
      <alignment horizontal="center" vertical="center"/>
    </xf>
    <xf borderId="2" fillId="8" fontId="64" numFmtId="0" xfId="0" applyAlignment="1" applyBorder="1" applyFont="1">
      <alignment horizontal="center" readingOrder="0" vertical="center"/>
    </xf>
    <xf borderId="5" fillId="8" fontId="64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vertical="center"/>
    </xf>
    <xf borderId="0" fillId="34" fontId="85" numFmtId="0" xfId="0" applyAlignment="1" applyFill="1" applyFont="1">
      <alignment horizontal="center" vertical="bottom"/>
    </xf>
    <xf borderId="0" fillId="6" fontId="4" numFmtId="0" xfId="0" applyAlignment="1" applyFont="1">
      <alignment horizontal="center" readingOrder="0" vertical="bottom"/>
    </xf>
    <xf borderId="0" fillId="6" fontId="85" numFmtId="0" xfId="0" applyAlignment="1" applyFont="1">
      <alignment horizontal="center" vertical="bottom"/>
    </xf>
    <xf borderId="0" fillId="27" fontId="4" numFmtId="0" xfId="0" applyAlignment="1" applyFont="1">
      <alignment vertical="bottom"/>
    </xf>
    <xf borderId="7" fillId="28" fontId="34" numFmtId="0" xfId="0" applyAlignment="1" applyBorder="1" applyFont="1">
      <alignment horizontal="center" readingOrder="0" vertical="center"/>
    </xf>
    <xf borderId="7" fillId="28" fontId="23" numFmtId="0" xfId="0" applyAlignment="1" applyBorder="1" applyFont="1">
      <alignment horizontal="center" vertical="center"/>
    </xf>
    <xf borderId="0" fillId="27" fontId="77" numFmtId="0" xfId="0" applyAlignment="1" applyFont="1">
      <alignment horizontal="center" vertical="center"/>
    </xf>
    <xf borderId="7" fillId="28" fontId="4" numFmtId="0" xfId="0" applyAlignment="1" applyBorder="1" applyFont="1">
      <alignment vertical="bottom"/>
    </xf>
    <xf borderId="5" fillId="10" fontId="32" numFmtId="0" xfId="0" applyAlignment="1" applyBorder="1" applyFont="1">
      <alignment horizontal="center" vertical="center"/>
    </xf>
    <xf borderId="5" fillId="31" fontId="86" numFmtId="0" xfId="0" applyAlignment="1" applyBorder="1" applyFont="1">
      <alignment horizontal="center" vertical="center"/>
    </xf>
    <xf borderId="5" fillId="31" fontId="87" numFmtId="0" xfId="0" applyAlignment="1" applyBorder="1" applyFont="1">
      <alignment horizontal="center" vertical="center"/>
    </xf>
    <xf borderId="4" fillId="31" fontId="32" numFmtId="0" xfId="0" applyAlignment="1" applyBorder="1" applyFont="1">
      <alignment horizontal="center" vertical="bottom"/>
    </xf>
    <xf borderId="5" fillId="31" fontId="32" numFmtId="0" xfId="0" applyAlignment="1" applyBorder="1" applyFont="1">
      <alignment horizontal="center" vertical="bottom"/>
    </xf>
    <xf borderId="7" fillId="6" fontId="4" numFmtId="0" xfId="0" applyAlignment="1" applyBorder="1" applyFont="1">
      <alignment readingOrder="0" vertical="bottom"/>
    </xf>
    <xf borderId="4" fillId="6" fontId="4" numFmtId="0" xfId="0" applyAlignment="1" applyBorder="1" applyFont="1">
      <alignment horizontal="center" vertical="center"/>
    </xf>
    <xf borderId="4" fillId="6" fontId="32" numFmtId="0" xfId="0" applyAlignment="1" applyBorder="1" applyFont="1">
      <alignment horizontal="center" vertical="center"/>
    </xf>
    <xf borderId="4" fillId="6" fontId="4" numFmtId="0" xfId="0" applyAlignment="1" applyBorder="1" applyFont="1">
      <alignment vertical="bottom"/>
    </xf>
    <xf borderId="5" fillId="12" fontId="4" numFmtId="0" xfId="0" applyAlignment="1" applyBorder="1" applyFont="1">
      <alignment horizontal="center" readingOrder="0" vertical="bottom"/>
    </xf>
    <xf borderId="5" fillId="31" fontId="86" numFmtId="0" xfId="0" applyAlignment="1" applyBorder="1" applyFont="1">
      <alignment horizontal="center" readingOrder="0" vertical="center"/>
    </xf>
    <xf borderId="5" fillId="28" fontId="34" numFmtId="0" xfId="0" applyAlignment="1" applyBorder="1" applyFont="1">
      <alignment horizontal="center" readingOrder="0" vertical="center"/>
    </xf>
    <xf borderId="5" fillId="28" fontId="23" numFmtId="0" xfId="0" applyAlignment="1" applyBorder="1" applyFont="1">
      <alignment horizontal="center" vertical="center"/>
    </xf>
    <xf borderId="3" fillId="27" fontId="77" numFmtId="0" xfId="0" applyAlignment="1" applyBorder="1" applyFont="1">
      <alignment horizontal="center" vertical="center"/>
    </xf>
    <xf borderId="0" fillId="6" fontId="88" numFmtId="0" xfId="0" applyAlignment="1" applyFont="1">
      <alignment horizontal="center" vertical="bottom"/>
    </xf>
    <xf borderId="5" fillId="6" fontId="33" numFmtId="0" xfId="0" applyAlignment="1" applyBorder="1" applyFont="1">
      <alignment horizontal="center" readingOrder="0" vertical="center"/>
    </xf>
    <xf borderId="0" fillId="33" fontId="69" numFmtId="0" xfId="0" applyAlignment="1" applyFont="1">
      <alignment horizontal="center" readingOrder="0" vertical="bottom"/>
    </xf>
    <xf borderId="2" fillId="28" fontId="34" numFmtId="0" xfId="0" applyAlignment="1" applyBorder="1" applyFont="1">
      <alignment horizontal="center" readingOrder="0" vertical="center"/>
    </xf>
    <xf borderId="2" fillId="28" fontId="23" numFmtId="0" xfId="0" applyAlignment="1" applyBorder="1" applyFont="1">
      <alignment horizontal="center" vertical="center"/>
    </xf>
    <xf borderId="2" fillId="27" fontId="4" numFmtId="0" xfId="0" applyAlignment="1" applyBorder="1" applyFont="1">
      <alignment vertical="bottom"/>
    </xf>
    <xf borderId="2" fillId="28" fontId="4" numFmtId="0" xfId="0" applyAlignment="1" applyBorder="1" applyFont="1">
      <alignment vertical="bottom"/>
    </xf>
    <xf borderId="2" fillId="31" fontId="87" numFmtId="0" xfId="0" applyAlignment="1" applyBorder="1" applyFont="1">
      <alignment horizontal="center" readingOrder="0" vertical="center"/>
    </xf>
    <xf borderId="5" fillId="31" fontId="4" numFmtId="0" xfId="0" applyAlignment="1" applyBorder="1" applyFont="1">
      <alignment vertical="bottom"/>
    </xf>
    <xf borderId="15" fillId="6" fontId="4" numFmtId="0" xfId="0" applyAlignment="1" applyBorder="1" applyFont="1">
      <alignment horizontal="center" vertical="center"/>
    </xf>
    <xf borderId="2" fillId="6" fontId="33" numFmtId="0" xfId="0" applyAlignment="1" applyBorder="1" applyFont="1">
      <alignment horizontal="center" readingOrder="0" vertical="center"/>
    </xf>
    <xf borderId="4" fillId="27" fontId="32" numFmtId="0" xfId="0" applyAlignment="1" applyBorder="1" applyFont="1">
      <alignment horizontal="center" vertical="bottom"/>
    </xf>
    <xf borderId="7" fillId="6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6" fontId="32" numFmtId="0" xfId="0" applyAlignment="1" applyFont="1">
      <alignment horizontal="center" vertical="bottom"/>
    </xf>
    <xf borderId="4" fillId="0" fontId="32" numFmtId="0" xfId="0" applyAlignment="1" applyBorder="1" applyFont="1">
      <alignment horizontal="center" vertical="bottom"/>
    </xf>
    <xf borderId="7" fillId="6" fontId="4" numFmtId="0" xfId="0" applyBorder="1" applyFont="1"/>
    <xf borderId="7" fillId="0" fontId="4" numFmtId="0" xfId="0" applyAlignment="1" applyBorder="1" applyFont="1">
      <alignment vertical="bottom"/>
    </xf>
    <xf borderId="7" fillId="0" fontId="4" numFmtId="0" xfId="0" applyBorder="1" applyFont="1"/>
    <xf borderId="4" fillId="33" fontId="74" numFmtId="0" xfId="0" applyAlignment="1" applyBorder="1" applyFont="1">
      <alignment horizontal="center" vertical="bottom"/>
    </xf>
    <xf borderId="0" fillId="6" fontId="4" numFmtId="0" xfId="0" applyAlignment="1" applyFont="1">
      <alignment vertical="bottom"/>
    </xf>
    <xf borderId="4" fillId="0" fontId="4" numFmtId="0" xfId="0" applyAlignment="1" applyBorder="1" applyFont="1">
      <alignment vertical="bottom"/>
    </xf>
    <xf borderId="0" fillId="33" fontId="69" numFmtId="0" xfId="0" applyAlignment="1" applyFont="1">
      <alignment horizontal="center" vertical="bottom"/>
    </xf>
    <xf borderId="4" fillId="33" fontId="74" numFmtId="0" xfId="0" applyAlignment="1" applyBorder="1" applyFont="1">
      <alignment horizontal="center" readingOrder="0" vertical="bottom"/>
    </xf>
    <xf borderId="13" fillId="3" fontId="34" numFmtId="0" xfId="0" applyAlignment="1" applyBorder="1" applyFont="1">
      <alignment horizontal="center" vertical="center"/>
    </xf>
    <xf borderId="13" fillId="3" fontId="32" numFmtId="0" xfId="0" applyAlignment="1" applyBorder="1" applyFont="1">
      <alignment horizontal="center" vertical="center"/>
    </xf>
    <xf borderId="0" fillId="3" fontId="34" numFmtId="0" xfId="0" applyAlignment="1" applyFont="1">
      <alignment horizontal="center" readingOrder="0" vertical="center"/>
    </xf>
    <xf borderId="5" fillId="3" fontId="32" numFmtId="0" xfId="0" applyAlignment="1" applyBorder="1" applyFont="1">
      <alignment horizontal="center" vertical="center"/>
    </xf>
    <xf borderId="5" fillId="3" fontId="89" numFmtId="0" xfId="0" applyAlignment="1" applyBorder="1" applyFont="1">
      <alignment horizontal="center" vertical="center"/>
    </xf>
    <xf borderId="5" fillId="31" fontId="33" numFmtId="0" xfId="0" applyAlignment="1" applyBorder="1" applyFont="1">
      <alignment horizontal="center" readingOrder="0" vertical="center"/>
    </xf>
    <xf borderId="9" fillId="6" fontId="21" numFmtId="0" xfId="0" applyAlignment="1" applyBorder="1" applyFont="1">
      <alignment horizontal="center" readingOrder="0" vertical="center"/>
    </xf>
    <xf borderId="10" fillId="0" fontId="21" numFmtId="0" xfId="0" applyAlignment="1" applyBorder="1" applyFont="1">
      <alignment horizontal="center" readingOrder="0" vertical="center"/>
    </xf>
    <xf borderId="7" fillId="0" fontId="33" numFmtId="0" xfId="0" applyAlignment="1" applyBorder="1" applyFont="1">
      <alignment horizontal="center" readingOrder="0" vertical="center"/>
    </xf>
    <xf borderId="5" fillId="6" fontId="33" numFmtId="0" xfId="0" applyAlignment="1" applyBorder="1" applyFont="1">
      <alignment horizontal="center" vertical="center"/>
    </xf>
    <xf borderId="10" fillId="6" fontId="21" numFmtId="0" xfId="0" applyAlignment="1" applyBorder="1" applyFont="1">
      <alignment horizontal="center" readingOrder="0" vertical="center"/>
    </xf>
    <xf borderId="7" fillId="6" fontId="33" numFmtId="0" xfId="0" applyAlignment="1" applyBorder="1" applyFont="1">
      <alignment horizontal="center" readingOrder="0" vertical="center"/>
    </xf>
    <xf borderId="5" fillId="6" fontId="33" numFmtId="0" xfId="0" applyAlignment="1" applyBorder="1" applyFont="1">
      <alignment horizontal="center" vertical="center"/>
    </xf>
    <xf borderId="7" fillId="6" fontId="33" numFmtId="0" xfId="0" applyAlignment="1" applyBorder="1" applyFont="1">
      <alignment horizontal="center" vertical="center"/>
    </xf>
    <xf borderId="5" fillId="15" fontId="90" numFmtId="0" xfId="0" applyAlignment="1" applyBorder="1" applyFont="1">
      <alignment horizontal="center" vertical="center"/>
    </xf>
    <xf borderId="6" fillId="3" fontId="21" numFmtId="0" xfId="0" applyAlignment="1" applyBorder="1" applyFont="1">
      <alignment horizontal="center" vertical="center"/>
    </xf>
    <xf borderId="4" fillId="3" fontId="33" numFmtId="0" xfId="0" applyAlignment="1" applyBorder="1" applyFont="1">
      <alignment horizontal="center" vertical="center"/>
    </xf>
    <xf borderId="5" fillId="3" fontId="33" numFmtId="0" xfId="0" applyAlignment="1" applyBorder="1" applyFont="1">
      <alignment horizontal="center" vertical="center"/>
    </xf>
    <xf borderId="0" fillId="6" fontId="21" numFmtId="0" xfId="0" applyAlignment="1" applyFont="1">
      <alignment horizontal="center" readingOrder="0" vertical="center"/>
    </xf>
    <xf borderId="4" fillId="6" fontId="33" numFmtId="0" xfId="0" applyAlignment="1" applyBorder="1" applyFont="1">
      <alignment horizontal="center" readingOrder="0" vertical="center"/>
    </xf>
    <xf borderId="5" fillId="35" fontId="90" numFmtId="0" xfId="0" applyAlignment="1" applyBorder="1" applyFill="1" applyFont="1">
      <alignment horizontal="center" vertical="center"/>
    </xf>
    <xf borderId="12" fillId="6" fontId="21" numFmtId="0" xfId="0" applyAlignment="1" applyBorder="1" applyFont="1">
      <alignment horizontal="center" vertical="center"/>
    </xf>
    <xf borderId="12" fillId="6" fontId="33" numFmtId="0" xfId="0" applyAlignment="1" applyBorder="1" applyFont="1">
      <alignment horizontal="center" vertical="center"/>
    </xf>
    <xf borderId="15" fillId="6" fontId="21" numFmtId="0" xfId="0" applyAlignment="1" applyBorder="1" applyFont="1">
      <alignment horizontal="center" readingOrder="0" vertical="center"/>
    </xf>
    <xf borderId="15" fillId="6" fontId="33" numFmtId="0" xfId="0" applyAlignment="1" applyBorder="1" applyFont="1">
      <alignment horizontal="center" vertical="center"/>
    </xf>
    <xf borderId="0" fillId="6" fontId="21" numFmtId="0" xfId="0" applyAlignment="1" applyFont="1">
      <alignment horizontal="center" vertical="center"/>
    </xf>
    <xf borderId="2" fillId="0" fontId="33" numFmtId="0" xfId="0" applyAlignment="1" applyBorder="1" applyFont="1">
      <alignment horizontal="center" vertical="center"/>
    </xf>
    <xf borderId="5" fillId="0" fontId="33" numFmtId="0" xfId="0" applyAlignment="1" applyBorder="1" applyFont="1">
      <alignment horizontal="center" vertical="center"/>
    </xf>
    <xf borderId="13" fillId="6" fontId="21" numFmtId="0" xfId="0" applyAlignment="1" applyBorder="1" applyFont="1">
      <alignment horizontal="center" vertical="center"/>
    </xf>
    <xf borderId="4" fillId="6" fontId="33" numFmtId="0" xfId="0" applyAlignment="1" applyBorder="1" applyFont="1">
      <alignment horizontal="center" vertical="center"/>
    </xf>
    <xf borderId="0" fillId="3" fontId="91" numFmtId="0" xfId="0" applyAlignment="1" applyFont="1">
      <alignment horizontal="center" readingOrder="0" vertical="center"/>
    </xf>
    <xf borderId="0" fillId="3" fontId="92" numFmtId="0" xfId="0" applyAlignment="1" applyFont="1">
      <alignment horizontal="center" readingOrder="0" vertical="center"/>
    </xf>
    <xf borderId="5" fillId="3" fontId="93" numFmtId="0" xfId="0" applyAlignment="1" applyBorder="1" applyFont="1">
      <alignment horizontal="left" readingOrder="0" vertical="center"/>
    </xf>
    <xf borderId="5" fillId="3" fontId="4" numFmtId="0" xfId="0" applyAlignment="1" applyBorder="1" applyFont="1">
      <alignment horizontal="center" readingOrder="0" vertical="center"/>
    </xf>
    <xf borderId="5" fillId="6" fontId="4" numFmtId="0" xfId="0" applyAlignment="1" applyBorder="1" applyFont="1">
      <alignment horizontal="center"/>
    </xf>
    <xf borderId="5" fillId="20" fontId="24" numFmtId="0" xfId="0" applyAlignment="1" applyBorder="1" applyFont="1">
      <alignment horizontal="center" readingOrder="0" vertical="center"/>
    </xf>
    <xf borderId="5" fillId="36" fontId="24" numFmtId="0" xfId="0" applyAlignment="1" applyBorder="1" applyFill="1" applyFont="1">
      <alignment horizontal="center" readingOrder="0" vertical="center"/>
    </xf>
    <xf borderId="0" fillId="6" fontId="24" numFmtId="0" xfId="0" applyAlignment="1" applyFont="1">
      <alignment horizontal="center" readingOrder="0" vertical="center"/>
    </xf>
    <xf borderId="13" fillId="26" fontId="45" numFmtId="0" xfId="0" applyAlignment="1" applyBorder="1" applyFont="1">
      <alignment horizontal="center" readingOrder="0" vertical="center"/>
    </xf>
    <xf borderId="13" fillId="33" fontId="45" numFmtId="0" xfId="0" applyAlignment="1" applyBorder="1" applyFont="1">
      <alignment horizontal="center" readingOrder="0" vertical="center"/>
    </xf>
    <xf borderId="13" fillId="10" fontId="45" numFmtId="0" xfId="0" applyAlignment="1" applyBorder="1" applyFont="1">
      <alignment horizontal="center" readingOrder="0" vertical="center"/>
    </xf>
    <xf borderId="13" fillId="10" fontId="94" numFmtId="0" xfId="0" applyAlignment="1" applyBorder="1" applyFont="1">
      <alignment horizontal="center" readingOrder="0" vertical="center"/>
    </xf>
    <xf borderId="2" fillId="28" fontId="34" numFmtId="0" xfId="0" applyAlignment="1" applyBorder="1" applyFont="1">
      <alignment horizontal="center" vertical="bottom"/>
    </xf>
    <xf borderId="5" fillId="6" fontId="45" numFmtId="0" xfId="0" applyAlignment="1" applyBorder="1" applyFont="1">
      <alignment horizontal="center" vertical="bottom"/>
    </xf>
    <xf borderId="8" fillId="16" fontId="37" numFmtId="0" xfId="0" applyAlignment="1" applyBorder="1" applyFont="1">
      <alignment horizontal="center" readingOrder="0" vertical="center"/>
    </xf>
    <xf borderId="5" fillId="6" fontId="95" numFmtId="0" xfId="0" applyAlignment="1" applyBorder="1" applyFont="1">
      <alignment horizontal="center" vertical="bottom"/>
    </xf>
    <xf borderId="4" fillId="6" fontId="24" numFmtId="0" xfId="0" applyAlignment="1" applyBorder="1" applyFont="1">
      <alignment horizontal="center" vertical="bottom"/>
    </xf>
    <xf borderId="5" fillId="6" fontId="24" numFmtId="0" xfId="0" applyAlignment="1" applyBorder="1" applyFont="1">
      <alignment horizontal="center" vertical="bottom"/>
    </xf>
    <xf borderId="0" fillId="0" fontId="4" numFmtId="0" xfId="0" applyAlignment="1" applyFont="1">
      <alignment readingOrder="0" vertical="bottom"/>
    </xf>
    <xf borderId="7" fillId="6" fontId="74" numFmtId="0" xfId="0" applyAlignment="1" applyBorder="1" applyFont="1">
      <alignment horizontal="center" readingOrder="0" vertical="bottom"/>
    </xf>
    <xf borderId="0" fillId="29" fontId="21" numFmtId="0" xfId="0" applyFont="1"/>
    <xf borderId="0" fillId="28" fontId="77" numFmtId="0" xfId="0" applyAlignment="1" applyFont="1">
      <alignment horizontal="center" vertical="bottom"/>
    </xf>
    <xf borderId="5" fillId="28" fontId="96" numFmtId="0" xfId="0" applyAlignment="1" applyBorder="1" applyFont="1">
      <alignment horizontal="center" readingOrder="0" vertical="bottom"/>
    </xf>
    <xf borderId="5" fillId="29" fontId="34" numFmtId="0" xfId="0" applyAlignment="1" applyBorder="1" applyFont="1">
      <alignment readingOrder="0" vertical="bottom"/>
    </xf>
    <xf borderId="0" fillId="10" fontId="4" numFmtId="0" xfId="0" applyAlignment="1" applyFont="1">
      <alignment horizontal="center" readingOrder="0" vertical="bottom"/>
    </xf>
    <xf borderId="0" fillId="10" fontId="4" numFmtId="0" xfId="0" applyAlignment="1" applyFont="1">
      <alignment vertical="bottom"/>
    </xf>
    <xf borderId="5" fillId="33" fontId="74" numFmtId="0" xfId="0" applyAlignment="1" applyBorder="1" applyFont="1">
      <alignment horizontal="center" readingOrder="0" vertical="bottom"/>
    </xf>
    <xf borderId="7" fillId="33" fontId="97" numFmtId="0" xfId="0" applyAlignment="1" applyBorder="1" applyFont="1">
      <alignment horizontal="center" vertical="bottom"/>
    </xf>
    <xf borderId="4" fillId="37" fontId="74" numFmtId="0" xfId="0" applyAlignment="1" applyBorder="1" applyFill="1" applyFont="1">
      <alignment horizontal="center" vertical="bottom"/>
    </xf>
    <xf borderId="4" fillId="31" fontId="4" numFmtId="0" xfId="0" applyAlignment="1" applyBorder="1" applyFont="1">
      <alignment vertical="bottom"/>
    </xf>
    <xf borderId="7" fillId="28" fontId="98" numFmtId="0" xfId="0" applyAlignment="1" applyBorder="1" applyFont="1">
      <alignment horizontal="center" vertical="bottom"/>
    </xf>
    <xf borderId="7" fillId="28" fontId="99" numFmtId="0" xfId="0" applyAlignment="1" applyBorder="1" applyFont="1">
      <alignment horizontal="center" readingOrder="0" vertical="bottom"/>
    </xf>
    <xf borderId="7" fillId="10" fontId="4" numFmtId="0" xfId="0" applyAlignment="1" applyBorder="1" applyFont="1">
      <alignment horizontal="center" vertical="bottom"/>
    </xf>
    <xf borderId="5" fillId="31" fontId="32" numFmtId="0" xfId="0" applyAlignment="1" applyBorder="1" applyFont="1">
      <alignment horizontal="center" readingOrder="0" vertical="bottom"/>
    </xf>
    <xf borderId="5" fillId="13" fontId="90" numFmtId="0" xfId="0" applyAlignment="1" applyBorder="1" applyFont="1">
      <alignment horizontal="center" readingOrder="0" vertical="center"/>
    </xf>
    <xf borderId="5" fillId="13" fontId="90" numFmtId="0" xfId="0" applyAlignment="1" applyBorder="1" applyFont="1">
      <alignment horizontal="center" readingOrder="0" vertical="center"/>
    </xf>
    <xf borderId="5" fillId="33" fontId="100" numFmtId="0" xfId="0" applyAlignment="1" applyBorder="1" applyFont="1">
      <alignment horizontal="center" readingOrder="0" vertical="center"/>
    </xf>
    <xf borderId="5" fillId="16" fontId="24" numFmtId="0" xfId="0" applyAlignment="1" applyBorder="1" applyFont="1">
      <alignment horizontal="center" readingOrder="0" vertical="center"/>
    </xf>
    <xf borderId="5" fillId="13" fontId="100" numFmtId="0" xfId="0" applyAlignment="1" applyBorder="1" applyFont="1">
      <alignment horizontal="center" readingOrder="0" vertical="center"/>
    </xf>
    <xf borderId="5" fillId="38" fontId="24" numFmtId="0" xfId="0" applyAlignment="1" applyBorder="1" applyFill="1" applyFont="1">
      <alignment horizontal="center" readingOrder="0" vertical="center"/>
    </xf>
    <xf borderId="5" fillId="13" fontId="100" numFmtId="0" xfId="0" applyAlignment="1" applyBorder="1" applyFont="1">
      <alignment horizontal="center" readingOrder="0" vertical="center"/>
    </xf>
    <xf borderId="5" fillId="38" fontId="21" numFmtId="0" xfId="0" applyBorder="1" applyFont="1"/>
    <xf borderId="5" fillId="13" fontId="101" numFmtId="0" xfId="0" applyBorder="1" applyFont="1"/>
    <xf borderId="5" fillId="33" fontId="33" numFmtId="0" xfId="0" applyAlignment="1" applyBorder="1" applyFont="1">
      <alignment horizontal="center" readingOrder="0" vertical="center"/>
    </xf>
    <xf borderId="5" fillId="6" fontId="100" numFmtId="0" xfId="0" applyAlignment="1" applyBorder="1" applyFont="1">
      <alignment horizontal="center" readingOrder="0" vertical="center"/>
    </xf>
    <xf borderId="5" fillId="6" fontId="24" numFmtId="0" xfId="0" applyAlignment="1" applyBorder="1" applyFont="1">
      <alignment horizontal="center" vertical="bottom"/>
    </xf>
    <xf borderId="5" fillId="6" fontId="4" numFmtId="0" xfId="0" applyBorder="1" applyFont="1"/>
    <xf borderId="0" fillId="29" fontId="4" numFmtId="0" xfId="0" applyAlignment="1" applyFont="1">
      <alignment vertical="bottom"/>
    </xf>
    <xf borderId="5" fillId="39" fontId="4" numFmtId="0" xfId="0" applyAlignment="1" applyBorder="1" applyFill="1" applyFont="1">
      <alignment vertical="bottom"/>
    </xf>
    <xf borderId="0" fillId="29" fontId="4" numFmtId="0" xfId="0" applyAlignment="1" applyFont="1">
      <alignment horizontal="center" vertical="bottom"/>
    </xf>
    <xf borderId="2" fillId="29" fontId="4" numFmtId="0" xfId="0" applyAlignment="1" applyBorder="1" applyFont="1">
      <alignment vertical="bottom"/>
    </xf>
    <xf borderId="2" fillId="12" fontId="4" numFmtId="0" xfId="0" applyAlignment="1" applyBorder="1" applyFont="1">
      <alignment horizontal="center" vertical="bottom"/>
    </xf>
    <xf borderId="7" fillId="10" fontId="32" numFmtId="0" xfId="0" applyAlignment="1" applyBorder="1" applyFont="1">
      <alignment horizontal="center" readingOrder="0" vertical="bottom"/>
    </xf>
    <xf borderId="0" fillId="10" fontId="32" numFmtId="0" xfId="0" applyAlignment="1" applyFont="1">
      <alignment horizontal="center" readingOrder="0" vertical="bottom"/>
    </xf>
    <xf borderId="5" fillId="31" fontId="32" numFmtId="0" xfId="0" applyAlignment="1" applyBorder="1" applyFont="1">
      <alignment horizontal="center" vertical="bottom"/>
    </xf>
    <xf borderId="0" fillId="39" fontId="4" numFmtId="0" xfId="0" applyAlignment="1" applyFont="1">
      <alignment vertical="bottom"/>
    </xf>
    <xf borderId="7" fillId="29" fontId="32" numFmtId="0" xfId="0" applyAlignment="1" applyBorder="1" applyFont="1">
      <alignment horizontal="center" vertical="bottom"/>
    </xf>
    <xf borderId="0" fillId="6" fontId="21" numFmtId="0" xfId="0" applyFont="1"/>
    <xf borderId="7" fillId="12" fontId="32" numFmtId="0" xfId="0" applyAlignment="1" applyBorder="1" applyFont="1">
      <alignment horizontal="center" vertical="bottom"/>
    </xf>
    <xf borderId="5" fillId="10" fontId="32" numFmtId="0" xfId="0" applyAlignment="1" applyBorder="1" applyFont="1">
      <alignment horizontal="center" readingOrder="0" vertical="bottom"/>
    </xf>
    <xf borderId="7" fillId="33" fontId="32" numFmtId="0" xfId="0" applyAlignment="1" applyBorder="1" applyFont="1">
      <alignment horizontal="center" vertical="bottom"/>
    </xf>
    <xf borderId="7" fillId="6" fontId="36" numFmtId="0" xfId="0" applyAlignment="1" applyBorder="1" applyFont="1">
      <alignment horizontal="center" vertical="bottom"/>
    </xf>
    <xf borderId="0" fillId="30" fontId="4" numFmtId="0" xfId="0" applyAlignment="1" applyFont="1">
      <alignment vertical="bottom"/>
    </xf>
    <xf borderId="0" fillId="6" fontId="88" numFmtId="0" xfId="0" applyAlignment="1" applyFont="1">
      <alignment horizontal="center" vertical="bottom"/>
    </xf>
    <xf borderId="4" fillId="6" fontId="32" numFmtId="0" xfId="0" applyAlignment="1" applyBorder="1" applyFont="1">
      <alignment horizontal="center" readingOrder="0" vertical="bottom"/>
    </xf>
    <xf borderId="5" fillId="38" fontId="33" numFmtId="0" xfId="0" applyAlignment="1" applyBorder="1" applyFont="1">
      <alignment horizontal="center" readingOrder="0" vertical="center"/>
    </xf>
    <xf borderId="5" fillId="35" fontId="90" numFmtId="0" xfId="0" applyAlignment="1" applyBorder="1" applyFont="1">
      <alignment horizontal="center" readingOrder="0" vertical="center"/>
    </xf>
    <xf borderId="5" fillId="31" fontId="90" numFmtId="0" xfId="0" applyAlignment="1" applyBorder="1" applyFont="1">
      <alignment horizontal="center" readingOrder="0" vertical="center"/>
    </xf>
    <xf borderId="5" fillId="40" fontId="33" numFmtId="0" xfId="0" applyAlignment="1" applyBorder="1" applyFill="1" applyFont="1">
      <alignment horizontal="center" readingOrder="0" vertical="center"/>
    </xf>
    <xf borderId="5" fillId="33" fontId="90" numFmtId="0" xfId="0" applyAlignment="1" applyBorder="1" applyFont="1">
      <alignment horizontal="center" readingOrder="0" vertical="center"/>
    </xf>
    <xf borderId="0" fillId="6" fontId="32" numFmtId="0" xfId="0" applyAlignment="1" applyFont="1">
      <alignment horizontal="center"/>
    </xf>
    <xf borderId="0" fillId="33" fontId="32" numFmtId="0" xfId="0" applyAlignment="1" applyFont="1">
      <alignment horizontal="center"/>
    </xf>
    <xf borderId="0" fillId="10" fontId="64" numFmtId="0" xfId="0" applyAlignment="1" applyFont="1">
      <alignment horizontal="center" readingOrder="0" vertical="bottom"/>
    </xf>
    <xf borderId="5" fillId="32" fontId="74" numFmtId="0" xfId="0" applyAlignment="1" applyBorder="1" applyFont="1">
      <alignment horizontal="center" readingOrder="0" vertical="bottom"/>
    </xf>
    <xf borderId="4" fillId="6" fontId="4" numFmtId="0" xfId="0" applyAlignment="1" applyBorder="1" applyFont="1">
      <alignment readingOrder="0" vertical="bottom"/>
    </xf>
    <xf borderId="7" fillId="32" fontId="69" numFmtId="0" xfId="0" applyAlignment="1" applyBorder="1" applyFont="1">
      <alignment horizontal="center" readingOrder="0" vertical="bottom"/>
    </xf>
    <xf borderId="0" fillId="33" fontId="4" numFmtId="0" xfId="0" applyAlignment="1" applyFont="1">
      <alignment horizontal="center" vertical="bottom"/>
    </xf>
    <xf borderId="5" fillId="40" fontId="33" numFmtId="0" xfId="0" applyAlignment="1" applyBorder="1" applyFont="1">
      <alignment horizontal="center" vertical="center"/>
    </xf>
    <xf borderId="5" fillId="40" fontId="59" numFmtId="0" xfId="0" applyBorder="1" applyFont="1"/>
    <xf borderId="3" fillId="22" fontId="26" numFmtId="0" xfId="0" applyAlignment="1" applyBorder="1" applyFont="1">
      <alignment horizontal="center" vertical="bottom"/>
    </xf>
    <xf borderId="5" fillId="3" fontId="45" numFmtId="0" xfId="0" applyAlignment="1" applyBorder="1" applyFont="1">
      <alignment horizontal="center" vertical="bottom"/>
    </xf>
    <xf borderId="5" fillId="3" fontId="4" numFmtId="0" xfId="0" applyAlignment="1" applyBorder="1" applyFont="1">
      <alignment vertical="bottom"/>
    </xf>
    <xf borderId="5" fillId="3" fontId="32" numFmtId="0" xfId="0" applyAlignment="1" applyBorder="1" applyFont="1">
      <alignment horizontal="center" vertical="bottom"/>
    </xf>
    <xf borderId="5" fillId="3" fontId="32" numFmtId="0" xfId="0" applyAlignment="1" applyBorder="1" applyFont="1">
      <alignment horizontal="center" vertical="bottom"/>
    </xf>
    <xf borderId="5" fillId="3" fontId="102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21" numFmtId="0" xfId="0" applyBorder="1" applyFont="1"/>
    <xf borderId="5" fillId="3" fontId="103" numFmtId="0" xfId="0" applyAlignment="1" applyBorder="1" applyFont="1">
      <alignment horizontal="center" vertical="bottom"/>
    </xf>
    <xf borderId="5" fillId="3" fontId="104" numFmtId="0" xfId="0" applyAlignment="1" applyBorder="1" applyFont="1">
      <alignment horizontal="center" readingOrder="0" vertical="bottom"/>
    </xf>
    <xf borderId="5" fillId="3" fontId="23" numFmtId="0" xfId="0" applyAlignment="1" applyBorder="1" applyFont="1">
      <alignment horizontal="center" vertical="bottom"/>
    </xf>
    <xf borderId="5" fillId="3" fontId="85" numFmtId="0" xfId="0" applyAlignment="1" applyBorder="1" applyFont="1">
      <alignment horizontal="center" readingOrder="0"/>
    </xf>
    <xf borderId="9" fillId="6" fontId="21" numFmtId="0" xfId="0" applyAlignment="1" applyBorder="1" applyFont="1">
      <alignment horizontal="center" vertical="center"/>
    </xf>
    <xf borderId="2" fillId="6" fontId="33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center" vertical="center"/>
    </xf>
    <xf borderId="0" fillId="16" fontId="21" numFmtId="0" xfId="0" applyAlignment="1" applyFont="1">
      <alignment horizontal="center" vertical="center"/>
    </xf>
    <xf borderId="4" fillId="16" fontId="33" numFmtId="0" xfId="0" applyAlignment="1" applyBorder="1" applyFont="1">
      <alignment horizontal="center" vertical="center"/>
    </xf>
    <xf borderId="15" fillId="6" fontId="21" numFmtId="0" xfId="0" applyAlignment="1" applyBorder="1" applyFont="1">
      <alignment horizontal="center" vertical="center"/>
    </xf>
    <xf borderId="5" fillId="3" fontId="24" numFmtId="0" xfId="0" applyAlignment="1" applyBorder="1" applyFont="1">
      <alignment horizontal="center" readingOrder="0" vertical="center"/>
    </xf>
    <xf borderId="14" fillId="6" fontId="21" numFmtId="0" xfId="0" applyAlignment="1" applyBorder="1" applyFont="1">
      <alignment horizontal="center" vertical="center"/>
    </xf>
    <xf borderId="14" fillId="6" fontId="33" numFmtId="0" xfId="0" applyAlignment="1" applyBorder="1" applyFont="1">
      <alignment horizontal="center" vertical="center"/>
    </xf>
    <xf borderId="0" fillId="8" fontId="4" numFmtId="0" xfId="0" applyAlignment="1" applyFont="1">
      <alignment horizontal="center" vertical="center"/>
    </xf>
    <xf borderId="3" fillId="19" fontId="105" numFmtId="0" xfId="0" applyAlignment="1" applyBorder="1" applyFont="1">
      <alignment horizontal="center" readingOrder="0" vertical="center"/>
    </xf>
    <xf borderId="3" fillId="22" fontId="105" numFmtId="0" xfId="0" applyAlignment="1" applyBorder="1" applyFont="1">
      <alignment horizontal="center" readingOrder="0" vertical="bottom"/>
    </xf>
    <xf borderId="13" fillId="33" fontId="105" numFmtId="0" xfId="0" applyAlignment="1" applyBorder="1" applyFont="1">
      <alignment horizontal="center" readingOrder="0" vertical="center"/>
    </xf>
    <xf borderId="13" fillId="22" fontId="105" numFmtId="0" xfId="0" applyAlignment="1" applyBorder="1" applyFont="1">
      <alignment horizontal="center" readingOrder="0" vertical="center"/>
    </xf>
    <xf borderId="13" fillId="10" fontId="105" numFmtId="0" xfId="0" applyAlignment="1" applyBorder="1" applyFont="1">
      <alignment horizontal="center" readingOrder="0" vertical="center"/>
    </xf>
    <xf borderId="13" fillId="14" fontId="105" numFmtId="0" xfId="0" applyAlignment="1" applyBorder="1" applyFont="1">
      <alignment horizontal="center" readingOrder="0" vertical="center"/>
    </xf>
    <xf borderId="0" fillId="39" fontId="21" numFmtId="0" xfId="0" applyFont="1"/>
    <xf borderId="2" fillId="39" fontId="4" numFmtId="0" xfId="0" applyAlignment="1" applyBorder="1" applyFont="1">
      <alignment vertical="bottom"/>
    </xf>
    <xf borderId="7" fillId="39" fontId="32" numFmtId="0" xfId="0" applyAlignment="1" applyBorder="1" applyFont="1">
      <alignment horizontal="center" vertical="bottom"/>
    </xf>
    <xf borderId="7" fillId="10" fontId="32" numFmtId="0" xfId="0" applyAlignment="1" applyBorder="1" applyFont="1">
      <alignment horizontal="center" vertical="bottom"/>
    </xf>
    <xf borderId="0" fillId="10" fontId="32" numFmtId="0" xfId="0" applyAlignment="1" applyFont="1">
      <alignment horizontal="center" vertical="bottom"/>
    </xf>
    <xf borderId="7" fillId="11" fontId="32" numFmtId="0" xfId="0" applyAlignment="1" applyBorder="1" applyFont="1">
      <alignment horizontal="center" vertical="bottom"/>
    </xf>
    <xf borderId="2" fillId="6" fontId="106" numFmtId="0" xfId="0" applyAlignment="1" applyBorder="1" applyFont="1">
      <alignment horizontal="center" vertical="bottom"/>
    </xf>
    <xf borderId="2" fillId="0" fontId="107" numFmtId="0" xfId="0" applyAlignment="1" applyBorder="1" applyFont="1">
      <alignment horizontal="center" vertical="bottom"/>
    </xf>
    <xf borderId="5" fillId="28" fontId="108" numFmtId="0" xfId="0" applyAlignment="1" applyBorder="1" applyFont="1">
      <alignment horizontal="center" readingOrder="0" vertical="bottom"/>
    </xf>
    <xf borderId="0" fillId="28" fontId="34" numFmtId="0" xfId="0" applyAlignment="1" applyFont="1">
      <alignment horizontal="center" readingOrder="0" vertical="bottom"/>
    </xf>
    <xf borderId="5" fillId="10" fontId="32" numFmtId="0" xfId="0" applyAlignment="1" applyBorder="1" applyFont="1">
      <alignment horizontal="center" vertical="bottom"/>
    </xf>
    <xf borderId="0" fillId="29" fontId="32" numFmtId="0" xfId="0" applyAlignment="1" applyFont="1">
      <alignment horizontal="center" vertical="bottom"/>
    </xf>
    <xf borderId="2" fillId="6" fontId="32" numFmtId="0" xfId="0" applyAlignment="1" applyBorder="1" applyFont="1">
      <alignment horizontal="center" readingOrder="0" vertical="bottom"/>
    </xf>
    <xf borderId="7" fillId="32" fontId="109" numFmtId="0" xfId="0" applyAlignment="1" applyBorder="1" applyFont="1">
      <alignment horizontal="center" readingOrder="0" vertical="bottom"/>
    </xf>
    <xf borderId="7" fillId="6" fontId="110" numFmtId="0" xfId="0" applyAlignment="1" applyBorder="1" applyFont="1">
      <alignment horizontal="center" vertical="bottom"/>
    </xf>
    <xf borderId="0" fillId="34" fontId="85" numFmtId="0" xfId="0" applyAlignment="1" applyFont="1">
      <alignment horizontal="center" vertical="bottom"/>
    </xf>
    <xf borderId="7" fillId="29" fontId="111" numFmtId="0" xfId="0" applyAlignment="1" applyBorder="1" applyFont="1">
      <alignment horizontal="center" vertical="bottom"/>
    </xf>
    <xf borderId="0" fillId="10" fontId="33" numFmtId="0" xfId="0" applyAlignment="1" applyFont="1">
      <alignment readingOrder="0"/>
    </xf>
    <xf borderId="0" fillId="6" fontId="4" numFmtId="0" xfId="0" applyAlignment="1" applyFont="1">
      <alignment vertical="bottom"/>
    </xf>
    <xf borderId="7" fillId="0" fontId="32" numFmtId="0" xfId="0" applyAlignment="1" applyBorder="1" applyFont="1">
      <alignment horizontal="center" vertical="bottom"/>
    </xf>
    <xf borderId="7" fillId="6" fontId="4" numFmtId="0" xfId="0" applyAlignment="1" applyBorder="1" applyFont="1">
      <alignment horizontal="center" vertical="bottom"/>
    </xf>
    <xf borderId="4" fillId="32" fontId="74" numFmtId="0" xfId="0" applyAlignment="1" applyBorder="1" applyFont="1">
      <alignment horizontal="center" readingOrder="0" vertical="bottom"/>
    </xf>
    <xf borderId="0" fillId="32" fontId="69" numFmtId="0" xfId="0" applyAlignment="1" applyFont="1">
      <alignment horizontal="center" readingOrder="0" vertical="bottom"/>
    </xf>
    <xf borderId="4" fillId="3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7" fillId="3" fontId="4" numFmtId="0" xfId="0" applyAlignment="1" applyBorder="1" applyFont="1">
      <alignment vertical="bottom"/>
    </xf>
    <xf borderId="5" fillId="32" fontId="90" numFmtId="0" xfId="0" applyAlignment="1" applyBorder="1" applyFont="1">
      <alignment horizontal="center" readingOrder="0" vertical="center"/>
    </xf>
    <xf borderId="5" fillId="6" fontId="4" numFmtId="0" xfId="0" applyAlignment="1" applyBorder="1" applyFont="1">
      <alignment horizontal="center" readingOrder="0"/>
    </xf>
    <xf borderId="5" fillId="0" fontId="21" numFmtId="0" xfId="0" applyAlignment="1" applyBorder="1" applyFont="1">
      <alignment horizontal="center" readingOrder="0"/>
    </xf>
    <xf borderId="5" fillId="3" fontId="93" numFmtId="0" xfId="0" applyAlignment="1" applyBorder="1" applyFont="1">
      <alignment horizontal="center" readingOrder="0" vertical="center"/>
    </xf>
    <xf borderId="3" fillId="26" fontId="105" numFmtId="0" xfId="0" applyAlignment="1" applyBorder="1" applyFont="1">
      <alignment horizontal="center" readingOrder="0" vertical="bottom"/>
    </xf>
    <xf borderId="7" fillId="28" fontId="3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0" fillId="10" fontId="4" numFmtId="0" xfId="0" applyAlignment="1" applyFont="1">
      <alignment readingOrder="0" vertical="bottom"/>
    </xf>
    <xf borderId="7" fillId="32" fontId="74" numFmtId="0" xfId="0" applyAlignment="1" applyBorder="1" applyFont="1">
      <alignment horizontal="center" readingOrder="0" vertical="bottom"/>
    </xf>
    <xf borderId="7" fillId="10" fontId="4" numFmtId="0" xfId="0" applyAlignment="1" applyBorder="1" applyFont="1">
      <alignment readingOrder="0" vertical="bottom"/>
    </xf>
    <xf borderId="7" fillId="33" fontId="112" numFmtId="0" xfId="0" applyAlignment="1" applyBorder="1" applyFont="1">
      <alignment horizontal="center" vertical="bottom"/>
    </xf>
    <xf borderId="0" fillId="6" fontId="85" numFmtId="0" xfId="0" applyAlignment="1" applyFont="1">
      <alignment horizontal="center" vertical="bottom"/>
    </xf>
    <xf borderId="7" fillId="6" fontId="113" numFmtId="0" xfId="0" applyAlignment="1" applyBorder="1" applyFont="1">
      <alignment horizontal="center" vertical="bottom"/>
    </xf>
    <xf borderId="7" fillId="32" fontId="114" numFmtId="0" xfId="0" applyAlignment="1" applyBorder="1" applyFont="1">
      <alignment horizontal="center" readingOrder="0" vertical="bottom"/>
    </xf>
    <xf borderId="0" fillId="33" fontId="4" numFmtId="0" xfId="0" applyAlignment="1" applyFont="1">
      <alignment horizontal="center" vertical="bottom"/>
    </xf>
    <xf borderId="0" fillId="3" fontId="21" numFmtId="0" xfId="0" applyFont="1"/>
    <xf borderId="5" fillId="32" fontId="100" numFmtId="0" xfId="0" applyAlignment="1" applyBorder="1" applyFont="1">
      <alignment horizontal="center" readingOrder="0" vertical="center"/>
    </xf>
    <xf borderId="5" fillId="41" fontId="115" numFmtId="0" xfId="0" applyAlignment="1" applyBorder="1" applyFill="1" applyFont="1">
      <alignment horizontal="center" readingOrder="0" vertical="center"/>
    </xf>
    <xf borderId="5" fillId="41" fontId="69" numFmtId="0" xfId="0" applyAlignment="1" applyBorder="1" applyFont="1">
      <alignment horizontal="center" readingOrder="0"/>
    </xf>
    <xf borderId="5" fillId="32" fontId="101" numFmtId="0" xfId="0" applyAlignment="1" applyBorder="1" applyFont="1">
      <alignment horizontal="center" readingOrder="0"/>
    </xf>
    <xf borderId="8" fillId="27" fontId="92" numFmtId="0" xfId="0" applyAlignment="1" applyBorder="1" applyFont="1">
      <alignment horizontal="center" readingOrder="0" vertical="center"/>
    </xf>
    <xf borderId="0" fillId="6" fontId="16" numFmtId="0" xfId="0" applyAlignment="1" applyFont="1">
      <alignment horizontal="center" vertical="bottom"/>
    </xf>
    <xf borderId="7" fillId="31" fontId="32" numFmtId="0" xfId="0" applyAlignment="1" applyBorder="1" applyFont="1">
      <alignment horizontal="center" readingOrder="0" vertical="bottom"/>
    </xf>
    <xf borderId="7" fillId="6" fontId="24" numFmtId="0" xfId="0" applyAlignment="1" applyBorder="1" applyFont="1">
      <alignment horizontal="center" vertical="bottom"/>
    </xf>
    <xf borderId="2" fillId="32" fontId="116" numFmtId="0" xfId="0" applyAlignment="1" applyBorder="1" applyFont="1">
      <alignment horizontal="center" readingOrder="0" vertical="bottom"/>
    </xf>
    <xf borderId="7" fillId="12" fontId="4" numFmtId="0" xfId="0" applyAlignment="1" applyBorder="1" applyFont="1">
      <alignment horizontal="center" vertical="bottom"/>
    </xf>
    <xf borderId="5" fillId="31" fontId="74" numFmtId="0" xfId="0" applyAlignment="1" applyBorder="1" applyFont="1">
      <alignment horizontal="center" readingOrder="0" vertical="bottom"/>
    </xf>
    <xf borderId="5" fillId="37" fontId="33" numFmtId="0" xfId="0" applyAlignment="1" applyBorder="1" applyFont="1">
      <alignment horizontal="center" readingOrder="0" vertical="center"/>
    </xf>
    <xf borderId="5" fillId="41" fontId="90" numFmtId="0" xfId="0" applyAlignment="1" applyBorder="1" applyFont="1">
      <alignment horizontal="center" readingOrder="0" vertical="center"/>
    </xf>
    <xf borderId="5" fillId="37" fontId="33" numFmtId="0" xfId="0" applyAlignment="1" applyBorder="1" applyFont="1">
      <alignment horizontal="center" vertical="center"/>
    </xf>
    <xf borderId="5" fillId="37" fontId="24" numFmtId="0" xfId="0" applyAlignment="1" applyBorder="1" applyFont="1">
      <alignment horizontal="center" readingOrder="0" vertical="center"/>
    </xf>
    <xf borderId="5" fillId="37" fontId="21" numFmtId="0" xfId="0" applyAlignment="1" applyBorder="1" applyFont="1">
      <alignment readingOrder="0"/>
    </xf>
    <xf borderId="3" fillId="19" fontId="94" numFmtId="0" xfId="0" applyAlignment="1" applyBorder="1" applyFont="1">
      <alignment horizontal="center" readingOrder="0" vertical="center"/>
    </xf>
    <xf borderId="0" fillId="26" fontId="21" numFmtId="0" xfId="0" applyAlignment="1" applyFont="1">
      <alignment readingOrder="0"/>
    </xf>
    <xf borderId="5" fillId="28" fontId="117" numFmtId="0" xfId="0" applyAlignment="1" applyBorder="1" applyFont="1">
      <alignment horizontal="center" vertical="bottom"/>
    </xf>
    <xf borderId="0" fillId="0" fontId="64" numFmtId="0" xfId="0" applyAlignment="1" applyFont="1">
      <alignment horizontal="center" readingOrder="0" vertical="bottom"/>
    </xf>
    <xf borderId="7" fillId="10" fontId="50" numFmtId="0" xfId="0" applyAlignment="1" applyBorder="1" applyFont="1">
      <alignment horizontal="center" readingOrder="0" vertical="bottom"/>
    </xf>
    <xf borderId="0" fillId="10" fontId="74" numFmtId="0" xfId="0" applyAlignment="1" applyFont="1">
      <alignment horizontal="center" readingOrder="0" vertical="bottom"/>
    </xf>
    <xf borderId="13" fillId="10" fontId="36" numFmtId="0" xfId="0" applyAlignment="1" applyBorder="1" applyFont="1">
      <alignment horizontal="center" readingOrder="0" vertical="center"/>
    </xf>
    <xf borderId="13" fillId="14" fontId="36" numFmtId="0" xfId="0" applyAlignment="1" applyBorder="1" applyFont="1">
      <alignment horizontal="center" readingOrder="0" vertical="center"/>
    </xf>
    <xf borderId="0" fillId="28" fontId="34" numFmtId="0" xfId="0" applyAlignment="1" applyFont="1">
      <alignment horizontal="center" vertical="bottom"/>
    </xf>
    <xf borderId="7" fillId="28" fontId="118" numFmtId="0" xfId="0" applyAlignment="1" applyBorder="1" applyFont="1">
      <alignment horizontal="center" vertical="bottom"/>
    </xf>
    <xf borderId="4" fillId="30" fontId="32" numFmtId="0" xfId="0" applyAlignment="1" applyBorder="1" applyFont="1">
      <alignment horizontal="center" vertical="bottom"/>
    </xf>
    <xf borderId="5" fillId="41" fontId="100" numFmtId="0" xfId="0" applyAlignment="1" applyBorder="1" applyFont="1">
      <alignment horizontal="center" readingOrder="0" vertical="center"/>
    </xf>
    <xf borderId="0" fillId="3" fontId="21" numFmtId="0" xfId="0" applyAlignment="1" applyFont="1">
      <alignment horizontal="center" vertical="center"/>
    </xf>
    <xf borderId="15" fillId="3" fontId="33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readingOrder="0" vertical="center"/>
    </xf>
    <xf borderId="3" fillId="33" fontId="94" numFmtId="0" xfId="0" applyAlignment="1" applyBorder="1" applyFont="1">
      <alignment horizontal="center" readingOrder="0" vertical="center"/>
    </xf>
    <xf borderId="13" fillId="26" fontId="49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vertical="bottom"/>
    </xf>
    <xf borderId="5" fillId="11" fontId="119" numFmtId="0" xfId="0" applyAlignment="1" applyBorder="1" applyFont="1">
      <alignment horizontal="center" vertical="bottom"/>
    </xf>
    <xf borderId="7" fillId="31" fontId="74" numFmtId="0" xfId="0" applyAlignment="1" applyBorder="1" applyFont="1">
      <alignment horizontal="center" readingOrder="0" vertical="bottom"/>
    </xf>
    <xf borderId="0" fillId="6" fontId="69" numFmtId="0" xfId="0" applyAlignment="1" applyFont="1">
      <alignment horizontal="center" readingOrder="0" vertical="bottom"/>
    </xf>
    <xf borderId="7" fillId="28" fontId="23" numFmtId="0" xfId="0" applyAlignment="1" applyBorder="1" applyFont="1">
      <alignment horizontal="center" vertical="bottom"/>
    </xf>
    <xf borderId="2" fillId="6" fontId="32" numFmtId="0" xfId="0" applyAlignment="1" applyBorder="1" applyFont="1">
      <alignment horizontal="center" vertical="bottom"/>
    </xf>
    <xf borderId="7" fillId="31" fontId="4" numFmtId="0" xfId="0" applyAlignment="1" applyBorder="1" applyFont="1">
      <alignment horizontal="center" vertical="bottom"/>
    </xf>
    <xf borderId="5" fillId="6" fontId="69" numFmtId="0" xfId="0" applyAlignment="1" applyBorder="1" applyFont="1">
      <alignment horizontal="center"/>
    </xf>
    <xf borderId="7" fillId="33" fontId="4" numFmtId="0" xfId="0" applyAlignment="1" applyBorder="1" applyFont="1">
      <alignment horizontal="center" vertical="bottom"/>
    </xf>
    <xf borderId="5" fillId="42" fontId="100" numFmtId="0" xfId="0" applyAlignment="1" applyBorder="1" applyFill="1" applyFont="1">
      <alignment horizontal="center" readingOrder="0" vertical="center"/>
    </xf>
    <xf borderId="5" fillId="41" fontId="90" numFmtId="0" xfId="0" applyAlignment="1" applyBorder="1" applyFont="1">
      <alignment horizontal="center" readingOrder="0" vertical="center"/>
    </xf>
    <xf borderId="5" fillId="42" fontId="90" numFmtId="0" xfId="0" applyAlignment="1" applyBorder="1" applyFont="1">
      <alignment horizontal="center" readingOrder="0" vertical="center"/>
    </xf>
    <xf borderId="5" fillId="0" fontId="33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readingOrder="0"/>
    </xf>
    <xf borderId="3" fillId="10" fontId="26" numFmtId="0" xfId="0" applyAlignment="1" applyBorder="1" applyFont="1">
      <alignment horizontal="center" readingOrder="0" vertical="bottom"/>
    </xf>
    <xf borderId="13" fillId="10" fontId="50" numFmtId="0" xfId="0" applyAlignment="1" applyBorder="1" applyFont="1">
      <alignment horizontal="center" readingOrder="0" vertical="center"/>
    </xf>
    <xf borderId="5" fillId="10" fontId="64" numFmtId="0" xfId="0" applyAlignment="1" applyBorder="1" applyFont="1">
      <alignment readingOrder="0" vertical="bottom"/>
    </xf>
    <xf borderId="5" fillId="0" fontId="64" numFmtId="0" xfId="0" applyAlignment="1" applyBorder="1" applyFont="1">
      <alignment readingOrder="0" vertical="bottom"/>
    </xf>
    <xf borderId="5" fillId="6" fontId="120" numFmtId="0" xfId="0" applyAlignment="1" applyBorder="1" applyFont="1">
      <alignment horizontal="center" vertical="bottom"/>
    </xf>
    <xf borderId="4" fillId="33" fontId="32" numFmtId="0" xfId="0" applyAlignment="1" applyBorder="1" applyFont="1">
      <alignment horizontal="center" vertical="bottom"/>
    </xf>
    <xf borderId="7" fillId="6" fontId="24" numFmtId="0" xfId="0" applyAlignment="1" applyBorder="1" applyFont="1">
      <alignment horizontal="center" vertical="bottom"/>
    </xf>
    <xf borderId="5" fillId="6" fontId="4" numFmtId="0" xfId="0" applyAlignment="1" applyBorder="1" applyFont="1">
      <alignment horizontal="center" readingOrder="0" vertical="bottom"/>
    </xf>
    <xf borderId="0" fillId="0" fontId="64" numFmtId="0" xfId="0" applyAlignment="1" applyFont="1">
      <alignment horizontal="center" vertical="bottom"/>
    </xf>
    <xf borderId="0" fillId="32" fontId="101" numFmtId="0" xfId="0" applyAlignment="1" applyFont="1">
      <alignment horizontal="center" readingOrder="0"/>
    </xf>
    <xf borderId="7" fillId="31" fontId="121" numFmtId="0" xfId="0" applyAlignment="1" applyBorder="1" applyFont="1">
      <alignment horizontal="center" vertical="bottom"/>
    </xf>
    <xf borderId="0" fillId="29" fontId="4" numFmtId="0" xfId="0" applyAlignment="1" applyFont="1">
      <alignment vertical="bottom"/>
    </xf>
    <xf borderId="0" fillId="33" fontId="69" numFmtId="0" xfId="0" applyAlignment="1" applyFont="1">
      <alignment horizontal="center" vertical="bottom"/>
    </xf>
    <xf borderId="13" fillId="10" fontId="32" numFmtId="0" xfId="0" applyAlignment="1" applyBorder="1" applyFont="1">
      <alignment horizontal="center" readingOrder="0" vertical="center"/>
    </xf>
    <xf borderId="8" fillId="16" fontId="38" numFmtId="0" xfId="0" applyAlignment="1" applyBorder="1" applyFont="1">
      <alignment horizontal="center" readingOrder="0" vertical="center"/>
    </xf>
    <xf borderId="0" fillId="31" fontId="21" numFmtId="0" xfId="0" applyAlignment="1" applyFont="1">
      <alignment horizontal="center" readingOrder="0"/>
    </xf>
    <xf borderId="0" fillId="32" fontId="122" numFmtId="0" xfId="0" applyAlignment="1" applyFont="1">
      <alignment horizontal="center" readingOrder="0" vertical="bottom"/>
    </xf>
    <xf borderId="4" fillId="33" fontId="74" numFmtId="0" xfId="0" applyAlignment="1" applyBorder="1" applyFont="1">
      <alignment horizontal="center" vertical="bottom"/>
    </xf>
    <xf borderId="4" fillId="0" fontId="21" numFmtId="0" xfId="0" applyAlignment="1" applyBorder="1" applyFont="1">
      <alignment horizontal="center" readingOrder="0" vertical="center"/>
    </xf>
    <xf borderId="5" fillId="16" fontId="33" numFmtId="0" xfId="0" applyAlignment="1" applyBorder="1" applyFont="1">
      <alignment horizontal="center" readingOrder="0" vertical="center"/>
    </xf>
    <xf borderId="5" fillId="43" fontId="90" numFmtId="0" xfId="0" applyAlignment="1" applyBorder="1" applyFill="1" applyFont="1">
      <alignment horizontal="center" readingOrder="0" vertical="center"/>
    </xf>
    <xf borderId="5" fillId="3" fontId="36" numFmtId="0" xfId="0" applyAlignment="1" applyBorder="1" applyFont="1">
      <alignment horizontal="center" readingOrder="0" vertical="center"/>
    </xf>
    <xf borderId="5" fillId="3" fontId="64" numFmtId="0" xfId="0" applyAlignment="1" applyBorder="1" applyFont="1">
      <alignment horizontal="center" readingOrder="0" vertical="center"/>
    </xf>
    <xf borderId="7" fillId="33" fontId="74" numFmtId="0" xfId="0" applyAlignment="1" applyBorder="1" applyFont="1">
      <alignment horizontal="center" vertical="bottom"/>
    </xf>
    <xf borderId="5" fillId="41" fontId="33" numFmtId="0" xfId="0" applyAlignment="1" applyBorder="1" applyFont="1">
      <alignment horizontal="center" readingOrder="0" vertical="center"/>
    </xf>
    <xf borderId="5" fillId="33" fontId="101" numFmtId="0" xfId="0" applyAlignment="1" applyBorder="1" applyFont="1">
      <alignment horizontal="center" readingOrder="0"/>
    </xf>
    <xf borderId="0" fillId="33" fontId="88" numFmtId="0" xfId="0" applyAlignment="1" applyFont="1">
      <alignment horizontal="center" vertical="bottom"/>
    </xf>
    <xf borderId="3" fillId="10" fontId="50" numFmtId="0" xfId="0" applyAlignment="1" applyBorder="1" applyFont="1">
      <alignment horizontal="center" readingOrder="0" vertical="center"/>
    </xf>
    <xf borderId="2" fillId="33" fontId="4" numFmtId="0" xfId="0" applyAlignment="1" applyBorder="1" applyFont="1">
      <alignment horizontal="center" vertical="bottom"/>
    </xf>
    <xf borderId="5" fillId="12" fontId="4" numFmtId="0" xfId="0" applyAlignment="1" applyBorder="1" applyFont="1">
      <alignment readingOrder="0" vertical="bottom"/>
    </xf>
    <xf borderId="0" fillId="35" fontId="69" numFmtId="0" xfId="0" applyAlignment="1" applyFont="1">
      <alignment horizontal="center" vertical="bottom"/>
    </xf>
    <xf borderId="2" fillId="6" fontId="16" numFmtId="0" xfId="0" applyAlignment="1" applyBorder="1" applyFont="1">
      <alignment horizontal="center" vertical="bottom"/>
    </xf>
    <xf borderId="8" fillId="10" fontId="36" numFmtId="0" xfId="0" applyAlignment="1" applyBorder="1" applyFont="1">
      <alignment horizontal="center" readingOrder="0" vertical="center"/>
    </xf>
    <xf borderId="0" fillId="33" fontId="21" numFmtId="0" xfId="0" applyAlignment="1" applyFont="1">
      <alignment horizontal="center" readingOrder="0"/>
    </xf>
    <xf borderId="7" fillId="10" fontId="50" numFmtId="0" xfId="0" applyAlignment="1" applyBorder="1" applyFont="1">
      <alignment horizontal="center" vertical="bottom"/>
    </xf>
    <xf borderId="5" fillId="27" fontId="123" numFmtId="0" xfId="0" applyAlignment="1" applyBorder="1" applyFont="1">
      <alignment horizontal="center" readingOrder="0" vertical="bottom"/>
    </xf>
    <xf borderId="0" fillId="10" fontId="69" numFmtId="0" xfId="0" applyAlignment="1" applyFont="1">
      <alignment horizontal="center" readingOrder="0" vertical="bottom"/>
    </xf>
    <xf borderId="2" fillId="33" fontId="16" numFmtId="0" xfId="0" applyAlignment="1" applyBorder="1" applyFont="1">
      <alignment horizontal="center" vertical="bottom"/>
    </xf>
    <xf borderId="7" fillId="31" fontId="24" numFmtId="0" xfId="0" applyAlignment="1" applyBorder="1" applyFont="1">
      <alignment horizontal="center" vertical="bottom"/>
    </xf>
    <xf borderId="7" fillId="12" fontId="16" numFmtId="0" xfId="0" applyAlignment="1" applyBorder="1" applyFont="1">
      <alignment horizontal="center" vertical="bottom"/>
    </xf>
    <xf borderId="7" fillId="6" fontId="16" numFmtId="0" xfId="0" applyAlignment="1" applyBorder="1" applyFont="1">
      <alignment horizontal="center" vertical="bottom"/>
    </xf>
    <xf borderId="7" fillId="31" fontId="16" numFmtId="0" xfId="0" applyAlignment="1" applyBorder="1" applyFont="1">
      <alignment horizontal="center" vertical="bottom"/>
    </xf>
    <xf borderId="0" fillId="11" fontId="4" numFmtId="0" xfId="0" applyAlignment="1" applyFont="1">
      <alignment horizontal="center" vertical="bottom"/>
    </xf>
    <xf borderId="13" fillId="3" fontId="34" numFmtId="0" xfId="0" applyAlignment="1" applyBorder="1" applyFont="1">
      <alignment horizontal="center"/>
    </xf>
    <xf borderId="13" fillId="3" fontId="4" numFmtId="0" xfId="0" applyBorder="1" applyFont="1"/>
    <xf borderId="5" fillId="31" fontId="64" numFmtId="0" xfId="0" applyAlignment="1" applyBorder="1" applyFont="1">
      <alignment horizontal="center"/>
    </xf>
    <xf borderId="2" fillId="31" fontId="45" numFmtId="0" xfId="0" applyAlignment="1" applyBorder="1" applyFont="1">
      <alignment horizontal="center"/>
    </xf>
    <xf borderId="9" fillId="6" fontId="4" numFmtId="0" xfId="0" applyAlignment="1" applyBorder="1" applyFont="1">
      <alignment horizontal="center"/>
    </xf>
    <xf borderId="2" fillId="6" fontId="32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7" fillId="0" fontId="32" numFmtId="0" xfId="0" applyAlignment="1" applyBorder="1" applyFont="1">
      <alignment horizontal="center"/>
    </xf>
    <xf borderId="10" fillId="6" fontId="4" numFmtId="0" xfId="0" applyAlignment="1" applyBorder="1" applyFont="1">
      <alignment horizontal="center"/>
    </xf>
    <xf borderId="7" fillId="6" fontId="32" numFmtId="0" xfId="0" applyAlignment="1" applyBorder="1" applyFont="1">
      <alignment horizontal="center"/>
    </xf>
    <xf borderId="7" fillId="6" fontId="32" numFmtId="0" xfId="0" applyAlignment="1" applyBorder="1" applyFont="1">
      <alignment horizontal="center"/>
    </xf>
    <xf borderId="10" fillId="6" fontId="4" numFmtId="0" xfId="0" applyAlignment="1" applyBorder="1" applyFont="1">
      <alignment horizontal="center"/>
    </xf>
    <xf borderId="0" fillId="6" fontId="4" numFmtId="0" xfId="0" applyAlignment="1" applyFont="1">
      <alignment horizontal="center"/>
    </xf>
    <xf borderId="4" fillId="6" fontId="32" numFmtId="0" xfId="0" applyAlignment="1" applyBorder="1" applyFont="1">
      <alignment horizontal="center"/>
    </xf>
    <xf borderId="12" fillId="6" fontId="4" numFmtId="0" xfId="0" applyAlignment="1" applyBorder="1" applyFont="1">
      <alignment horizontal="center"/>
    </xf>
    <xf borderId="12" fillId="6" fontId="32" numFmtId="0" xfId="0" applyAlignment="1" applyBorder="1" applyFont="1">
      <alignment horizontal="center"/>
    </xf>
    <xf borderId="15" fillId="6" fontId="4" numFmtId="0" xfId="0" applyAlignment="1" applyBorder="1" applyFont="1">
      <alignment horizontal="center"/>
    </xf>
    <xf borderId="15" fillId="6" fontId="32" numFmtId="0" xfId="0" applyAlignment="1" applyBorder="1" applyFont="1">
      <alignment horizontal="center"/>
    </xf>
    <xf borderId="0" fillId="3" fontId="4" numFmtId="0" xfId="0" applyFont="1"/>
    <xf borderId="15" fillId="3" fontId="4" numFmtId="0" xfId="0" applyBorder="1" applyFont="1"/>
    <xf borderId="2" fillId="0" fontId="32" numFmtId="0" xfId="0" applyAlignment="1" applyBorder="1" applyFont="1">
      <alignment horizontal="center"/>
    </xf>
    <xf borderId="13" fillId="6" fontId="4" numFmtId="0" xfId="0" applyAlignment="1" applyBorder="1" applyFont="1">
      <alignment horizontal="center"/>
    </xf>
    <xf borderId="5" fillId="10" fontId="64" numFmtId="0" xfId="0" applyAlignment="1" applyBorder="1" applyFont="1">
      <alignment horizontal="center" readingOrder="0" vertical="bottom"/>
    </xf>
    <xf borderId="0" fillId="37" fontId="69" numFmtId="0" xfId="0" applyAlignment="1" applyFont="1">
      <alignment horizontal="center" vertical="bottom"/>
    </xf>
    <xf borderId="5" fillId="35" fontId="90" numFmtId="0" xfId="0" applyAlignment="1" applyBorder="1" applyFont="1">
      <alignment horizontal="center" readingOrder="0" vertical="center"/>
    </xf>
    <xf borderId="8" fillId="3" fontId="92" numFmtId="0" xfId="0" applyAlignment="1" applyBorder="1" applyFont="1">
      <alignment horizontal="center" readingOrder="0" vertical="center"/>
    </xf>
    <xf borderId="3" fillId="14" fontId="50" numFmtId="0" xfId="0" applyAlignment="1" applyBorder="1" applyFont="1">
      <alignment horizontal="center" readingOrder="0" vertical="center"/>
    </xf>
    <xf borderId="7" fillId="44" fontId="20" numFmtId="0" xfId="0" applyAlignment="1" applyBorder="1" applyFill="1" applyFont="1">
      <alignment horizontal="center" vertical="bottom"/>
    </xf>
    <xf borderId="4" fillId="6" fontId="36" numFmtId="0" xfId="0" applyAlignment="1" applyBorder="1" applyFont="1">
      <alignment horizontal="center" vertical="bottom"/>
    </xf>
    <xf borderId="0" fillId="45" fontId="69" numFmtId="0" xfId="0" applyAlignment="1" applyFill="1" applyFont="1">
      <alignment horizontal="center" vertical="bottom"/>
    </xf>
    <xf borderId="5" fillId="0" fontId="32" numFmtId="0" xfId="0" applyAlignment="1" applyBorder="1" applyFont="1">
      <alignment horizontal="center" readingOrder="0" vertical="bottom"/>
    </xf>
    <xf borderId="8" fillId="27" fontId="64" numFmtId="0" xfId="0" applyAlignment="1" applyBorder="1" applyFont="1">
      <alignment horizontal="center" vertical="center"/>
    </xf>
    <xf borderId="0" fillId="6" fontId="32" numFmtId="0" xfId="0" applyAlignment="1" applyFont="1">
      <alignment horizontal="center" vertical="bottom"/>
    </xf>
    <xf borderId="0" fillId="6" fontId="124" numFmtId="0" xfId="0" applyAlignment="1" applyFont="1">
      <alignment horizontal="center" vertical="bottom"/>
    </xf>
    <xf borderId="5" fillId="3" fontId="59" numFmtId="0" xfId="0" applyAlignment="1" applyBorder="1" applyFont="1">
      <alignment readingOrder="0"/>
    </xf>
    <xf borderId="4" fillId="32" fontId="32" numFmtId="0" xfId="0" applyAlignment="1" applyBorder="1" applyFont="1">
      <alignment horizontal="center" readingOrder="0" vertical="bottom"/>
    </xf>
    <xf borderId="4" fillId="6" fontId="7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7" fontId="4" numFmtId="0" xfId="0" applyAlignment="1" applyFont="1">
      <alignment horizontal="center" vertical="bottom"/>
    </xf>
    <xf borderId="5" fillId="6" fontId="125" numFmtId="0" xfId="0" applyAlignment="1" applyBorder="1" applyFont="1">
      <alignment horizontal="center" vertical="bottom"/>
    </xf>
    <xf borderId="7" fillId="6" fontId="126" numFmtId="0" xfId="0" applyAlignment="1" applyBorder="1" applyFont="1">
      <alignment horizontal="center" vertical="bottom"/>
    </xf>
    <xf borderId="5" fillId="6" fontId="21" numFmtId="0" xfId="0" applyBorder="1" applyFont="1"/>
    <xf borderId="5" fillId="6" fontId="21" numFmtId="0" xfId="0" applyAlignment="1" applyBorder="1" applyFont="1">
      <alignment horizontal="center" readingOrder="0"/>
    </xf>
    <xf borderId="7" fillId="3" fontId="4" numFmtId="0" xfId="0" applyAlignment="1" applyBorder="1" applyFont="1">
      <alignment vertical="bottom"/>
    </xf>
    <xf borderId="7" fillId="3" fontId="32" numFmtId="0" xfId="0" applyAlignment="1" applyBorder="1" applyFont="1">
      <alignment horizontal="center" vertical="bottom"/>
    </xf>
    <xf borderId="4" fillId="3" fontId="32" numFmtId="0" xfId="0" applyAlignment="1" applyBorder="1" applyFont="1">
      <alignment horizontal="center" vertical="bottom"/>
    </xf>
    <xf borderId="4" fillId="3" fontId="4" numFmtId="0" xfId="0" applyAlignment="1" applyBorder="1" applyFont="1">
      <alignment vertical="bottom"/>
    </xf>
    <xf borderId="2" fillId="3" fontId="4" numFmtId="0" xfId="0" applyAlignment="1" applyBorder="1" applyFont="1">
      <alignment vertical="bottom"/>
    </xf>
    <xf borderId="0" fillId="3" fontId="34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3" fontId="21" numFmtId="0" xfId="0" applyAlignment="1" applyFont="1">
      <alignment horizontal="center" readingOrder="0"/>
    </xf>
    <xf borderId="2" fillId="3" fontId="127" numFmtId="0" xfId="0" applyAlignment="1" applyBorder="1" applyFont="1">
      <alignment horizontal="center" vertical="bottom"/>
    </xf>
    <xf borderId="5" fillId="3" fontId="128" numFmtId="0" xfId="0" applyAlignment="1" applyBorder="1" applyFont="1">
      <alignment horizontal="center" vertical="bottom"/>
    </xf>
    <xf borderId="7" fillId="3" fontId="129" numFmtId="0" xfId="0" applyAlignment="1" applyBorder="1" applyFont="1">
      <alignment horizontal="center" vertical="bottom"/>
    </xf>
    <xf borderId="7" fillId="3" fontId="23" numFmtId="0" xfId="0" applyAlignment="1" applyBorder="1" applyFont="1">
      <alignment horizontal="center" vertical="bottom"/>
    </xf>
    <xf borderId="7" fillId="3" fontId="16" numFmtId="0" xfId="0" applyAlignment="1" applyBorder="1" applyFont="1">
      <alignment horizontal="center" vertical="bottom"/>
    </xf>
    <xf borderId="7" fillId="3" fontId="130" numFmtId="0" xfId="0" applyAlignment="1" applyBorder="1" applyFont="1">
      <alignment horizontal="center" vertical="bottom"/>
    </xf>
    <xf borderId="0" fillId="3" fontId="85" numFmtId="0" xfId="0" applyAlignment="1" applyFont="1">
      <alignment horizontal="center" vertical="bottom"/>
    </xf>
    <xf borderId="2" fillId="3" fontId="4" numFmtId="0" xfId="0" applyAlignment="1" applyBorder="1" applyFont="1">
      <alignment vertical="bottom"/>
    </xf>
    <xf borderId="7" fillId="3" fontId="4" numFmtId="0" xfId="0" applyAlignment="1" applyBorder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5" fillId="3" fontId="21" numFmtId="0" xfId="0" applyAlignment="1" applyBorder="1" applyFont="1">
      <alignment horizontal="center" readingOrder="0"/>
    </xf>
    <xf borderId="0" fillId="3" fontId="88" numFmtId="0" xfId="0" applyAlignment="1" applyFont="1">
      <alignment horizontal="center" vertical="bottom"/>
    </xf>
    <xf borderId="0" fillId="33" fontId="101" numFmtId="0" xfId="0" applyAlignment="1" applyFont="1">
      <alignment horizontal="center" readingOrder="0"/>
    </xf>
    <xf borderId="0" fillId="27" fontId="4" numFmtId="0" xfId="0" applyAlignment="1" applyFont="1">
      <alignment horizontal="center" readingOrder="0" vertical="bottom"/>
    </xf>
    <xf borderId="4" fillId="28" fontId="131" numFmtId="0" xfId="0" applyAlignment="1" applyBorder="1" applyFont="1">
      <alignment horizontal="center" vertical="bottom"/>
    </xf>
    <xf borderId="5" fillId="16" fontId="132" numFmtId="0" xfId="0" applyAlignment="1" applyBorder="1" applyFont="1">
      <alignment horizontal="center" readingOrder="0" vertical="center"/>
    </xf>
    <xf borderId="5" fillId="16" fontId="21" numFmtId="0" xfId="0" applyAlignment="1" applyBorder="1" applyFont="1">
      <alignment readingOrder="0"/>
    </xf>
    <xf borderId="7" fillId="6" fontId="4" numFmtId="0" xfId="0" applyAlignment="1" applyBorder="1" applyFont="1">
      <alignment horizontal="center" readingOrder="0" vertical="bottom"/>
    </xf>
    <xf borderId="4" fillId="29" fontId="4" numFmtId="0" xfId="0" applyAlignment="1" applyBorder="1" applyFont="1">
      <alignment vertical="bottom"/>
    </xf>
    <xf borderId="0" fillId="14" fontId="64" numFmtId="0" xfId="0" applyAlignment="1" applyFont="1">
      <alignment readingOrder="0" vertical="bottom"/>
    </xf>
    <xf borderId="5" fillId="6" fontId="16" numFmtId="0" xfId="0" applyAlignment="1" applyBorder="1" applyFont="1">
      <alignment horizontal="center" readingOrder="0" vertical="bottom"/>
    </xf>
    <xf borderId="2" fillId="6" fontId="16" numFmtId="0" xfId="0" applyAlignment="1" applyBorder="1" applyFont="1">
      <alignment horizontal="center" readingOrder="0" vertical="bottom"/>
    </xf>
    <xf borderId="7" fillId="6" fontId="16" numFmtId="0" xfId="0" applyAlignment="1" applyBorder="1" applyFont="1">
      <alignment horizontal="center" readingOrder="0" vertical="bottom"/>
    </xf>
    <xf borderId="0" fillId="16" fontId="64" numFmtId="0" xfId="0" applyAlignment="1" applyFont="1">
      <alignment horizontal="center" readingOrder="0" vertical="bottom"/>
    </xf>
    <xf borderId="5" fillId="6" fontId="133" numFmtId="0" xfId="0" applyAlignment="1" applyBorder="1" applyFont="1">
      <alignment horizontal="center" vertical="bottom"/>
    </xf>
    <xf borderId="5" fillId="29" fontId="32" numFmtId="0" xfId="0" applyAlignment="1" applyBorder="1" applyFont="1">
      <alignment horizontal="center" vertical="bottom"/>
    </xf>
    <xf borderId="0" fillId="29" fontId="85" numFmtId="0" xfId="0" applyAlignment="1" applyFont="1">
      <alignment horizontal="center" vertical="bottom"/>
    </xf>
    <xf borderId="4" fillId="29" fontId="4" numFmtId="0" xfId="0" applyAlignment="1" applyBorder="1" applyFont="1">
      <alignment vertical="bottom"/>
    </xf>
    <xf borderId="2" fillId="28" fontId="77" numFmtId="0" xfId="0" applyAlignment="1" applyBorder="1" applyFont="1">
      <alignment horizontal="center" vertical="bottom"/>
    </xf>
    <xf borderId="7" fillId="29" fontId="4" numFmtId="0" xfId="0" applyAlignment="1" applyBorder="1" applyFont="1">
      <alignment vertical="bottom"/>
    </xf>
    <xf borderId="2" fillId="29" fontId="4" numFmtId="0" xfId="0" applyAlignment="1" applyBorder="1" applyFont="1">
      <alignment vertical="bottom"/>
    </xf>
    <xf borderId="4" fillId="29" fontId="32" numFmtId="0" xfId="0" applyAlignment="1" applyBorder="1" applyFont="1">
      <alignment horizontal="center" vertical="bottom"/>
    </xf>
    <xf borderId="0" fillId="10" fontId="86" numFmtId="0" xfId="0" applyAlignment="1" applyFont="1">
      <alignment horizontal="center" readingOrder="0"/>
    </xf>
    <xf borderId="0" fillId="16" fontId="86" numFmtId="0" xfId="0" applyAlignment="1" applyFont="1">
      <alignment horizontal="center" readingOrder="0"/>
    </xf>
    <xf borderId="7" fillId="6" fontId="36" numFmtId="0" xfId="0" applyAlignment="1" applyBorder="1" applyFont="1">
      <alignment horizontal="center" vertical="bottom"/>
    </xf>
    <xf borderId="5" fillId="26" fontId="59" numFmtId="0" xfId="0" applyBorder="1" applyFont="1"/>
    <xf borderId="4" fillId="32" fontId="100" numFmtId="0" xfId="0" applyAlignment="1" applyBorder="1" applyFont="1">
      <alignment horizontal="center" readingOrder="0" vertical="bottom"/>
    </xf>
    <xf borderId="0" fillId="35" fontId="101" numFmtId="0" xfId="0" applyAlignment="1" applyFont="1">
      <alignment readingOrder="0"/>
    </xf>
    <xf borderId="5" fillId="16" fontId="90" numFmtId="0" xfId="0" applyAlignment="1" applyBorder="1" applyFont="1">
      <alignment horizontal="center" readingOrder="0" vertical="center"/>
    </xf>
    <xf borderId="5" fillId="41" fontId="24" numFmtId="0" xfId="0" applyAlignment="1" applyBorder="1" applyFont="1">
      <alignment horizontal="center" readingOrder="0" vertical="center"/>
    </xf>
    <xf borderId="0" fillId="3" fontId="45" numFmtId="0" xfId="0" applyAlignment="1" applyFont="1">
      <alignment horizontal="center" vertical="center"/>
    </xf>
    <xf borderId="5" fillId="27" fontId="34" numFmtId="0" xfId="0" applyAlignment="1" applyBorder="1" applyFont="1">
      <alignment horizontal="center" readingOrder="0" vertical="bottom"/>
    </xf>
    <xf borderId="7" fillId="6" fontId="134" numFmtId="0" xfId="0" applyAlignment="1" applyBorder="1" applyFont="1">
      <alignment horizontal="center" readingOrder="0" vertical="bottom"/>
    </xf>
    <xf borderId="0" fillId="6" fontId="17" numFmtId="0" xfId="0" applyAlignment="1" applyFont="1">
      <alignment horizontal="center" readingOrder="0"/>
    </xf>
    <xf borderId="0" fillId="28" fontId="135" numFmtId="0" xfId="0" applyAlignment="1" applyFont="1">
      <alignment horizontal="center" readingOrder="0"/>
    </xf>
    <xf borderId="4" fillId="37" fontId="74" numFmtId="0" xfId="0" applyAlignment="1" applyBorder="1" applyFont="1">
      <alignment horizontal="center" readingOrder="0" vertical="bottom"/>
    </xf>
    <xf borderId="7" fillId="33" fontId="136" numFmtId="0" xfId="0" applyAlignment="1" applyBorder="1" applyFont="1">
      <alignment horizontal="center" readingOrder="0" vertical="bottom"/>
    </xf>
    <xf borderId="7" fillId="0" fontId="21" numFmtId="0" xfId="0" applyAlignment="1" applyBorder="1" applyFont="1">
      <alignment horizontal="center" readingOrder="0" vertical="center"/>
    </xf>
    <xf borderId="3" fillId="46" fontId="50" numFmtId="0" xfId="0" applyAlignment="1" applyBorder="1" applyFill="1" applyFont="1">
      <alignment horizontal="center" readingOrder="0" vertical="center"/>
    </xf>
    <xf borderId="4" fillId="10" fontId="32" numFmtId="0" xfId="0" applyAlignment="1" applyBorder="1" applyFont="1">
      <alignment horizontal="center" vertical="bottom"/>
    </xf>
    <xf borderId="2" fillId="6" fontId="64" numFmtId="0" xfId="0" applyAlignment="1" applyBorder="1" applyFont="1">
      <alignment horizontal="center" vertical="bottom"/>
    </xf>
    <xf borderId="5" fillId="33" fontId="4" numFmtId="0" xfId="0" applyAlignment="1" applyBorder="1" applyFont="1">
      <alignment horizontal="center" readingOrder="0" vertical="bottom"/>
    </xf>
    <xf borderId="4" fillId="33" fontId="24" numFmtId="0" xfId="0" applyAlignment="1" applyBorder="1" applyFont="1">
      <alignment horizontal="center" vertical="bottom"/>
    </xf>
    <xf borderId="7" fillId="33" fontId="24" numFmtId="0" xfId="0" applyAlignment="1" applyBorder="1" applyFont="1">
      <alignment horizontal="center" vertical="bottom"/>
    </xf>
    <xf borderId="5" fillId="33" fontId="24" numFmtId="0" xfId="0" applyAlignment="1" applyBorder="1" applyFont="1">
      <alignment horizontal="center" vertical="bottom"/>
    </xf>
    <xf borderId="5" fillId="33" fontId="137" numFmtId="0" xfId="0" applyAlignment="1" applyBorder="1" applyFont="1">
      <alignment horizontal="center" vertical="bottom"/>
    </xf>
    <xf borderId="7" fillId="33" fontId="16" numFmtId="0" xfId="0" applyAlignment="1" applyBorder="1" applyFont="1">
      <alignment horizontal="center" vertical="bottom"/>
    </xf>
    <xf borderId="5" fillId="37" fontId="138" numFmtId="0" xfId="0" applyAlignment="1" applyBorder="1" applyFont="1">
      <alignment horizontal="center" vertical="bottom"/>
    </xf>
    <xf borderId="5" fillId="47" fontId="139" numFmtId="0" xfId="0" applyAlignment="1" applyBorder="1" applyFill="1" applyFont="1">
      <alignment horizontal="center" readingOrder="0" vertical="center"/>
    </xf>
    <xf borderId="5" fillId="47" fontId="140" numFmtId="0" xfId="0" applyAlignment="1" applyBorder="1" applyFont="1">
      <alignment horizontal="center" vertical="center"/>
    </xf>
    <xf borderId="5" fillId="23" fontId="141" numFmtId="0" xfId="0" applyAlignment="1" applyBorder="1" applyFont="1">
      <alignment horizontal="center" vertical="bottom"/>
    </xf>
    <xf borderId="0" fillId="37" fontId="21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2" fillId="27" fontId="21" numFmtId="0" xfId="0" applyBorder="1" applyFont="1"/>
    <xf borderId="0" fillId="33" fontId="64" numFmtId="0" xfId="0" applyAlignment="1" applyFont="1">
      <alignment horizontal="center" readingOrder="0" vertical="bottom"/>
    </xf>
    <xf borderId="5" fillId="3" fontId="4" numFmtId="0" xfId="0" applyBorder="1" applyFont="1"/>
    <xf borderId="5" fillId="3" fontId="4" numFmtId="0" xfId="0" applyBorder="1" applyFont="1"/>
    <xf borderId="0" fillId="47" fontId="21" numFmtId="0" xfId="0" applyFont="1"/>
    <xf borderId="2" fillId="27" fontId="32" numFmtId="0" xfId="0" applyAlignment="1" applyBorder="1" applyFont="1">
      <alignment horizontal="center" vertical="bottom"/>
    </xf>
    <xf borderId="5" fillId="47" fontId="142" numFmtId="0" xfId="0" applyAlignment="1" applyBorder="1" applyFont="1">
      <alignment horizontal="center" vertical="bottom"/>
    </xf>
    <xf borderId="7" fillId="37" fontId="32" numFmtId="0" xfId="0" applyAlignment="1" applyBorder="1" applyFont="1">
      <alignment horizontal="center" vertical="bottom"/>
    </xf>
    <xf borderId="7" fillId="33" fontId="32" numFmtId="0" xfId="0" applyAlignment="1" applyBorder="1" applyFont="1">
      <alignment horizontal="center" vertical="bottom"/>
    </xf>
    <xf borderId="4" fillId="33" fontId="32" numFmtId="0" xfId="0" applyAlignment="1" applyBorder="1" applyFont="1">
      <alignment horizontal="center" vertical="bottom"/>
    </xf>
    <xf borderId="7" fillId="27" fontId="143" numFmtId="0" xfId="0" applyAlignment="1" applyBorder="1" applyFont="1">
      <alignment horizontal="center" vertical="bottom"/>
    </xf>
    <xf borderId="0" fillId="3" fontId="59" numFmtId="0" xfId="0" applyFont="1"/>
    <xf borderId="13" fillId="0" fontId="21" numFmtId="0" xfId="0" applyAlignment="1" applyBorder="1" applyFont="1">
      <alignment horizontal="center" readingOrder="0" vertical="center"/>
    </xf>
    <xf borderId="13" fillId="0" fontId="33" numFmtId="0" xfId="0" applyAlignment="1" applyBorder="1" applyFont="1">
      <alignment horizontal="center" vertical="center"/>
    </xf>
    <xf borderId="2" fillId="48" fontId="32" numFmtId="0" xfId="0" applyAlignment="1" applyBorder="1" applyFill="1" applyFont="1">
      <alignment horizontal="center" vertical="bottom"/>
    </xf>
    <xf borderId="0" fillId="6" fontId="33" numFmtId="0" xfId="0" applyAlignment="1" applyFont="1">
      <alignment horizontal="center" vertical="center"/>
    </xf>
    <xf borderId="0" fillId="6" fontId="4" numFmtId="0" xfId="0" applyAlignment="1" applyFont="1">
      <alignment horizontal="center" vertical="center"/>
    </xf>
    <xf borderId="0" fillId="6" fontId="91" numFmtId="0" xfId="0" applyAlignment="1" applyFont="1">
      <alignment horizontal="center" readingOrder="0" vertical="center"/>
    </xf>
    <xf borderId="0" fillId="6" fontId="92" numFmtId="0" xfId="0" applyAlignment="1" applyFont="1">
      <alignment horizontal="center" readingOrder="0" vertical="center"/>
    </xf>
    <xf borderId="0" fillId="6" fontId="93" numFmtId="0" xfId="0" applyAlignment="1" applyFont="1">
      <alignment horizontal="left" readingOrder="0" vertical="center"/>
    </xf>
    <xf borderId="0" fillId="6" fontId="59" numFmtId="0" xfId="0" applyFont="1"/>
    <xf borderId="0" fillId="6" fontId="33" numFmtId="0" xfId="0" applyAlignment="1" applyFont="1">
      <alignment horizontal="center" readingOrder="0" vertical="center"/>
    </xf>
    <xf borderId="0" fillId="6" fontId="4" numFmtId="0" xfId="0" applyAlignment="1" applyFont="1">
      <alignment horizontal="center" readingOrder="0" vertical="center"/>
    </xf>
    <xf borderId="3" fillId="38" fontId="50" numFmtId="0" xfId="0" applyAlignment="1" applyBorder="1" applyFont="1">
      <alignment horizontal="center" readingOrder="0" vertical="center"/>
    </xf>
    <xf borderId="0" fillId="47" fontId="4" numFmtId="0" xfId="0" applyAlignment="1" applyFont="1">
      <alignment vertical="bottom"/>
    </xf>
    <xf borderId="0" fillId="49" fontId="4" numFmtId="0" xfId="0" applyAlignment="1" applyFill="1" applyFont="1">
      <alignment vertical="bottom"/>
    </xf>
    <xf borderId="0" fillId="3" fontId="32" numFmtId="0" xfId="0" applyAlignment="1" applyFont="1">
      <alignment horizontal="center" vertical="center"/>
    </xf>
    <xf borderId="7" fillId="47" fontId="4" numFmtId="0" xfId="0" applyAlignment="1" applyBorder="1" applyFont="1">
      <alignment vertical="bottom"/>
    </xf>
    <xf borderId="0" fillId="33" fontId="85" numFmtId="0" xfId="0" applyAlignment="1" applyFont="1">
      <alignment horizontal="center" vertical="bottom"/>
    </xf>
    <xf borderId="7" fillId="15" fontId="32" numFmtId="0" xfId="0" applyAlignment="1" applyBorder="1" applyFont="1">
      <alignment horizontal="center" vertical="bottom"/>
    </xf>
    <xf borderId="0" fillId="50" fontId="4" numFmtId="0" xfId="0" applyAlignment="1" applyFill="1" applyFont="1">
      <alignment horizontal="center" vertical="bottom"/>
    </xf>
    <xf borderId="0" fillId="33" fontId="4" numFmtId="0" xfId="0" applyAlignment="1" applyFont="1">
      <alignment horizontal="center" readingOrder="0" vertical="bottom"/>
    </xf>
    <xf borderId="7" fillId="8" fontId="4" numFmtId="0" xfId="0" applyAlignment="1" applyBorder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93" numFmtId="0" xfId="0" applyAlignment="1" applyFont="1">
      <alignment horizontal="left" readingOrder="0" vertical="center"/>
    </xf>
    <xf borderId="0" fillId="29" fontId="34" numFmtId="0" xfId="0" applyAlignment="1" applyFont="1">
      <alignment horizontal="center" vertical="bottom"/>
    </xf>
    <xf borderId="2" fillId="47" fontId="144" numFmtId="0" xfId="0" applyAlignment="1" applyBorder="1" applyFont="1">
      <alignment horizontal="center" vertical="bottom"/>
    </xf>
    <xf borderId="0" fillId="48" fontId="34" numFmtId="0" xfId="0" applyAlignment="1" applyFont="1">
      <alignment horizontal="center" vertical="bottom"/>
    </xf>
    <xf borderId="5" fillId="33" fontId="145" numFmtId="0" xfId="0" applyAlignment="1" applyBorder="1" applyFont="1">
      <alignment horizontal="center" vertical="bottom"/>
    </xf>
    <xf borderId="7" fillId="37" fontId="146" numFmtId="0" xfId="0" applyAlignment="1" applyBorder="1" applyFont="1">
      <alignment horizontal="center" vertical="bottom"/>
    </xf>
    <xf borderId="5" fillId="37" fontId="147" numFmtId="0" xfId="0" applyAlignment="1" applyBorder="1" applyFont="1">
      <alignment horizontal="center" vertical="bottom"/>
    </xf>
    <xf borderId="8" fillId="16" fontId="105" numFmtId="0" xfId="0" applyAlignment="1" applyBorder="1" applyFont="1">
      <alignment horizontal="center" readingOrder="0" vertical="center"/>
    </xf>
    <xf borderId="5" fillId="37" fontId="148" numFmtId="0" xfId="0" applyAlignment="1" applyBorder="1" applyFont="1">
      <alignment horizontal="center" vertical="bottom"/>
    </xf>
    <xf borderId="2" fillId="37" fontId="18" numFmtId="0" xfId="0" applyAlignment="1" applyBorder="1" applyFont="1">
      <alignment horizontal="center" vertical="bottom"/>
    </xf>
    <xf borderId="5" fillId="51" fontId="149" numFmtId="0" xfId="0" applyAlignment="1" applyBorder="1" applyFill="1" applyFont="1">
      <alignment horizontal="center"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</dxfs>
  <tableStyles count="4">
    <tableStyle count="3" pivot="0" name="CALLOUT 26-style">
      <tableStyleElement dxfId="1" type="headerRow"/>
      <tableStyleElement dxfId="2" type="firstRowStripe"/>
      <tableStyleElement dxfId="3" type="secondRowStripe"/>
    </tableStyle>
    <tableStyle count="2" pivot="0" name="January-style">
      <tableStyleElement dxfId="2" type="firstRowStripe"/>
      <tableStyleElement dxfId="3" type="secondRowStripe"/>
    </tableStyle>
    <tableStyle count="2" pivot="0" name="FEB-style">
      <tableStyleElement dxfId="2" type="firstRowStripe"/>
      <tableStyleElement dxfId="3" type="secondRowStripe"/>
    </tableStyle>
    <tableStyle count="2" pivot="0" name="MAR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NY93" displayName="Table_1" name="Table_1" id="1">
  <tableColumns count="38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</tableColumns>
  <tableStyleInfo name="CALLOUT 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W91:AW161" displayName="Table_2" name="Table_2" id="2">
  <tableColumns count="1">
    <tableColumn name="Column1" id="1"/>
  </tableColumns>
  <tableStyleInfo name="January-style" showColumnStripes="0" showFirstColumn="1" showLastColumn="1" showRowStripes="1"/>
</table>
</file>

<file path=xl/tables/table3.xml><?xml version="1.0" encoding="utf-8"?>
<table xmlns="http://schemas.openxmlformats.org/spreadsheetml/2006/main" headerRowCount="0" ref="AW91:AW161" displayName="Table_3" name="Table_3" id="3">
  <tableColumns count="1">
    <tableColumn name="Column1" id="1"/>
  </tableColumns>
  <tableStyleInfo name="FEB-style" showColumnStripes="0" showFirstColumn="1" showLastColumn="1" showRowStripes="1"/>
</table>
</file>

<file path=xl/tables/table4.xml><?xml version="1.0" encoding="utf-8"?>
<table xmlns="http://schemas.openxmlformats.org/spreadsheetml/2006/main" headerRowCount="0" ref="AW92:AW162" displayName="Table_4" name="Table_4" id="4">
  <tableColumns count="1">
    <tableColumn name="Column1" id="1"/>
  </tableColumns>
  <tableStyleInfo name="M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9.38"/>
    <col customWidth="1" min="2" max="2" width="7.0"/>
    <col customWidth="1" min="3" max="6" width="4.38"/>
    <col customWidth="1" min="7" max="8" width="6.88"/>
    <col customWidth="1" min="9" max="9" width="8.25"/>
    <col customWidth="1" min="10" max="10" width="5.88"/>
    <col customWidth="1" min="11" max="11" width="6.13"/>
    <col customWidth="1" min="12" max="12" width="2.88"/>
    <col customWidth="1" min="13" max="389" width="4.38"/>
  </cols>
  <sheetData>
    <row r="1">
      <c r="A1" s="1" t="s">
        <v>0</v>
      </c>
      <c r="B1" s="1"/>
      <c r="C1" s="2" t="s">
        <v>1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3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3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3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3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3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5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5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5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5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5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5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5"/>
    </row>
    <row r="2">
      <c r="A2" s="7" t="s">
        <v>2</v>
      </c>
      <c r="B2" s="8" t="s">
        <v>3</v>
      </c>
      <c r="C2" s="9" t="s">
        <v>4</v>
      </c>
      <c r="D2" s="10"/>
      <c r="E2" s="10"/>
      <c r="F2" s="10"/>
      <c r="G2" s="10"/>
      <c r="H2" s="11"/>
      <c r="I2" s="12" t="s">
        <v>5</v>
      </c>
      <c r="J2" s="12"/>
      <c r="K2" s="12"/>
      <c r="L2" s="3"/>
      <c r="M2" s="13" t="s">
        <v>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3"/>
      <c r="AS2" s="13" t="s">
        <v>7</v>
      </c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4"/>
      <c r="BV2" s="13" t="s">
        <v>8</v>
      </c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5"/>
      <c r="DA2" s="14"/>
      <c r="DB2" s="13" t="s">
        <v>9</v>
      </c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4"/>
      <c r="EG2" s="13" t="s">
        <v>10</v>
      </c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5"/>
      <c r="FL2" s="14"/>
      <c r="FM2" s="13" t="s">
        <v>11</v>
      </c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10"/>
      <c r="GO2" s="10"/>
      <c r="GP2" s="10"/>
      <c r="GQ2" s="5"/>
      <c r="GR2" s="16" t="s">
        <v>12</v>
      </c>
      <c r="GS2" s="10"/>
      <c r="GT2" s="10"/>
      <c r="GU2" s="10"/>
      <c r="GV2" s="10"/>
      <c r="GW2" s="10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10"/>
      <c r="HM2" s="10"/>
      <c r="HN2" s="10"/>
      <c r="HO2" s="10"/>
      <c r="HP2" s="10"/>
      <c r="HQ2" s="10"/>
      <c r="HR2" s="10"/>
      <c r="HS2" s="10"/>
      <c r="HT2" s="10"/>
      <c r="HU2" s="10"/>
      <c r="HV2" s="6"/>
      <c r="HW2" s="5"/>
      <c r="HX2" s="16" t="s">
        <v>13</v>
      </c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10"/>
      <c r="IK2" s="10"/>
      <c r="IL2" s="10"/>
      <c r="IM2" s="10"/>
      <c r="IN2" s="10"/>
      <c r="IO2" s="10"/>
      <c r="IP2" s="10"/>
      <c r="IQ2" s="10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6"/>
      <c r="JC2" s="5"/>
      <c r="JD2" s="16" t="s">
        <v>14</v>
      </c>
      <c r="JE2" s="10"/>
      <c r="JF2" s="10"/>
      <c r="JG2" s="10"/>
      <c r="JH2" s="10"/>
      <c r="JI2" s="10"/>
      <c r="JJ2" s="10"/>
      <c r="JK2" s="10"/>
      <c r="JL2" s="10"/>
      <c r="JM2" s="10"/>
      <c r="JN2" s="10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10"/>
      <c r="KC2" s="10"/>
      <c r="KD2" s="10"/>
      <c r="KE2" s="10"/>
      <c r="KF2" s="10"/>
      <c r="KG2" s="10"/>
      <c r="KH2" s="5"/>
      <c r="KI2" s="16" t="s">
        <v>15</v>
      </c>
      <c r="KJ2" s="10"/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  <c r="LE2" s="10"/>
      <c r="LF2" s="10"/>
      <c r="LG2" s="10"/>
      <c r="LH2" s="10"/>
      <c r="LI2" s="10"/>
      <c r="LJ2" s="10"/>
      <c r="LK2" s="10"/>
      <c r="LL2" s="10"/>
      <c r="LM2" s="6"/>
      <c r="LN2" s="5"/>
      <c r="LO2" s="16" t="s">
        <v>16</v>
      </c>
      <c r="LP2" s="10"/>
      <c r="LQ2" s="10"/>
      <c r="LR2" s="10"/>
      <c r="LS2" s="10"/>
      <c r="LT2" s="10"/>
      <c r="LU2" s="10"/>
      <c r="LV2" s="10"/>
      <c r="LW2" s="10"/>
      <c r="LX2" s="10"/>
      <c r="LY2" s="10"/>
      <c r="LZ2" s="10"/>
      <c r="MA2" s="10"/>
      <c r="MB2" s="10"/>
      <c r="MC2" s="10"/>
      <c r="MD2" s="10"/>
      <c r="ME2" s="10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5"/>
      <c r="MT2" s="16" t="s">
        <v>17</v>
      </c>
      <c r="MU2" s="10"/>
      <c r="MV2" s="10"/>
      <c r="MW2" s="10"/>
      <c r="MX2" s="10"/>
      <c r="MY2" s="10"/>
      <c r="MZ2" s="10"/>
      <c r="NA2" s="10"/>
      <c r="NB2" s="10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10"/>
      <c r="NQ2" s="10"/>
      <c r="NR2" s="10"/>
      <c r="NS2" s="10"/>
      <c r="NT2" s="10"/>
      <c r="NU2" s="10"/>
      <c r="NV2" s="10"/>
      <c r="NW2" s="10"/>
      <c r="NX2" s="6"/>
      <c r="NY2" s="5"/>
    </row>
    <row r="3">
      <c r="A3" s="17" t="s">
        <v>18</v>
      </c>
      <c r="B3" s="18"/>
      <c r="C3" s="19" t="s">
        <v>19</v>
      </c>
      <c r="D3" s="19" t="s">
        <v>20</v>
      </c>
      <c r="E3" s="19" t="s">
        <v>21</v>
      </c>
      <c r="F3" s="19" t="s">
        <v>22</v>
      </c>
      <c r="G3" s="20" t="s">
        <v>23</v>
      </c>
      <c r="H3" s="20" t="s">
        <v>24</v>
      </c>
      <c r="I3" s="21" t="s">
        <v>25</v>
      </c>
      <c r="J3" s="21" t="s">
        <v>26</v>
      </c>
      <c r="K3" s="21" t="s">
        <v>27</v>
      </c>
      <c r="L3" s="3"/>
      <c r="M3" s="22" t="s">
        <v>28</v>
      </c>
      <c r="N3" s="22" t="s">
        <v>29</v>
      </c>
      <c r="O3" s="22" t="s">
        <v>30</v>
      </c>
      <c r="P3" s="22" t="s">
        <v>31</v>
      </c>
      <c r="Q3" s="22" t="s">
        <v>32</v>
      </c>
      <c r="R3" s="22" t="s">
        <v>33</v>
      </c>
      <c r="S3" s="22" t="s">
        <v>34</v>
      </c>
      <c r="T3" s="22" t="s">
        <v>35</v>
      </c>
      <c r="U3" s="22" t="s">
        <v>36</v>
      </c>
      <c r="V3" s="22" t="s">
        <v>37</v>
      </c>
      <c r="W3" s="22" t="s">
        <v>38</v>
      </c>
      <c r="X3" s="22" t="s">
        <v>39</v>
      </c>
      <c r="Y3" s="22" t="s">
        <v>40</v>
      </c>
      <c r="Z3" s="22" t="s">
        <v>41</v>
      </c>
      <c r="AA3" s="22" t="s">
        <v>42</v>
      </c>
      <c r="AB3" s="22" t="s">
        <v>43</v>
      </c>
      <c r="AC3" s="22" t="s">
        <v>44</v>
      </c>
      <c r="AD3" s="22" t="s">
        <v>45</v>
      </c>
      <c r="AE3" s="22" t="s">
        <v>46</v>
      </c>
      <c r="AF3" s="22" t="s">
        <v>47</v>
      </c>
      <c r="AG3" s="22" t="s">
        <v>48</v>
      </c>
      <c r="AH3" s="22" t="s">
        <v>49</v>
      </c>
      <c r="AI3" s="22" t="s">
        <v>50</v>
      </c>
      <c r="AJ3" s="22" t="s">
        <v>51</v>
      </c>
      <c r="AK3" s="22" t="s">
        <v>52</v>
      </c>
      <c r="AL3" s="22" t="s">
        <v>53</v>
      </c>
      <c r="AM3" s="22" t="s">
        <v>54</v>
      </c>
      <c r="AN3" s="22" t="s">
        <v>55</v>
      </c>
      <c r="AO3" s="22" t="s">
        <v>56</v>
      </c>
      <c r="AP3" s="22" t="s">
        <v>57</v>
      </c>
      <c r="AQ3" s="22" t="s">
        <v>58</v>
      </c>
      <c r="AR3" s="3"/>
      <c r="AS3" s="22" t="s">
        <v>59</v>
      </c>
      <c r="AT3" s="22" t="s">
        <v>60</v>
      </c>
      <c r="AU3" s="22" t="s">
        <v>61</v>
      </c>
      <c r="AV3" s="22" t="s">
        <v>62</v>
      </c>
      <c r="AW3" s="22" t="s">
        <v>63</v>
      </c>
      <c r="AX3" s="22" t="s">
        <v>64</v>
      </c>
      <c r="AY3" s="22" t="s">
        <v>65</v>
      </c>
      <c r="AZ3" s="22" t="s">
        <v>66</v>
      </c>
      <c r="BA3" s="22" t="s">
        <v>67</v>
      </c>
      <c r="BB3" s="22" t="s">
        <v>68</v>
      </c>
      <c r="BC3" s="22" t="s">
        <v>69</v>
      </c>
      <c r="BD3" s="22" t="s">
        <v>70</v>
      </c>
      <c r="BE3" s="22" t="s">
        <v>71</v>
      </c>
      <c r="BF3" s="22" t="s">
        <v>72</v>
      </c>
      <c r="BG3" s="22" t="s">
        <v>73</v>
      </c>
      <c r="BH3" s="22" t="s">
        <v>74</v>
      </c>
      <c r="BI3" s="22" t="s">
        <v>75</v>
      </c>
      <c r="BJ3" s="22" t="s">
        <v>76</v>
      </c>
      <c r="BK3" s="22" t="s">
        <v>77</v>
      </c>
      <c r="BL3" s="22" t="s">
        <v>78</v>
      </c>
      <c r="BM3" s="22" t="s">
        <v>79</v>
      </c>
      <c r="BN3" s="22" t="s">
        <v>80</v>
      </c>
      <c r="BO3" s="22" t="s">
        <v>81</v>
      </c>
      <c r="BP3" s="22" t="s">
        <v>82</v>
      </c>
      <c r="BQ3" s="22" t="s">
        <v>83</v>
      </c>
      <c r="BR3" s="22" t="s">
        <v>84</v>
      </c>
      <c r="BS3" s="22" t="s">
        <v>85</v>
      </c>
      <c r="BT3" s="22" t="s">
        <v>86</v>
      </c>
      <c r="BU3" s="23"/>
      <c r="BV3" s="22" t="s">
        <v>87</v>
      </c>
      <c r="BW3" s="22" t="s">
        <v>88</v>
      </c>
      <c r="BX3" s="22" t="s">
        <v>89</v>
      </c>
      <c r="BY3" s="22" t="s">
        <v>90</v>
      </c>
      <c r="BZ3" s="22" t="s">
        <v>91</v>
      </c>
      <c r="CA3" s="22" t="s">
        <v>92</v>
      </c>
      <c r="CB3" s="22" t="s">
        <v>93</v>
      </c>
      <c r="CC3" s="22" t="s">
        <v>94</v>
      </c>
      <c r="CD3" s="22" t="s">
        <v>95</v>
      </c>
      <c r="CE3" s="22" t="s">
        <v>96</v>
      </c>
      <c r="CF3" s="22" t="s">
        <v>97</v>
      </c>
      <c r="CG3" s="22" t="s">
        <v>98</v>
      </c>
      <c r="CH3" s="22" t="s">
        <v>99</v>
      </c>
      <c r="CI3" s="22" t="s">
        <v>100</v>
      </c>
      <c r="CJ3" s="22" t="s">
        <v>101</v>
      </c>
      <c r="CK3" s="22" t="s">
        <v>102</v>
      </c>
      <c r="CL3" s="22" t="s">
        <v>103</v>
      </c>
      <c r="CM3" s="22" t="s">
        <v>104</v>
      </c>
      <c r="CN3" s="22" t="s">
        <v>105</v>
      </c>
      <c r="CO3" s="22" t="s">
        <v>106</v>
      </c>
      <c r="CP3" s="22" t="s">
        <v>107</v>
      </c>
      <c r="CQ3" s="22" t="s">
        <v>108</v>
      </c>
      <c r="CR3" s="22" t="s">
        <v>109</v>
      </c>
      <c r="CS3" s="22" t="s">
        <v>110</v>
      </c>
      <c r="CT3" s="22" t="s">
        <v>111</v>
      </c>
      <c r="CU3" s="22" t="s">
        <v>112</v>
      </c>
      <c r="CV3" s="22" t="s">
        <v>113</v>
      </c>
      <c r="CW3" s="22" t="s">
        <v>114</v>
      </c>
      <c r="CX3" s="22" t="s">
        <v>115</v>
      </c>
      <c r="CY3" s="22" t="s">
        <v>116</v>
      </c>
      <c r="CZ3" s="22" t="s">
        <v>117</v>
      </c>
      <c r="DA3" s="23"/>
      <c r="DB3" s="22" t="s">
        <v>118</v>
      </c>
      <c r="DC3" s="22" t="s">
        <v>119</v>
      </c>
      <c r="DD3" s="22" t="s">
        <v>120</v>
      </c>
      <c r="DE3" s="22" t="s">
        <v>121</v>
      </c>
      <c r="DF3" s="22" t="s">
        <v>122</v>
      </c>
      <c r="DG3" s="22" t="s">
        <v>123</v>
      </c>
      <c r="DH3" s="22" t="s">
        <v>124</v>
      </c>
      <c r="DI3" s="22" t="s">
        <v>125</v>
      </c>
      <c r="DJ3" s="22" t="s">
        <v>126</v>
      </c>
      <c r="DK3" s="22" t="s">
        <v>127</v>
      </c>
      <c r="DL3" s="22" t="s">
        <v>128</v>
      </c>
      <c r="DM3" s="22" t="s">
        <v>129</v>
      </c>
      <c r="DN3" s="22" t="s">
        <v>130</v>
      </c>
      <c r="DO3" s="22" t="s">
        <v>131</v>
      </c>
      <c r="DP3" s="22" t="s">
        <v>132</v>
      </c>
      <c r="DQ3" s="22" t="s">
        <v>133</v>
      </c>
      <c r="DR3" s="22" t="s">
        <v>134</v>
      </c>
      <c r="DS3" s="22" t="s">
        <v>135</v>
      </c>
      <c r="DT3" s="22" t="s">
        <v>136</v>
      </c>
      <c r="DU3" s="22" t="s">
        <v>137</v>
      </c>
      <c r="DV3" s="22" t="s">
        <v>138</v>
      </c>
      <c r="DW3" s="22" t="s">
        <v>139</v>
      </c>
      <c r="DX3" s="22" t="s">
        <v>140</v>
      </c>
      <c r="DY3" s="22" t="s">
        <v>141</v>
      </c>
      <c r="DZ3" s="22" t="s">
        <v>142</v>
      </c>
      <c r="EA3" s="22" t="s">
        <v>143</v>
      </c>
      <c r="EB3" s="22" t="s">
        <v>144</v>
      </c>
      <c r="EC3" s="22" t="s">
        <v>145</v>
      </c>
      <c r="ED3" s="22" t="s">
        <v>146</v>
      </c>
      <c r="EE3" s="22" t="s">
        <v>147</v>
      </c>
      <c r="EF3" s="23"/>
      <c r="EG3" s="22" t="s">
        <v>148</v>
      </c>
      <c r="EH3" s="22" t="s">
        <v>149</v>
      </c>
      <c r="EI3" s="22" t="s">
        <v>150</v>
      </c>
      <c r="EJ3" s="22" t="s">
        <v>151</v>
      </c>
      <c r="EK3" s="22" t="s">
        <v>152</v>
      </c>
      <c r="EL3" s="22" t="s">
        <v>153</v>
      </c>
      <c r="EM3" s="22" t="s">
        <v>154</v>
      </c>
      <c r="EN3" s="22" t="s">
        <v>155</v>
      </c>
      <c r="EO3" s="22" t="s">
        <v>156</v>
      </c>
      <c r="EP3" s="22" t="s">
        <v>157</v>
      </c>
      <c r="EQ3" s="22" t="s">
        <v>158</v>
      </c>
      <c r="ER3" s="22" t="s">
        <v>159</v>
      </c>
      <c r="ES3" s="22" t="s">
        <v>160</v>
      </c>
      <c r="ET3" s="22" t="s">
        <v>161</v>
      </c>
      <c r="EU3" s="22" t="s">
        <v>162</v>
      </c>
      <c r="EV3" s="22" t="s">
        <v>163</v>
      </c>
      <c r="EW3" s="22" t="s">
        <v>164</v>
      </c>
      <c r="EX3" s="22" t="s">
        <v>165</v>
      </c>
      <c r="EY3" s="22" t="s">
        <v>166</v>
      </c>
      <c r="EZ3" s="22" t="s">
        <v>167</v>
      </c>
      <c r="FA3" s="22" t="s">
        <v>168</v>
      </c>
      <c r="FB3" s="22" t="s">
        <v>169</v>
      </c>
      <c r="FC3" s="22" t="s">
        <v>170</v>
      </c>
      <c r="FD3" s="22" t="s">
        <v>171</v>
      </c>
      <c r="FE3" s="22" t="s">
        <v>172</v>
      </c>
      <c r="FF3" s="22" t="s">
        <v>173</v>
      </c>
      <c r="FG3" s="22" t="s">
        <v>174</v>
      </c>
      <c r="FH3" s="22" t="s">
        <v>175</v>
      </c>
      <c r="FI3" s="22" t="s">
        <v>176</v>
      </c>
      <c r="FJ3" s="22" t="s">
        <v>177</v>
      </c>
      <c r="FK3" s="22" t="s">
        <v>178</v>
      </c>
      <c r="FL3" s="23"/>
      <c r="FM3" s="22" t="s">
        <v>179</v>
      </c>
      <c r="FN3" s="22" t="s">
        <v>180</v>
      </c>
      <c r="FO3" s="22" t="s">
        <v>181</v>
      </c>
      <c r="FP3" s="22" t="s">
        <v>182</v>
      </c>
      <c r="FQ3" s="22" t="s">
        <v>183</v>
      </c>
      <c r="FR3" s="22" t="s">
        <v>184</v>
      </c>
      <c r="FS3" s="22" t="s">
        <v>185</v>
      </c>
      <c r="FT3" s="22" t="s">
        <v>186</v>
      </c>
      <c r="FU3" s="22" t="s">
        <v>187</v>
      </c>
      <c r="FV3" s="22" t="s">
        <v>188</v>
      </c>
      <c r="FW3" s="22" t="s">
        <v>189</v>
      </c>
      <c r="FX3" s="22" t="s">
        <v>190</v>
      </c>
      <c r="FY3" s="22" t="s">
        <v>191</v>
      </c>
      <c r="FZ3" s="22" t="s">
        <v>192</v>
      </c>
      <c r="GA3" s="22" t="s">
        <v>193</v>
      </c>
      <c r="GB3" s="22" t="s">
        <v>194</v>
      </c>
      <c r="GC3" s="22" t="s">
        <v>195</v>
      </c>
      <c r="GD3" s="22" t="s">
        <v>196</v>
      </c>
      <c r="GE3" s="22" t="s">
        <v>197</v>
      </c>
      <c r="GF3" s="22" t="s">
        <v>198</v>
      </c>
      <c r="GG3" s="22" t="s">
        <v>199</v>
      </c>
      <c r="GH3" s="22" t="s">
        <v>200</v>
      </c>
      <c r="GI3" s="22" t="s">
        <v>201</v>
      </c>
      <c r="GJ3" s="22" t="s">
        <v>202</v>
      </c>
      <c r="GK3" s="22" t="s">
        <v>203</v>
      </c>
      <c r="GL3" s="22" t="s">
        <v>204</v>
      </c>
      <c r="GM3" s="22" t="s">
        <v>205</v>
      </c>
      <c r="GN3" s="22" t="s">
        <v>206</v>
      </c>
      <c r="GO3" s="22" t="s">
        <v>207</v>
      </c>
      <c r="GP3" s="22" t="s">
        <v>208</v>
      </c>
      <c r="GQ3" s="24"/>
      <c r="GR3" s="25" t="s">
        <v>209</v>
      </c>
      <c r="GS3" s="25" t="s">
        <v>210</v>
      </c>
      <c r="GT3" s="25" t="s">
        <v>211</v>
      </c>
      <c r="GU3" s="25" t="s">
        <v>212</v>
      </c>
      <c r="GV3" s="25" t="s">
        <v>213</v>
      </c>
      <c r="GW3" s="25" t="s">
        <v>214</v>
      </c>
      <c r="GX3" s="25" t="s">
        <v>215</v>
      </c>
      <c r="GY3" s="25" t="s">
        <v>216</v>
      </c>
      <c r="GZ3" s="25" t="s">
        <v>217</v>
      </c>
      <c r="HA3" s="25" t="s">
        <v>218</v>
      </c>
      <c r="HB3" s="25" t="s">
        <v>219</v>
      </c>
      <c r="HC3" s="25" t="s">
        <v>220</v>
      </c>
      <c r="HD3" s="25" t="s">
        <v>221</v>
      </c>
      <c r="HE3" s="25" t="s">
        <v>222</v>
      </c>
      <c r="HF3" s="25" t="s">
        <v>223</v>
      </c>
      <c r="HG3" s="25" t="s">
        <v>224</v>
      </c>
      <c r="HH3" s="25" t="s">
        <v>225</v>
      </c>
      <c r="HI3" s="25" t="s">
        <v>226</v>
      </c>
      <c r="HJ3" s="25" t="s">
        <v>227</v>
      </c>
      <c r="HK3" s="25" t="s">
        <v>228</v>
      </c>
      <c r="HL3" s="25" t="s">
        <v>229</v>
      </c>
      <c r="HM3" s="25" t="s">
        <v>230</v>
      </c>
      <c r="HN3" s="25" t="s">
        <v>231</v>
      </c>
      <c r="HO3" s="25" t="s">
        <v>232</v>
      </c>
      <c r="HP3" s="25" t="s">
        <v>233</v>
      </c>
      <c r="HQ3" s="25" t="s">
        <v>234</v>
      </c>
      <c r="HR3" s="25" t="s">
        <v>235</v>
      </c>
      <c r="HS3" s="25" t="s">
        <v>236</v>
      </c>
      <c r="HT3" s="25" t="s">
        <v>237</v>
      </c>
      <c r="HU3" s="25" t="s">
        <v>238</v>
      </c>
      <c r="HV3" s="25" t="s">
        <v>239</v>
      </c>
      <c r="HW3" s="24"/>
      <c r="HX3" s="25" t="s">
        <v>240</v>
      </c>
      <c r="HY3" s="25" t="s">
        <v>241</v>
      </c>
      <c r="HZ3" s="25" t="s">
        <v>242</v>
      </c>
      <c r="IA3" s="25" t="s">
        <v>243</v>
      </c>
      <c r="IB3" s="25" t="s">
        <v>244</v>
      </c>
      <c r="IC3" s="25" t="s">
        <v>245</v>
      </c>
      <c r="ID3" s="25" t="s">
        <v>246</v>
      </c>
      <c r="IE3" s="25" t="s">
        <v>247</v>
      </c>
      <c r="IF3" s="25" t="s">
        <v>248</v>
      </c>
      <c r="IG3" s="25" t="s">
        <v>249</v>
      </c>
      <c r="IH3" s="25" t="s">
        <v>250</v>
      </c>
      <c r="II3" s="25" t="s">
        <v>251</v>
      </c>
      <c r="IJ3" s="25" t="s">
        <v>252</v>
      </c>
      <c r="IK3" s="25" t="s">
        <v>253</v>
      </c>
      <c r="IL3" s="25" t="s">
        <v>254</v>
      </c>
      <c r="IM3" s="25" t="s">
        <v>255</v>
      </c>
      <c r="IN3" s="25" t="s">
        <v>256</v>
      </c>
      <c r="IO3" s="25" t="s">
        <v>257</v>
      </c>
      <c r="IP3" s="25" t="s">
        <v>258</v>
      </c>
      <c r="IQ3" s="25" t="s">
        <v>259</v>
      </c>
      <c r="IR3" s="25" t="s">
        <v>260</v>
      </c>
      <c r="IS3" s="25" t="s">
        <v>261</v>
      </c>
      <c r="IT3" s="25" t="s">
        <v>262</v>
      </c>
      <c r="IU3" s="25" t="s">
        <v>263</v>
      </c>
      <c r="IV3" s="25" t="s">
        <v>264</v>
      </c>
      <c r="IW3" s="25" t="s">
        <v>265</v>
      </c>
      <c r="IX3" s="25" t="s">
        <v>266</v>
      </c>
      <c r="IY3" s="25" t="s">
        <v>267</v>
      </c>
      <c r="IZ3" s="25" t="s">
        <v>268</v>
      </c>
      <c r="JA3" s="25" t="s">
        <v>269</v>
      </c>
      <c r="JB3" s="25" t="s">
        <v>270</v>
      </c>
      <c r="JC3" s="24"/>
      <c r="JD3" s="25" t="s">
        <v>271</v>
      </c>
      <c r="JE3" s="25" t="s">
        <v>272</v>
      </c>
      <c r="JF3" s="25" t="s">
        <v>273</v>
      </c>
      <c r="JG3" s="25" t="s">
        <v>274</v>
      </c>
      <c r="JH3" s="25" t="s">
        <v>275</v>
      </c>
      <c r="JI3" s="25" t="s">
        <v>276</v>
      </c>
      <c r="JJ3" s="25" t="s">
        <v>277</v>
      </c>
      <c r="JK3" s="25" t="s">
        <v>278</v>
      </c>
      <c r="JL3" s="25" t="s">
        <v>279</v>
      </c>
      <c r="JM3" s="25" t="s">
        <v>280</v>
      </c>
      <c r="JN3" s="25" t="s">
        <v>281</v>
      </c>
      <c r="JO3" s="25" t="s">
        <v>282</v>
      </c>
      <c r="JP3" s="25" t="s">
        <v>283</v>
      </c>
      <c r="JQ3" s="25" t="s">
        <v>284</v>
      </c>
      <c r="JR3" s="25" t="s">
        <v>285</v>
      </c>
      <c r="JS3" s="25" t="s">
        <v>286</v>
      </c>
      <c r="JT3" s="25" t="s">
        <v>287</v>
      </c>
      <c r="JU3" s="25" t="s">
        <v>288</v>
      </c>
      <c r="JV3" s="25" t="s">
        <v>289</v>
      </c>
      <c r="JW3" s="25" t="s">
        <v>290</v>
      </c>
      <c r="JX3" s="25" t="s">
        <v>291</v>
      </c>
      <c r="JY3" s="25" t="s">
        <v>292</v>
      </c>
      <c r="JZ3" s="25" t="s">
        <v>293</v>
      </c>
      <c r="KA3" s="25" t="s">
        <v>294</v>
      </c>
      <c r="KB3" s="25" t="s">
        <v>295</v>
      </c>
      <c r="KC3" s="25" t="s">
        <v>296</v>
      </c>
      <c r="KD3" s="25" t="s">
        <v>297</v>
      </c>
      <c r="KE3" s="25" t="s">
        <v>298</v>
      </c>
      <c r="KF3" s="25" t="s">
        <v>299</v>
      </c>
      <c r="KG3" s="25" t="s">
        <v>300</v>
      </c>
      <c r="KH3" s="24"/>
      <c r="KI3" s="25" t="s">
        <v>301</v>
      </c>
      <c r="KJ3" s="25" t="s">
        <v>302</v>
      </c>
      <c r="KK3" s="25" t="s">
        <v>303</v>
      </c>
      <c r="KL3" s="25" t="s">
        <v>304</v>
      </c>
      <c r="KM3" s="25" t="s">
        <v>305</v>
      </c>
      <c r="KN3" s="25" t="s">
        <v>306</v>
      </c>
      <c r="KO3" s="25" t="s">
        <v>307</v>
      </c>
      <c r="KP3" s="25" t="s">
        <v>308</v>
      </c>
      <c r="KQ3" s="25" t="s">
        <v>309</v>
      </c>
      <c r="KR3" s="25" t="s">
        <v>310</v>
      </c>
      <c r="KS3" s="25" t="s">
        <v>311</v>
      </c>
      <c r="KT3" s="25" t="s">
        <v>312</v>
      </c>
      <c r="KU3" s="25" t="s">
        <v>313</v>
      </c>
      <c r="KV3" s="25" t="s">
        <v>314</v>
      </c>
      <c r="KW3" s="25" t="s">
        <v>315</v>
      </c>
      <c r="KX3" s="25" t="s">
        <v>316</v>
      </c>
      <c r="KY3" s="25" t="s">
        <v>317</v>
      </c>
      <c r="KZ3" s="25" t="s">
        <v>318</v>
      </c>
      <c r="LA3" s="25" t="s">
        <v>319</v>
      </c>
      <c r="LB3" s="25" t="s">
        <v>320</v>
      </c>
      <c r="LC3" s="25" t="s">
        <v>321</v>
      </c>
      <c r="LD3" s="25" t="s">
        <v>322</v>
      </c>
      <c r="LE3" s="25" t="s">
        <v>323</v>
      </c>
      <c r="LF3" s="25" t="s">
        <v>324</v>
      </c>
      <c r="LG3" s="25" t="s">
        <v>325</v>
      </c>
      <c r="LH3" s="25" t="s">
        <v>326</v>
      </c>
      <c r="LI3" s="25" t="s">
        <v>327</v>
      </c>
      <c r="LJ3" s="25" t="s">
        <v>328</v>
      </c>
      <c r="LK3" s="25" t="s">
        <v>329</v>
      </c>
      <c r="LL3" s="25" t="s">
        <v>330</v>
      </c>
      <c r="LM3" s="25" t="s">
        <v>331</v>
      </c>
      <c r="LN3" s="24"/>
      <c r="LO3" s="25" t="s">
        <v>332</v>
      </c>
      <c r="LP3" s="25" t="s">
        <v>333</v>
      </c>
      <c r="LQ3" s="25" t="s">
        <v>334</v>
      </c>
      <c r="LR3" s="25" t="s">
        <v>335</v>
      </c>
      <c r="LS3" s="25" t="s">
        <v>336</v>
      </c>
      <c r="LT3" s="25" t="s">
        <v>337</v>
      </c>
      <c r="LU3" s="25" t="s">
        <v>338</v>
      </c>
      <c r="LV3" s="25" t="s">
        <v>339</v>
      </c>
      <c r="LW3" s="25" t="s">
        <v>340</v>
      </c>
      <c r="LX3" s="25" t="s">
        <v>341</v>
      </c>
      <c r="LY3" s="25" t="s">
        <v>342</v>
      </c>
      <c r="LZ3" s="25" t="s">
        <v>343</v>
      </c>
      <c r="MA3" s="25" t="s">
        <v>344</v>
      </c>
      <c r="MB3" s="25" t="s">
        <v>345</v>
      </c>
      <c r="MC3" s="25" t="s">
        <v>346</v>
      </c>
      <c r="MD3" s="25" t="s">
        <v>347</v>
      </c>
      <c r="ME3" s="25" t="s">
        <v>348</v>
      </c>
      <c r="MF3" s="25" t="s">
        <v>349</v>
      </c>
      <c r="MG3" s="25" t="s">
        <v>350</v>
      </c>
      <c r="MH3" s="25" t="s">
        <v>351</v>
      </c>
      <c r="MI3" s="25" t="s">
        <v>352</v>
      </c>
      <c r="MJ3" s="25" t="s">
        <v>353</v>
      </c>
      <c r="MK3" s="25" t="s">
        <v>354</v>
      </c>
      <c r="ML3" s="25" t="s">
        <v>355</v>
      </c>
      <c r="MM3" s="25" t="s">
        <v>356</v>
      </c>
      <c r="MN3" s="25" t="s">
        <v>357</v>
      </c>
      <c r="MO3" s="25" t="s">
        <v>358</v>
      </c>
      <c r="MP3" s="25" t="s">
        <v>359</v>
      </c>
      <c r="MQ3" s="25" t="s">
        <v>360</v>
      </c>
      <c r="MR3" s="25" t="s">
        <v>361</v>
      </c>
      <c r="MS3" s="24"/>
      <c r="MT3" s="25" t="s">
        <v>362</v>
      </c>
      <c r="MU3" s="25" t="s">
        <v>363</v>
      </c>
      <c r="MV3" s="25" t="s">
        <v>364</v>
      </c>
      <c r="MW3" s="25" t="s">
        <v>365</v>
      </c>
      <c r="MX3" s="25" t="s">
        <v>366</v>
      </c>
      <c r="MY3" s="25" t="s">
        <v>367</v>
      </c>
      <c r="MZ3" s="25" t="s">
        <v>368</v>
      </c>
      <c r="NA3" s="25" t="s">
        <v>369</v>
      </c>
      <c r="NB3" s="25" t="s">
        <v>370</v>
      </c>
      <c r="NC3" s="25" t="s">
        <v>371</v>
      </c>
      <c r="ND3" s="25" t="s">
        <v>372</v>
      </c>
      <c r="NE3" s="25" t="s">
        <v>373</v>
      </c>
      <c r="NF3" s="25" t="s">
        <v>374</v>
      </c>
      <c r="NG3" s="25" t="s">
        <v>375</v>
      </c>
      <c r="NH3" s="25" t="s">
        <v>376</v>
      </c>
      <c r="NI3" s="25" t="s">
        <v>377</v>
      </c>
      <c r="NJ3" s="25" t="s">
        <v>378</v>
      </c>
      <c r="NK3" s="25" t="s">
        <v>379</v>
      </c>
      <c r="NL3" s="25" t="s">
        <v>380</v>
      </c>
      <c r="NM3" s="25" t="s">
        <v>381</v>
      </c>
      <c r="NN3" s="25" t="s">
        <v>382</v>
      </c>
      <c r="NO3" s="25" t="s">
        <v>383</v>
      </c>
      <c r="NP3" s="25" t="s">
        <v>384</v>
      </c>
      <c r="NQ3" s="25" t="s">
        <v>385</v>
      </c>
      <c r="NR3" s="25" t="s">
        <v>386</v>
      </c>
      <c r="NS3" s="25" t="s">
        <v>387</v>
      </c>
      <c r="NT3" s="25" t="s">
        <v>388</v>
      </c>
      <c r="NU3" s="25" t="s">
        <v>389</v>
      </c>
      <c r="NV3" s="25" t="s">
        <v>390</v>
      </c>
      <c r="NW3" s="25" t="s">
        <v>391</v>
      </c>
      <c r="NX3" s="25" t="s">
        <v>392</v>
      </c>
      <c r="NY3" s="24"/>
    </row>
    <row r="4">
      <c r="A4" s="26" t="s">
        <v>393</v>
      </c>
      <c r="B4" s="26" t="str">
        <f>IFERROR(__xludf.DUMMYFUNCTION("VLOOKUP(A4, IMPORTRANGE(""https://docs.google.com/spreadsheets/d/1KpTMcNM9m1P7u9qCVzob8p1-RZoC1ejaYs5CdpAbWFY/edit?gid=260580969#gid=260580969"", ""2025 EMP PROFILE DATA!a1:W98""), 22, FALSE)"),"#REF!")</f>
        <v>#REF!</v>
      </c>
      <c r="C4" s="26">
        <f t="shared" ref="C4:C93" si="1">COUNTIF(M4:NY4, "A")</f>
        <v>5</v>
      </c>
      <c r="D4" s="26">
        <f t="shared" ref="D4:D93" si="2">COUNTIF(M4:NY4, "AE")</f>
        <v>1</v>
      </c>
      <c r="E4" s="26">
        <f t="shared" ref="E4:E93" si="3">countif(M4:NY4, "T")</f>
        <v>0</v>
      </c>
      <c r="F4" s="26">
        <f t="shared" ref="F4:F93" si="4">countif(M4:NY4, "TE")</f>
        <v>0</v>
      </c>
      <c r="G4" s="27">
        <f t="shared" ref="G4:G93" si="5">C4 / NETWORKDAYS(DATE(2025,1,1), TODAY())</f>
        <v>0.01262626263</v>
      </c>
      <c r="H4" s="27">
        <f t="shared" ref="H4:H93" si="6">E4 / NETWORKDAYS(DATE(2025,1,1), TODAY())</f>
        <v>0</v>
      </c>
      <c r="I4" s="28">
        <f t="shared" ref="I4:I93" si="7">sum(E4+(C4*4))</f>
        <v>20</v>
      </c>
      <c r="J4" s="26">
        <v>0.0</v>
      </c>
      <c r="K4" s="26">
        <v>0.0</v>
      </c>
      <c r="L4" s="29"/>
      <c r="M4" s="26"/>
      <c r="N4" s="30" t="s">
        <v>19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 t="s">
        <v>19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9"/>
      <c r="AS4" s="28"/>
      <c r="AT4" s="28"/>
      <c r="AU4" s="28"/>
      <c r="AV4" s="28"/>
      <c r="AW4" s="26"/>
      <c r="AX4" s="28"/>
      <c r="AY4" s="28"/>
      <c r="AZ4" s="26"/>
      <c r="BA4" s="26" t="s">
        <v>19</v>
      </c>
      <c r="BB4" s="26"/>
      <c r="BC4" s="28"/>
      <c r="BD4" s="28"/>
      <c r="BE4" s="26" t="s">
        <v>20</v>
      </c>
      <c r="BF4" s="28"/>
      <c r="BG4" s="28"/>
      <c r="BH4" s="26"/>
      <c r="BI4" s="26"/>
      <c r="BJ4" s="26"/>
      <c r="BK4" s="28"/>
      <c r="BL4" s="28"/>
      <c r="BM4" s="26"/>
      <c r="BN4" s="28"/>
      <c r="BO4" s="28"/>
      <c r="BP4" s="28"/>
      <c r="BQ4" s="28"/>
      <c r="BR4" s="28"/>
      <c r="BS4" s="31"/>
      <c r="BT4" s="26"/>
      <c r="BU4" s="32"/>
      <c r="BV4" s="33"/>
      <c r="BW4" s="34" t="s">
        <v>19</v>
      </c>
      <c r="BX4" s="33"/>
      <c r="BY4" s="33"/>
      <c r="BZ4" s="33"/>
      <c r="CA4" s="33"/>
      <c r="CB4" s="35"/>
      <c r="CC4" s="33"/>
      <c r="CD4" s="33"/>
      <c r="CE4" s="34"/>
      <c r="CF4" s="36"/>
      <c r="CG4" s="26"/>
      <c r="CH4" s="28"/>
      <c r="CI4" s="28"/>
      <c r="CJ4" s="28"/>
      <c r="CK4" s="28"/>
      <c r="CL4" s="26"/>
      <c r="CM4" s="28"/>
      <c r="CN4" s="28"/>
      <c r="CO4" s="28"/>
      <c r="CP4" s="26"/>
      <c r="CQ4" s="28"/>
      <c r="CR4" s="28"/>
      <c r="CS4" s="28"/>
      <c r="CT4" s="28"/>
      <c r="CU4" s="26"/>
      <c r="CV4" s="31"/>
      <c r="CW4" s="26"/>
      <c r="CX4" s="26"/>
      <c r="CY4" s="26"/>
      <c r="CZ4" s="31"/>
      <c r="DA4" s="32"/>
      <c r="DB4" s="28"/>
      <c r="DC4" s="28"/>
      <c r="DD4" s="28"/>
      <c r="DE4" s="26"/>
      <c r="DF4" s="26"/>
      <c r="DG4" s="26"/>
      <c r="DH4" s="26"/>
      <c r="DI4" s="26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6"/>
      <c r="DX4" s="26"/>
      <c r="DY4" s="28"/>
      <c r="DZ4" s="28"/>
      <c r="EA4" s="28"/>
      <c r="EB4" s="31"/>
      <c r="EC4" s="26"/>
      <c r="ED4" s="31"/>
      <c r="EE4" s="26"/>
      <c r="EF4" s="32"/>
      <c r="EG4" s="28"/>
      <c r="EH4" s="26"/>
      <c r="EI4" s="28"/>
      <c r="EJ4" s="28"/>
      <c r="EK4" s="26"/>
      <c r="EL4" s="28"/>
      <c r="EM4" s="28"/>
      <c r="EN4" s="26"/>
      <c r="EO4" s="26"/>
      <c r="EP4" s="28"/>
      <c r="EQ4" s="28"/>
      <c r="ER4" s="26"/>
      <c r="ES4" s="28"/>
      <c r="ET4" s="26"/>
      <c r="EU4" s="26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6"/>
      <c r="FH4" s="26"/>
      <c r="FI4" s="31"/>
      <c r="FJ4" s="31"/>
      <c r="FK4" s="31"/>
      <c r="FL4" s="32"/>
      <c r="FM4" s="28"/>
      <c r="FN4" s="26"/>
      <c r="FO4" s="28"/>
      <c r="FP4" s="28"/>
      <c r="FQ4" s="26"/>
      <c r="FR4" s="28"/>
      <c r="FS4" s="28"/>
      <c r="FT4" s="28"/>
      <c r="FU4" s="26"/>
      <c r="FV4" s="28"/>
      <c r="FW4" s="28"/>
      <c r="FX4" s="26"/>
      <c r="FY4" s="28"/>
      <c r="FZ4" s="28"/>
      <c r="GA4" s="28"/>
      <c r="GB4" s="26"/>
      <c r="GC4" s="26"/>
      <c r="GD4" s="28"/>
      <c r="GE4" s="28"/>
      <c r="GF4" s="28"/>
      <c r="GG4" s="28"/>
      <c r="GH4" s="28"/>
      <c r="GI4" s="26"/>
      <c r="GJ4" s="28"/>
      <c r="GK4" s="37" t="s">
        <v>19</v>
      </c>
      <c r="GL4" s="28"/>
      <c r="GM4" s="31"/>
      <c r="GN4" s="26"/>
      <c r="GO4" s="31"/>
      <c r="GP4" s="31"/>
      <c r="GQ4" s="38"/>
      <c r="GR4" s="39"/>
      <c r="GS4" s="39"/>
      <c r="GT4" s="39"/>
      <c r="GU4" s="39"/>
      <c r="GV4" s="39"/>
      <c r="GW4" s="39"/>
      <c r="GX4" s="39"/>
      <c r="GY4" s="39"/>
      <c r="GZ4" s="40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40"/>
      <c r="HM4" s="40"/>
      <c r="HN4" s="39"/>
      <c r="HO4" s="39"/>
      <c r="HP4" s="39"/>
      <c r="HQ4" s="39"/>
      <c r="HR4" s="39"/>
      <c r="HS4" s="39"/>
      <c r="HT4" s="39"/>
      <c r="HU4" s="40"/>
      <c r="HV4" s="39"/>
      <c r="HW4" s="38"/>
      <c r="HX4" s="41"/>
      <c r="HY4" s="39"/>
      <c r="HZ4" s="39"/>
      <c r="IA4" s="39"/>
      <c r="IB4" s="39"/>
      <c r="IC4" s="39"/>
      <c r="ID4" s="40"/>
      <c r="IE4" s="39"/>
      <c r="IF4" s="39"/>
      <c r="IG4" s="39"/>
      <c r="IH4" s="40"/>
      <c r="II4" s="40"/>
      <c r="IJ4" s="42"/>
      <c r="IK4" s="42"/>
      <c r="IL4" s="39"/>
      <c r="IM4" s="39"/>
      <c r="IN4" s="39"/>
      <c r="IO4" s="42"/>
      <c r="IP4" s="40"/>
      <c r="IQ4" s="39"/>
      <c r="IR4" s="39"/>
      <c r="IS4" s="39"/>
      <c r="IT4" s="39"/>
      <c r="IU4" s="39"/>
      <c r="IV4" s="39"/>
      <c r="IW4" s="39"/>
      <c r="IX4" s="39"/>
      <c r="IY4" s="39"/>
      <c r="IZ4" s="39"/>
      <c r="JA4" s="39"/>
      <c r="JB4" s="39"/>
      <c r="JC4" s="38"/>
      <c r="JD4" s="39"/>
      <c r="JE4" s="39"/>
      <c r="JF4" s="39"/>
      <c r="JG4" s="39"/>
      <c r="JH4" s="39"/>
      <c r="JI4" s="39"/>
      <c r="JJ4" s="39"/>
      <c r="JK4" s="39"/>
      <c r="JL4" s="39"/>
      <c r="JM4" s="39"/>
      <c r="JN4" s="39"/>
      <c r="JO4" s="39"/>
      <c r="JP4" s="39"/>
      <c r="JQ4" s="39"/>
      <c r="JR4" s="39"/>
      <c r="JS4" s="39"/>
      <c r="JT4" s="39"/>
      <c r="JU4" s="39"/>
      <c r="JV4" s="39"/>
      <c r="JW4" s="39"/>
      <c r="JX4" s="39"/>
      <c r="JY4" s="39"/>
      <c r="JZ4" s="39"/>
      <c r="KA4" s="39"/>
      <c r="KB4" s="39"/>
      <c r="KC4" s="39"/>
      <c r="KD4" s="39"/>
      <c r="KE4" s="39"/>
      <c r="KF4" s="39"/>
      <c r="KG4" s="39"/>
      <c r="KH4" s="38"/>
      <c r="KI4" s="39"/>
      <c r="KJ4" s="39"/>
      <c r="KK4" s="39"/>
      <c r="KL4" s="39"/>
      <c r="KM4" s="39"/>
      <c r="KN4" s="39"/>
      <c r="KO4" s="39"/>
      <c r="KP4" s="39"/>
      <c r="KQ4" s="39"/>
      <c r="KR4" s="39"/>
      <c r="KS4" s="39"/>
      <c r="KT4" s="39"/>
      <c r="KU4" s="40"/>
      <c r="KV4" s="39"/>
      <c r="KW4" s="39"/>
      <c r="KX4" s="39"/>
      <c r="KY4" s="39"/>
      <c r="KZ4" s="39"/>
      <c r="LA4" s="39"/>
      <c r="LB4" s="39"/>
      <c r="LC4" s="39"/>
      <c r="LD4" s="39"/>
      <c r="LE4" s="39"/>
      <c r="LF4" s="39"/>
      <c r="LG4" s="39"/>
      <c r="LH4" s="39"/>
      <c r="LI4" s="39"/>
      <c r="LJ4" s="39"/>
      <c r="LK4" s="39"/>
      <c r="LL4" s="39"/>
      <c r="LM4" s="39"/>
      <c r="LN4" s="38"/>
      <c r="LO4" s="39"/>
      <c r="LP4" s="39"/>
      <c r="LQ4" s="40"/>
      <c r="LR4" s="39"/>
      <c r="LS4" s="39"/>
      <c r="LT4" s="39"/>
      <c r="LU4" s="39"/>
      <c r="LV4" s="39"/>
      <c r="LW4" s="39"/>
      <c r="LX4" s="39"/>
      <c r="LY4" s="39"/>
      <c r="LZ4" s="39"/>
      <c r="MA4" s="39"/>
      <c r="MB4" s="39"/>
      <c r="MC4" s="39"/>
      <c r="MD4" s="39"/>
      <c r="ME4" s="39"/>
      <c r="MF4" s="39"/>
      <c r="MG4" s="39"/>
      <c r="MH4" s="39"/>
      <c r="MI4" s="39"/>
      <c r="MJ4" s="39"/>
      <c r="MK4" s="39"/>
      <c r="ML4" s="39"/>
      <c r="MM4" s="39"/>
      <c r="MN4" s="39"/>
      <c r="MO4" s="39"/>
      <c r="MP4" s="39"/>
      <c r="MQ4" s="39"/>
      <c r="MR4" s="39"/>
      <c r="MS4" s="38"/>
      <c r="MT4" s="39"/>
      <c r="MU4" s="39"/>
      <c r="MV4" s="39"/>
      <c r="MW4" s="39"/>
      <c r="MX4" s="39"/>
      <c r="MY4" s="39"/>
      <c r="MZ4" s="39"/>
      <c r="NA4" s="39"/>
      <c r="NB4" s="39"/>
      <c r="NC4" s="39"/>
      <c r="ND4" s="39"/>
      <c r="NE4" s="39"/>
      <c r="NF4" s="39"/>
      <c r="NG4" s="39"/>
      <c r="NH4" s="39"/>
      <c r="NI4" s="39"/>
      <c r="NJ4" s="39"/>
      <c r="NK4" s="39"/>
      <c r="NL4" s="39"/>
      <c r="NM4" s="39"/>
      <c r="NN4" s="39"/>
      <c r="NO4" s="39"/>
      <c r="NP4" s="39"/>
      <c r="NQ4" s="39"/>
      <c r="NR4" s="39"/>
      <c r="NS4" s="39"/>
      <c r="NT4" s="39"/>
      <c r="NU4" s="39"/>
      <c r="NV4" s="39"/>
      <c r="NW4" s="39"/>
      <c r="NX4" s="39"/>
      <c r="NY4" s="38"/>
    </row>
    <row r="5">
      <c r="A5" s="43" t="s">
        <v>394</v>
      </c>
      <c r="B5" s="26" t="str">
        <f>IFERROR(__xludf.DUMMYFUNCTION("VLOOKUP(A5, IMPORTRANGE(""https://docs.google.com/spreadsheets/d/1KpTMcNM9m1P7u9qCVzob8p1-RZoC1ejaYs5CdpAbWFY/edit?gid=260580969#gid=260580969"", ""2025 EMP PROFILE DATA!a1:W98""), 22, FALSE)"),"#REF!")</f>
        <v>#REF!</v>
      </c>
      <c r="C5" s="43">
        <f t="shared" si="1"/>
        <v>0</v>
      </c>
      <c r="D5" s="43">
        <f t="shared" si="2"/>
        <v>6</v>
      </c>
      <c r="E5" s="43">
        <f t="shared" si="3"/>
        <v>0</v>
      </c>
      <c r="F5" s="43">
        <f t="shared" si="4"/>
        <v>1</v>
      </c>
      <c r="G5" s="44">
        <f t="shared" si="5"/>
        <v>0</v>
      </c>
      <c r="H5" s="44">
        <f t="shared" si="6"/>
        <v>0</v>
      </c>
      <c r="I5" s="28">
        <f t="shared" si="7"/>
        <v>0</v>
      </c>
      <c r="J5" s="26">
        <v>0.0</v>
      </c>
      <c r="K5" s="26">
        <v>0.0</v>
      </c>
      <c r="L5" s="29"/>
      <c r="M5" s="43"/>
      <c r="N5" s="43"/>
      <c r="O5" s="43"/>
      <c r="P5" s="43"/>
      <c r="Q5" s="43"/>
      <c r="R5" s="43"/>
      <c r="S5" s="42" t="s">
        <v>20</v>
      </c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29"/>
      <c r="AS5" s="28"/>
      <c r="AT5" s="28"/>
      <c r="AU5" s="28"/>
      <c r="AV5" s="28"/>
      <c r="AW5" s="26"/>
      <c r="AX5" s="28"/>
      <c r="AY5" s="28"/>
      <c r="AZ5" s="26"/>
      <c r="BA5" s="28"/>
      <c r="BB5" s="26"/>
      <c r="BC5" s="28"/>
      <c r="BD5" s="28"/>
      <c r="BE5" s="26"/>
      <c r="BF5" s="28"/>
      <c r="BG5" s="28"/>
      <c r="BH5" s="26"/>
      <c r="BI5" s="26"/>
      <c r="BJ5" s="26" t="s">
        <v>22</v>
      </c>
      <c r="BK5" s="28"/>
      <c r="BL5" s="28"/>
      <c r="BM5" s="26"/>
      <c r="BN5" s="28"/>
      <c r="BO5" s="28"/>
      <c r="BP5" s="28"/>
      <c r="BQ5" s="28"/>
      <c r="BR5" s="28"/>
      <c r="BS5" s="31"/>
      <c r="BT5" s="26"/>
      <c r="BU5" s="32"/>
      <c r="BV5" s="33"/>
      <c r="BW5" s="34" t="s">
        <v>20</v>
      </c>
      <c r="BX5" s="33"/>
      <c r="BY5" s="33"/>
      <c r="BZ5" s="33"/>
      <c r="CA5" s="33"/>
      <c r="CB5" s="35"/>
      <c r="CC5" s="33"/>
      <c r="CD5" s="33"/>
      <c r="CE5" s="34"/>
      <c r="CF5" s="36"/>
      <c r="CG5" s="26"/>
      <c r="CH5" s="26" t="s">
        <v>20</v>
      </c>
      <c r="CI5" s="28"/>
      <c r="CJ5" s="28"/>
      <c r="CK5" s="28"/>
      <c r="CL5" s="26"/>
      <c r="CM5" s="28"/>
      <c r="CN5" s="28"/>
      <c r="CO5" s="28"/>
      <c r="CP5" s="26"/>
      <c r="CQ5" s="28"/>
      <c r="CR5" s="28"/>
      <c r="CS5" s="28"/>
      <c r="CT5" s="28"/>
      <c r="CU5" s="26"/>
      <c r="CV5" s="31"/>
      <c r="CW5" s="26"/>
      <c r="CX5" s="26"/>
      <c r="CY5" s="26"/>
      <c r="CZ5" s="31"/>
      <c r="DA5" s="32"/>
      <c r="DB5" s="28"/>
      <c r="DC5" s="28"/>
      <c r="DD5" s="28"/>
      <c r="DE5" s="26"/>
      <c r="DF5" s="26"/>
      <c r="DG5" s="26"/>
      <c r="DH5" s="26"/>
      <c r="DI5" s="26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6"/>
      <c r="DX5" s="26"/>
      <c r="DY5" s="28"/>
      <c r="DZ5" s="28"/>
      <c r="EA5" s="28"/>
      <c r="EB5" s="31"/>
      <c r="EC5" s="26"/>
      <c r="ED5" s="31"/>
      <c r="EE5" s="26"/>
      <c r="EF5" s="32"/>
      <c r="EG5" s="28"/>
      <c r="EH5" s="26"/>
      <c r="EI5" s="28"/>
      <c r="EJ5" s="28"/>
      <c r="EK5" s="26"/>
      <c r="EL5" s="28"/>
      <c r="EM5" s="28"/>
      <c r="EN5" s="26"/>
      <c r="EO5" s="26"/>
      <c r="EP5" s="28"/>
      <c r="EQ5" s="26" t="s">
        <v>20</v>
      </c>
      <c r="ER5" s="26"/>
      <c r="ES5" s="28"/>
      <c r="ET5" s="26"/>
      <c r="EU5" s="26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6" t="s">
        <v>20</v>
      </c>
      <c r="FG5" s="26"/>
      <c r="FH5" s="26"/>
      <c r="FI5" s="31"/>
      <c r="FJ5" s="31"/>
      <c r="FK5" s="31"/>
      <c r="FL5" s="32"/>
      <c r="FM5" s="28"/>
      <c r="FN5" s="26"/>
      <c r="FO5" s="28"/>
      <c r="FP5" s="28"/>
      <c r="FQ5" s="26"/>
      <c r="FR5" s="28"/>
      <c r="FS5" s="28"/>
      <c r="FT5" s="28"/>
      <c r="FU5" s="26"/>
      <c r="FV5" s="28"/>
      <c r="FW5" s="28"/>
      <c r="FX5" s="26"/>
      <c r="FY5" s="28"/>
      <c r="FZ5" s="28"/>
      <c r="GA5" s="28"/>
      <c r="GB5" s="26"/>
      <c r="GC5" s="26"/>
      <c r="GD5" s="28"/>
      <c r="GE5" s="28"/>
      <c r="GF5" s="28"/>
      <c r="GG5" s="28"/>
      <c r="GH5" s="28"/>
      <c r="GI5" s="26"/>
      <c r="GJ5" s="28"/>
      <c r="GK5" s="28"/>
      <c r="GL5" s="28"/>
      <c r="GM5" s="31"/>
      <c r="GN5" s="26"/>
      <c r="GO5" s="31"/>
      <c r="GP5" s="31"/>
      <c r="GQ5" s="38"/>
      <c r="GR5" s="39"/>
      <c r="GS5" s="39"/>
      <c r="GT5" s="39"/>
      <c r="GU5" s="39"/>
      <c r="GV5" s="39"/>
      <c r="GW5" s="39"/>
      <c r="GX5" s="41" t="s">
        <v>20</v>
      </c>
      <c r="GY5" s="39"/>
      <c r="GZ5" s="40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40"/>
      <c r="HM5" s="40"/>
      <c r="HN5" s="39"/>
      <c r="HO5" s="39"/>
      <c r="HP5" s="39"/>
      <c r="HQ5" s="39"/>
      <c r="HR5" s="39"/>
      <c r="HS5" s="39"/>
      <c r="HT5" s="39"/>
      <c r="HU5" s="40"/>
      <c r="HV5" s="39"/>
      <c r="HW5" s="38"/>
      <c r="HX5" s="41"/>
      <c r="HY5" s="39"/>
      <c r="HZ5" s="39"/>
      <c r="IA5" s="39"/>
      <c r="IB5" s="39"/>
      <c r="IC5" s="39"/>
      <c r="ID5" s="40"/>
      <c r="IE5" s="39"/>
      <c r="IF5" s="39"/>
      <c r="IG5" s="39"/>
      <c r="IH5" s="40"/>
      <c r="II5" s="40"/>
      <c r="IJ5" s="42"/>
      <c r="IK5" s="42"/>
      <c r="IL5" s="39"/>
      <c r="IM5" s="39"/>
      <c r="IN5" s="39"/>
      <c r="IO5" s="42"/>
      <c r="IP5" s="40"/>
      <c r="IQ5" s="39"/>
      <c r="IR5" s="39"/>
      <c r="IS5" s="39"/>
      <c r="IT5" s="39"/>
      <c r="IU5" s="39"/>
      <c r="IV5" s="39"/>
      <c r="IW5" s="39"/>
      <c r="IX5" s="39"/>
      <c r="IY5" s="39"/>
      <c r="IZ5" s="39"/>
      <c r="JA5" s="39"/>
      <c r="JB5" s="39"/>
      <c r="JC5" s="38"/>
      <c r="JD5" s="39"/>
      <c r="JE5" s="39"/>
      <c r="JF5" s="39"/>
      <c r="JG5" s="39"/>
      <c r="JH5" s="39"/>
      <c r="JI5" s="39"/>
      <c r="JJ5" s="39"/>
      <c r="JK5" s="39"/>
      <c r="JL5" s="39"/>
      <c r="JM5" s="39"/>
      <c r="JN5" s="39"/>
      <c r="JO5" s="39"/>
      <c r="JP5" s="39"/>
      <c r="JQ5" s="39"/>
      <c r="JR5" s="39"/>
      <c r="JS5" s="39"/>
      <c r="JT5" s="39"/>
      <c r="JU5" s="39"/>
      <c r="JV5" s="39"/>
      <c r="JW5" s="39"/>
      <c r="JX5" s="39"/>
      <c r="JY5" s="39"/>
      <c r="JZ5" s="39"/>
      <c r="KA5" s="39"/>
      <c r="KB5" s="39"/>
      <c r="KC5" s="39"/>
      <c r="KD5" s="39"/>
      <c r="KE5" s="39"/>
      <c r="KF5" s="39"/>
      <c r="KG5" s="39"/>
      <c r="KH5" s="38"/>
      <c r="KI5" s="39"/>
      <c r="KJ5" s="39"/>
      <c r="KK5" s="39"/>
      <c r="KL5" s="39"/>
      <c r="KM5" s="39"/>
      <c r="KN5" s="39"/>
      <c r="KO5" s="39"/>
      <c r="KP5" s="39"/>
      <c r="KQ5" s="39"/>
      <c r="KR5" s="39"/>
      <c r="KS5" s="39"/>
      <c r="KT5" s="39"/>
      <c r="KU5" s="40"/>
      <c r="KV5" s="39"/>
      <c r="KW5" s="39"/>
      <c r="KX5" s="39"/>
      <c r="KY5" s="39"/>
      <c r="KZ5" s="39"/>
      <c r="LA5" s="39"/>
      <c r="LB5" s="39"/>
      <c r="LC5" s="39"/>
      <c r="LD5" s="39"/>
      <c r="LE5" s="39"/>
      <c r="LF5" s="39"/>
      <c r="LG5" s="39"/>
      <c r="LH5" s="39"/>
      <c r="LI5" s="39"/>
      <c r="LJ5" s="39"/>
      <c r="LK5" s="39"/>
      <c r="LL5" s="39"/>
      <c r="LM5" s="39"/>
      <c r="LN5" s="38"/>
      <c r="LO5" s="39"/>
      <c r="LP5" s="39"/>
      <c r="LQ5" s="40"/>
      <c r="LR5" s="39"/>
      <c r="LS5" s="39"/>
      <c r="LT5" s="39"/>
      <c r="LU5" s="39"/>
      <c r="LV5" s="39"/>
      <c r="LW5" s="39"/>
      <c r="LX5" s="39"/>
      <c r="LY5" s="39"/>
      <c r="LZ5" s="39"/>
      <c r="MA5" s="39"/>
      <c r="MB5" s="39"/>
      <c r="MC5" s="39"/>
      <c r="MD5" s="39"/>
      <c r="ME5" s="39"/>
      <c r="MF5" s="39"/>
      <c r="MG5" s="39"/>
      <c r="MH5" s="39"/>
      <c r="MI5" s="39"/>
      <c r="MJ5" s="39"/>
      <c r="MK5" s="39"/>
      <c r="ML5" s="39"/>
      <c r="MM5" s="39"/>
      <c r="MN5" s="39"/>
      <c r="MO5" s="39"/>
      <c r="MP5" s="39"/>
      <c r="MQ5" s="39"/>
      <c r="MR5" s="39"/>
      <c r="MS5" s="38"/>
      <c r="MT5" s="39"/>
      <c r="MU5" s="39"/>
      <c r="MV5" s="39"/>
      <c r="MW5" s="39"/>
      <c r="MX5" s="39"/>
      <c r="MY5" s="39"/>
      <c r="MZ5" s="39"/>
      <c r="NA5" s="39"/>
      <c r="NB5" s="39"/>
      <c r="NC5" s="39"/>
      <c r="ND5" s="39"/>
      <c r="NE5" s="39"/>
      <c r="NF5" s="39"/>
      <c r="NG5" s="39"/>
      <c r="NH5" s="39"/>
      <c r="NI5" s="39"/>
      <c r="NJ5" s="39"/>
      <c r="NK5" s="39"/>
      <c r="NL5" s="39"/>
      <c r="NM5" s="39"/>
      <c r="NN5" s="39"/>
      <c r="NO5" s="39"/>
      <c r="NP5" s="39"/>
      <c r="NQ5" s="39"/>
      <c r="NR5" s="39"/>
      <c r="NS5" s="39"/>
      <c r="NT5" s="39"/>
      <c r="NU5" s="39"/>
      <c r="NV5" s="39"/>
      <c r="NW5" s="39"/>
      <c r="NX5" s="39"/>
      <c r="NY5" s="38"/>
    </row>
    <row r="6">
      <c r="A6" s="45" t="s">
        <v>395</v>
      </c>
      <c r="B6" s="26" t="str">
        <f>IFERROR(__xludf.DUMMYFUNCTION("VLOOKUP(A6, IMPORTRANGE(""https://docs.google.com/spreadsheets/d/1KpTMcNM9m1P7u9qCVzob8p1-RZoC1ejaYs5CdpAbWFY/edit?gid=260580969#gid=260580969"", ""2025 EMP PROFILE DATA!a1:W98""), 22, FALSE)"),"#REF!")</f>
        <v>#REF!</v>
      </c>
      <c r="C6" s="45">
        <f t="shared" si="1"/>
        <v>3</v>
      </c>
      <c r="D6" s="45">
        <f t="shared" si="2"/>
        <v>11</v>
      </c>
      <c r="E6" s="45">
        <f t="shared" si="3"/>
        <v>8</v>
      </c>
      <c r="F6" s="45">
        <f t="shared" si="4"/>
        <v>1</v>
      </c>
      <c r="G6" s="46">
        <f t="shared" si="5"/>
        <v>0.007575757576</v>
      </c>
      <c r="H6" s="46">
        <f t="shared" si="6"/>
        <v>0.0202020202</v>
      </c>
      <c r="I6" s="28">
        <f t="shared" si="7"/>
        <v>20</v>
      </c>
      <c r="J6" s="26">
        <v>0.0</v>
      </c>
      <c r="K6" s="26">
        <v>0.0</v>
      </c>
      <c r="L6" s="38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37" t="s">
        <v>21</v>
      </c>
      <c r="AJ6" s="45"/>
      <c r="AK6" s="45"/>
      <c r="AL6" s="45"/>
      <c r="AM6" s="45"/>
      <c r="AN6" s="45"/>
      <c r="AO6" s="45"/>
      <c r="AP6" s="45"/>
      <c r="AQ6" s="45"/>
      <c r="AR6" s="29"/>
      <c r="AS6" s="28"/>
      <c r="AT6" s="28"/>
      <c r="AU6" s="28"/>
      <c r="AV6" s="37" t="s">
        <v>21</v>
      </c>
      <c r="AW6" s="26"/>
      <c r="AX6" s="28"/>
      <c r="AY6" s="28"/>
      <c r="AZ6" s="26"/>
      <c r="BA6" s="28"/>
      <c r="BB6" s="30" t="s">
        <v>20</v>
      </c>
      <c r="BC6" s="28"/>
      <c r="BD6" s="28"/>
      <c r="BE6" s="26"/>
      <c r="BF6" s="28"/>
      <c r="BG6" s="28"/>
      <c r="BH6" s="26"/>
      <c r="BI6" s="26"/>
      <c r="BJ6" s="26" t="s">
        <v>396</v>
      </c>
      <c r="BK6" s="28"/>
      <c r="BL6" s="28"/>
      <c r="BM6" s="26"/>
      <c r="BN6" s="28"/>
      <c r="BO6" s="28"/>
      <c r="BP6" s="28"/>
      <c r="BQ6" s="28"/>
      <c r="BR6" s="28"/>
      <c r="BS6" s="31"/>
      <c r="BT6" s="26"/>
      <c r="BU6" s="32"/>
      <c r="BV6" s="33"/>
      <c r="BW6" s="26" t="s">
        <v>20</v>
      </c>
      <c r="BX6" s="26" t="s">
        <v>20</v>
      </c>
      <c r="BY6" s="26" t="s">
        <v>20</v>
      </c>
      <c r="BZ6" s="33"/>
      <c r="CA6" s="33"/>
      <c r="CB6" s="35"/>
      <c r="CC6" s="33"/>
      <c r="CD6" s="33"/>
      <c r="CE6" s="34"/>
      <c r="CF6" s="36"/>
      <c r="CG6" s="37" t="s">
        <v>21</v>
      </c>
      <c r="CH6" s="28"/>
      <c r="CI6" s="28"/>
      <c r="CJ6" s="28"/>
      <c r="CK6" s="28"/>
      <c r="CL6" s="26"/>
      <c r="CM6" s="26" t="s">
        <v>22</v>
      </c>
      <c r="CN6" s="28"/>
      <c r="CO6" s="28"/>
      <c r="CP6" s="26"/>
      <c r="CQ6" s="28"/>
      <c r="CR6" s="26" t="s">
        <v>20</v>
      </c>
      <c r="CS6" s="28"/>
      <c r="CT6" s="28"/>
      <c r="CU6" s="26"/>
      <c r="CV6" s="31"/>
      <c r="CW6" s="26"/>
      <c r="CX6" s="26"/>
      <c r="CY6" s="26"/>
      <c r="CZ6" s="26" t="s">
        <v>20</v>
      </c>
      <c r="DA6" s="32"/>
      <c r="DB6" s="28"/>
      <c r="DC6" s="28"/>
      <c r="DD6" s="28"/>
      <c r="DE6" s="26"/>
      <c r="DF6" s="26"/>
      <c r="DG6" s="26"/>
      <c r="DH6" s="37" t="s">
        <v>21</v>
      </c>
      <c r="DI6" s="26"/>
      <c r="DJ6" s="28"/>
      <c r="DK6" s="37" t="s">
        <v>19</v>
      </c>
      <c r="DL6" s="28"/>
      <c r="DM6" s="28"/>
      <c r="DN6" s="28"/>
      <c r="DO6" s="28"/>
      <c r="DP6" s="28"/>
      <c r="DQ6" s="28"/>
      <c r="DR6" s="28"/>
      <c r="DS6" s="28"/>
      <c r="DT6" s="28"/>
      <c r="DU6" s="37" t="s">
        <v>21</v>
      </c>
      <c r="DV6" s="37" t="s">
        <v>21</v>
      </c>
      <c r="DW6" s="26"/>
      <c r="DX6" s="26"/>
      <c r="DY6" s="28"/>
      <c r="DZ6" s="28"/>
      <c r="EA6" s="28"/>
      <c r="EB6" s="31"/>
      <c r="EC6" s="26"/>
      <c r="ED6" s="31"/>
      <c r="EE6" s="26"/>
      <c r="EF6" s="32"/>
      <c r="EG6" s="26" t="s">
        <v>20</v>
      </c>
      <c r="EH6" s="26"/>
      <c r="EI6" s="28"/>
      <c r="EJ6" s="28"/>
      <c r="EK6" s="26"/>
      <c r="EL6" s="28"/>
      <c r="EM6" s="28"/>
      <c r="EN6" s="26"/>
      <c r="EO6" s="26"/>
      <c r="EP6" s="28"/>
      <c r="EQ6" s="28"/>
      <c r="ER6" s="26"/>
      <c r="ES6" s="28"/>
      <c r="ET6" s="26"/>
      <c r="EU6" s="37" t="s">
        <v>19</v>
      </c>
      <c r="EV6" s="28"/>
      <c r="EW6" s="28"/>
      <c r="EX6" s="28"/>
      <c r="EY6" s="28"/>
      <c r="EZ6" s="28"/>
      <c r="FA6" s="37" t="s">
        <v>19</v>
      </c>
      <c r="FB6" s="28"/>
      <c r="FC6" s="28"/>
      <c r="FD6" s="28"/>
      <c r="FE6" s="28"/>
      <c r="FF6" s="28"/>
      <c r="FG6" s="26" t="s">
        <v>20</v>
      </c>
      <c r="FH6" s="26" t="s">
        <v>20</v>
      </c>
      <c r="FI6" s="26" t="s">
        <v>20</v>
      </c>
      <c r="FJ6" s="31"/>
      <c r="FK6" s="31"/>
      <c r="FL6" s="32"/>
      <c r="FM6" s="37" t="s">
        <v>21</v>
      </c>
      <c r="FN6" s="26"/>
      <c r="FO6" s="28"/>
      <c r="FP6" s="28"/>
      <c r="FQ6" s="26"/>
      <c r="FR6" s="28"/>
      <c r="FS6" s="28"/>
      <c r="FT6" s="37" t="s">
        <v>21</v>
      </c>
      <c r="FU6" s="26" t="s">
        <v>20</v>
      </c>
      <c r="FV6" s="28"/>
      <c r="FW6" s="28"/>
      <c r="FX6" s="26"/>
      <c r="FY6" s="28"/>
      <c r="FZ6" s="28"/>
      <c r="GA6" s="28"/>
      <c r="GB6" s="26"/>
      <c r="GC6" s="26"/>
      <c r="GD6" s="28"/>
      <c r="GE6" s="28"/>
      <c r="GF6" s="28"/>
      <c r="GG6" s="28"/>
      <c r="GH6" s="28"/>
      <c r="GI6" s="26"/>
      <c r="GJ6" s="28"/>
      <c r="GK6" s="28"/>
      <c r="GL6" s="28"/>
      <c r="GM6" s="31"/>
      <c r="GN6" s="26"/>
      <c r="GO6" s="31"/>
      <c r="GP6" s="31"/>
      <c r="GQ6" s="38"/>
      <c r="GR6" s="39"/>
      <c r="GS6" s="39"/>
      <c r="GT6" s="39"/>
      <c r="GU6" s="39"/>
      <c r="GV6" s="39"/>
      <c r="GW6" s="39"/>
      <c r="GX6" s="39"/>
      <c r="GY6" s="39"/>
      <c r="GZ6" s="40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40"/>
      <c r="HM6" s="40"/>
      <c r="HN6" s="39"/>
      <c r="HO6" s="39"/>
      <c r="HP6" s="39"/>
      <c r="HQ6" s="39"/>
      <c r="HR6" s="39"/>
      <c r="HS6" s="39"/>
      <c r="HT6" s="39"/>
      <c r="HU6" s="40"/>
      <c r="HV6" s="39"/>
      <c r="HW6" s="38"/>
      <c r="HX6" s="41"/>
      <c r="HY6" s="39"/>
      <c r="HZ6" s="39"/>
      <c r="IA6" s="39"/>
      <c r="IB6" s="39"/>
      <c r="IC6" s="39"/>
      <c r="ID6" s="40"/>
      <c r="IE6" s="39"/>
      <c r="IF6" s="39"/>
      <c r="IG6" s="39"/>
      <c r="IH6" s="40"/>
      <c r="II6" s="40"/>
      <c r="IJ6" s="42"/>
      <c r="IK6" s="42"/>
      <c r="IL6" s="39"/>
      <c r="IM6" s="39"/>
      <c r="IN6" s="39"/>
      <c r="IO6" s="42"/>
      <c r="IP6" s="40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8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8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40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8"/>
      <c r="LO6" s="39"/>
      <c r="LP6" s="39"/>
      <c r="LQ6" s="40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8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8"/>
    </row>
    <row r="7">
      <c r="A7" s="45" t="s">
        <v>397</v>
      </c>
      <c r="B7" s="26" t="str">
        <f>IFERROR(__xludf.DUMMYFUNCTION("VLOOKUP(A7, IMPORTRANGE(""https://docs.google.com/spreadsheets/d/1KpTMcNM9m1P7u9qCVzob8p1-RZoC1ejaYs5CdpAbWFY/edit?gid=260580969#gid=260580969"", ""2025 EMP PROFILE DATA!a1:W98""), 22, FALSE)"),"#REF!")</f>
        <v>#REF!</v>
      </c>
      <c r="C7" s="45">
        <f t="shared" si="1"/>
        <v>1</v>
      </c>
      <c r="D7" s="45">
        <f t="shared" si="2"/>
        <v>1</v>
      </c>
      <c r="E7" s="45">
        <f t="shared" si="3"/>
        <v>3</v>
      </c>
      <c r="F7" s="45">
        <f t="shared" si="4"/>
        <v>0</v>
      </c>
      <c r="G7" s="46">
        <f t="shared" si="5"/>
        <v>0.002525252525</v>
      </c>
      <c r="H7" s="46">
        <f t="shared" si="6"/>
        <v>0.007575757576</v>
      </c>
      <c r="I7" s="28">
        <f t="shared" si="7"/>
        <v>7</v>
      </c>
      <c r="J7" s="26">
        <v>0.0</v>
      </c>
      <c r="K7" s="26">
        <v>0.0</v>
      </c>
      <c r="L7" s="29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37" t="s">
        <v>21</v>
      </c>
      <c r="AF7" s="45"/>
      <c r="AG7" s="45"/>
      <c r="AH7" s="45"/>
      <c r="AI7" s="45"/>
      <c r="AJ7" s="45"/>
      <c r="AK7" s="45"/>
      <c r="AL7" s="47" t="s">
        <v>19</v>
      </c>
      <c r="AM7" s="45"/>
      <c r="AN7" s="45"/>
      <c r="AO7" s="45"/>
      <c r="AP7" s="45"/>
      <c r="AQ7" s="45"/>
      <c r="AR7" s="29"/>
      <c r="AS7" s="28"/>
      <c r="AT7" s="28"/>
      <c r="AU7" s="28"/>
      <c r="AV7" s="28"/>
      <c r="AW7" s="37" t="s">
        <v>21</v>
      </c>
      <c r="AX7" s="28"/>
      <c r="AY7" s="28"/>
      <c r="AZ7" s="26"/>
      <c r="BA7" s="28"/>
      <c r="BB7" s="26"/>
      <c r="BC7" s="28"/>
      <c r="BD7" s="28"/>
      <c r="BE7" s="26"/>
      <c r="BF7" s="28"/>
      <c r="BG7" s="28"/>
      <c r="BH7" s="26"/>
      <c r="BI7" s="26"/>
      <c r="BJ7" s="26"/>
      <c r="BK7" s="28"/>
      <c r="BL7" s="28"/>
      <c r="BM7" s="26"/>
      <c r="BN7" s="28"/>
      <c r="BO7" s="28"/>
      <c r="BP7" s="28"/>
      <c r="BQ7" s="37" t="s">
        <v>21</v>
      </c>
      <c r="BR7" s="28"/>
      <c r="BS7" s="31"/>
      <c r="BT7" s="26"/>
      <c r="BU7" s="32"/>
      <c r="BV7" s="33"/>
      <c r="BW7" s="34" t="s">
        <v>20</v>
      </c>
      <c r="BX7" s="33"/>
      <c r="BY7" s="33"/>
      <c r="BZ7" s="33"/>
      <c r="CA7" s="33"/>
      <c r="CB7" s="35"/>
      <c r="CC7" s="33"/>
      <c r="CD7" s="33"/>
      <c r="CE7" s="34"/>
      <c r="CF7" s="36"/>
      <c r="CG7" s="26"/>
      <c r="CH7" s="28"/>
      <c r="CI7" s="28"/>
      <c r="CJ7" s="28"/>
      <c r="CK7" s="28"/>
      <c r="CL7" s="26"/>
      <c r="CM7" s="28"/>
      <c r="CN7" s="28"/>
      <c r="CO7" s="28"/>
      <c r="CP7" s="26"/>
      <c r="CQ7" s="28"/>
      <c r="CR7" s="28"/>
      <c r="CS7" s="28"/>
      <c r="CT7" s="28"/>
      <c r="CU7" s="26"/>
      <c r="CV7" s="31"/>
      <c r="CW7" s="26"/>
      <c r="CX7" s="26"/>
      <c r="CY7" s="26"/>
      <c r="CZ7" s="31"/>
      <c r="DA7" s="32"/>
      <c r="DB7" s="28"/>
      <c r="DC7" s="28"/>
      <c r="DD7" s="28"/>
      <c r="DE7" s="26"/>
      <c r="DF7" s="26"/>
      <c r="DG7" s="26"/>
      <c r="DH7" s="26"/>
      <c r="DI7" s="26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6"/>
      <c r="DX7" s="26"/>
      <c r="DY7" s="28"/>
      <c r="DZ7" s="28"/>
      <c r="EA7" s="28"/>
      <c r="EB7" s="31"/>
      <c r="EC7" s="26"/>
      <c r="ED7" s="31"/>
      <c r="EE7" s="26"/>
      <c r="EF7" s="32"/>
      <c r="EG7" s="28"/>
      <c r="EH7" s="26"/>
      <c r="EI7" s="28"/>
      <c r="EJ7" s="28"/>
      <c r="EK7" s="26"/>
      <c r="EL7" s="28"/>
      <c r="EM7" s="28"/>
      <c r="EN7" s="26"/>
      <c r="EO7" s="26"/>
      <c r="EP7" s="28"/>
      <c r="EQ7" s="28"/>
      <c r="ER7" s="26"/>
      <c r="ES7" s="28"/>
      <c r="ET7" s="26"/>
      <c r="EU7" s="26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6"/>
      <c r="FH7" s="26"/>
      <c r="FI7" s="31"/>
      <c r="FJ7" s="31"/>
      <c r="FK7" s="31"/>
      <c r="FL7" s="32"/>
      <c r="FM7" s="28"/>
      <c r="FN7" s="26"/>
      <c r="FO7" s="28"/>
      <c r="FP7" s="28"/>
      <c r="FQ7" s="26"/>
      <c r="FR7" s="28"/>
      <c r="FS7" s="28"/>
      <c r="FT7" s="28"/>
      <c r="FU7" s="26"/>
      <c r="FV7" s="28"/>
      <c r="FW7" s="28"/>
      <c r="FX7" s="26"/>
      <c r="FY7" s="28"/>
      <c r="FZ7" s="28"/>
      <c r="GA7" s="28"/>
      <c r="GB7" s="26"/>
      <c r="GC7" s="26"/>
      <c r="GD7" s="28"/>
      <c r="GE7" s="28"/>
      <c r="GF7" s="28"/>
      <c r="GG7" s="28"/>
      <c r="GH7" s="28"/>
      <c r="GI7" s="26"/>
      <c r="GJ7" s="28"/>
      <c r="GK7" s="28"/>
      <c r="GL7" s="28"/>
      <c r="GM7" s="31"/>
      <c r="GN7" s="26"/>
      <c r="GO7" s="31"/>
      <c r="GP7" s="31"/>
      <c r="GQ7" s="38"/>
      <c r="GR7" s="39"/>
      <c r="GS7" s="39"/>
      <c r="GT7" s="39"/>
      <c r="GU7" s="39"/>
      <c r="GV7" s="39"/>
      <c r="GW7" s="39"/>
      <c r="GX7" s="39"/>
      <c r="GY7" s="39"/>
      <c r="GZ7" s="40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40"/>
      <c r="HM7" s="40"/>
      <c r="HN7" s="39"/>
      <c r="HO7" s="39"/>
      <c r="HP7" s="39"/>
      <c r="HQ7" s="39"/>
      <c r="HR7" s="39"/>
      <c r="HS7" s="39"/>
      <c r="HT7" s="39"/>
      <c r="HU7" s="40"/>
      <c r="HV7" s="39"/>
      <c r="HW7" s="38"/>
      <c r="HX7" s="41"/>
      <c r="HY7" s="39"/>
      <c r="HZ7" s="39"/>
      <c r="IA7" s="39"/>
      <c r="IB7" s="39"/>
      <c r="IC7" s="39"/>
      <c r="ID7" s="40"/>
      <c r="IE7" s="39"/>
      <c r="IF7" s="39"/>
      <c r="IG7" s="39"/>
      <c r="IH7" s="40"/>
      <c r="II7" s="40"/>
      <c r="IJ7" s="42"/>
      <c r="IK7" s="42"/>
      <c r="IL7" s="39"/>
      <c r="IM7" s="39"/>
      <c r="IN7" s="39"/>
      <c r="IO7" s="42"/>
      <c r="IP7" s="40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8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8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40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8"/>
      <c r="LO7" s="39"/>
      <c r="LP7" s="39"/>
      <c r="LQ7" s="40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8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8"/>
    </row>
    <row r="8">
      <c r="A8" s="45" t="s">
        <v>398</v>
      </c>
      <c r="B8" s="26" t="str">
        <f>IFERROR(__xludf.DUMMYFUNCTION("VLOOKUP(A8, IMPORTRANGE(""https://docs.google.com/spreadsheets/d/1KpTMcNM9m1P7u9qCVzob8p1-RZoC1ejaYs5CdpAbWFY/edit?gid=260580969#gid=260580969"", ""2025 EMP PROFILE DATA!a1:W98""), 22, FALSE)"),"#REF!")</f>
        <v>#REF!</v>
      </c>
      <c r="C8" s="45">
        <f t="shared" si="1"/>
        <v>2</v>
      </c>
      <c r="D8" s="45">
        <f t="shared" si="2"/>
        <v>2</v>
      </c>
      <c r="E8" s="45">
        <f t="shared" si="3"/>
        <v>34</v>
      </c>
      <c r="F8" s="45">
        <f t="shared" si="4"/>
        <v>3</v>
      </c>
      <c r="G8" s="46">
        <f t="shared" si="5"/>
        <v>0.005050505051</v>
      </c>
      <c r="H8" s="46">
        <f t="shared" si="6"/>
        <v>0.08585858586</v>
      </c>
      <c r="I8" s="28">
        <f t="shared" si="7"/>
        <v>42</v>
      </c>
      <c r="J8" s="26">
        <v>0.0</v>
      </c>
      <c r="K8" s="26">
        <v>0.0</v>
      </c>
      <c r="L8" s="48"/>
      <c r="M8" s="45"/>
      <c r="N8" s="45"/>
      <c r="O8" s="45"/>
      <c r="P8" s="45"/>
      <c r="Q8" s="45"/>
      <c r="R8" s="37" t="s">
        <v>21</v>
      </c>
      <c r="S8" s="37" t="s">
        <v>21</v>
      </c>
      <c r="T8" s="37" t="s">
        <v>21</v>
      </c>
      <c r="U8" s="37" t="s">
        <v>21</v>
      </c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37" t="s">
        <v>21</v>
      </c>
      <c r="AN8" s="37" t="s">
        <v>21</v>
      </c>
      <c r="AO8" s="45"/>
      <c r="AP8" s="47" t="s">
        <v>22</v>
      </c>
      <c r="AQ8" s="37" t="s">
        <v>21</v>
      </c>
      <c r="AR8" s="29"/>
      <c r="AS8" s="28"/>
      <c r="AT8" s="37" t="s">
        <v>21</v>
      </c>
      <c r="AU8" s="37" t="s">
        <v>21</v>
      </c>
      <c r="AV8" s="37" t="s">
        <v>21</v>
      </c>
      <c r="AW8" s="37" t="s">
        <v>21</v>
      </c>
      <c r="AX8" s="37" t="s">
        <v>21</v>
      </c>
      <c r="AY8" s="28"/>
      <c r="AZ8" s="26"/>
      <c r="BA8" s="37" t="s">
        <v>21</v>
      </c>
      <c r="BB8" s="26"/>
      <c r="BC8" s="37" t="s">
        <v>21</v>
      </c>
      <c r="BD8" s="37" t="s">
        <v>21</v>
      </c>
      <c r="BE8" s="37" t="s">
        <v>21</v>
      </c>
      <c r="BF8" s="28"/>
      <c r="BG8" s="28"/>
      <c r="BH8" s="26"/>
      <c r="BI8" s="37" t="s">
        <v>21</v>
      </c>
      <c r="BJ8" s="26"/>
      <c r="BK8" s="26" t="s">
        <v>22</v>
      </c>
      <c r="BL8" s="26" t="s">
        <v>22</v>
      </c>
      <c r="BM8" s="26"/>
      <c r="BN8" s="28"/>
      <c r="BO8" s="26" t="s">
        <v>21</v>
      </c>
      <c r="BP8" s="37" t="s">
        <v>21</v>
      </c>
      <c r="BQ8" s="37" t="s">
        <v>21</v>
      </c>
      <c r="BR8" s="28"/>
      <c r="BS8" s="31"/>
      <c r="BT8" s="26"/>
      <c r="BU8" s="32"/>
      <c r="BV8" s="33"/>
      <c r="BW8" s="37" t="s">
        <v>21</v>
      </c>
      <c r="BX8" s="33"/>
      <c r="BY8" s="37" t="s">
        <v>21</v>
      </c>
      <c r="BZ8" s="37" t="s">
        <v>21</v>
      </c>
      <c r="CA8" s="33"/>
      <c r="CB8" s="35"/>
      <c r="CC8" s="33"/>
      <c r="CD8" s="33"/>
      <c r="CE8" s="37" t="s">
        <v>21</v>
      </c>
      <c r="CF8" s="37" t="s">
        <v>21</v>
      </c>
      <c r="CG8" s="37"/>
      <c r="CH8" s="28"/>
      <c r="CI8" s="28"/>
      <c r="CJ8" s="28"/>
      <c r="CK8" s="28"/>
      <c r="CL8" s="26"/>
      <c r="CM8" s="37"/>
      <c r="CN8" s="37" t="s">
        <v>21</v>
      </c>
      <c r="CO8" s="37"/>
      <c r="CP8" s="26"/>
      <c r="CQ8" s="28"/>
      <c r="CR8" s="28"/>
      <c r="CS8" s="28"/>
      <c r="CT8" s="28"/>
      <c r="CU8" s="26"/>
      <c r="CV8" s="31"/>
      <c r="CW8" s="26"/>
      <c r="CX8" s="26"/>
      <c r="CY8" s="26"/>
      <c r="CZ8" s="31"/>
      <c r="DA8" s="32"/>
      <c r="DB8" s="28"/>
      <c r="DC8" s="28"/>
      <c r="DD8" s="28"/>
      <c r="DE8" s="26"/>
      <c r="DF8" s="26"/>
      <c r="DG8" s="26"/>
      <c r="DH8" s="26"/>
      <c r="DI8" s="26"/>
      <c r="DJ8" s="28"/>
      <c r="DK8" s="28"/>
      <c r="DL8" s="28"/>
      <c r="DM8" s="28"/>
      <c r="DN8" s="28"/>
      <c r="DO8" s="28"/>
      <c r="DP8" s="28"/>
      <c r="DQ8" s="28"/>
      <c r="DR8" s="26" t="s">
        <v>20</v>
      </c>
      <c r="DS8" s="28"/>
      <c r="DT8" s="28"/>
      <c r="DU8" s="37" t="s">
        <v>21</v>
      </c>
      <c r="DV8" s="28"/>
      <c r="DW8" s="26"/>
      <c r="DX8" s="37" t="s">
        <v>19</v>
      </c>
      <c r="DY8" s="28"/>
      <c r="DZ8" s="28"/>
      <c r="EA8" s="37" t="s">
        <v>19</v>
      </c>
      <c r="EB8" s="37" t="s">
        <v>21</v>
      </c>
      <c r="EC8" s="37" t="s">
        <v>21</v>
      </c>
      <c r="ED8" s="37" t="s">
        <v>21</v>
      </c>
      <c r="EE8" s="37" t="s">
        <v>21</v>
      </c>
      <c r="EF8" s="32"/>
      <c r="EG8" s="28"/>
      <c r="EH8" s="26"/>
      <c r="EI8" s="28"/>
      <c r="EJ8" s="28"/>
      <c r="EK8" s="26"/>
      <c r="EL8" s="28"/>
      <c r="EM8" s="28"/>
      <c r="EN8" s="26"/>
      <c r="EO8" s="26"/>
      <c r="EP8" s="26"/>
      <c r="EQ8" s="26"/>
      <c r="ER8" s="26"/>
      <c r="ES8" s="26" t="s">
        <v>21</v>
      </c>
      <c r="ET8" s="26"/>
      <c r="EU8" s="26"/>
      <c r="EV8" s="28"/>
      <c r="EW8" s="28"/>
      <c r="EX8" s="28"/>
      <c r="EY8" s="28"/>
      <c r="EZ8" s="26" t="s">
        <v>20</v>
      </c>
      <c r="FA8" s="28"/>
      <c r="FB8" s="28"/>
      <c r="FC8" s="37" t="s">
        <v>21</v>
      </c>
      <c r="FD8" s="28"/>
      <c r="FE8" s="28"/>
      <c r="FF8" s="28"/>
      <c r="FG8" s="26"/>
      <c r="FH8" s="37" t="s">
        <v>21</v>
      </c>
      <c r="FI8" s="31"/>
      <c r="FJ8" s="31"/>
      <c r="FK8" s="31"/>
      <c r="FL8" s="32"/>
      <c r="FM8" s="28"/>
      <c r="FN8" s="26"/>
      <c r="FO8" s="28"/>
      <c r="FP8" s="28"/>
      <c r="FQ8" s="26"/>
      <c r="FR8" s="28"/>
      <c r="FS8" s="28"/>
      <c r="FT8" s="28"/>
      <c r="FU8" s="26"/>
      <c r="FV8" s="28"/>
      <c r="FW8" s="28"/>
      <c r="FX8" s="26"/>
      <c r="FY8" s="28"/>
      <c r="FZ8" s="28"/>
      <c r="GA8" s="28"/>
      <c r="GB8" s="26"/>
      <c r="GC8" s="26"/>
      <c r="GD8" s="28"/>
      <c r="GE8" s="28"/>
      <c r="GF8" s="28"/>
      <c r="GG8" s="28"/>
      <c r="GH8" s="28"/>
      <c r="GI8" s="26"/>
      <c r="GJ8" s="28"/>
      <c r="GK8" s="28"/>
      <c r="GL8" s="28"/>
      <c r="GM8" s="31"/>
      <c r="GN8" s="26"/>
      <c r="GO8" s="31"/>
      <c r="GP8" s="31"/>
      <c r="GQ8" s="38"/>
      <c r="GR8" s="39"/>
      <c r="GS8" s="39"/>
      <c r="GT8" s="39"/>
      <c r="GU8" s="39"/>
      <c r="GV8" s="39"/>
      <c r="GW8" s="39"/>
      <c r="GX8" s="39"/>
      <c r="GY8" s="39"/>
      <c r="GZ8" s="40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40"/>
      <c r="HM8" s="40"/>
      <c r="HN8" s="39"/>
      <c r="HO8" s="39"/>
      <c r="HP8" s="39"/>
      <c r="HQ8" s="39"/>
      <c r="HR8" s="39"/>
      <c r="HS8" s="39"/>
      <c r="HT8" s="39"/>
      <c r="HU8" s="40"/>
      <c r="HV8" s="39"/>
      <c r="HW8" s="38"/>
      <c r="HX8" s="41"/>
      <c r="HY8" s="39"/>
      <c r="HZ8" s="39"/>
      <c r="IA8" s="39"/>
      <c r="IB8" s="39"/>
      <c r="IC8" s="39"/>
      <c r="ID8" s="40"/>
      <c r="IE8" s="39"/>
      <c r="IF8" s="39"/>
      <c r="IG8" s="39"/>
      <c r="IH8" s="40"/>
      <c r="II8" s="40"/>
      <c r="IJ8" s="42"/>
      <c r="IK8" s="42"/>
      <c r="IL8" s="39"/>
      <c r="IM8" s="39"/>
      <c r="IN8" s="39"/>
      <c r="IO8" s="42"/>
      <c r="IP8" s="40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8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8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40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8"/>
      <c r="LO8" s="39"/>
      <c r="LP8" s="39"/>
      <c r="LQ8" s="40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8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8"/>
    </row>
    <row r="9">
      <c r="A9" s="45" t="s">
        <v>399</v>
      </c>
      <c r="B9" s="26" t="str">
        <f>IFERROR(__xludf.DUMMYFUNCTION("VLOOKUP(A9, IMPORTRANGE(""https://docs.google.com/spreadsheets/d/1KpTMcNM9m1P7u9qCVzob8p1-RZoC1ejaYs5CdpAbWFY/edit?gid=260580969#gid=260580969"", ""2025 EMP PROFILE DATA!a1:W98""), 22, FALSE)"),"#REF!")</f>
        <v>#REF!</v>
      </c>
      <c r="C9" s="45">
        <f t="shared" si="1"/>
        <v>0</v>
      </c>
      <c r="D9" s="45">
        <f t="shared" si="2"/>
        <v>0</v>
      </c>
      <c r="E9" s="45">
        <f t="shared" si="3"/>
        <v>0</v>
      </c>
      <c r="F9" s="45">
        <f t="shared" si="4"/>
        <v>0</v>
      </c>
      <c r="G9" s="46">
        <f t="shared" si="5"/>
        <v>0</v>
      </c>
      <c r="H9" s="46">
        <f t="shared" si="6"/>
        <v>0</v>
      </c>
      <c r="I9" s="28">
        <f t="shared" si="7"/>
        <v>0</v>
      </c>
      <c r="J9" s="26">
        <v>0.0</v>
      </c>
      <c r="K9" s="26">
        <v>0.0</v>
      </c>
      <c r="L9" s="49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29"/>
      <c r="AS9" s="28"/>
      <c r="AT9" s="28"/>
      <c r="AU9" s="28"/>
      <c r="AV9" s="28"/>
      <c r="AW9" s="26"/>
      <c r="AX9" s="28"/>
      <c r="AY9" s="28"/>
      <c r="AZ9" s="26"/>
      <c r="BA9" s="28"/>
      <c r="BB9" s="26"/>
      <c r="BC9" s="28"/>
      <c r="BD9" s="28"/>
      <c r="BE9" s="26"/>
      <c r="BF9" s="28"/>
      <c r="BG9" s="28"/>
      <c r="BH9" s="26"/>
      <c r="BI9" s="26"/>
      <c r="BJ9" s="26"/>
      <c r="BK9" s="28"/>
      <c r="BL9" s="28"/>
      <c r="BM9" s="26"/>
      <c r="BN9" s="28"/>
      <c r="BO9" s="28"/>
      <c r="BP9" s="28"/>
      <c r="BQ9" s="28"/>
      <c r="BR9" s="28"/>
      <c r="BS9" s="31"/>
      <c r="BT9" s="26"/>
      <c r="BU9" s="32"/>
      <c r="BV9" s="33"/>
      <c r="BW9" s="33"/>
      <c r="BX9" s="33"/>
      <c r="BY9" s="33"/>
      <c r="BZ9" s="33"/>
      <c r="CA9" s="33"/>
      <c r="CB9" s="35"/>
      <c r="CC9" s="33"/>
      <c r="CD9" s="33"/>
      <c r="CE9" s="34"/>
      <c r="CF9" s="36"/>
      <c r="CG9" s="26"/>
      <c r="CH9" s="28"/>
      <c r="CI9" s="28"/>
      <c r="CJ9" s="28"/>
      <c r="CK9" s="28"/>
      <c r="CL9" s="26"/>
      <c r="CM9" s="28"/>
      <c r="CN9" s="28"/>
      <c r="CO9" s="28"/>
      <c r="CP9" s="26"/>
      <c r="CQ9" s="28"/>
      <c r="CR9" s="28"/>
      <c r="CS9" s="28"/>
      <c r="CT9" s="28"/>
      <c r="CU9" s="26"/>
      <c r="CV9" s="31"/>
      <c r="CW9" s="26"/>
      <c r="CX9" s="26"/>
      <c r="CY9" s="26"/>
      <c r="CZ9" s="31"/>
      <c r="DA9" s="32"/>
      <c r="DB9" s="28"/>
      <c r="DC9" s="28"/>
      <c r="DD9" s="28"/>
      <c r="DE9" s="26"/>
      <c r="DF9" s="26"/>
      <c r="DG9" s="26"/>
      <c r="DH9" s="26"/>
      <c r="DI9" s="26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6"/>
      <c r="DX9" s="26"/>
      <c r="DY9" s="28"/>
      <c r="DZ9" s="28"/>
      <c r="EA9" s="28"/>
      <c r="EB9" s="31"/>
      <c r="EC9" s="26"/>
      <c r="ED9" s="31"/>
      <c r="EE9" s="26"/>
      <c r="EF9" s="32"/>
      <c r="EG9" s="28"/>
      <c r="EH9" s="26"/>
      <c r="EI9" s="28"/>
      <c r="EJ9" s="28"/>
      <c r="EK9" s="26"/>
      <c r="EL9" s="28"/>
      <c r="EM9" s="28"/>
      <c r="EN9" s="26"/>
      <c r="EO9" s="26"/>
      <c r="EP9" s="28"/>
      <c r="EQ9" s="28"/>
      <c r="ER9" s="26"/>
      <c r="ES9" s="28"/>
      <c r="ET9" s="26"/>
      <c r="EU9" s="26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6"/>
      <c r="FH9" s="26"/>
      <c r="FI9" s="31"/>
      <c r="FJ9" s="31"/>
      <c r="FK9" s="31"/>
      <c r="FL9" s="32"/>
      <c r="FM9" s="28"/>
      <c r="FN9" s="26"/>
      <c r="FO9" s="28"/>
      <c r="FP9" s="28"/>
      <c r="FQ9" s="26"/>
      <c r="FR9" s="28"/>
      <c r="FS9" s="28"/>
      <c r="FT9" s="28"/>
      <c r="FU9" s="26"/>
      <c r="FV9" s="28"/>
      <c r="FW9" s="28"/>
      <c r="FX9" s="26"/>
      <c r="FY9" s="28"/>
      <c r="FZ9" s="28"/>
      <c r="GA9" s="28"/>
      <c r="GB9" s="26"/>
      <c r="GC9" s="26"/>
      <c r="GD9" s="28"/>
      <c r="GE9" s="28"/>
      <c r="GF9" s="28"/>
      <c r="GG9" s="28"/>
      <c r="GH9" s="28"/>
      <c r="GI9" s="26"/>
      <c r="GJ9" s="28"/>
      <c r="GK9" s="28"/>
      <c r="GL9" s="28"/>
      <c r="GM9" s="31"/>
      <c r="GN9" s="26"/>
      <c r="GO9" s="31"/>
      <c r="GP9" s="31"/>
      <c r="GQ9" s="38"/>
      <c r="GR9" s="39"/>
      <c r="GS9" s="39"/>
      <c r="GT9" s="39"/>
      <c r="GU9" s="39"/>
      <c r="GV9" s="39"/>
      <c r="GW9" s="39"/>
      <c r="GX9" s="39"/>
      <c r="GY9" s="39"/>
      <c r="GZ9" s="40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40"/>
      <c r="HM9" s="40"/>
      <c r="HN9" s="39"/>
      <c r="HO9" s="39"/>
      <c r="HP9" s="39"/>
      <c r="HQ9" s="39"/>
      <c r="HR9" s="39"/>
      <c r="HS9" s="39"/>
      <c r="HT9" s="39"/>
      <c r="HU9" s="40"/>
      <c r="HV9" s="39"/>
      <c r="HW9" s="38"/>
      <c r="HX9" s="41"/>
      <c r="HY9" s="39"/>
      <c r="HZ9" s="39"/>
      <c r="IA9" s="39"/>
      <c r="IB9" s="39"/>
      <c r="IC9" s="39"/>
      <c r="ID9" s="40"/>
      <c r="IE9" s="39"/>
      <c r="IF9" s="39"/>
      <c r="IG9" s="39"/>
      <c r="IH9" s="40"/>
      <c r="II9" s="40"/>
      <c r="IJ9" s="42"/>
      <c r="IK9" s="42"/>
      <c r="IL9" s="39"/>
      <c r="IM9" s="39"/>
      <c r="IN9" s="39"/>
      <c r="IO9" s="42"/>
      <c r="IP9" s="40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8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8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40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8"/>
      <c r="LO9" s="39"/>
      <c r="LP9" s="39"/>
      <c r="LQ9" s="40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8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8"/>
    </row>
    <row r="10">
      <c r="A10" s="50" t="s">
        <v>400</v>
      </c>
      <c r="B10" s="26" t="str">
        <f>IFERROR(__xludf.DUMMYFUNCTION("VLOOKUP(A10, IMPORTRANGE(""https://docs.google.com/spreadsheets/d/1KpTMcNM9m1P7u9qCVzob8p1-RZoC1ejaYs5CdpAbWFY/edit?gid=260580969#gid=260580969"", ""2025 EMP PROFILE DATA!a1:W98""), 22, FALSE)"),"#REF!")</f>
        <v>#REF!</v>
      </c>
      <c r="C10" s="50">
        <f t="shared" si="1"/>
        <v>0</v>
      </c>
      <c r="D10" s="50">
        <f t="shared" si="2"/>
        <v>0</v>
      </c>
      <c r="E10" s="50">
        <f t="shared" si="3"/>
        <v>2</v>
      </c>
      <c r="F10" s="50">
        <f t="shared" si="4"/>
        <v>4</v>
      </c>
      <c r="G10" s="51">
        <f t="shared" si="5"/>
        <v>0</v>
      </c>
      <c r="H10" s="51">
        <f t="shared" si="6"/>
        <v>0.005050505051</v>
      </c>
      <c r="I10" s="28">
        <f t="shared" si="7"/>
        <v>2</v>
      </c>
      <c r="J10" s="26">
        <v>0.0</v>
      </c>
      <c r="K10" s="26">
        <v>0.0</v>
      </c>
      <c r="L10" s="52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29"/>
      <c r="AS10" s="28"/>
      <c r="AT10" s="28"/>
      <c r="AU10" s="28"/>
      <c r="AV10" s="28"/>
      <c r="AW10" s="26"/>
      <c r="AX10" s="28"/>
      <c r="AY10" s="28"/>
      <c r="AZ10" s="26"/>
      <c r="BA10" s="28"/>
      <c r="BB10" s="26"/>
      <c r="BC10" s="28"/>
      <c r="BD10" s="28"/>
      <c r="BE10" s="26"/>
      <c r="BF10" s="28"/>
      <c r="BG10" s="28"/>
      <c r="BH10" s="26"/>
      <c r="BI10" s="26"/>
      <c r="BJ10" s="26"/>
      <c r="BK10" s="28"/>
      <c r="BL10" s="28"/>
      <c r="BM10" s="26"/>
      <c r="BN10" s="28"/>
      <c r="BO10" s="28"/>
      <c r="BP10" s="28"/>
      <c r="BQ10" s="28"/>
      <c r="BR10" s="28"/>
      <c r="BS10" s="31"/>
      <c r="BT10" s="26"/>
      <c r="BU10" s="32"/>
      <c r="BV10" s="33"/>
      <c r="BW10" s="33"/>
      <c r="BX10" s="33"/>
      <c r="BY10" s="33"/>
      <c r="BZ10" s="33"/>
      <c r="CA10" s="37" t="s">
        <v>21</v>
      </c>
      <c r="CB10" s="35"/>
      <c r="CC10" s="33"/>
      <c r="CD10" s="33"/>
      <c r="CE10" s="34"/>
      <c r="CF10" s="36"/>
      <c r="CG10" s="26"/>
      <c r="CH10" s="28"/>
      <c r="CI10" s="28"/>
      <c r="CJ10" s="28"/>
      <c r="CK10" s="28"/>
      <c r="CL10" s="26"/>
      <c r="CM10" s="28"/>
      <c r="CN10" s="28"/>
      <c r="CO10" s="28"/>
      <c r="CP10" s="26"/>
      <c r="CQ10" s="28"/>
      <c r="CR10" s="28"/>
      <c r="CS10" s="28"/>
      <c r="CT10" s="28"/>
      <c r="CU10" s="26"/>
      <c r="CV10" s="31"/>
      <c r="CW10" s="26"/>
      <c r="CX10" s="26"/>
      <c r="CY10" s="26"/>
      <c r="CZ10" s="31"/>
      <c r="DA10" s="32"/>
      <c r="DB10" s="28"/>
      <c r="DC10" s="28"/>
      <c r="DD10" s="28"/>
      <c r="DE10" s="26"/>
      <c r="DF10" s="26"/>
      <c r="DG10" s="26"/>
      <c r="DH10" s="26"/>
      <c r="DI10" s="26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6" t="s">
        <v>22</v>
      </c>
      <c r="DV10" s="28"/>
      <c r="DW10" s="26"/>
      <c r="DX10" s="26"/>
      <c r="DY10" s="28"/>
      <c r="DZ10" s="28"/>
      <c r="EA10" s="28"/>
      <c r="EB10" s="26" t="s">
        <v>22</v>
      </c>
      <c r="EC10" s="26"/>
      <c r="ED10" s="31"/>
      <c r="EE10" s="26"/>
      <c r="EF10" s="32"/>
      <c r="EG10" s="28"/>
      <c r="EH10" s="26"/>
      <c r="EI10" s="28"/>
      <c r="EJ10" s="28"/>
      <c r="EK10" s="37" t="s">
        <v>21</v>
      </c>
      <c r="EL10" s="28"/>
      <c r="EM10" s="28"/>
      <c r="EN10" s="26"/>
      <c r="EO10" s="26"/>
      <c r="EP10" s="28"/>
      <c r="EQ10" s="28"/>
      <c r="ER10" s="26"/>
      <c r="ES10" s="28"/>
      <c r="ET10" s="26"/>
      <c r="EU10" s="26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6"/>
      <c r="FH10" s="26"/>
      <c r="FI10" s="31"/>
      <c r="FJ10" s="31"/>
      <c r="FK10" s="31"/>
      <c r="FL10" s="32"/>
      <c r="FM10" s="28"/>
      <c r="FN10" s="26"/>
      <c r="FO10" s="28"/>
      <c r="FP10" s="28"/>
      <c r="FQ10" s="26" t="s">
        <v>22</v>
      </c>
      <c r="FR10" s="28"/>
      <c r="FS10" s="26"/>
      <c r="FT10" s="28"/>
      <c r="FU10" s="26"/>
      <c r="FV10" s="28"/>
      <c r="FW10" s="28"/>
      <c r="FX10" s="26"/>
      <c r="FY10" s="28"/>
      <c r="FZ10" s="28"/>
      <c r="GA10" s="28"/>
      <c r="GB10" s="26"/>
      <c r="GC10" s="26"/>
      <c r="GD10" s="28"/>
      <c r="GE10" s="28"/>
      <c r="GF10" s="28"/>
      <c r="GG10" s="28"/>
      <c r="GH10" s="28"/>
      <c r="GI10" s="26"/>
      <c r="GJ10" s="28"/>
      <c r="GK10" s="28"/>
      <c r="GL10" s="28"/>
      <c r="GM10" s="31"/>
      <c r="GN10" s="26"/>
      <c r="GO10" s="31"/>
      <c r="GP10" s="31"/>
      <c r="GQ10" s="38"/>
      <c r="GR10" s="39"/>
      <c r="GS10" s="39"/>
      <c r="GT10" s="39"/>
      <c r="GU10" s="39"/>
      <c r="GV10" s="39"/>
      <c r="GW10" s="39"/>
      <c r="GX10" s="26" t="s">
        <v>22</v>
      </c>
      <c r="GY10" s="39"/>
      <c r="GZ10" s="40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40"/>
      <c r="HM10" s="40"/>
      <c r="HN10" s="39"/>
      <c r="HO10" s="39"/>
      <c r="HP10" s="39"/>
      <c r="HQ10" s="39"/>
      <c r="HR10" s="39"/>
      <c r="HS10" s="39"/>
      <c r="HT10" s="39"/>
      <c r="HU10" s="40"/>
      <c r="HV10" s="39"/>
      <c r="HW10" s="38"/>
      <c r="HX10" s="41"/>
      <c r="HY10" s="39"/>
      <c r="HZ10" s="39"/>
      <c r="IA10" s="39"/>
      <c r="IB10" s="39"/>
      <c r="IC10" s="39"/>
      <c r="ID10" s="40"/>
      <c r="IE10" s="39"/>
      <c r="IF10" s="39"/>
      <c r="IG10" s="39"/>
      <c r="IH10" s="40"/>
      <c r="II10" s="40"/>
      <c r="IJ10" s="42"/>
      <c r="IK10" s="42"/>
      <c r="IL10" s="39"/>
      <c r="IM10" s="39"/>
      <c r="IN10" s="39"/>
      <c r="IO10" s="42"/>
      <c r="IP10" s="40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8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8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40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8"/>
      <c r="LO10" s="39"/>
      <c r="LP10" s="39"/>
      <c r="LQ10" s="40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8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8"/>
    </row>
    <row r="11">
      <c r="A11" s="47" t="s">
        <v>401</v>
      </c>
      <c r="B11" s="26" t="str">
        <f>IFERROR(__xludf.DUMMYFUNCTION("VLOOKUP(A11, IMPORTRANGE(""https://docs.google.com/spreadsheets/d/1KpTMcNM9m1P7u9qCVzob8p1-RZoC1ejaYs5CdpAbWFY/edit?gid=260580969#gid=260580969"", ""2025 EMP PROFILE DATA!a1:W98""), 22, FALSE)"),"#REF!")</f>
        <v>#REF!</v>
      </c>
      <c r="C11" s="47">
        <f t="shared" si="1"/>
        <v>0</v>
      </c>
      <c r="D11" s="47">
        <f t="shared" si="2"/>
        <v>1</v>
      </c>
      <c r="E11" s="47">
        <f t="shared" si="3"/>
        <v>1</v>
      </c>
      <c r="F11" s="47">
        <f t="shared" si="4"/>
        <v>0</v>
      </c>
      <c r="G11" s="53">
        <f t="shared" si="5"/>
        <v>0</v>
      </c>
      <c r="H11" s="53">
        <f t="shared" si="6"/>
        <v>0.002525252525</v>
      </c>
      <c r="I11" s="28">
        <f t="shared" si="7"/>
        <v>1</v>
      </c>
      <c r="J11" s="26">
        <v>0.0</v>
      </c>
      <c r="K11" s="26">
        <v>0.0</v>
      </c>
      <c r="L11" s="49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29"/>
      <c r="AS11" s="28"/>
      <c r="AT11" s="28"/>
      <c r="AU11" s="28"/>
      <c r="AV11" s="28"/>
      <c r="AW11" s="26"/>
      <c r="AX11" s="28"/>
      <c r="AY11" s="28"/>
      <c r="AZ11" s="26"/>
      <c r="BA11" s="28"/>
      <c r="BB11" s="26"/>
      <c r="BC11" s="28"/>
      <c r="BD11" s="28"/>
      <c r="BE11" s="26"/>
      <c r="BF11" s="28"/>
      <c r="BG11" s="28"/>
      <c r="BH11" s="26"/>
      <c r="BI11" s="26"/>
      <c r="BJ11" s="26"/>
      <c r="BK11" s="28"/>
      <c r="BL11" s="28"/>
      <c r="BM11" s="42" t="s">
        <v>20</v>
      </c>
      <c r="BN11" s="28"/>
      <c r="BO11" s="28"/>
      <c r="BP11" s="28"/>
      <c r="BQ11" s="28"/>
      <c r="BR11" s="28"/>
      <c r="BS11" s="31"/>
      <c r="BT11" s="26"/>
      <c r="BU11" s="32"/>
      <c r="BV11" s="33"/>
      <c r="BW11" s="33"/>
      <c r="BX11" s="33"/>
      <c r="BY11" s="33"/>
      <c r="BZ11" s="33"/>
      <c r="CA11" s="33"/>
      <c r="CB11" s="35"/>
      <c r="CC11" s="33"/>
      <c r="CD11" s="33"/>
      <c r="CE11" s="34"/>
      <c r="CF11" s="36"/>
      <c r="CG11" s="26"/>
      <c r="CH11" s="28"/>
      <c r="CI11" s="28"/>
      <c r="CJ11" s="28"/>
      <c r="CK11" s="28"/>
      <c r="CL11" s="26"/>
      <c r="CM11" s="28"/>
      <c r="CN11" s="28"/>
      <c r="CO11" s="28"/>
      <c r="CP11" s="26"/>
      <c r="CQ11" s="28"/>
      <c r="CR11" s="28"/>
      <c r="CS11" s="28"/>
      <c r="CT11" s="28"/>
      <c r="CU11" s="37"/>
      <c r="CV11" s="31"/>
      <c r="CW11" s="26"/>
      <c r="CX11" s="26"/>
      <c r="CY11" s="26"/>
      <c r="CZ11" s="31"/>
      <c r="DA11" s="32"/>
      <c r="DB11" s="28"/>
      <c r="DC11" s="28"/>
      <c r="DD11" s="28"/>
      <c r="DE11" s="26"/>
      <c r="DF11" s="26"/>
      <c r="DG11" s="26"/>
      <c r="DH11" s="26"/>
      <c r="DI11" s="26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6"/>
      <c r="DX11" s="26"/>
      <c r="DY11" s="28"/>
      <c r="DZ11" s="28"/>
      <c r="EA11" s="28"/>
      <c r="EB11" s="31"/>
      <c r="EC11" s="26"/>
      <c r="ED11" s="31"/>
      <c r="EE11" s="26"/>
      <c r="EF11" s="32"/>
      <c r="EG11" s="28"/>
      <c r="EH11" s="26"/>
      <c r="EI11" s="28"/>
      <c r="EJ11" s="28"/>
      <c r="EK11" s="26"/>
      <c r="EL11" s="28"/>
      <c r="EM11" s="28"/>
      <c r="EN11" s="26"/>
      <c r="EO11" s="26"/>
      <c r="EP11" s="28"/>
      <c r="EQ11" s="28"/>
      <c r="ER11" s="26"/>
      <c r="ES11" s="28"/>
      <c r="ET11" s="26"/>
      <c r="EU11" s="37" t="s">
        <v>21</v>
      </c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6"/>
      <c r="FH11" s="26"/>
      <c r="FI11" s="31"/>
      <c r="FJ11" s="31"/>
      <c r="FK11" s="31"/>
      <c r="FL11" s="32"/>
      <c r="FM11" s="28"/>
      <c r="FN11" s="26"/>
      <c r="FO11" s="28"/>
      <c r="FP11" s="28"/>
      <c r="FQ11" s="26"/>
      <c r="FR11" s="28"/>
      <c r="FS11" s="28"/>
      <c r="FT11" s="28"/>
      <c r="FU11" s="26"/>
      <c r="FV11" s="28"/>
      <c r="FW11" s="28"/>
      <c r="FX11" s="26"/>
      <c r="FY11" s="28"/>
      <c r="FZ11" s="28"/>
      <c r="GA11" s="28"/>
      <c r="GB11" s="26"/>
      <c r="GC11" s="26"/>
      <c r="GD11" s="28"/>
      <c r="GE11" s="28"/>
      <c r="GF11" s="28"/>
      <c r="GG11" s="28"/>
      <c r="GH11" s="28"/>
      <c r="GI11" s="26"/>
      <c r="GJ11" s="28"/>
      <c r="GK11" s="28"/>
      <c r="GL11" s="28"/>
      <c r="GM11" s="31"/>
      <c r="GN11" s="26"/>
      <c r="GO11" s="31"/>
      <c r="GP11" s="31"/>
      <c r="GQ11" s="38"/>
      <c r="GR11" s="39"/>
      <c r="GS11" s="39"/>
      <c r="GT11" s="39"/>
      <c r="GU11" s="39"/>
      <c r="GV11" s="39"/>
      <c r="GW11" s="39"/>
      <c r="GX11" s="39"/>
      <c r="GY11" s="39"/>
      <c r="GZ11" s="40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40"/>
      <c r="HM11" s="40"/>
      <c r="HN11" s="39"/>
      <c r="HO11" s="39"/>
      <c r="HP11" s="39"/>
      <c r="HQ11" s="39"/>
      <c r="HR11" s="39"/>
      <c r="HS11" s="39"/>
      <c r="HT11" s="39"/>
      <c r="HU11" s="40"/>
      <c r="HV11" s="39"/>
      <c r="HW11" s="38"/>
      <c r="HX11" s="41"/>
      <c r="HY11" s="39"/>
      <c r="HZ11" s="39"/>
      <c r="IA11" s="39"/>
      <c r="IB11" s="39"/>
      <c r="IC11" s="39"/>
      <c r="ID11" s="40"/>
      <c r="IE11" s="39"/>
      <c r="IF11" s="39"/>
      <c r="IG11" s="39"/>
      <c r="IH11" s="40"/>
      <c r="II11" s="40"/>
      <c r="IJ11" s="42"/>
      <c r="IK11" s="42"/>
      <c r="IL11" s="39"/>
      <c r="IM11" s="39"/>
      <c r="IN11" s="39"/>
      <c r="IO11" s="42"/>
      <c r="IP11" s="40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8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8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40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8"/>
      <c r="LO11" s="39"/>
      <c r="LP11" s="39"/>
      <c r="LQ11" s="40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8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8"/>
    </row>
    <row r="12">
      <c r="A12" s="50" t="s">
        <v>402</v>
      </c>
      <c r="B12" s="26" t="str">
        <f>IFERROR(__xludf.DUMMYFUNCTION("VLOOKUP(A12, IMPORTRANGE(""https://docs.google.com/spreadsheets/d/1KpTMcNM9m1P7u9qCVzob8p1-RZoC1ejaYs5CdpAbWFY/edit?gid=260580969#gid=260580969"", ""2025 EMP PROFILE DATA!a1:W98""), 22, FALSE)"),"#REF!")</f>
        <v>#REF!</v>
      </c>
      <c r="C12" s="50">
        <f t="shared" si="1"/>
        <v>0</v>
      </c>
      <c r="D12" s="50">
        <f t="shared" si="2"/>
        <v>0</v>
      </c>
      <c r="E12" s="50">
        <f t="shared" si="3"/>
        <v>0</v>
      </c>
      <c r="F12" s="50">
        <f t="shared" si="4"/>
        <v>0</v>
      </c>
      <c r="G12" s="51">
        <f t="shared" si="5"/>
        <v>0</v>
      </c>
      <c r="H12" s="51">
        <f t="shared" si="6"/>
        <v>0</v>
      </c>
      <c r="I12" s="28">
        <f t="shared" si="7"/>
        <v>0</v>
      </c>
      <c r="J12" s="26">
        <v>0.0</v>
      </c>
      <c r="K12" s="26">
        <v>0.0</v>
      </c>
      <c r="L12" s="52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29"/>
      <c r="AS12" s="28"/>
      <c r="AT12" s="28"/>
      <c r="AU12" s="28"/>
      <c r="AV12" s="28"/>
      <c r="AW12" s="26"/>
      <c r="AX12" s="28"/>
      <c r="AY12" s="28"/>
      <c r="AZ12" s="26"/>
      <c r="BA12" s="28"/>
      <c r="BB12" s="26"/>
      <c r="BC12" s="28"/>
      <c r="BD12" s="28"/>
      <c r="BE12" s="26"/>
      <c r="BF12" s="28"/>
      <c r="BG12" s="28"/>
      <c r="BH12" s="26"/>
      <c r="BI12" s="26"/>
      <c r="BJ12" s="26"/>
      <c r="BK12" s="28"/>
      <c r="BL12" s="28"/>
      <c r="BM12" s="26"/>
      <c r="BN12" s="28"/>
      <c r="BO12" s="28"/>
      <c r="BP12" s="28"/>
      <c r="BQ12" s="28"/>
      <c r="BR12" s="28"/>
      <c r="BS12" s="31"/>
      <c r="BT12" s="26"/>
      <c r="BU12" s="32"/>
      <c r="BV12" s="33"/>
      <c r="BW12" s="33"/>
      <c r="BX12" s="33"/>
      <c r="BY12" s="33"/>
      <c r="BZ12" s="33"/>
      <c r="CA12" s="33"/>
      <c r="CB12" s="35"/>
      <c r="CC12" s="33"/>
      <c r="CD12" s="33"/>
      <c r="CE12" s="34"/>
      <c r="CF12" s="36"/>
      <c r="CG12" s="26"/>
      <c r="CH12" s="28"/>
      <c r="CI12" s="28"/>
      <c r="CJ12" s="28"/>
      <c r="CK12" s="28"/>
      <c r="CL12" s="26"/>
      <c r="CM12" s="28"/>
      <c r="CN12" s="28"/>
      <c r="CO12" s="28"/>
      <c r="CP12" s="26"/>
      <c r="CQ12" s="28"/>
      <c r="CR12" s="28"/>
      <c r="CS12" s="28"/>
      <c r="CT12" s="28"/>
      <c r="CU12" s="26"/>
      <c r="CV12" s="31"/>
      <c r="CW12" s="26"/>
      <c r="CX12" s="26"/>
      <c r="CY12" s="26"/>
      <c r="CZ12" s="31"/>
      <c r="DA12" s="32"/>
      <c r="DB12" s="28"/>
      <c r="DC12" s="28"/>
      <c r="DD12" s="28"/>
      <c r="DE12" s="26"/>
      <c r="DF12" s="26"/>
      <c r="DG12" s="26"/>
      <c r="DH12" s="26"/>
      <c r="DI12" s="26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6"/>
      <c r="DX12" s="26"/>
      <c r="DY12" s="28"/>
      <c r="DZ12" s="28"/>
      <c r="EA12" s="28"/>
      <c r="EB12" s="31"/>
      <c r="EC12" s="26"/>
      <c r="ED12" s="31"/>
      <c r="EE12" s="26"/>
      <c r="EF12" s="32"/>
      <c r="EG12" s="28"/>
      <c r="EH12" s="26"/>
      <c r="EI12" s="28"/>
      <c r="EJ12" s="28"/>
      <c r="EK12" s="26"/>
      <c r="EL12" s="28"/>
      <c r="EM12" s="28"/>
      <c r="EN12" s="26"/>
      <c r="EO12" s="26"/>
      <c r="EP12" s="28"/>
      <c r="EQ12" s="28"/>
      <c r="ER12" s="26"/>
      <c r="ES12" s="28"/>
      <c r="ET12" s="26"/>
      <c r="EU12" s="26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6"/>
      <c r="FH12" s="26"/>
      <c r="FI12" s="31"/>
      <c r="FJ12" s="31"/>
      <c r="FK12" s="31"/>
      <c r="FL12" s="32"/>
      <c r="FM12" s="28"/>
      <c r="FN12" s="26"/>
      <c r="FO12" s="28"/>
      <c r="FP12" s="28"/>
      <c r="FQ12" s="26"/>
      <c r="FR12" s="28"/>
      <c r="FS12" s="28"/>
      <c r="FT12" s="28"/>
      <c r="FU12" s="26"/>
      <c r="FV12" s="28"/>
      <c r="FW12" s="28"/>
      <c r="FX12" s="26"/>
      <c r="FY12" s="28"/>
      <c r="FZ12" s="28"/>
      <c r="GA12" s="28"/>
      <c r="GB12" s="26"/>
      <c r="GC12" s="26"/>
      <c r="GD12" s="28"/>
      <c r="GE12" s="28"/>
      <c r="GF12" s="28"/>
      <c r="GG12" s="28"/>
      <c r="GH12" s="28"/>
      <c r="GI12" s="26"/>
      <c r="GJ12" s="28"/>
      <c r="GK12" s="28"/>
      <c r="GL12" s="28"/>
      <c r="GM12" s="31"/>
      <c r="GN12" s="26"/>
      <c r="GO12" s="31"/>
      <c r="GP12" s="31"/>
      <c r="GQ12" s="38"/>
      <c r="GR12" s="39"/>
      <c r="GS12" s="39"/>
      <c r="GT12" s="39"/>
      <c r="GU12" s="39"/>
      <c r="GV12" s="39"/>
      <c r="GW12" s="39"/>
      <c r="GX12" s="39"/>
      <c r="GY12" s="39"/>
      <c r="GZ12" s="40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40"/>
      <c r="HM12" s="40"/>
      <c r="HN12" s="39"/>
      <c r="HO12" s="39"/>
      <c r="HP12" s="39"/>
      <c r="HQ12" s="39"/>
      <c r="HR12" s="39"/>
      <c r="HS12" s="39"/>
      <c r="HT12" s="39"/>
      <c r="HU12" s="40"/>
      <c r="HV12" s="39"/>
      <c r="HW12" s="38"/>
      <c r="HX12" s="41"/>
      <c r="HY12" s="39"/>
      <c r="HZ12" s="39"/>
      <c r="IA12" s="39"/>
      <c r="IB12" s="39"/>
      <c r="IC12" s="39"/>
      <c r="ID12" s="40"/>
      <c r="IE12" s="39"/>
      <c r="IF12" s="39"/>
      <c r="IG12" s="39"/>
      <c r="IH12" s="40"/>
      <c r="II12" s="40"/>
      <c r="IJ12" s="42"/>
      <c r="IK12" s="42"/>
      <c r="IL12" s="39"/>
      <c r="IM12" s="39"/>
      <c r="IN12" s="39"/>
      <c r="IO12" s="42"/>
      <c r="IP12" s="40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8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8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40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8"/>
      <c r="LO12" s="39"/>
      <c r="LP12" s="39"/>
      <c r="LQ12" s="40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8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8"/>
    </row>
    <row r="13">
      <c r="A13" s="45" t="s">
        <v>403</v>
      </c>
      <c r="B13" s="26" t="str">
        <f>IFERROR(__xludf.DUMMYFUNCTION("VLOOKUP(A13, IMPORTRANGE(""https://docs.google.com/spreadsheets/d/1KpTMcNM9m1P7u9qCVzob8p1-RZoC1ejaYs5CdpAbWFY/edit?gid=260580969#gid=260580969"", ""2025 EMP PROFILE DATA!a1:W98""), 22, FALSE)"),"#REF!")</f>
        <v>#REF!</v>
      </c>
      <c r="C13" s="45">
        <f t="shared" si="1"/>
        <v>0</v>
      </c>
      <c r="D13" s="45">
        <f t="shared" si="2"/>
        <v>2</v>
      </c>
      <c r="E13" s="45">
        <f t="shared" si="3"/>
        <v>4</v>
      </c>
      <c r="F13" s="45">
        <f t="shared" si="4"/>
        <v>5</v>
      </c>
      <c r="G13" s="46">
        <f t="shared" si="5"/>
        <v>0</v>
      </c>
      <c r="H13" s="46">
        <f t="shared" si="6"/>
        <v>0.0101010101</v>
      </c>
      <c r="I13" s="28">
        <f t="shared" si="7"/>
        <v>4</v>
      </c>
      <c r="J13" s="26">
        <v>0.0</v>
      </c>
      <c r="K13" s="26">
        <v>0.0</v>
      </c>
      <c r="L13" s="49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37" t="s">
        <v>21</v>
      </c>
      <c r="AC13" s="45"/>
      <c r="AD13" s="45"/>
      <c r="AE13" s="45"/>
      <c r="AF13" s="45"/>
      <c r="AG13" s="45"/>
      <c r="AH13" s="45"/>
      <c r="AI13" s="45"/>
      <c r="AJ13" s="47"/>
      <c r="AK13" s="47"/>
      <c r="AL13" s="47"/>
      <c r="AM13" s="47"/>
      <c r="AN13" s="45"/>
      <c r="AO13" s="45"/>
      <c r="AP13" s="45"/>
      <c r="AQ13" s="45"/>
      <c r="AR13" s="29"/>
      <c r="AS13" s="28"/>
      <c r="AT13" s="28"/>
      <c r="AU13" s="28"/>
      <c r="AV13" s="28"/>
      <c r="AW13" s="26"/>
      <c r="AX13" s="28"/>
      <c r="AY13" s="28"/>
      <c r="AZ13" s="26"/>
      <c r="BA13" s="28"/>
      <c r="BB13" s="26"/>
      <c r="BC13" s="28"/>
      <c r="BD13" s="28"/>
      <c r="BE13" s="26"/>
      <c r="BF13" s="28"/>
      <c r="BG13" s="28"/>
      <c r="BH13" s="26"/>
      <c r="BI13" s="26"/>
      <c r="BJ13" s="26"/>
      <c r="BK13" s="26" t="s">
        <v>22</v>
      </c>
      <c r="BL13" s="28"/>
      <c r="BM13" s="26"/>
      <c r="BN13" s="28"/>
      <c r="BO13" s="28"/>
      <c r="BP13" s="28"/>
      <c r="BQ13" s="28"/>
      <c r="BR13" s="28"/>
      <c r="BS13" s="37" t="s">
        <v>22</v>
      </c>
      <c r="BT13" s="26"/>
      <c r="BU13" s="32"/>
      <c r="BV13" s="33"/>
      <c r="BW13" s="33"/>
      <c r="BX13" s="33"/>
      <c r="BY13" s="33"/>
      <c r="BZ13" s="33"/>
      <c r="CA13" s="37" t="s">
        <v>22</v>
      </c>
      <c r="CB13" s="35"/>
      <c r="CC13" s="33"/>
      <c r="CD13" s="36" t="s">
        <v>20</v>
      </c>
      <c r="CE13" s="34"/>
      <c r="CF13" s="36"/>
      <c r="CG13" s="26"/>
      <c r="CH13" s="28"/>
      <c r="CI13" s="37" t="s">
        <v>22</v>
      </c>
      <c r="CJ13" s="28"/>
      <c r="CK13" s="28"/>
      <c r="CL13" s="26"/>
      <c r="CM13" s="28"/>
      <c r="CN13" s="28"/>
      <c r="CO13" s="28"/>
      <c r="CP13" s="26"/>
      <c r="CQ13" s="28"/>
      <c r="CR13" s="28"/>
      <c r="CS13" s="28"/>
      <c r="CT13" s="28"/>
      <c r="CU13" s="26"/>
      <c r="CV13" s="31"/>
      <c r="CW13" s="26"/>
      <c r="CX13" s="26"/>
      <c r="CY13" s="26"/>
      <c r="CZ13" s="31"/>
      <c r="DA13" s="32"/>
      <c r="DB13" s="28"/>
      <c r="DC13" s="28"/>
      <c r="DD13" s="28"/>
      <c r="DE13" s="26"/>
      <c r="DF13" s="26"/>
      <c r="DG13" s="26"/>
      <c r="DH13" s="26"/>
      <c r="DI13" s="26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6"/>
      <c r="DX13" s="26"/>
      <c r="DY13" s="28"/>
      <c r="DZ13" s="28"/>
      <c r="EA13" s="28"/>
      <c r="EB13" s="31"/>
      <c r="EC13" s="26"/>
      <c r="ED13" s="31"/>
      <c r="EE13" s="26"/>
      <c r="EF13" s="32"/>
      <c r="EG13" s="28"/>
      <c r="EH13" s="26"/>
      <c r="EI13" s="28"/>
      <c r="EJ13" s="28"/>
      <c r="EK13" s="26"/>
      <c r="EL13" s="28"/>
      <c r="EM13" s="28"/>
      <c r="EN13" s="26"/>
      <c r="EO13" s="26"/>
      <c r="EP13" s="28"/>
      <c r="EQ13" s="28"/>
      <c r="ER13" s="26"/>
      <c r="ES13" s="28"/>
      <c r="ET13" s="37" t="s">
        <v>21</v>
      </c>
      <c r="EU13" s="26"/>
      <c r="EV13" s="37" t="s">
        <v>21</v>
      </c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6"/>
      <c r="FH13" s="26"/>
      <c r="FI13" s="31"/>
      <c r="FJ13" s="31"/>
      <c r="FK13" s="31"/>
      <c r="FL13" s="32"/>
      <c r="FM13" s="26" t="s">
        <v>20</v>
      </c>
      <c r="FN13" s="26"/>
      <c r="FO13" s="28"/>
      <c r="FP13" s="28"/>
      <c r="FQ13" s="26"/>
      <c r="FR13" s="28"/>
      <c r="FS13" s="28"/>
      <c r="FT13" s="28"/>
      <c r="FU13" s="26"/>
      <c r="FV13" s="28"/>
      <c r="FW13" s="28"/>
      <c r="FX13" s="26"/>
      <c r="FY13" s="28"/>
      <c r="FZ13" s="28"/>
      <c r="GA13" s="37" t="s">
        <v>21</v>
      </c>
      <c r="GB13" s="26"/>
      <c r="GC13" s="26"/>
      <c r="GD13" s="28"/>
      <c r="GE13" s="28"/>
      <c r="GF13" s="28"/>
      <c r="GG13" s="28"/>
      <c r="GH13" s="28"/>
      <c r="GI13" s="26" t="s">
        <v>22</v>
      </c>
      <c r="GJ13" s="28"/>
      <c r="GK13" s="28"/>
      <c r="GL13" s="28"/>
      <c r="GM13" s="31"/>
      <c r="GN13" s="26"/>
      <c r="GO13" s="31"/>
      <c r="GP13" s="31"/>
      <c r="GQ13" s="38"/>
      <c r="GR13" s="39"/>
      <c r="GS13" s="39"/>
      <c r="GT13" s="39"/>
      <c r="GU13" s="39"/>
      <c r="GV13" s="39"/>
      <c r="GW13" s="39"/>
      <c r="GX13" s="39"/>
      <c r="GY13" s="39"/>
      <c r="GZ13" s="40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40"/>
      <c r="HM13" s="40"/>
      <c r="HN13" s="39"/>
      <c r="HO13" s="39"/>
      <c r="HP13" s="39"/>
      <c r="HQ13" s="39"/>
      <c r="HR13" s="39"/>
      <c r="HS13" s="39"/>
      <c r="HT13" s="39"/>
      <c r="HU13" s="40"/>
      <c r="HV13" s="39"/>
      <c r="HW13" s="38"/>
      <c r="HX13" s="41"/>
      <c r="HY13" s="39"/>
      <c r="HZ13" s="39"/>
      <c r="IA13" s="39"/>
      <c r="IB13" s="39"/>
      <c r="IC13" s="39"/>
      <c r="ID13" s="40"/>
      <c r="IE13" s="39"/>
      <c r="IF13" s="39"/>
      <c r="IG13" s="39"/>
      <c r="IH13" s="40"/>
      <c r="II13" s="40"/>
      <c r="IJ13" s="42"/>
      <c r="IK13" s="42"/>
      <c r="IL13" s="39"/>
      <c r="IM13" s="39"/>
      <c r="IN13" s="39"/>
      <c r="IO13" s="42"/>
      <c r="IP13" s="40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8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8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40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8"/>
      <c r="LO13" s="39"/>
      <c r="LP13" s="39"/>
      <c r="LQ13" s="40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8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8"/>
    </row>
    <row r="14">
      <c r="A14" s="54" t="s">
        <v>404</v>
      </c>
      <c r="B14" s="26" t="str">
        <f>IFERROR(__xludf.DUMMYFUNCTION("VLOOKUP(A14, IMPORTRANGE(""https://docs.google.com/spreadsheets/d/1KpTMcNM9m1P7u9qCVzob8p1-RZoC1ejaYs5CdpAbWFY/edit?gid=260580969#gid=260580969"", ""2025 EMP PROFILE DATA!a1:W98""), 22, FALSE)"),"#REF!")</f>
        <v>#REF!</v>
      </c>
      <c r="C14" s="55">
        <f t="shared" si="1"/>
        <v>4</v>
      </c>
      <c r="D14" s="55">
        <f t="shared" si="2"/>
        <v>0</v>
      </c>
      <c r="E14" s="55">
        <f t="shared" si="3"/>
        <v>3</v>
      </c>
      <c r="F14" s="55">
        <f t="shared" si="4"/>
        <v>0</v>
      </c>
      <c r="G14" s="56">
        <f t="shared" si="5"/>
        <v>0.0101010101</v>
      </c>
      <c r="H14" s="56">
        <f t="shared" si="6"/>
        <v>0.007575757576</v>
      </c>
      <c r="I14" s="28">
        <f t="shared" si="7"/>
        <v>19</v>
      </c>
      <c r="J14" s="26">
        <v>0.0</v>
      </c>
      <c r="K14" s="26">
        <v>0.0</v>
      </c>
      <c r="L14" s="49"/>
      <c r="M14" s="55"/>
      <c r="N14" s="55"/>
      <c r="O14" s="55"/>
      <c r="P14" s="55"/>
      <c r="Q14" s="57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29"/>
      <c r="AS14" s="28"/>
      <c r="AT14" s="28"/>
      <c r="AU14" s="28"/>
      <c r="AV14" s="28"/>
      <c r="AW14" s="26"/>
      <c r="AX14" s="28"/>
      <c r="AY14" s="28"/>
      <c r="AZ14" s="26"/>
      <c r="BA14" s="28"/>
      <c r="BB14" s="26"/>
      <c r="BC14" s="28"/>
      <c r="BD14" s="28"/>
      <c r="BE14" s="26"/>
      <c r="BF14" s="28"/>
      <c r="BG14" s="28"/>
      <c r="BH14" s="26"/>
      <c r="BI14" s="26"/>
      <c r="BJ14" s="26"/>
      <c r="BK14" s="28"/>
      <c r="BL14" s="28"/>
      <c r="BM14" s="26"/>
      <c r="BN14" s="28"/>
      <c r="BO14" s="28"/>
      <c r="BP14" s="28"/>
      <c r="BQ14" s="28"/>
      <c r="BR14" s="28"/>
      <c r="BS14" s="31"/>
      <c r="BT14" s="26"/>
      <c r="BU14" s="32"/>
      <c r="BV14" s="33"/>
      <c r="BW14" s="33"/>
      <c r="BX14" s="33"/>
      <c r="BY14" s="33"/>
      <c r="BZ14" s="33"/>
      <c r="CA14" s="33"/>
      <c r="CB14" s="35"/>
      <c r="CC14" s="33"/>
      <c r="CD14" s="33"/>
      <c r="CE14" s="34"/>
      <c r="CF14" s="36"/>
      <c r="CG14" s="26"/>
      <c r="CH14" s="28"/>
      <c r="CI14" s="28"/>
      <c r="CJ14" s="28"/>
      <c r="CK14" s="28"/>
      <c r="CL14" s="34"/>
      <c r="CM14" s="28"/>
      <c r="CN14" s="28"/>
      <c r="CO14" s="28"/>
      <c r="CP14" s="26"/>
      <c r="CQ14" s="28"/>
      <c r="CR14" s="34"/>
      <c r="CS14" s="34"/>
      <c r="CT14" s="34"/>
      <c r="CU14" s="34"/>
      <c r="CV14" s="31"/>
      <c r="CW14" s="26"/>
      <c r="CX14" s="26"/>
      <c r="CY14" s="34"/>
      <c r="CZ14" s="31"/>
      <c r="DA14" s="32"/>
      <c r="DB14" s="34"/>
      <c r="DC14" s="34"/>
      <c r="DD14" s="34"/>
      <c r="DE14" s="34"/>
      <c r="DF14" s="26"/>
      <c r="DG14" s="26"/>
      <c r="DH14" s="37" t="s">
        <v>21</v>
      </c>
      <c r="DI14" s="37" t="s">
        <v>19</v>
      </c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6" t="s">
        <v>19</v>
      </c>
      <c r="DV14" s="28"/>
      <c r="DW14" s="26"/>
      <c r="DX14" s="26"/>
      <c r="DY14" s="28"/>
      <c r="DZ14" s="28"/>
      <c r="EA14" s="28"/>
      <c r="EB14" s="31"/>
      <c r="EC14" s="26"/>
      <c r="ED14" s="31"/>
      <c r="EE14" s="26" t="s">
        <v>19</v>
      </c>
      <c r="EF14" s="32"/>
      <c r="EG14" s="26" t="s">
        <v>19</v>
      </c>
      <c r="EH14" s="26"/>
      <c r="EI14" s="28"/>
      <c r="EJ14" s="28"/>
      <c r="EK14" s="26"/>
      <c r="EL14" s="28"/>
      <c r="EM14" s="28"/>
      <c r="EN14" s="26"/>
      <c r="EO14" s="26"/>
      <c r="EP14" s="28"/>
      <c r="EQ14" s="28"/>
      <c r="ER14" s="26"/>
      <c r="ES14" s="28"/>
      <c r="ET14" s="26"/>
      <c r="EU14" s="26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6"/>
      <c r="FH14" s="26"/>
      <c r="FI14" s="31"/>
      <c r="FJ14" s="31"/>
      <c r="FK14" s="31"/>
      <c r="FL14" s="32"/>
      <c r="FM14" s="28"/>
      <c r="FN14" s="26"/>
      <c r="FO14" s="28"/>
      <c r="FP14" s="28"/>
      <c r="FQ14" s="26"/>
      <c r="FR14" s="37" t="s">
        <v>21</v>
      </c>
      <c r="FS14" s="28"/>
      <c r="FT14" s="28"/>
      <c r="FU14" s="26"/>
      <c r="FV14" s="28"/>
      <c r="FW14" s="28"/>
      <c r="FX14" s="37" t="s">
        <v>21</v>
      </c>
      <c r="FY14" s="28"/>
      <c r="FZ14" s="28"/>
      <c r="GA14" s="28"/>
      <c r="GB14" s="26"/>
      <c r="GC14" s="26"/>
      <c r="GD14" s="28"/>
      <c r="GE14" s="28"/>
      <c r="GF14" s="28"/>
      <c r="GG14" s="28"/>
      <c r="GH14" s="28"/>
      <c r="GI14" s="26"/>
      <c r="GJ14" s="28"/>
      <c r="GK14" s="28"/>
      <c r="GL14" s="28"/>
      <c r="GM14" s="31"/>
      <c r="GN14" s="26"/>
      <c r="GO14" s="31"/>
      <c r="GP14" s="31"/>
      <c r="GQ14" s="38"/>
      <c r="GR14" s="39"/>
      <c r="GS14" s="39"/>
      <c r="GT14" s="39"/>
      <c r="GU14" s="39"/>
      <c r="GV14" s="39"/>
      <c r="GW14" s="39"/>
      <c r="GX14" s="39"/>
      <c r="GY14" s="39"/>
      <c r="GZ14" s="40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40"/>
      <c r="HM14" s="40"/>
      <c r="HN14" s="39"/>
      <c r="HO14" s="39"/>
      <c r="HP14" s="39"/>
      <c r="HQ14" s="39"/>
      <c r="HR14" s="39"/>
      <c r="HS14" s="39"/>
      <c r="HT14" s="39"/>
      <c r="HU14" s="40"/>
      <c r="HV14" s="39"/>
      <c r="HW14" s="38"/>
      <c r="HX14" s="41"/>
      <c r="HY14" s="39"/>
      <c r="HZ14" s="39"/>
      <c r="IA14" s="39"/>
      <c r="IB14" s="39"/>
      <c r="IC14" s="39"/>
      <c r="ID14" s="40"/>
      <c r="IE14" s="39"/>
      <c r="IF14" s="39"/>
      <c r="IG14" s="39"/>
      <c r="IH14" s="40"/>
      <c r="II14" s="40"/>
      <c r="IJ14" s="42"/>
      <c r="IK14" s="42"/>
      <c r="IL14" s="39"/>
      <c r="IM14" s="39"/>
      <c r="IN14" s="39"/>
      <c r="IO14" s="42"/>
      <c r="IP14" s="40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8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8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40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8"/>
      <c r="LO14" s="39"/>
      <c r="LP14" s="39"/>
      <c r="LQ14" s="40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8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8"/>
    </row>
    <row r="15">
      <c r="A15" s="50" t="s">
        <v>405</v>
      </c>
      <c r="B15" s="26" t="str">
        <f>IFERROR(__xludf.DUMMYFUNCTION("VLOOKUP(A15, IMPORTRANGE(""https://docs.google.com/spreadsheets/d/1KpTMcNM9m1P7u9qCVzob8p1-RZoC1ejaYs5CdpAbWFY/edit?gid=260580969#gid=260580969"", ""2025 EMP PROFILE DATA!a1:W98""), 22, FALSE)"),"#REF!")</f>
        <v>#REF!</v>
      </c>
      <c r="C15" s="50">
        <f t="shared" si="1"/>
        <v>1</v>
      </c>
      <c r="D15" s="50">
        <f t="shared" si="2"/>
        <v>0</v>
      </c>
      <c r="E15" s="50">
        <f t="shared" si="3"/>
        <v>0</v>
      </c>
      <c r="F15" s="50">
        <f t="shared" si="4"/>
        <v>0</v>
      </c>
      <c r="G15" s="51">
        <f t="shared" si="5"/>
        <v>0.002525252525</v>
      </c>
      <c r="H15" s="51">
        <f t="shared" si="6"/>
        <v>0</v>
      </c>
      <c r="I15" s="28">
        <f t="shared" si="7"/>
        <v>4</v>
      </c>
      <c r="J15" s="26">
        <v>0.0</v>
      </c>
      <c r="K15" s="26">
        <v>0.0</v>
      </c>
      <c r="L15" s="52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29"/>
      <c r="AS15" s="28"/>
      <c r="AT15" s="28"/>
      <c r="AU15" s="28"/>
      <c r="AV15" s="28"/>
      <c r="AW15" s="26"/>
      <c r="AX15" s="28"/>
      <c r="AY15" s="28"/>
      <c r="AZ15" s="26"/>
      <c r="BA15" s="28"/>
      <c r="BB15" s="26"/>
      <c r="BC15" s="28"/>
      <c r="BD15" s="28"/>
      <c r="BE15" s="26"/>
      <c r="BF15" s="28"/>
      <c r="BG15" s="28"/>
      <c r="BH15" s="26"/>
      <c r="BI15" s="26"/>
      <c r="BJ15" s="26"/>
      <c r="BK15" s="28"/>
      <c r="BL15" s="28"/>
      <c r="BM15" s="26"/>
      <c r="BN15" s="28"/>
      <c r="BO15" s="28"/>
      <c r="BP15" s="28"/>
      <c r="BQ15" s="28"/>
      <c r="BR15" s="28"/>
      <c r="BS15" s="31"/>
      <c r="BT15" s="26"/>
      <c r="BU15" s="32"/>
      <c r="BV15" s="33"/>
      <c r="BW15" s="33"/>
      <c r="BX15" s="33"/>
      <c r="BY15" s="33"/>
      <c r="BZ15" s="33"/>
      <c r="CA15" s="33"/>
      <c r="CB15" s="35"/>
      <c r="CC15" s="33"/>
      <c r="CD15" s="33"/>
      <c r="CE15" s="34"/>
      <c r="CF15" s="36"/>
      <c r="CG15" s="26"/>
      <c r="CH15" s="28"/>
      <c r="CI15" s="28"/>
      <c r="CJ15" s="28"/>
      <c r="CK15" s="28"/>
      <c r="CL15" s="26"/>
      <c r="CM15" s="28"/>
      <c r="CN15" s="28"/>
      <c r="CO15" s="28"/>
      <c r="CP15" s="26"/>
      <c r="CQ15" s="28"/>
      <c r="CR15" s="28"/>
      <c r="CS15" s="28"/>
      <c r="CT15" s="28"/>
      <c r="CU15" s="26"/>
      <c r="CV15" s="31"/>
      <c r="CW15" s="26"/>
      <c r="CX15" s="26"/>
      <c r="CY15" s="26"/>
      <c r="CZ15" s="31"/>
      <c r="DA15" s="32"/>
      <c r="DB15" s="28"/>
      <c r="DC15" s="28"/>
      <c r="DD15" s="28"/>
      <c r="DE15" s="26"/>
      <c r="DF15" s="26"/>
      <c r="DG15" s="26"/>
      <c r="DH15" s="26"/>
      <c r="DI15" s="26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6"/>
      <c r="DX15" s="26"/>
      <c r="DY15" s="28"/>
      <c r="DZ15" s="28"/>
      <c r="EA15" s="28"/>
      <c r="EB15" s="31"/>
      <c r="EC15" s="26"/>
      <c r="ED15" s="31"/>
      <c r="EE15" s="26"/>
      <c r="EF15" s="32"/>
      <c r="EG15" s="28"/>
      <c r="EH15" s="26"/>
      <c r="EI15" s="28"/>
      <c r="EJ15" s="28"/>
      <c r="EK15" s="26"/>
      <c r="EL15" s="28"/>
      <c r="EM15" s="28"/>
      <c r="EN15" s="26"/>
      <c r="EO15" s="26"/>
      <c r="EP15" s="28"/>
      <c r="EQ15" s="28"/>
      <c r="ER15" s="26"/>
      <c r="ES15" s="28"/>
      <c r="ET15" s="26"/>
      <c r="EU15" s="26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6"/>
      <c r="FH15" s="26"/>
      <c r="FI15" s="31"/>
      <c r="FJ15" s="31"/>
      <c r="FK15" s="31"/>
      <c r="FL15" s="32"/>
      <c r="FM15" s="28"/>
      <c r="FN15" s="26"/>
      <c r="FO15" s="28"/>
      <c r="FP15" s="28"/>
      <c r="FQ15" s="26"/>
      <c r="FR15" s="28"/>
      <c r="FS15" s="28"/>
      <c r="FT15" s="28"/>
      <c r="FU15" s="26"/>
      <c r="FV15" s="28"/>
      <c r="FW15" s="28"/>
      <c r="FX15" s="37" t="s">
        <v>19</v>
      </c>
      <c r="FY15" s="28"/>
      <c r="FZ15" s="28"/>
      <c r="GA15" s="28"/>
      <c r="GB15" s="26"/>
      <c r="GC15" s="26"/>
      <c r="GD15" s="28"/>
      <c r="GE15" s="28"/>
      <c r="GF15" s="28"/>
      <c r="GG15" s="28"/>
      <c r="GH15" s="28"/>
      <c r="GI15" s="26"/>
      <c r="GJ15" s="28"/>
      <c r="GK15" s="28"/>
      <c r="GL15" s="28"/>
      <c r="GM15" s="31"/>
      <c r="GN15" s="26"/>
      <c r="GO15" s="31"/>
      <c r="GP15" s="31"/>
      <c r="GQ15" s="38"/>
      <c r="GR15" s="39"/>
      <c r="GS15" s="39"/>
      <c r="GT15" s="39"/>
      <c r="GU15" s="39"/>
      <c r="GV15" s="39"/>
      <c r="GW15" s="39"/>
      <c r="GX15" s="39"/>
      <c r="GY15" s="39"/>
      <c r="GZ15" s="40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40"/>
      <c r="HM15" s="40"/>
      <c r="HN15" s="39"/>
      <c r="HO15" s="39"/>
      <c r="HP15" s="39"/>
      <c r="HQ15" s="39"/>
      <c r="HR15" s="39"/>
      <c r="HS15" s="39"/>
      <c r="HT15" s="39"/>
      <c r="HU15" s="40"/>
      <c r="HV15" s="39"/>
      <c r="HW15" s="38"/>
      <c r="HX15" s="41"/>
      <c r="HY15" s="39"/>
      <c r="HZ15" s="39"/>
      <c r="IA15" s="39"/>
      <c r="IB15" s="39"/>
      <c r="IC15" s="39"/>
      <c r="ID15" s="40"/>
      <c r="IE15" s="39"/>
      <c r="IF15" s="39"/>
      <c r="IG15" s="39"/>
      <c r="IH15" s="40"/>
      <c r="II15" s="40"/>
      <c r="IJ15" s="42"/>
      <c r="IK15" s="42"/>
      <c r="IL15" s="39"/>
      <c r="IM15" s="39"/>
      <c r="IN15" s="39"/>
      <c r="IO15" s="42"/>
      <c r="IP15" s="40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8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8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40"/>
      <c r="KV15" s="39"/>
      <c r="KW15" s="39"/>
      <c r="KX15" s="39"/>
      <c r="KY15" s="39"/>
      <c r="KZ15" s="39"/>
      <c r="LA15" s="39"/>
      <c r="LB15" s="39"/>
      <c r="LC15" s="39"/>
      <c r="LD15" s="39"/>
      <c r="LE15" s="39"/>
      <c r="LF15" s="39"/>
      <c r="LG15" s="39"/>
      <c r="LH15" s="39"/>
      <c r="LI15" s="39"/>
      <c r="LJ15" s="39"/>
      <c r="LK15" s="39"/>
      <c r="LL15" s="39"/>
      <c r="LM15" s="39"/>
      <c r="LN15" s="38"/>
      <c r="LO15" s="39"/>
      <c r="LP15" s="39"/>
      <c r="LQ15" s="40"/>
      <c r="LR15" s="39"/>
      <c r="LS15" s="39"/>
      <c r="LT15" s="39"/>
      <c r="LU15" s="39"/>
      <c r="LV15" s="39"/>
      <c r="LW15" s="39"/>
      <c r="LX15" s="39"/>
      <c r="LY15" s="39"/>
      <c r="LZ15" s="39"/>
      <c r="MA15" s="39"/>
      <c r="MB15" s="39"/>
      <c r="MC15" s="39"/>
      <c r="MD15" s="39"/>
      <c r="ME15" s="39"/>
      <c r="MF15" s="39"/>
      <c r="MG15" s="39"/>
      <c r="MH15" s="39"/>
      <c r="MI15" s="39"/>
      <c r="MJ15" s="39"/>
      <c r="MK15" s="39"/>
      <c r="ML15" s="39"/>
      <c r="MM15" s="39"/>
      <c r="MN15" s="39"/>
      <c r="MO15" s="39"/>
      <c r="MP15" s="39"/>
      <c r="MQ15" s="39"/>
      <c r="MR15" s="39"/>
      <c r="MS15" s="38"/>
      <c r="MT15" s="39"/>
      <c r="MU15" s="39"/>
      <c r="MV15" s="39"/>
      <c r="MW15" s="39"/>
      <c r="MX15" s="39"/>
      <c r="MY15" s="39"/>
      <c r="MZ15" s="39"/>
      <c r="NA15" s="39"/>
      <c r="NB15" s="39"/>
      <c r="NC15" s="39"/>
      <c r="ND15" s="39"/>
      <c r="NE15" s="39"/>
      <c r="NF15" s="39"/>
      <c r="NG15" s="39"/>
      <c r="NH15" s="39"/>
      <c r="NI15" s="39"/>
      <c r="NJ15" s="39"/>
      <c r="NK15" s="39"/>
      <c r="NL15" s="39"/>
      <c r="NM15" s="39"/>
      <c r="NN15" s="39"/>
      <c r="NO15" s="39"/>
      <c r="NP15" s="39"/>
      <c r="NQ15" s="39"/>
      <c r="NR15" s="39"/>
      <c r="NS15" s="39"/>
      <c r="NT15" s="39"/>
      <c r="NU15" s="39"/>
      <c r="NV15" s="39"/>
      <c r="NW15" s="39"/>
      <c r="NX15" s="39"/>
      <c r="NY15" s="38"/>
    </row>
    <row r="16">
      <c r="A16" s="45" t="s">
        <v>406</v>
      </c>
      <c r="B16" s="26" t="str">
        <f>IFERROR(__xludf.DUMMYFUNCTION("VLOOKUP(A16, IMPORTRANGE(""https://docs.google.com/spreadsheets/d/1KpTMcNM9m1P7u9qCVzob8p1-RZoC1ejaYs5CdpAbWFY/edit?gid=260580969#gid=260580969"", ""2025 EMP PROFILE DATA!a1:W98""), 22, FALSE)"),"#REF!")</f>
        <v>#REF!</v>
      </c>
      <c r="C16" s="45">
        <f t="shared" si="1"/>
        <v>0</v>
      </c>
      <c r="D16" s="45">
        <f t="shared" si="2"/>
        <v>0</v>
      </c>
      <c r="E16" s="45">
        <f t="shared" si="3"/>
        <v>19</v>
      </c>
      <c r="F16" s="45">
        <f t="shared" si="4"/>
        <v>5</v>
      </c>
      <c r="G16" s="46">
        <f t="shared" si="5"/>
        <v>0</v>
      </c>
      <c r="H16" s="46">
        <f t="shared" si="6"/>
        <v>0.04797979798</v>
      </c>
      <c r="I16" s="28">
        <f t="shared" si="7"/>
        <v>19</v>
      </c>
      <c r="J16" s="26">
        <v>0.0</v>
      </c>
      <c r="K16" s="26">
        <v>0.0</v>
      </c>
      <c r="L16" s="49"/>
      <c r="M16" s="45"/>
      <c r="N16" s="45"/>
      <c r="O16" s="45"/>
      <c r="P16" s="45"/>
      <c r="Q16" s="57" t="s">
        <v>21</v>
      </c>
      <c r="R16" s="57" t="s">
        <v>21</v>
      </c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37" t="s">
        <v>21</v>
      </c>
      <c r="AN16" s="45"/>
      <c r="AO16" s="45"/>
      <c r="AP16" s="45"/>
      <c r="AQ16" s="45"/>
      <c r="AR16" s="29"/>
      <c r="AS16" s="28"/>
      <c r="AT16" s="37" t="s">
        <v>21</v>
      </c>
      <c r="AU16" s="28"/>
      <c r="AV16" s="28"/>
      <c r="AW16" s="26"/>
      <c r="AX16" s="28"/>
      <c r="AY16" s="28"/>
      <c r="AZ16" s="26"/>
      <c r="BA16" s="28"/>
      <c r="BB16" s="26"/>
      <c r="BC16" s="28"/>
      <c r="BD16" s="37" t="s">
        <v>21</v>
      </c>
      <c r="BE16" s="37" t="s">
        <v>21</v>
      </c>
      <c r="BF16" s="37" t="s">
        <v>21</v>
      </c>
      <c r="BG16" s="28"/>
      <c r="BH16" s="26"/>
      <c r="BI16" s="37" t="s">
        <v>21</v>
      </c>
      <c r="BJ16" s="26"/>
      <c r="BK16" s="28"/>
      <c r="BL16" s="28"/>
      <c r="BM16" s="26"/>
      <c r="BN16" s="28"/>
      <c r="BO16" s="28"/>
      <c r="BP16" s="28"/>
      <c r="BQ16" s="37" t="s">
        <v>21</v>
      </c>
      <c r="BR16" s="28"/>
      <c r="BS16" s="37" t="s">
        <v>22</v>
      </c>
      <c r="BT16" s="26"/>
      <c r="BU16" s="32"/>
      <c r="BV16" s="33"/>
      <c r="BW16" s="33"/>
      <c r="BX16" s="33"/>
      <c r="BY16" s="33"/>
      <c r="BZ16" s="33"/>
      <c r="CA16" s="33"/>
      <c r="CB16" s="35"/>
      <c r="CC16" s="33"/>
      <c r="CD16" s="33"/>
      <c r="CE16" s="37" t="s">
        <v>21</v>
      </c>
      <c r="CF16" s="37" t="s">
        <v>22</v>
      </c>
      <c r="CG16" s="37" t="s">
        <v>22</v>
      </c>
      <c r="CH16" s="28"/>
      <c r="CI16" s="28"/>
      <c r="CJ16" s="28"/>
      <c r="CK16" s="37" t="s">
        <v>22</v>
      </c>
      <c r="CL16" s="26"/>
      <c r="CM16" s="28"/>
      <c r="CN16" s="28"/>
      <c r="CO16" s="37" t="s">
        <v>22</v>
      </c>
      <c r="CP16" s="26"/>
      <c r="CQ16" s="28"/>
      <c r="CR16" s="28"/>
      <c r="CS16" s="28"/>
      <c r="CT16" s="28"/>
      <c r="CU16" s="26"/>
      <c r="CV16" s="31"/>
      <c r="CW16" s="26"/>
      <c r="CX16" s="26"/>
      <c r="CY16" s="26"/>
      <c r="CZ16" s="37" t="s">
        <v>21</v>
      </c>
      <c r="DA16" s="32"/>
      <c r="DB16" s="28"/>
      <c r="DC16" s="28"/>
      <c r="DD16" s="28"/>
      <c r="DE16" s="26"/>
      <c r="DF16" s="26"/>
      <c r="DG16" s="26"/>
      <c r="DH16" s="26"/>
      <c r="DI16" s="26"/>
      <c r="DJ16" s="28"/>
      <c r="DK16" s="28"/>
      <c r="DL16" s="28"/>
      <c r="DM16" s="28"/>
      <c r="DN16" s="37" t="s">
        <v>21</v>
      </c>
      <c r="DO16" s="37" t="s">
        <v>21</v>
      </c>
      <c r="DP16" s="28"/>
      <c r="DQ16" s="28"/>
      <c r="DR16" s="28"/>
      <c r="DS16" s="37" t="s">
        <v>21</v>
      </c>
      <c r="DT16" s="28"/>
      <c r="DU16" s="28"/>
      <c r="DV16" s="28"/>
      <c r="DW16" s="26"/>
      <c r="DX16" s="26"/>
      <c r="DY16" s="28"/>
      <c r="DZ16" s="37" t="s">
        <v>21</v>
      </c>
      <c r="EA16" s="28"/>
      <c r="EB16" s="31"/>
      <c r="EC16" s="26"/>
      <c r="ED16" s="31"/>
      <c r="EE16" s="26"/>
      <c r="EF16" s="32"/>
      <c r="EG16" s="28"/>
      <c r="EH16" s="26"/>
      <c r="EI16" s="28"/>
      <c r="EJ16" s="28"/>
      <c r="EK16" s="26"/>
      <c r="EL16" s="28"/>
      <c r="EM16" s="28"/>
      <c r="EN16" s="26"/>
      <c r="EO16" s="26"/>
      <c r="EP16" s="28"/>
      <c r="EQ16" s="28"/>
      <c r="ER16" s="26"/>
      <c r="ES16" s="28"/>
      <c r="ET16" s="26"/>
      <c r="EU16" s="26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37" t="s">
        <v>21</v>
      </c>
      <c r="FG16" s="26"/>
      <c r="FH16" s="26"/>
      <c r="FI16" s="31"/>
      <c r="FJ16" s="37" t="s">
        <v>21</v>
      </c>
      <c r="FK16" s="31"/>
      <c r="FL16" s="32"/>
      <c r="FM16" s="28"/>
      <c r="FN16" s="26"/>
      <c r="FO16" s="28"/>
      <c r="FP16" s="28"/>
      <c r="FQ16" s="26"/>
      <c r="FR16" s="28"/>
      <c r="FS16" s="28"/>
      <c r="FT16" s="28"/>
      <c r="FU16" s="26"/>
      <c r="FV16" s="28"/>
      <c r="FW16" s="28"/>
      <c r="FX16" s="26"/>
      <c r="FY16" s="28"/>
      <c r="FZ16" s="28"/>
      <c r="GA16" s="28"/>
      <c r="GB16" s="26"/>
      <c r="GC16" s="26"/>
      <c r="GD16" s="37" t="s">
        <v>21</v>
      </c>
      <c r="GE16" s="28"/>
      <c r="GF16" s="28"/>
      <c r="GG16" s="28"/>
      <c r="GH16" s="28"/>
      <c r="GI16" s="26"/>
      <c r="GJ16" s="28"/>
      <c r="GK16" s="28"/>
      <c r="GL16" s="37" t="s">
        <v>21</v>
      </c>
      <c r="GM16" s="31"/>
      <c r="GN16" s="26"/>
      <c r="GO16" s="31"/>
      <c r="GP16" s="31"/>
      <c r="GQ16" s="38"/>
      <c r="GR16" s="39"/>
      <c r="GS16" s="39"/>
      <c r="GT16" s="39"/>
      <c r="GU16" s="39"/>
      <c r="GV16" s="39"/>
      <c r="GW16" s="39"/>
      <c r="GX16" s="39"/>
      <c r="GY16" s="39"/>
      <c r="GZ16" s="40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40"/>
      <c r="HM16" s="40"/>
      <c r="HN16" s="39"/>
      <c r="HO16" s="39"/>
      <c r="HP16" s="39"/>
      <c r="HQ16" s="39"/>
      <c r="HR16" s="39"/>
      <c r="HS16" s="39"/>
      <c r="HT16" s="39"/>
      <c r="HU16" s="40"/>
      <c r="HV16" s="39"/>
      <c r="HW16" s="38"/>
      <c r="HX16" s="41"/>
      <c r="HY16" s="39"/>
      <c r="HZ16" s="39"/>
      <c r="IA16" s="39"/>
      <c r="IB16" s="39"/>
      <c r="IC16" s="39"/>
      <c r="ID16" s="40"/>
      <c r="IE16" s="39"/>
      <c r="IF16" s="39"/>
      <c r="IG16" s="39"/>
      <c r="IH16" s="40"/>
      <c r="II16" s="40"/>
      <c r="IJ16" s="42"/>
      <c r="IK16" s="42"/>
      <c r="IL16" s="39"/>
      <c r="IM16" s="39"/>
      <c r="IN16" s="39"/>
      <c r="IO16" s="42"/>
      <c r="IP16" s="40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8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8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40"/>
      <c r="KV16" s="39"/>
      <c r="KW16" s="39"/>
      <c r="KX16" s="39"/>
      <c r="KY16" s="39"/>
      <c r="KZ16" s="39"/>
      <c r="LA16" s="39"/>
      <c r="LB16" s="39"/>
      <c r="LC16" s="39"/>
      <c r="LD16" s="39"/>
      <c r="LE16" s="39"/>
      <c r="LF16" s="39"/>
      <c r="LG16" s="39"/>
      <c r="LH16" s="39"/>
      <c r="LI16" s="39"/>
      <c r="LJ16" s="39"/>
      <c r="LK16" s="39"/>
      <c r="LL16" s="39"/>
      <c r="LM16" s="39"/>
      <c r="LN16" s="38"/>
      <c r="LO16" s="39"/>
      <c r="LP16" s="39"/>
      <c r="LQ16" s="40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39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39"/>
      <c r="MR16" s="39"/>
      <c r="MS16" s="38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8"/>
    </row>
    <row r="17">
      <c r="A17" s="45" t="s">
        <v>407</v>
      </c>
      <c r="B17" s="26" t="str">
        <f>IFERROR(__xludf.DUMMYFUNCTION("VLOOKUP(A17, IMPORTRANGE(""https://docs.google.com/spreadsheets/d/1KpTMcNM9m1P7u9qCVzob8p1-RZoC1ejaYs5CdpAbWFY/edit?gid=260580969#gid=260580969"", ""2025 EMP PROFILE DATA!a1:W98""), 22, FALSE)"),"#REF!")</f>
        <v>#REF!</v>
      </c>
      <c r="C17" s="45">
        <f t="shared" si="1"/>
        <v>11</v>
      </c>
      <c r="D17" s="45">
        <f t="shared" si="2"/>
        <v>7</v>
      </c>
      <c r="E17" s="45">
        <f t="shared" si="3"/>
        <v>9</v>
      </c>
      <c r="F17" s="45">
        <f t="shared" si="4"/>
        <v>0</v>
      </c>
      <c r="G17" s="46">
        <f t="shared" si="5"/>
        <v>0.02777777778</v>
      </c>
      <c r="H17" s="46">
        <f t="shared" si="6"/>
        <v>0.02272727273</v>
      </c>
      <c r="I17" s="28">
        <f t="shared" si="7"/>
        <v>53</v>
      </c>
      <c r="J17" s="26">
        <v>0.0</v>
      </c>
      <c r="K17" s="26">
        <v>0.0</v>
      </c>
      <c r="L17" s="49"/>
      <c r="M17" s="45"/>
      <c r="N17" s="45"/>
      <c r="O17" s="47" t="s">
        <v>19</v>
      </c>
      <c r="P17" s="45"/>
      <c r="Q17" s="37" t="s">
        <v>21</v>
      </c>
      <c r="R17" s="37" t="s">
        <v>21</v>
      </c>
      <c r="S17" s="45"/>
      <c r="T17" s="47" t="s">
        <v>19</v>
      </c>
      <c r="U17" s="37" t="s">
        <v>21</v>
      </c>
      <c r="V17" s="45"/>
      <c r="W17" s="45"/>
      <c r="X17" s="37" t="s">
        <v>21</v>
      </c>
      <c r="Y17" s="45"/>
      <c r="Z17" s="37" t="s">
        <v>21</v>
      </c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29"/>
      <c r="AS17" s="28"/>
      <c r="AT17" s="28"/>
      <c r="AU17" s="28"/>
      <c r="AV17" s="26" t="s">
        <v>19</v>
      </c>
      <c r="AW17" s="26" t="s">
        <v>20</v>
      </c>
      <c r="AX17" s="26" t="s">
        <v>20</v>
      </c>
      <c r="AY17" s="26"/>
      <c r="AZ17" s="26"/>
      <c r="BA17" s="26" t="s">
        <v>20</v>
      </c>
      <c r="BB17" s="26"/>
      <c r="BC17" s="28"/>
      <c r="BD17" s="28"/>
      <c r="BE17" s="26"/>
      <c r="BF17" s="28"/>
      <c r="BG17" s="28"/>
      <c r="BH17" s="26"/>
      <c r="BI17" s="26"/>
      <c r="BJ17" s="26"/>
      <c r="BK17" s="28"/>
      <c r="BL17" s="28"/>
      <c r="BM17" s="26"/>
      <c r="BN17" s="28"/>
      <c r="BO17" s="28"/>
      <c r="BP17" s="28"/>
      <c r="BQ17" s="28"/>
      <c r="BR17" s="28"/>
      <c r="BS17" s="31"/>
      <c r="BT17" s="26"/>
      <c r="BU17" s="32"/>
      <c r="BV17" s="33"/>
      <c r="BW17" s="33"/>
      <c r="BX17" s="33"/>
      <c r="BY17" s="33"/>
      <c r="BZ17" s="33"/>
      <c r="CA17" s="33"/>
      <c r="CB17" s="35"/>
      <c r="CC17" s="33"/>
      <c r="CD17" s="34" t="s">
        <v>19</v>
      </c>
      <c r="CE17" s="34"/>
      <c r="CF17" s="37" t="s">
        <v>21</v>
      </c>
      <c r="CG17" s="26"/>
      <c r="CH17" s="37" t="s">
        <v>21</v>
      </c>
      <c r="CI17" s="28"/>
      <c r="CJ17" s="28"/>
      <c r="CK17" s="28"/>
      <c r="CL17" s="26"/>
      <c r="CM17" s="28"/>
      <c r="CN17" s="28"/>
      <c r="CO17" s="28"/>
      <c r="CP17" s="26"/>
      <c r="CQ17" s="28"/>
      <c r="CR17" s="26" t="s">
        <v>20</v>
      </c>
      <c r="CS17" s="28"/>
      <c r="CT17" s="28"/>
      <c r="CU17" s="26"/>
      <c r="CV17" s="31"/>
      <c r="CW17" s="37" t="s">
        <v>21</v>
      </c>
      <c r="CX17" s="26"/>
      <c r="CY17" s="26"/>
      <c r="CZ17" s="31"/>
      <c r="DA17" s="32"/>
      <c r="DB17" s="26" t="s">
        <v>19</v>
      </c>
      <c r="DC17" s="28"/>
      <c r="DD17" s="28"/>
      <c r="DE17" s="26"/>
      <c r="DF17" s="26"/>
      <c r="DG17" s="37" t="s">
        <v>19</v>
      </c>
      <c r="DH17" s="26"/>
      <c r="DI17" s="26"/>
      <c r="DJ17" s="28"/>
      <c r="DK17" s="28"/>
      <c r="DL17" s="37" t="s">
        <v>21</v>
      </c>
      <c r="DM17" s="28"/>
      <c r="DN17" s="28"/>
      <c r="DO17" s="28"/>
      <c r="DP17" s="28"/>
      <c r="DQ17" s="28"/>
      <c r="DR17" s="28"/>
      <c r="DS17" s="28"/>
      <c r="DT17" s="28"/>
      <c r="DU17" s="26" t="s">
        <v>19</v>
      </c>
      <c r="DV17" s="28"/>
      <c r="DW17" s="26"/>
      <c r="DX17" s="26"/>
      <c r="DY17" s="28"/>
      <c r="DZ17" s="28"/>
      <c r="EA17" s="28"/>
      <c r="EB17" s="31"/>
      <c r="EC17" s="26"/>
      <c r="ED17" s="31"/>
      <c r="EE17" s="26"/>
      <c r="EF17" s="32"/>
      <c r="EG17" s="28"/>
      <c r="EH17" s="26"/>
      <c r="EI17" s="28"/>
      <c r="EJ17" s="26" t="s">
        <v>19</v>
      </c>
      <c r="EK17" s="26"/>
      <c r="EL17" s="28"/>
      <c r="EM17" s="28"/>
      <c r="EN17" s="26"/>
      <c r="EO17" s="26"/>
      <c r="EP17" s="28"/>
      <c r="EQ17" s="28"/>
      <c r="ER17" s="26"/>
      <c r="ES17" s="28"/>
      <c r="ET17" s="26"/>
      <c r="EU17" s="26"/>
      <c r="EV17" s="28"/>
      <c r="EW17" s="28"/>
      <c r="EX17" s="28"/>
      <c r="EY17" s="28"/>
      <c r="EZ17" s="28"/>
      <c r="FA17" s="26" t="s">
        <v>19</v>
      </c>
      <c r="FB17" s="26" t="s">
        <v>19</v>
      </c>
      <c r="FC17" s="28"/>
      <c r="FD17" s="28"/>
      <c r="FE17" s="28"/>
      <c r="FF17" s="28"/>
      <c r="FG17" s="26"/>
      <c r="FH17" s="26"/>
      <c r="FI17" s="31"/>
      <c r="FJ17" s="31"/>
      <c r="FK17" s="31"/>
      <c r="FL17" s="32"/>
      <c r="FM17" s="28"/>
      <c r="FN17" s="26"/>
      <c r="FO17" s="28"/>
      <c r="FP17" s="28"/>
      <c r="FQ17" s="26"/>
      <c r="FR17" s="28"/>
      <c r="FS17" s="28"/>
      <c r="FT17" s="28"/>
      <c r="FU17" s="26"/>
      <c r="FV17" s="26" t="s">
        <v>19</v>
      </c>
      <c r="FW17" s="28"/>
      <c r="FX17" s="26"/>
      <c r="FY17" s="28"/>
      <c r="FZ17" s="28"/>
      <c r="GA17" s="28"/>
      <c r="GB17" s="26"/>
      <c r="GC17" s="26"/>
      <c r="GD17" s="28"/>
      <c r="GE17" s="28"/>
      <c r="GF17" s="28"/>
      <c r="GG17" s="28"/>
      <c r="GH17" s="26" t="s">
        <v>20</v>
      </c>
      <c r="GI17" s="26" t="s">
        <v>20</v>
      </c>
      <c r="GJ17" s="26" t="s">
        <v>20</v>
      </c>
      <c r="GK17" s="28"/>
      <c r="GL17" s="28"/>
      <c r="GM17" s="31"/>
      <c r="GN17" s="26"/>
      <c r="GO17" s="31"/>
      <c r="GP17" s="31"/>
      <c r="GQ17" s="38"/>
      <c r="GR17" s="39"/>
      <c r="GS17" s="39"/>
      <c r="GT17" s="39"/>
      <c r="GU17" s="39"/>
      <c r="GV17" s="39"/>
      <c r="GW17" s="39"/>
      <c r="GX17" s="39"/>
      <c r="GY17" s="39"/>
      <c r="GZ17" s="40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40"/>
      <c r="HM17" s="40"/>
      <c r="HN17" s="39"/>
      <c r="HO17" s="39"/>
      <c r="HP17" s="39"/>
      <c r="HQ17" s="39"/>
      <c r="HR17" s="39"/>
      <c r="HS17" s="39"/>
      <c r="HT17" s="39"/>
      <c r="HU17" s="40"/>
      <c r="HV17" s="39"/>
      <c r="HW17" s="38"/>
      <c r="HX17" s="41"/>
      <c r="HY17" s="39"/>
      <c r="HZ17" s="39"/>
      <c r="IA17" s="39"/>
      <c r="IB17" s="39"/>
      <c r="IC17" s="39"/>
      <c r="ID17" s="40"/>
      <c r="IE17" s="39"/>
      <c r="IF17" s="39"/>
      <c r="IG17" s="39"/>
      <c r="IH17" s="40"/>
      <c r="II17" s="40"/>
      <c r="IJ17" s="42"/>
      <c r="IK17" s="42"/>
      <c r="IL17" s="39"/>
      <c r="IM17" s="39"/>
      <c r="IN17" s="39"/>
      <c r="IO17" s="42"/>
      <c r="IP17" s="40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8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8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40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8"/>
      <c r="LO17" s="39"/>
      <c r="LP17" s="39"/>
      <c r="LQ17" s="40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8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8"/>
    </row>
    <row r="18">
      <c r="A18" s="47" t="s">
        <v>408</v>
      </c>
      <c r="B18" s="26" t="str">
        <f>IFERROR(__xludf.DUMMYFUNCTION("VLOOKUP(A18, IMPORTRANGE(""https://docs.google.com/spreadsheets/d/1KpTMcNM9m1P7u9qCVzob8p1-RZoC1ejaYs5CdpAbWFY/edit?gid=260580969#gid=260580969"", ""2025 EMP PROFILE DATA!a1:W98""), 22, FALSE)"),"#REF!")</f>
        <v>#REF!</v>
      </c>
      <c r="C18" s="45">
        <f t="shared" si="1"/>
        <v>0</v>
      </c>
      <c r="D18" s="45">
        <f t="shared" si="2"/>
        <v>4</v>
      </c>
      <c r="E18" s="45">
        <f t="shared" si="3"/>
        <v>3</v>
      </c>
      <c r="F18" s="45">
        <f t="shared" si="4"/>
        <v>0</v>
      </c>
      <c r="G18" s="46">
        <f t="shared" si="5"/>
        <v>0</v>
      </c>
      <c r="H18" s="46">
        <f t="shared" si="6"/>
        <v>0.007575757576</v>
      </c>
      <c r="I18" s="28">
        <f t="shared" si="7"/>
        <v>3</v>
      </c>
      <c r="J18" s="26">
        <v>0.0</v>
      </c>
      <c r="K18" s="26">
        <v>0.0</v>
      </c>
      <c r="L18" s="49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7" t="s">
        <v>20</v>
      </c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29"/>
      <c r="AS18" s="28"/>
      <c r="AT18" s="28"/>
      <c r="AU18" s="28"/>
      <c r="AV18" s="28"/>
      <c r="AW18" s="26"/>
      <c r="AX18" s="28"/>
      <c r="AY18" s="28"/>
      <c r="AZ18" s="26"/>
      <c r="BA18" s="28"/>
      <c r="BB18" s="26"/>
      <c r="BC18" s="37" t="s">
        <v>21</v>
      </c>
      <c r="BD18" s="28"/>
      <c r="BE18" s="26"/>
      <c r="BF18" s="28"/>
      <c r="BG18" s="28"/>
      <c r="BH18" s="26"/>
      <c r="BI18" s="26"/>
      <c r="BJ18" s="26"/>
      <c r="BK18" s="28"/>
      <c r="BL18" s="28"/>
      <c r="BM18" s="26"/>
      <c r="BN18" s="28"/>
      <c r="BO18" s="28"/>
      <c r="BP18" s="28"/>
      <c r="BQ18" s="28"/>
      <c r="BR18" s="28"/>
      <c r="BS18" s="31"/>
      <c r="BT18" s="26"/>
      <c r="BU18" s="32"/>
      <c r="BV18" s="33"/>
      <c r="BW18" s="33"/>
      <c r="BX18" s="33"/>
      <c r="BY18" s="47" t="s">
        <v>20</v>
      </c>
      <c r="BZ18" s="33"/>
      <c r="CA18" s="33"/>
      <c r="CB18" s="35"/>
      <c r="CC18" s="33"/>
      <c r="CD18" s="33"/>
      <c r="CE18" s="34"/>
      <c r="CF18" s="36"/>
      <c r="CG18" s="26" t="s">
        <v>20</v>
      </c>
      <c r="CH18" s="28"/>
      <c r="CI18" s="28"/>
      <c r="CJ18" s="28"/>
      <c r="CK18" s="28"/>
      <c r="CL18" s="26"/>
      <c r="CM18" s="28"/>
      <c r="CN18" s="28"/>
      <c r="CO18" s="28"/>
      <c r="CP18" s="26"/>
      <c r="CQ18" s="28"/>
      <c r="CR18" s="28"/>
      <c r="CS18" s="28"/>
      <c r="CT18" s="28"/>
      <c r="CU18" s="26"/>
      <c r="CV18" s="31"/>
      <c r="CW18" s="26"/>
      <c r="CX18" s="26"/>
      <c r="CY18" s="26"/>
      <c r="CZ18" s="31"/>
      <c r="DA18" s="32"/>
      <c r="DB18" s="28"/>
      <c r="DC18" s="28"/>
      <c r="DD18" s="28"/>
      <c r="DE18" s="26"/>
      <c r="DF18" s="26"/>
      <c r="DG18" s="26"/>
      <c r="DH18" s="26"/>
      <c r="DI18" s="26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37" t="s">
        <v>21</v>
      </c>
      <c r="DX18" s="26"/>
      <c r="DY18" s="28"/>
      <c r="DZ18" s="28"/>
      <c r="EA18" s="28"/>
      <c r="EB18" s="31"/>
      <c r="EC18" s="26"/>
      <c r="ED18" s="31"/>
      <c r="EE18" s="26"/>
      <c r="EF18" s="32"/>
      <c r="EG18" s="28"/>
      <c r="EH18" s="37" t="s">
        <v>21</v>
      </c>
      <c r="EI18" s="28"/>
      <c r="EJ18" s="28"/>
      <c r="EK18" s="26"/>
      <c r="EL18" s="28"/>
      <c r="EM18" s="28"/>
      <c r="EN18" s="26"/>
      <c r="EO18" s="26"/>
      <c r="EP18" s="28"/>
      <c r="EQ18" s="28"/>
      <c r="ER18" s="26"/>
      <c r="ES18" s="28"/>
      <c r="ET18" s="26"/>
      <c r="EU18" s="26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6"/>
      <c r="FH18" s="26"/>
      <c r="FI18" s="31"/>
      <c r="FJ18" s="31"/>
      <c r="FK18" s="31"/>
      <c r="FL18" s="32"/>
      <c r="FM18" s="28"/>
      <c r="FN18" s="26"/>
      <c r="FO18" s="28"/>
      <c r="FP18" s="28"/>
      <c r="FQ18" s="26"/>
      <c r="FR18" s="28"/>
      <c r="FS18" s="28"/>
      <c r="FT18" s="28"/>
      <c r="FU18" s="26"/>
      <c r="FV18" s="28"/>
      <c r="FW18" s="28"/>
      <c r="FX18" s="26"/>
      <c r="FY18" s="28"/>
      <c r="FZ18" s="28"/>
      <c r="GA18" s="28"/>
      <c r="GB18" s="26"/>
      <c r="GC18" s="26"/>
      <c r="GD18" s="28"/>
      <c r="GE18" s="28"/>
      <c r="GF18" s="28"/>
      <c r="GG18" s="28"/>
      <c r="GH18" s="28"/>
      <c r="GI18" s="26"/>
      <c r="GJ18" s="28"/>
      <c r="GK18" s="28"/>
      <c r="GL18" s="28"/>
      <c r="GM18" s="31"/>
      <c r="GN18" s="26"/>
      <c r="GO18" s="58" t="s">
        <v>20</v>
      </c>
      <c r="GP18" s="31"/>
      <c r="GQ18" s="38"/>
      <c r="GR18" s="39"/>
      <c r="GS18" s="39"/>
      <c r="GT18" s="39"/>
      <c r="GU18" s="39"/>
      <c r="GV18" s="39"/>
      <c r="GW18" s="39"/>
      <c r="GX18" s="39"/>
      <c r="GY18" s="39"/>
      <c r="GZ18" s="40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40"/>
      <c r="HM18" s="40"/>
      <c r="HN18" s="39"/>
      <c r="HO18" s="39"/>
      <c r="HP18" s="39"/>
      <c r="HQ18" s="39"/>
      <c r="HR18" s="39"/>
      <c r="HS18" s="39"/>
      <c r="HT18" s="39"/>
      <c r="HU18" s="40"/>
      <c r="HV18" s="39"/>
      <c r="HW18" s="38"/>
      <c r="HX18" s="41"/>
      <c r="HY18" s="39"/>
      <c r="HZ18" s="39"/>
      <c r="IA18" s="39"/>
      <c r="IB18" s="39"/>
      <c r="IC18" s="39"/>
      <c r="ID18" s="40"/>
      <c r="IE18" s="39"/>
      <c r="IF18" s="39"/>
      <c r="IG18" s="39"/>
      <c r="IH18" s="40"/>
      <c r="II18" s="40"/>
      <c r="IJ18" s="42"/>
      <c r="IK18" s="42"/>
      <c r="IL18" s="39"/>
      <c r="IM18" s="39"/>
      <c r="IN18" s="39"/>
      <c r="IO18" s="42"/>
      <c r="IP18" s="40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8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8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40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8"/>
      <c r="LO18" s="39"/>
      <c r="LP18" s="39"/>
      <c r="LQ18" s="40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9"/>
      <c r="MM18" s="39"/>
      <c r="MN18" s="39"/>
      <c r="MO18" s="39"/>
      <c r="MP18" s="39"/>
      <c r="MQ18" s="39"/>
      <c r="MR18" s="39"/>
      <c r="MS18" s="38"/>
      <c r="MT18" s="39"/>
      <c r="MU18" s="39"/>
      <c r="MV18" s="39"/>
      <c r="MW18" s="39"/>
      <c r="MX18" s="39"/>
      <c r="MY18" s="39"/>
      <c r="MZ18" s="39"/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K18" s="39"/>
      <c r="NL18" s="39"/>
      <c r="NM18" s="39"/>
      <c r="NN18" s="39"/>
      <c r="NO18" s="39"/>
      <c r="NP18" s="39"/>
      <c r="NQ18" s="39"/>
      <c r="NR18" s="39"/>
      <c r="NS18" s="39"/>
      <c r="NT18" s="39"/>
      <c r="NU18" s="39"/>
      <c r="NV18" s="39"/>
      <c r="NW18" s="39"/>
      <c r="NX18" s="39"/>
      <c r="NY18" s="38"/>
    </row>
    <row r="19">
      <c r="A19" s="50" t="s">
        <v>409</v>
      </c>
      <c r="B19" s="26" t="str">
        <f>IFERROR(__xludf.DUMMYFUNCTION("VLOOKUP(A19, IMPORTRANGE(""https://docs.google.com/spreadsheets/d/1KpTMcNM9m1P7u9qCVzob8p1-RZoC1ejaYs5CdpAbWFY/edit?gid=260580969#gid=260580969"", ""2025 EMP PROFILE DATA!a1:W98""), 22, FALSE)"),"#REF!")</f>
        <v>#REF!</v>
      </c>
      <c r="C19" s="50">
        <f t="shared" si="1"/>
        <v>0</v>
      </c>
      <c r="D19" s="50">
        <f t="shared" si="2"/>
        <v>0</v>
      </c>
      <c r="E19" s="50">
        <f t="shared" si="3"/>
        <v>32</v>
      </c>
      <c r="F19" s="50">
        <f t="shared" si="4"/>
        <v>0</v>
      </c>
      <c r="G19" s="51">
        <f t="shared" si="5"/>
        <v>0</v>
      </c>
      <c r="H19" s="51">
        <f t="shared" si="6"/>
        <v>0.08080808081</v>
      </c>
      <c r="I19" s="28">
        <f t="shared" si="7"/>
        <v>32</v>
      </c>
      <c r="J19" s="26">
        <v>0.0</v>
      </c>
      <c r="K19" s="26">
        <v>0.0</v>
      </c>
      <c r="L19" s="52"/>
      <c r="M19" s="50"/>
      <c r="N19" s="37" t="s">
        <v>21</v>
      </c>
      <c r="O19" s="50"/>
      <c r="P19" s="50"/>
      <c r="Q19" s="37" t="s">
        <v>21</v>
      </c>
      <c r="R19" s="37" t="s">
        <v>21</v>
      </c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29"/>
      <c r="AS19" s="28"/>
      <c r="AT19" s="28"/>
      <c r="AU19" s="28"/>
      <c r="AV19" s="28"/>
      <c r="AW19" s="26"/>
      <c r="AX19" s="28"/>
      <c r="AY19" s="28"/>
      <c r="AZ19" s="26"/>
      <c r="BA19" s="28"/>
      <c r="BB19" s="37" t="s">
        <v>21</v>
      </c>
      <c r="BC19" s="37" t="s">
        <v>21</v>
      </c>
      <c r="BD19" s="28"/>
      <c r="BE19" s="26"/>
      <c r="BF19" s="28"/>
      <c r="BG19" s="28"/>
      <c r="BH19" s="26"/>
      <c r="BI19" s="26"/>
      <c r="BJ19" s="26"/>
      <c r="BK19" s="28"/>
      <c r="BL19" s="28"/>
      <c r="BM19" s="37" t="s">
        <v>21</v>
      </c>
      <c r="BN19" s="28"/>
      <c r="BO19" s="28"/>
      <c r="BP19" s="28"/>
      <c r="BQ19" s="28"/>
      <c r="BR19" s="37" t="s">
        <v>21</v>
      </c>
      <c r="BS19" s="37" t="s">
        <v>21</v>
      </c>
      <c r="BT19" s="26"/>
      <c r="BU19" s="32"/>
      <c r="BV19" s="33"/>
      <c r="BW19" s="33"/>
      <c r="BX19" s="33"/>
      <c r="BY19" s="37" t="s">
        <v>21</v>
      </c>
      <c r="BZ19" s="33"/>
      <c r="CA19" s="33"/>
      <c r="CB19" s="37" t="s">
        <v>21</v>
      </c>
      <c r="CC19" s="33"/>
      <c r="CD19" s="37" t="s">
        <v>21</v>
      </c>
      <c r="CE19" s="34"/>
      <c r="CF19" s="36"/>
      <c r="CG19" s="37" t="s">
        <v>21</v>
      </c>
      <c r="CH19" s="28"/>
      <c r="CI19" s="37" t="s">
        <v>21</v>
      </c>
      <c r="CJ19" s="28"/>
      <c r="CK19" s="28"/>
      <c r="CL19" s="37" t="s">
        <v>21</v>
      </c>
      <c r="CM19" s="37" t="s">
        <v>21</v>
      </c>
      <c r="CN19" s="37" t="s">
        <v>21</v>
      </c>
      <c r="CO19" s="28"/>
      <c r="CP19" s="26"/>
      <c r="CQ19" s="28"/>
      <c r="CR19" s="28"/>
      <c r="CS19" s="37" t="s">
        <v>21</v>
      </c>
      <c r="CT19" s="28"/>
      <c r="CU19" s="26"/>
      <c r="CV19" s="31"/>
      <c r="CW19" s="26"/>
      <c r="CX19" s="26"/>
      <c r="CY19" s="26"/>
      <c r="CZ19" s="31"/>
      <c r="DA19" s="32"/>
      <c r="DB19" s="28"/>
      <c r="DC19" s="28"/>
      <c r="DD19" s="37" t="s">
        <v>21</v>
      </c>
      <c r="DE19" s="37" t="s">
        <v>21</v>
      </c>
      <c r="DF19" s="26"/>
      <c r="DG19" s="26"/>
      <c r="DH19" s="37" t="s">
        <v>21</v>
      </c>
      <c r="DI19" s="26"/>
      <c r="DJ19" s="28"/>
      <c r="DK19" s="28"/>
      <c r="DL19" s="28"/>
      <c r="DM19" s="28"/>
      <c r="DN19" s="28"/>
      <c r="DO19" s="28"/>
      <c r="DP19" s="28"/>
      <c r="DQ19" s="28"/>
      <c r="DR19" s="28"/>
      <c r="DS19" s="37" t="s">
        <v>21</v>
      </c>
      <c r="DT19" s="28"/>
      <c r="DU19" s="37" t="s">
        <v>21</v>
      </c>
      <c r="DV19" s="37" t="s">
        <v>21</v>
      </c>
      <c r="DW19" s="37" t="s">
        <v>21</v>
      </c>
      <c r="DX19" s="26"/>
      <c r="DY19" s="28"/>
      <c r="DZ19" s="28"/>
      <c r="EA19" s="28"/>
      <c r="EB19" s="31"/>
      <c r="EC19" s="26"/>
      <c r="ED19" s="31"/>
      <c r="EE19" s="26"/>
      <c r="EF19" s="32"/>
      <c r="EG19" s="28"/>
      <c r="EH19" s="37" t="s">
        <v>21</v>
      </c>
      <c r="EI19" s="28"/>
      <c r="EJ19" s="37" t="s">
        <v>21</v>
      </c>
      <c r="EK19" s="26"/>
      <c r="EL19" s="28"/>
      <c r="EM19" s="28"/>
      <c r="EN19" s="26"/>
      <c r="EO19" s="26"/>
      <c r="EP19" s="28"/>
      <c r="EQ19" s="28"/>
      <c r="ER19" s="26"/>
      <c r="ES19" s="28"/>
      <c r="ET19" s="26"/>
      <c r="EU19" s="26"/>
      <c r="EV19" s="28"/>
      <c r="EW19" s="28"/>
      <c r="EX19" s="37" t="s">
        <v>21</v>
      </c>
      <c r="EY19" s="28"/>
      <c r="EZ19" s="28"/>
      <c r="FA19" s="28"/>
      <c r="FB19" s="28"/>
      <c r="FC19" s="28"/>
      <c r="FD19" s="28"/>
      <c r="FE19" s="28"/>
      <c r="FF19" s="28"/>
      <c r="FG19" s="26"/>
      <c r="FH19" s="26"/>
      <c r="FI19" s="31"/>
      <c r="FJ19" s="31"/>
      <c r="FK19" s="31"/>
      <c r="FL19" s="32"/>
      <c r="FM19" s="28"/>
      <c r="FN19" s="26"/>
      <c r="FO19" s="28"/>
      <c r="FP19" s="37" t="s">
        <v>21</v>
      </c>
      <c r="FQ19" s="26"/>
      <c r="FR19" s="28"/>
      <c r="FS19" s="28"/>
      <c r="FT19" s="28"/>
      <c r="FU19" s="37" t="s">
        <v>21</v>
      </c>
      <c r="FV19" s="37" t="s">
        <v>21</v>
      </c>
      <c r="FW19" s="37" t="s">
        <v>21</v>
      </c>
      <c r="FX19" s="37" t="s">
        <v>21</v>
      </c>
      <c r="FY19" s="28"/>
      <c r="FZ19" s="28"/>
      <c r="GA19" s="28"/>
      <c r="GB19" s="26"/>
      <c r="GC19" s="26"/>
      <c r="GD19" s="28"/>
      <c r="GE19" s="28"/>
      <c r="GF19" s="28"/>
      <c r="GG19" s="28"/>
      <c r="GH19" s="28"/>
      <c r="GI19" s="26"/>
      <c r="GJ19" s="28"/>
      <c r="GK19" s="28"/>
      <c r="GL19" s="28"/>
      <c r="GM19" s="31"/>
      <c r="GN19" s="26"/>
      <c r="GO19" s="31"/>
      <c r="GP19" s="31"/>
      <c r="GQ19" s="38"/>
      <c r="GR19" s="39"/>
      <c r="GS19" s="39"/>
      <c r="GT19" s="39"/>
      <c r="GU19" s="39"/>
      <c r="GV19" s="39"/>
      <c r="GW19" s="39"/>
      <c r="GX19" s="39"/>
      <c r="GY19" s="39"/>
      <c r="GZ19" s="40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40"/>
      <c r="HM19" s="40"/>
      <c r="HN19" s="39"/>
      <c r="HO19" s="39"/>
      <c r="HP19" s="39"/>
      <c r="HQ19" s="39"/>
      <c r="HR19" s="39"/>
      <c r="HS19" s="39"/>
      <c r="HT19" s="39"/>
      <c r="HU19" s="40"/>
      <c r="HV19" s="39"/>
      <c r="HW19" s="38"/>
      <c r="HX19" s="41"/>
      <c r="HY19" s="39"/>
      <c r="HZ19" s="39"/>
      <c r="IA19" s="39"/>
      <c r="IB19" s="39"/>
      <c r="IC19" s="39"/>
      <c r="ID19" s="40"/>
      <c r="IE19" s="39"/>
      <c r="IF19" s="39"/>
      <c r="IG19" s="39"/>
      <c r="IH19" s="40"/>
      <c r="II19" s="40"/>
      <c r="IJ19" s="42"/>
      <c r="IK19" s="42"/>
      <c r="IL19" s="39"/>
      <c r="IM19" s="39"/>
      <c r="IN19" s="39"/>
      <c r="IO19" s="42"/>
      <c r="IP19" s="40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8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8"/>
      <c r="KI19" s="39"/>
      <c r="KJ19" s="39"/>
      <c r="KK19" s="39"/>
      <c r="KL19" s="39"/>
      <c r="KM19" s="39"/>
      <c r="KN19" s="39"/>
      <c r="KO19" s="39"/>
      <c r="KP19" s="39"/>
      <c r="KQ19" s="39"/>
      <c r="KR19" s="39"/>
      <c r="KS19" s="39"/>
      <c r="KT19" s="39"/>
      <c r="KU19" s="40"/>
      <c r="KV19" s="39"/>
      <c r="KW19" s="39"/>
      <c r="KX19" s="39"/>
      <c r="KY19" s="39"/>
      <c r="KZ19" s="39"/>
      <c r="LA19" s="39"/>
      <c r="LB19" s="39"/>
      <c r="LC19" s="39"/>
      <c r="LD19" s="39"/>
      <c r="LE19" s="39"/>
      <c r="LF19" s="39"/>
      <c r="LG19" s="39"/>
      <c r="LH19" s="39"/>
      <c r="LI19" s="39"/>
      <c r="LJ19" s="39"/>
      <c r="LK19" s="39"/>
      <c r="LL19" s="39"/>
      <c r="LM19" s="39"/>
      <c r="LN19" s="38"/>
      <c r="LO19" s="39"/>
      <c r="LP19" s="39"/>
      <c r="LQ19" s="40"/>
      <c r="LR19" s="39"/>
      <c r="LS19" s="39"/>
      <c r="LT19" s="39"/>
      <c r="LU19" s="39"/>
      <c r="LV19" s="39"/>
      <c r="LW19" s="39"/>
      <c r="LX19" s="39"/>
      <c r="LY19" s="39"/>
      <c r="LZ19" s="39"/>
      <c r="MA19" s="39"/>
      <c r="MB19" s="39"/>
      <c r="MC19" s="39"/>
      <c r="MD19" s="39"/>
      <c r="ME19" s="39"/>
      <c r="MF19" s="39"/>
      <c r="MG19" s="39"/>
      <c r="MH19" s="39"/>
      <c r="MI19" s="39"/>
      <c r="MJ19" s="39"/>
      <c r="MK19" s="39"/>
      <c r="ML19" s="39"/>
      <c r="MM19" s="39"/>
      <c r="MN19" s="39"/>
      <c r="MO19" s="39"/>
      <c r="MP19" s="39"/>
      <c r="MQ19" s="39"/>
      <c r="MR19" s="39"/>
      <c r="MS19" s="38"/>
      <c r="MT19" s="39"/>
      <c r="MU19" s="39"/>
      <c r="MV19" s="39"/>
      <c r="MW19" s="39"/>
      <c r="MX19" s="39"/>
      <c r="MY19" s="39"/>
      <c r="MZ19" s="39"/>
      <c r="NA19" s="39"/>
      <c r="NB19" s="39"/>
      <c r="NC19" s="39"/>
      <c r="ND19" s="39"/>
      <c r="NE19" s="39"/>
      <c r="NF19" s="39"/>
      <c r="NG19" s="39"/>
      <c r="NH19" s="39"/>
      <c r="NI19" s="39"/>
      <c r="NJ19" s="39"/>
      <c r="NK19" s="39"/>
      <c r="NL19" s="39"/>
      <c r="NM19" s="39"/>
      <c r="NN19" s="39"/>
      <c r="NO19" s="39"/>
      <c r="NP19" s="39"/>
      <c r="NQ19" s="39"/>
      <c r="NR19" s="39"/>
      <c r="NS19" s="39"/>
      <c r="NT19" s="39"/>
      <c r="NU19" s="39"/>
      <c r="NV19" s="39"/>
      <c r="NW19" s="39"/>
      <c r="NX19" s="39"/>
      <c r="NY19" s="38"/>
    </row>
    <row r="20">
      <c r="A20" s="50" t="s">
        <v>410</v>
      </c>
      <c r="B20" s="26" t="str">
        <f>IFERROR(__xludf.DUMMYFUNCTION("VLOOKUP(A20, IMPORTRANGE(""https://docs.google.com/spreadsheets/d/1KpTMcNM9m1P7u9qCVzob8p1-RZoC1ejaYs5CdpAbWFY/edit?gid=260580969#gid=260580969"", ""2025 EMP PROFILE DATA!a1:W98""), 22, FALSE)"),"#REF!")</f>
        <v>#REF!</v>
      </c>
      <c r="C20" s="50">
        <f t="shared" si="1"/>
        <v>0</v>
      </c>
      <c r="D20" s="50">
        <f t="shared" si="2"/>
        <v>2</v>
      </c>
      <c r="E20" s="50">
        <f t="shared" si="3"/>
        <v>11</v>
      </c>
      <c r="F20" s="50">
        <f t="shared" si="4"/>
        <v>0</v>
      </c>
      <c r="G20" s="51">
        <f t="shared" si="5"/>
        <v>0</v>
      </c>
      <c r="H20" s="51">
        <f t="shared" si="6"/>
        <v>0.02777777778</v>
      </c>
      <c r="I20" s="28">
        <f t="shared" si="7"/>
        <v>11</v>
      </c>
      <c r="J20" s="26">
        <v>0.0</v>
      </c>
      <c r="K20" s="26">
        <v>0.0</v>
      </c>
      <c r="L20" s="52"/>
      <c r="M20" s="50"/>
      <c r="N20" s="50"/>
      <c r="O20" s="50"/>
      <c r="P20" s="50"/>
      <c r="Q20" s="50"/>
      <c r="R20" s="37" t="s">
        <v>21</v>
      </c>
      <c r="S20" s="50"/>
      <c r="T20" s="59" t="s">
        <v>20</v>
      </c>
      <c r="U20" s="50"/>
      <c r="V20" s="50"/>
      <c r="W20" s="50"/>
      <c r="X20" s="37" t="s">
        <v>21</v>
      </c>
      <c r="Y20" s="50"/>
      <c r="Z20" s="50"/>
      <c r="AA20" s="37" t="s">
        <v>21</v>
      </c>
      <c r="AB20" s="50"/>
      <c r="AC20" s="50"/>
      <c r="AD20" s="50"/>
      <c r="AE20" s="50"/>
      <c r="AF20" s="37" t="s">
        <v>21</v>
      </c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29"/>
      <c r="AS20" s="28"/>
      <c r="AT20" s="28"/>
      <c r="AU20" s="28"/>
      <c r="AV20" s="26" t="s">
        <v>20</v>
      </c>
      <c r="AW20" s="26"/>
      <c r="AX20" s="28"/>
      <c r="AY20" s="28"/>
      <c r="AZ20" s="26"/>
      <c r="BA20" s="28"/>
      <c r="BB20" s="26"/>
      <c r="BC20" s="37" t="s">
        <v>21</v>
      </c>
      <c r="BD20" s="28"/>
      <c r="BE20" s="26"/>
      <c r="BF20" s="28"/>
      <c r="BG20" s="28"/>
      <c r="BH20" s="26"/>
      <c r="BI20" s="26"/>
      <c r="BJ20" s="26"/>
      <c r="BK20" s="28"/>
      <c r="BL20" s="28"/>
      <c r="BM20" s="26"/>
      <c r="BN20" s="28"/>
      <c r="BO20" s="28"/>
      <c r="BP20" s="28"/>
      <c r="BQ20" s="28"/>
      <c r="BR20" s="28"/>
      <c r="BS20" s="31"/>
      <c r="BT20" s="37" t="s">
        <v>21</v>
      </c>
      <c r="BU20" s="32"/>
      <c r="BV20" s="33"/>
      <c r="BW20" s="33"/>
      <c r="BX20" s="33"/>
      <c r="BY20" s="33"/>
      <c r="BZ20" s="33"/>
      <c r="CA20" s="33"/>
      <c r="CB20" s="35"/>
      <c r="CC20" s="33"/>
      <c r="CD20" s="33"/>
      <c r="CE20" s="34"/>
      <c r="CF20" s="36"/>
      <c r="CG20" s="26"/>
      <c r="CH20" s="28"/>
      <c r="CI20" s="28"/>
      <c r="CJ20" s="28"/>
      <c r="CK20" s="37" t="s">
        <v>21</v>
      </c>
      <c r="CL20" s="26"/>
      <c r="CM20" s="37" t="s">
        <v>21</v>
      </c>
      <c r="CN20" s="28"/>
      <c r="CO20" s="28"/>
      <c r="CP20" s="26"/>
      <c r="CQ20" s="28"/>
      <c r="CR20" s="28"/>
      <c r="CS20" s="28"/>
      <c r="CT20" s="28"/>
      <c r="CU20" s="26"/>
      <c r="CV20" s="31"/>
      <c r="CW20" s="26"/>
      <c r="CX20" s="26"/>
      <c r="CY20" s="26"/>
      <c r="CZ20" s="31"/>
      <c r="DA20" s="32"/>
      <c r="DB20" s="28"/>
      <c r="DC20" s="28"/>
      <c r="DD20" s="28"/>
      <c r="DE20" s="26"/>
      <c r="DF20" s="26"/>
      <c r="DG20" s="26"/>
      <c r="DH20" s="26"/>
      <c r="DI20" s="26"/>
      <c r="DJ20" s="28"/>
      <c r="DK20" s="28"/>
      <c r="DL20" s="28"/>
      <c r="DM20" s="28"/>
      <c r="DN20" s="28"/>
      <c r="DO20" s="37" t="s">
        <v>21</v>
      </c>
      <c r="DP20" s="37" t="s">
        <v>21</v>
      </c>
      <c r="DQ20" s="28"/>
      <c r="DR20" s="28"/>
      <c r="DS20" s="28"/>
      <c r="DT20" s="28"/>
      <c r="DU20" s="28"/>
      <c r="DV20" s="28"/>
      <c r="DW20" s="26"/>
      <c r="DX20" s="26"/>
      <c r="DY20" s="28"/>
      <c r="DZ20" s="28"/>
      <c r="EA20" s="28"/>
      <c r="EB20" s="31"/>
      <c r="EC20" s="26"/>
      <c r="ED20" s="31"/>
      <c r="EE20" s="26"/>
      <c r="EF20" s="32"/>
      <c r="EG20" s="28"/>
      <c r="EH20" s="26"/>
      <c r="EI20" s="28"/>
      <c r="EJ20" s="28"/>
      <c r="EK20" s="26"/>
      <c r="EL20" s="28"/>
      <c r="EM20" s="28"/>
      <c r="EN20" s="26"/>
      <c r="EO20" s="26"/>
      <c r="EP20" s="28"/>
      <c r="EQ20" s="28"/>
      <c r="ER20" s="26"/>
      <c r="ES20" s="28"/>
      <c r="ET20" s="26"/>
      <c r="EU20" s="26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6"/>
      <c r="FH20" s="26"/>
      <c r="FI20" s="31"/>
      <c r="FJ20" s="31"/>
      <c r="FK20" s="31"/>
      <c r="FL20" s="32"/>
      <c r="FM20" s="28"/>
      <c r="FN20" s="26"/>
      <c r="FO20" s="28"/>
      <c r="FP20" s="28"/>
      <c r="FQ20" s="26"/>
      <c r="FR20" s="28"/>
      <c r="FS20" s="28"/>
      <c r="FT20" s="28"/>
      <c r="FU20" s="26"/>
      <c r="FV20" s="37" t="s">
        <v>21</v>
      </c>
      <c r="FW20" s="28"/>
      <c r="FX20" s="26"/>
      <c r="FY20" s="28"/>
      <c r="FZ20" s="28"/>
      <c r="GA20" s="28"/>
      <c r="GB20" s="26"/>
      <c r="GC20" s="26"/>
      <c r="GD20" s="28"/>
      <c r="GE20" s="28"/>
      <c r="GF20" s="28"/>
      <c r="GG20" s="28"/>
      <c r="GH20" s="28"/>
      <c r="GI20" s="26"/>
      <c r="GJ20" s="28"/>
      <c r="GK20" s="28"/>
      <c r="GL20" s="28"/>
      <c r="GM20" s="31"/>
      <c r="GN20" s="26"/>
      <c r="GO20" s="31"/>
      <c r="GP20" s="31"/>
      <c r="GQ20" s="38"/>
      <c r="GR20" s="39"/>
      <c r="GS20" s="39"/>
      <c r="GT20" s="39"/>
      <c r="GU20" s="39"/>
      <c r="GV20" s="39"/>
      <c r="GW20" s="39"/>
      <c r="GX20" s="39"/>
      <c r="GY20" s="39"/>
      <c r="GZ20" s="40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40"/>
      <c r="HM20" s="40"/>
      <c r="HN20" s="39"/>
      <c r="HO20" s="39"/>
      <c r="HP20" s="39"/>
      <c r="HQ20" s="39"/>
      <c r="HR20" s="39"/>
      <c r="HS20" s="39"/>
      <c r="HT20" s="39"/>
      <c r="HU20" s="40"/>
      <c r="HV20" s="39"/>
      <c r="HW20" s="38"/>
      <c r="HX20" s="41"/>
      <c r="HY20" s="39"/>
      <c r="HZ20" s="39"/>
      <c r="IA20" s="39"/>
      <c r="IB20" s="39"/>
      <c r="IC20" s="39"/>
      <c r="ID20" s="40"/>
      <c r="IE20" s="39"/>
      <c r="IF20" s="39"/>
      <c r="IG20" s="39"/>
      <c r="IH20" s="40"/>
      <c r="II20" s="40"/>
      <c r="IJ20" s="42"/>
      <c r="IK20" s="42"/>
      <c r="IL20" s="39"/>
      <c r="IM20" s="39"/>
      <c r="IN20" s="39"/>
      <c r="IO20" s="42"/>
      <c r="IP20" s="40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8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8"/>
      <c r="KI20" s="39"/>
      <c r="KJ20" s="39"/>
      <c r="KK20" s="39"/>
      <c r="KL20" s="39"/>
      <c r="KM20" s="39"/>
      <c r="KN20" s="39"/>
      <c r="KO20" s="39"/>
      <c r="KP20" s="39"/>
      <c r="KQ20" s="39"/>
      <c r="KR20" s="39"/>
      <c r="KS20" s="39"/>
      <c r="KT20" s="39"/>
      <c r="KU20" s="40"/>
      <c r="KV20" s="39"/>
      <c r="KW20" s="39"/>
      <c r="KX20" s="39"/>
      <c r="KY20" s="39"/>
      <c r="KZ20" s="39"/>
      <c r="LA20" s="39"/>
      <c r="LB20" s="39"/>
      <c r="LC20" s="39"/>
      <c r="LD20" s="39"/>
      <c r="LE20" s="39"/>
      <c r="LF20" s="39"/>
      <c r="LG20" s="39"/>
      <c r="LH20" s="39"/>
      <c r="LI20" s="39"/>
      <c r="LJ20" s="39"/>
      <c r="LK20" s="39"/>
      <c r="LL20" s="39"/>
      <c r="LM20" s="39"/>
      <c r="LN20" s="38"/>
      <c r="LO20" s="39"/>
      <c r="LP20" s="39"/>
      <c r="LQ20" s="40"/>
      <c r="LR20" s="39"/>
      <c r="LS20" s="39"/>
      <c r="LT20" s="39"/>
      <c r="LU20" s="39"/>
      <c r="LV20" s="39"/>
      <c r="LW20" s="39"/>
      <c r="LX20" s="39"/>
      <c r="LY20" s="39"/>
      <c r="LZ20" s="39"/>
      <c r="MA20" s="39"/>
      <c r="MB20" s="39"/>
      <c r="MC20" s="39"/>
      <c r="MD20" s="39"/>
      <c r="ME20" s="39"/>
      <c r="MF20" s="39"/>
      <c r="MG20" s="39"/>
      <c r="MH20" s="39"/>
      <c r="MI20" s="39"/>
      <c r="MJ20" s="39"/>
      <c r="MK20" s="39"/>
      <c r="ML20" s="39"/>
      <c r="MM20" s="39"/>
      <c r="MN20" s="39"/>
      <c r="MO20" s="39"/>
      <c r="MP20" s="39"/>
      <c r="MQ20" s="39"/>
      <c r="MR20" s="39"/>
      <c r="MS20" s="38"/>
      <c r="MT20" s="39"/>
      <c r="MU20" s="39"/>
      <c r="MV20" s="39"/>
      <c r="MW20" s="39"/>
      <c r="MX20" s="39"/>
      <c r="MY20" s="39"/>
      <c r="MZ20" s="39"/>
      <c r="NA20" s="39"/>
      <c r="NB20" s="39"/>
      <c r="NC20" s="39"/>
      <c r="ND20" s="39"/>
      <c r="NE20" s="39"/>
      <c r="NF20" s="39"/>
      <c r="NG20" s="39"/>
      <c r="NH20" s="39"/>
      <c r="NI20" s="39"/>
      <c r="NJ20" s="39"/>
      <c r="NK20" s="39"/>
      <c r="NL20" s="39"/>
      <c r="NM20" s="39"/>
      <c r="NN20" s="39"/>
      <c r="NO20" s="39"/>
      <c r="NP20" s="39"/>
      <c r="NQ20" s="39"/>
      <c r="NR20" s="39"/>
      <c r="NS20" s="39"/>
      <c r="NT20" s="39"/>
      <c r="NU20" s="39"/>
      <c r="NV20" s="39"/>
      <c r="NW20" s="39"/>
      <c r="NX20" s="39"/>
      <c r="NY20" s="38"/>
    </row>
    <row r="21">
      <c r="A21" s="50" t="s">
        <v>411</v>
      </c>
      <c r="B21" s="26" t="str">
        <f>IFERROR(__xludf.DUMMYFUNCTION("VLOOKUP(A21, IMPORTRANGE(""https://docs.google.com/spreadsheets/d/1KpTMcNM9m1P7u9qCVzob8p1-RZoC1ejaYs5CdpAbWFY/edit?gid=260580969#gid=260580969"", ""2025 EMP PROFILE DATA!a1:W98""), 22, FALSE)"),"#REF!")</f>
        <v>#REF!</v>
      </c>
      <c r="C21" s="50">
        <f t="shared" si="1"/>
        <v>0</v>
      </c>
      <c r="D21" s="50">
        <f t="shared" si="2"/>
        <v>0</v>
      </c>
      <c r="E21" s="50">
        <f t="shared" si="3"/>
        <v>0</v>
      </c>
      <c r="F21" s="50">
        <f t="shared" si="4"/>
        <v>0</v>
      </c>
      <c r="G21" s="51">
        <f t="shared" si="5"/>
        <v>0</v>
      </c>
      <c r="H21" s="51">
        <f t="shared" si="6"/>
        <v>0</v>
      </c>
      <c r="I21" s="28">
        <f t="shared" si="7"/>
        <v>0</v>
      </c>
      <c r="J21" s="26">
        <v>0.0</v>
      </c>
      <c r="K21" s="26">
        <v>0.0</v>
      </c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29"/>
      <c r="AS21" s="28"/>
      <c r="AT21" s="28"/>
      <c r="AU21" s="28"/>
      <c r="AV21" s="28"/>
      <c r="AW21" s="26"/>
      <c r="AX21" s="28"/>
      <c r="AY21" s="28"/>
      <c r="AZ21" s="26"/>
      <c r="BA21" s="28"/>
      <c r="BB21" s="26"/>
      <c r="BC21" s="28"/>
      <c r="BD21" s="28"/>
      <c r="BE21" s="26"/>
      <c r="BF21" s="28"/>
      <c r="BG21" s="28"/>
      <c r="BH21" s="26"/>
      <c r="BI21" s="26"/>
      <c r="BJ21" s="26"/>
      <c r="BK21" s="28"/>
      <c r="BL21" s="28"/>
      <c r="BM21" s="26"/>
      <c r="BN21" s="28"/>
      <c r="BO21" s="28"/>
      <c r="BP21" s="28"/>
      <c r="BQ21" s="28"/>
      <c r="BR21" s="28"/>
      <c r="BS21" s="31"/>
      <c r="BT21" s="26"/>
      <c r="BU21" s="32"/>
      <c r="BV21" s="33"/>
      <c r="BW21" s="33"/>
      <c r="BX21" s="33"/>
      <c r="BY21" s="33"/>
      <c r="BZ21" s="33"/>
      <c r="CA21" s="33"/>
      <c r="CB21" s="35"/>
      <c r="CC21" s="33"/>
      <c r="CD21" s="33"/>
      <c r="CE21" s="34"/>
      <c r="CF21" s="36"/>
      <c r="CG21" s="26"/>
      <c r="CH21" s="28"/>
      <c r="CI21" s="28"/>
      <c r="CJ21" s="28"/>
      <c r="CK21" s="28"/>
      <c r="CL21" s="26"/>
      <c r="CM21" s="28"/>
      <c r="CN21" s="28"/>
      <c r="CO21" s="28"/>
      <c r="CP21" s="26"/>
      <c r="CQ21" s="28"/>
      <c r="CR21" s="28"/>
      <c r="CS21" s="28"/>
      <c r="CT21" s="28"/>
      <c r="CU21" s="26"/>
      <c r="CV21" s="31"/>
      <c r="CW21" s="26"/>
      <c r="CX21" s="26"/>
      <c r="CY21" s="26"/>
      <c r="CZ21" s="31"/>
      <c r="DA21" s="32"/>
      <c r="DB21" s="28"/>
      <c r="DC21" s="28"/>
      <c r="DD21" s="28"/>
      <c r="DE21" s="26"/>
      <c r="DF21" s="26"/>
      <c r="DG21" s="26"/>
      <c r="DH21" s="26"/>
      <c r="DI21" s="26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6"/>
      <c r="DX21" s="26"/>
      <c r="DY21" s="28"/>
      <c r="DZ21" s="28"/>
      <c r="EA21" s="28"/>
      <c r="EB21" s="31"/>
      <c r="EC21" s="26"/>
      <c r="ED21" s="31"/>
      <c r="EE21" s="26"/>
      <c r="EF21" s="32"/>
      <c r="EG21" s="28"/>
      <c r="EH21" s="26"/>
      <c r="EI21" s="28"/>
      <c r="EJ21" s="28"/>
      <c r="EK21" s="26"/>
      <c r="EL21" s="28"/>
      <c r="EM21" s="28"/>
      <c r="EN21" s="26"/>
      <c r="EO21" s="26"/>
      <c r="EP21" s="28"/>
      <c r="EQ21" s="28"/>
      <c r="ER21" s="26"/>
      <c r="ES21" s="28"/>
      <c r="ET21" s="26"/>
      <c r="EU21" s="26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6"/>
      <c r="FH21" s="26"/>
      <c r="FI21" s="31"/>
      <c r="FJ21" s="31"/>
      <c r="FK21" s="31"/>
      <c r="FL21" s="32"/>
      <c r="FM21" s="28"/>
      <c r="FN21" s="26"/>
      <c r="FO21" s="28"/>
      <c r="FP21" s="28"/>
      <c r="FQ21" s="26"/>
      <c r="FR21" s="28"/>
      <c r="FS21" s="28"/>
      <c r="FT21" s="28"/>
      <c r="FU21" s="26"/>
      <c r="FV21" s="28"/>
      <c r="FW21" s="28"/>
      <c r="FX21" s="26"/>
      <c r="FY21" s="28"/>
      <c r="FZ21" s="28"/>
      <c r="GA21" s="28"/>
      <c r="GB21" s="26"/>
      <c r="GC21" s="26"/>
      <c r="GD21" s="28"/>
      <c r="GE21" s="28"/>
      <c r="GF21" s="28"/>
      <c r="GG21" s="28"/>
      <c r="GH21" s="28"/>
      <c r="GI21" s="26"/>
      <c r="GJ21" s="28"/>
      <c r="GK21" s="28"/>
      <c r="GL21" s="28"/>
      <c r="GM21" s="31"/>
      <c r="GN21" s="26"/>
      <c r="GO21" s="31"/>
      <c r="GP21" s="31"/>
      <c r="GQ21" s="38"/>
      <c r="GR21" s="39"/>
      <c r="GS21" s="39"/>
      <c r="GT21" s="39"/>
      <c r="GU21" s="39"/>
      <c r="GV21" s="39"/>
      <c r="GW21" s="39"/>
      <c r="GX21" s="39"/>
      <c r="GY21" s="39"/>
      <c r="GZ21" s="40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40"/>
      <c r="HM21" s="40"/>
      <c r="HN21" s="39"/>
      <c r="HO21" s="39"/>
      <c r="HP21" s="39"/>
      <c r="HQ21" s="39"/>
      <c r="HR21" s="39"/>
      <c r="HS21" s="39"/>
      <c r="HT21" s="39"/>
      <c r="HU21" s="40"/>
      <c r="HV21" s="39"/>
      <c r="HW21" s="38"/>
      <c r="HX21" s="41"/>
      <c r="HY21" s="39"/>
      <c r="HZ21" s="39"/>
      <c r="IA21" s="39"/>
      <c r="IB21" s="39"/>
      <c r="IC21" s="39"/>
      <c r="ID21" s="40"/>
      <c r="IE21" s="39"/>
      <c r="IF21" s="39"/>
      <c r="IG21" s="39"/>
      <c r="IH21" s="40"/>
      <c r="II21" s="40"/>
      <c r="IJ21" s="42"/>
      <c r="IK21" s="42"/>
      <c r="IL21" s="39"/>
      <c r="IM21" s="39"/>
      <c r="IN21" s="39"/>
      <c r="IO21" s="42"/>
      <c r="IP21" s="40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8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39"/>
      <c r="JQ21" s="39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8"/>
      <c r="KI21" s="39"/>
      <c r="KJ21" s="39"/>
      <c r="KK21" s="39"/>
      <c r="KL21" s="39"/>
      <c r="KM21" s="39"/>
      <c r="KN21" s="39"/>
      <c r="KO21" s="39"/>
      <c r="KP21" s="39"/>
      <c r="KQ21" s="39"/>
      <c r="KR21" s="39"/>
      <c r="KS21" s="39"/>
      <c r="KT21" s="39"/>
      <c r="KU21" s="40"/>
      <c r="KV21" s="39"/>
      <c r="KW21" s="39"/>
      <c r="KX21" s="39"/>
      <c r="KY21" s="39"/>
      <c r="KZ21" s="39"/>
      <c r="LA21" s="39"/>
      <c r="LB21" s="39"/>
      <c r="LC21" s="39"/>
      <c r="LD21" s="39"/>
      <c r="LE21" s="39"/>
      <c r="LF21" s="39"/>
      <c r="LG21" s="39"/>
      <c r="LH21" s="39"/>
      <c r="LI21" s="39"/>
      <c r="LJ21" s="39"/>
      <c r="LK21" s="39"/>
      <c r="LL21" s="39"/>
      <c r="LM21" s="39"/>
      <c r="LN21" s="38"/>
      <c r="LO21" s="39"/>
      <c r="LP21" s="39"/>
      <c r="LQ21" s="40"/>
      <c r="LR21" s="39"/>
      <c r="LS21" s="39"/>
      <c r="LT21" s="39"/>
      <c r="LU21" s="39"/>
      <c r="LV21" s="39"/>
      <c r="LW21" s="39"/>
      <c r="LX21" s="39"/>
      <c r="LY21" s="39"/>
      <c r="LZ21" s="39"/>
      <c r="MA21" s="39"/>
      <c r="MB21" s="39"/>
      <c r="MC21" s="39"/>
      <c r="MD21" s="39"/>
      <c r="ME21" s="39"/>
      <c r="MF21" s="39"/>
      <c r="MG21" s="39"/>
      <c r="MH21" s="39"/>
      <c r="MI21" s="39"/>
      <c r="MJ21" s="39"/>
      <c r="MK21" s="39"/>
      <c r="ML21" s="39"/>
      <c r="MM21" s="39"/>
      <c r="MN21" s="39"/>
      <c r="MO21" s="39"/>
      <c r="MP21" s="39"/>
      <c r="MQ21" s="39"/>
      <c r="MR21" s="39"/>
      <c r="MS21" s="38"/>
      <c r="MT21" s="39"/>
      <c r="MU21" s="39"/>
      <c r="MV21" s="39"/>
      <c r="MW21" s="39"/>
      <c r="MX21" s="39"/>
      <c r="MY21" s="39"/>
      <c r="MZ21" s="39"/>
      <c r="NA21" s="39"/>
      <c r="NB21" s="39"/>
      <c r="NC21" s="39"/>
      <c r="ND21" s="39"/>
      <c r="NE21" s="39"/>
      <c r="NF21" s="39"/>
      <c r="NG21" s="39"/>
      <c r="NH21" s="39"/>
      <c r="NI21" s="39"/>
      <c r="NJ21" s="39"/>
      <c r="NK21" s="39"/>
      <c r="NL21" s="39"/>
      <c r="NM21" s="39"/>
      <c r="NN21" s="39"/>
      <c r="NO21" s="39"/>
      <c r="NP21" s="39"/>
      <c r="NQ21" s="39"/>
      <c r="NR21" s="39"/>
      <c r="NS21" s="39"/>
      <c r="NT21" s="39"/>
      <c r="NU21" s="39"/>
      <c r="NV21" s="39"/>
      <c r="NW21" s="39"/>
      <c r="NX21" s="39"/>
      <c r="NY21" s="38"/>
    </row>
    <row r="22">
      <c r="A22" s="47" t="s">
        <v>412</v>
      </c>
      <c r="B22" s="26" t="str">
        <f>IFERROR(__xludf.DUMMYFUNCTION("VLOOKUP(A22, IMPORTRANGE(""https://docs.google.com/spreadsheets/d/1KpTMcNM9m1P7u9qCVzob8p1-RZoC1ejaYs5CdpAbWFY/edit?gid=260580969#gid=260580969"", ""2025 EMP PROFILE DATA!a1:W98""), 22, FALSE)"),"#REF!")</f>
        <v>#REF!</v>
      </c>
      <c r="C22" s="47">
        <f t="shared" si="1"/>
        <v>1</v>
      </c>
      <c r="D22" s="47">
        <f t="shared" si="2"/>
        <v>9</v>
      </c>
      <c r="E22" s="47">
        <f t="shared" si="3"/>
        <v>7</v>
      </c>
      <c r="F22" s="47">
        <f t="shared" si="4"/>
        <v>5</v>
      </c>
      <c r="G22" s="53">
        <f t="shared" si="5"/>
        <v>0.002525252525</v>
      </c>
      <c r="H22" s="53">
        <f t="shared" si="6"/>
        <v>0.01767676768</v>
      </c>
      <c r="I22" s="28">
        <f t="shared" si="7"/>
        <v>11</v>
      </c>
      <c r="J22" s="26">
        <v>0.0</v>
      </c>
      <c r="K22" s="26">
        <v>0.0</v>
      </c>
      <c r="L22" s="49"/>
      <c r="M22" s="47"/>
      <c r="N22" s="47"/>
      <c r="O22" s="47"/>
      <c r="P22" s="47"/>
      <c r="Q22" s="59" t="s">
        <v>20</v>
      </c>
      <c r="R22" s="47"/>
      <c r="S22" s="47"/>
      <c r="T22" s="47"/>
      <c r="U22" s="47"/>
      <c r="V22" s="47"/>
      <c r="W22" s="47"/>
      <c r="X22" s="47"/>
      <c r="Y22" s="47"/>
      <c r="Z22" s="37" t="s">
        <v>21</v>
      </c>
      <c r="AA22" s="37" t="s">
        <v>21</v>
      </c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 t="s">
        <v>20</v>
      </c>
      <c r="AM22" s="47"/>
      <c r="AN22" s="47"/>
      <c r="AO22" s="47"/>
      <c r="AP22" s="47" t="s">
        <v>20</v>
      </c>
      <c r="AQ22" s="47"/>
      <c r="AR22" s="29"/>
      <c r="AS22" s="28"/>
      <c r="AT22" s="26" t="s">
        <v>20</v>
      </c>
      <c r="AU22" s="28"/>
      <c r="AV22" s="26" t="s">
        <v>22</v>
      </c>
      <c r="AW22" s="26"/>
      <c r="AX22" s="26"/>
      <c r="AY22" s="28"/>
      <c r="AZ22" s="26"/>
      <c r="BA22" s="28"/>
      <c r="BB22" s="26"/>
      <c r="BC22" s="28"/>
      <c r="BD22" s="28"/>
      <c r="BE22" s="26"/>
      <c r="BF22" s="28"/>
      <c r="BG22" s="28"/>
      <c r="BH22" s="26"/>
      <c r="BI22" s="26"/>
      <c r="BJ22" s="26"/>
      <c r="BK22" s="28"/>
      <c r="BL22" s="28"/>
      <c r="BM22" s="26"/>
      <c r="BN22" s="28"/>
      <c r="BO22" s="28"/>
      <c r="BP22" s="28"/>
      <c r="BQ22" s="28"/>
      <c r="BR22" s="28"/>
      <c r="BS22" s="31"/>
      <c r="BT22" s="26"/>
      <c r="BU22" s="32"/>
      <c r="BV22" s="33"/>
      <c r="BW22" s="33"/>
      <c r="BX22" s="33"/>
      <c r="BY22" s="36" t="s">
        <v>22</v>
      </c>
      <c r="BZ22" s="33"/>
      <c r="CA22" s="33"/>
      <c r="CB22" s="35"/>
      <c r="CC22" s="33"/>
      <c r="CD22" s="33"/>
      <c r="CE22" s="37" t="s">
        <v>21</v>
      </c>
      <c r="CF22" s="36"/>
      <c r="CG22" s="26"/>
      <c r="CH22" s="28"/>
      <c r="CI22" s="28"/>
      <c r="CJ22" s="28"/>
      <c r="CK22" s="28"/>
      <c r="CL22" s="37" t="s">
        <v>22</v>
      </c>
      <c r="CM22" s="28"/>
      <c r="CN22" s="28"/>
      <c r="CO22" s="28"/>
      <c r="CP22" s="26"/>
      <c r="CQ22" s="28"/>
      <c r="CR22" s="28"/>
      <c r="CS22" s="28"/>
      <c r="CT22" s="28"/>
      <c r="CU22" s="26"/>
      <c r="CV22" s="31"/>
      <c r="CW22" s="26"/>
      <c r="CX22" s="26"/>
      <c r="CY22" s="26"/>
      <c r="CZ22" s="31"/>
      <c r="DA22" s="32"/>
      <c r="DB22" s="28"/>
      <c r="DC22" s="28"/>
      <c r="DD22" s="28"/>
      <c r="DE22" s="26"/>
      <c r="DF22" s="26"/>
      <c r="DG22" s="26" t="s">
        <v>20</v>
      </c>
      <c r="DH22" s="26"/>
      <c r="DI22" s="26"/>
      <c r="DJ22" s="37" t="s">
        <v>21</v>
      </c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6"/>
      <c r="DX22" s="26"/>
      <c r="DY22" s="28"/>
      <c r="DZ22" s="28"/>
      <c r="EA22" s="28"/>
      <c r="EB22" s="31"/>
      <c r="EC22" s="26"/>
      <c r="ED22" s="31"/>
      <c r="EE22" s="26"/>
      <c r="EF22" s="32"/>
      <c r="EG22" s="28"/>
      <c r="EH22" s="26"/>
      <c r="EI22" s="28"/>
      <c r="EJ22" s="28"/>
      <c r="EK22" s="26"/>
      <c r="EL22" s="26" t="s">
        <v>20</v>
      </c>
      <c r="EM22" s="26" t="s">
        <v>20</v>
      </c>
      <c r="EN22" s="26"/>
      <c r="EO22" s="26"/>
      <c r="EP22" s="28"/>
      <c r="EQ22" s="28"/>
      <c r="ER22" s="26"/>
      <c r="ES22" s="28"/>
      <c r="ET22" s="26"/>
      <c r="EU22" s="26"/>
      <c r="EV22" s="28"/>
      <c r="EW22" s="28"/>
      <c r="EX22" s="26" t="s">
        <v>19</v>
      </c>
      <c r="EY22" s="28"/>
      <c r="EZ22" s="28"/>
      <c r="FA22" s="28"/>
      <c r="FB22" s="28"/>
      <c r="FC22" s="28"/>
      <c r="FD22" s="28"/>
      <c r="FE22" s="28"/>
      <c r="FF22" s="28"/>
      <c r="FG22" s="26"/>
      <c r="FH22" s="26"/>
      <c r="FI22" s="31"/>
      <c r="FJ22" s="31"/>
      <c r="FK22" s="31"/>
      <c r="FL22" s="32"/>
      <c r="FM22" s="26" t="s">
        <v>22</v>
      </c>
      <c r="FN22" s="26"/>
      <c r="FO22" s="37" t="s">
        <v>21</v>
      </c>
      <c r="FP22" s="37" t="s">
        <v>21</v>
      </c>
      <c r="FQ22" s="26" t="s">
        <v>22</v>
      </c>
      <c r="FR22" s="28"/>
      <c r="FS22" s="28"/>
      <c r="FT22" s="28"/>
      <c r="FU22" s="26"/>
      <c r="FV22" s="37" t="s">
        <v>21</v>
      </c>
      <c r="FW22" s="28"/>
      <c r="FX22" s="26"/>
      <c r="FY22" s="28"/>
      <c r="FZ22" s="28"/>
      <c r="GA22" s="28"/>
      <c r="GB22" s="26"/>
      <c r="GC22" s="26"/>
      <c r="GD22" s="28"/>
      <c r="GE22" s="28"/>
      <c r="GF22" s="28"/>
      <c r="GG22" s="28"/>
      <c r="GH22" s="28"/>
      <c r="GI22" s="26"/>
      <c r="GJ22" s="26" t="s">
        <v>20</v>
      </c>
      <c r="GK22" s="26" t="s">
        <v>20</v>
      </c>
      <c r="GL22" s="28"/>
      <c r="GM22" s="31"/>
      <c r="GN22" s="26"/>
      <c r="GO22" s="31"/>
      <c r="GP22" s="31"/>
      <c r="GQ22" s="38"/>
      <c r="GR22" s="39"/>
      <c r="GS22" s="39"/>
      <c r="GT22" s="39"/>
      <c r="GU22" s="39"/>
      <c r="GV22" s="39"/>
      <c r="GW22" s="39"/>
      <c r="GX22" s="39"/>
      <c r="GY22" s="39"/>
      <c r="GZ22" s="40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40"/>
      <c r="HM22" s="40"/>
      <c r="HN22" s="39"/>
      <c r="HO22" s="39"/>
      <c r="HP22" s="39"/>
      <c r="HQ22" s="39"/>
      <c r="HR22" s="39"/>
      <c r="HS22" s="39"/>
      <c r="HT22" s="39"/>
      <c r="HU22" s="40"/>
      <c r="HV22" s="39"/>
      <c r="HW22" s="38"/>
      <c r="HX22" s="41"/>
      <c r="HY22" s="39"/>
      <c r="HZ22" s="39"/>
      <c r="IA22" s="39"/>
      <c r="IB22" s="39"/>
      <c r="IC22" s="39"/>
      <c r="ID22" s="40"/>
      <c r="IE22" s="39"/>
      <c r="IF22" s="39"/>
      <c r="IG22" s="39"/>
      <c r="IH22" s="40"/>
      <c r="II22" s="40"/>
      <c r="IJ22" s="42"/>
      <c r="IK22" s="42"/>
      <c r="IL22" s="39"/>
      <c r="IM22" s="39"/>
      <c r="IN22" s="39"/>
      <c r="IO22" s="42"/>
      <c r="IP22" s="40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8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8"/>
      <c r="KI22" s="39"/>
      <c r="KJ22" s="39"/>
      <c r="KK22" s="39"/>
      <c r="KL22" s="39"/>
      <c r="KM22" s="39"/>
      <c r="KN22" s="39"/>
      <c r="KO22" s="39"/>
      <c r="KP22" s="39"/>
      <c r="KQ22" s="39"/>
      <c r="KR22" s="39"/>
      <c r="KS22" s="39"/>
      <c r="KT22" s="39"/>
      <c r="KU22" s="40"/>
      <c r="KV22" s="39"/>
      <c r="KW22" s="39"/>
      <c r="KX22" s="39"/>
      <c r="KY22" s="39"/>
      <c r="KZ22" s="39"/>
      <c r="LA22" s="39"/>
      <c r="LB22" s="39"/>
      <c r="LC22" s="39"/>
      <c r="LD22" s="39"/>
      <c r="LE22" s="39"/>
      <c r="LF22" s="39"/>
      <c r="LG22" s="39"/>
      <c r="LH22" s="39"/>
      <c r="LI22" s="39"/>
      <c r="LJ22" s="39"/>
      <c r="LK22" s="39"/>
      <c r="LL22" s="39"/>
      <c r="LM22" s="39"/>
      <c r="LN22" s="38"/>
      <c r="LO22" s="39"/>
      <c r="LP22" s="39"/>
      <c r="LQ22" s="40"/>
      <c r="LR22" s="39"/>
      <c r="LS22" s="39"/>
      <c r="LT22" s="39"/>
      <c r="LU22" s="39"/>
      <c r="LV22" s="39"/>
      <c r="LW22" s="39"/>
      <c r="LX22" s="39"/>
      <c r="LY22" s="39"/>
      <c r="LZ22" s="39"/>
      <c r="MA22" s="39"/>
      <c r="MB22" s="39"/>
      <c r="MC22" s="39"/>
      <c r="MD22" s="39"/>
      <c r="ME22" s="39"/>
      <c r="MF22" s="39"/>
      <c r="MG22" s="39"/>
      <c r="MH22" s="39"/>
      <c r="MI22" s="39"/>
      <c r="MJ22" s="39"/>
      <c r="MK22" s="39"/>
      <c r="ML22" s="39"/>
      <c r="MM22" s="39"/>
      <c r="MN22" s="39"/>
      <c r="MO22" s="39"/>
      <c r="MP22" s="39"/>
      <c r="MQ22" s="39"/>
      <c r="MR22" s="39"/>
      <c r="MS22" s="38"/>
      <c r="MT22" s="39"/>
      <c r="MU22" s="39"/>
      <c r="MV22" s="39"/>
      <c r="MW22" s="39"/>
      <c r="MX22" s="39"/>
      <c r="MY22" s="39"/>
      <c r="MZ22" s="39"/>
      <c r="NA22" s="39"/>
      <c r="NB22" s="39"/>
      <c r="NC22" s="39"/>
      <c r="ND22" s="39"/>
      <c r="NE22" s="39"/>
      <c r="NF22" s="39"/>
      <c r="NG22" s="39"/>
      <c r="NH22" s="39"/>
      <c r="NI22" s="39"/>
      <c r="NJ22" s="39"/>
      <c r="NK22" s="39"/>
      <c r="NL22" s="39"/>
      <c r="NM22" s="39"/>
      <c r="NN22" s="39"/>
      <c r="NO22" s="39"/>
      <c r="NP22" s="39"/>
      <c r="NQ22" s="39"/>
      <c r="NR22" s="39"/>
      <c r="NS22" s="39"/>
      <c r="NT22" s="39"/>
      <c r="NU22" s="39"/>
      <c r="NV22" s="39"/>
      <c r="NW22" s="39"/>
      <c r="NX22" s="39"/>
      <c r="NY22" s="38"/>
    </row>
    <row r="23">
      <c r="A23" s="50" t="s">
        <v>413</v>
      </c>
      <c r="B23" s="26" t="str">
        <f>IFERROR(__xludf.DUMMYFUNCTION("VLOOKUP(A23, IMPORTRANGE(""https://docs.google.com/spreadsheets/d/1KpTMcNM9m1P7u9qCVzob8p1-RZoC1ejaYs5CdpAbWFY/edit?gid=260580969#gid=260580969"", ""2025 EMP PROFILE DATA!a1:W98""), 22, FALSE)"),"#REF!")</f>
        <v>#REF!</v>
      </c>
      <c r="C23" s="50">
        <f t="shared" si="1"/>
        <v>0</v>
      </c>
      <c r="D23" s="50">
        <f t="shared" si="2"/>
        <v>0</v>
      </c>
      <c r="E23" s="50">
        <f t="shared" si="3"/>
        <v>0</v>
      </c>
      <c r="F23" s="50">
        <f t="shared" si="4"/>
        <v>0</v>
      </c>
      <c r="G23" s="51">
        <f t="shared" si="5"/>
        <v>0</v>
      </c>
      <c r="H23" s="51">
        <f t="shared" si="6"/>
        <v>0</v>
      </c>
      <c r="I23" s="28">
        <f t="shared" si="7"/>
        <v>0</v>
      </c>
      <c r="J23" s="26">
        <v>0.0</v>
      </c>
      <c r="K23" s="26">
        <v>0.0</v>
      </c>
      <c r="L23" s="49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29"/>
      <c r="AS23" s="28"/>
      <c r="AT23" s="28"/>
      <c r="AU23" s="28"/>
      <c r="AV23" s="28"/>
      <c r="AW23" s="26"/>
      <c r="AX23" s="28"/>
      <c r="AY23" s="28"/>
      <c r="AZ23" s="26"/>
      <c r="BA23" s="28"/>
      <c r="BB23" s="26"/>
      <c r="BC23" s="28"/>
      <c r="BD23" s="28"/>
      <c r="BE23" s="26"/>
      <c r="BF23" s="28"/>
      <c r="BG23" s="28"/>
      <c r="BH23" s="26"/>
      <c r="BI23" s="26"/>
      <c r="BJ23" s="26"/>
      <c r="BK23" s="28"/>
      <c r="BL23" s="28"/>
      <c r="BM23" s="26"/>
      <c r="BN23" s="28"/>
      <c r="BO23" s="28"/>
      <c r="BP23" s="28"/>
      <c r="BQ23" s="28"/>
      <c r="BR23" s="28"/>
      <c r="BS23" s="31"/>
      <c r="BT23" s="26"/>
      <c r="BU23" s="32"/>
      <c r="BV23" s="33"/>
      <c r="BW23" s="33"/>
      <c r="BX23" s="33"/>
      <c r="BY23" s="33"/>
      <c r="BZ23" s="33"/>
      <c r="CA23" s="33"/>
      <c r="CB23" s="35"/>
      <c r="CC23" s="33"/>
      <c r="CD23" s="33"/>
      <c r="CE23" s="34"/>
      <c r="CF23" s="36"/>
      <c r="CG23" s="26"/>
      <c r="CH23" s="28"/>
      <c r="CI23" s="28"/>
      <c r="CJ23" s="28"/>
      <c r="CK23" s="28"/>
      <c r="CL23" s="26"/>
      <c r="CM23" s="28"/>
      <c r="CN23" s="28"/>
      <c r="CO23" s="28"/>
      <c r="CP23" s="26"/>
      <c r="CQ23" s="28"/>
      <c r="CR23" s="28"/>
      <c r="CS23" s="28"/>
      <c r="CT23" s="28"/>
      <c r="CU23" s="26"/>
      <c r="CV23" s="31"/>
      <c r="CW23" s="26"/>
      <c r="CX23" s="26"/>
      <c r="CY23" s="26"/>
      <c r="CZ23" s="31"/>
      <c r="DA23" s="32"/>
      <c r="DB23" s="28"/>
      <c r="DC23" s="28"/>
      <c r="DD23" s="28"/>
      <c r="DE23" s="26"/>
      <c r="DF23" s="26"/>
      <c r="DG23" s="26"/>
      <c r="DH23" s="26"/>
      <c r="DI23" s="26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6"/>
      <c r="DX23" s="26"/>
      <c r="DY23" s="28"/>
      <c r="DZ23" s="28"/>
      <c r="EA23" s="28"/>
      <c r="EB23" s="31"/>
      <c r="EC23" s="26"/>
      <c r="ED23" s="31"/>
      <c r="EE23" s="26"/>
      <c r="EF23" s="32"/>
      <c r="EG23" s="28"/>
      <c r="EH23" s="26"/>
      <c r="EI23" s="28"/>
      <c r="EJ23" s="28"/>
      <c r="EK23" s="26"/>
      <c r="EL23" s="28"/>
      <c r="EM23" s="28"/>
      <c r="EN23" s="26"/>
      <c r="EO23" s="26"/>
      <c r="EP23" s="28"/>
      <c r="EQ23" s="28"/>
      <c r="ER23" s="26"/>
      <c r="ES23" s="28"/>
      <c r="ET23" s="26"/>
      <c r="EU23" s="26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6"/>
      <c r="FH23" s="26"/>
      <c r="FI23" s="31"/>
      <c r="FJ23" s="31"/>
      <c r="FK23" s="31"/>
      <c r="FL23" s="32"/>
      <c r="FM23" s="28"/>
      <c r="FN23" s="26"/>
      <c r="FO23" s="28"/>
      <c r="FP23" s="28"/>
      <c r="FQ23" s="26"/>
      <c r="FR23" s="28"/>
      <c r="FS23" s="28"/>
      <c r="FT23" s="28"/>
      <c r="FU23" s="26"/>
      <c r="FV23" s="28"/>
      <c r="FW23" s="28"/>
      <c r="FX23" s="26"/>
      <c r="FY23" s="28"/>
      <c r="FZ23" s="28"/>
      <c r="GA23" s="28"/>
      <c r="GB23" s="26"/>
      <c r="GC23" s="26"/>
      <c r="GD23" s="28"/>
      <c r="GE23" s="28"/>
      <c r="GF23" s="28"/>
      <c r="GG23" s="28"/>
      <c r="GH23" s="28"/>
      <c r="GI23" s="26"/>
      <c r="GJ23" s="28"/>
      <c r="GK23" s="28"/>
      <c r="GL23" s="28"/>
      <c r="GM23" s="31"/>
      <c r="GN23" s="26"/>
      <c r="GO23" s="31"/>
      <c r="GP23" s="31"/>
      <c r="GQ23" s="38"/>
      <c r="GR23" s="39"/>
      <c r="GS23" s="39"/>
      <c r="GT23" s="39"/>
      <c r="GU23" s="39"/>
      <c r="GV23" s="39"/>
      <c r="GW23" s="39"/>
      <c r="GX23" s="39"/>
      <c r="GY23" s="39"/>
      <c r="GZ23" s="40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40"/>
      <c r="HM23" s="40"/>
      <c r="HN23" s="39"/>
      <c r="HO23" s="39"/>
      <c r="HP23" s="39"/>
      <c r="HQ23" s="39"/>
      <c r="HR23" s="39"/>
      <c r="HS23" s="39"/>
      <c r="HT23" s="39"/>
      <c r="HU23" s="40"/>
      <c r="HV23" s="39"/>
      <c r="HW23" s="38"/>
      <c r="HX23" s="41"/>
      <c r="HY23" s="39"/>
      <c r="HZ23" s="39"/>
      <c r="IA23" s="39"/>
      <c r="IB23" s="39"/>
      <c r="IC23" s="39"/>
      <c r="ID23" s="40"/>
      <c r="IE23" s="39"/>
      <c r="IF23" s="39"/>
      <c r="IG23" s="39"/>
      <c r="IH23" s="40"/>
      <c r="II23" s="40"/>
      <c r="IJ23" s="42"/>
      <c r="IK23" s="42"/>
      <c r="IL23" s="39"/>
      <c r="IM23" s="39"/>
      <c r="IN23" s="39"/>
      <c r="IO23" s="42"/>
      <c r="IP23" s="40"/>
      <c r="IQ23" s="39"/>
      <c r="IR23" s="39"/>
      <c r="IS23" s="39"/>
      <c r="IT23" s="39"/>
      <c r="IU23" s="39"/>
      <c r="IV23" s="39"/>
      <c r="IW23" s="39"/>
      <c r="IX23" s="39"/>
      <c r="IY23" s="39"/>
      <c r="IZ23" s="39"/>
      <c r="JA23" s="39"/>
      <c r="JB23" s="39"/>
      <c r="JC23" s="38"/>
      <c r="JD23" s="39"/>
      <c r="JE23" s="39"/>
      <c r="JF23" s="39"/>
      <c r="JG23" s="39"/>
      <c r="JH23" s="39"/>
      <c r="JI23" s="39"/>
      <c r="JJ23" s="39"/>
      <c r="JK23" s="39"/>
      <c r="JL23" s="39"/>
      <c r="JM23" s="39"/>
      <c r="JN23" s="39"/>
      <c r="JO23" s="39"/>
      <c r="JP23" s="39"/>
      <c r="JQ23" s="39"/>
      <c r="JR23" s="39"/>
      <c r="JS23" s="39"/>
      <c r="JT23" s="39"/>
      <c r="JU23" s="39"/>
      <c r="JV23" s="39"/>
      <c r="JW23" s="39"/>
      <c r="JX23" s="39"/>
      <c r="JY23" s="39"/>
      <c r="JZ23" s="39"/>
      <c r="KA23" s="39"/>
      <c r="KB23" s="39"/>
      <c r="KC23" s="39"/>
      <c r="KD23" s="39"/>
      <c r="KE23" s="39"/>
      <c r="KF23" s="39"/>
      <c r="KG23" s="39"/>
      <c r="KH23" s="38"/>
      <c r="KI23" s="39"/>
      <c r="KJ23" s="39"/>
      <c r="KK23" s="39"/>
      <c r="KL23" s="39"/>
      <c r="KM23" s="39"/>
      <c r="KN23" s="39"/>
      <c r="KO23" s="39"/>
      <c r="KP23" s="39"/>
      <c r="KQ23" s="39"/>
      <c r="KR23" s="39"/>
      <c r="KS23" s="39"/>
      <c r="KT23" s="39"/>
      <c r="KU23" s="40"/>
      <c r="KV23" s="39"/>
      <c r="KW23" s="39"/>
      <c r="KX23" s="39"/>
      <c r="KY23" s="39"/>
      <c r="KZ23" s="39"/>
      <c r="LA23" s="39"/>
      <c r="LB23" s="39"/>
      <c r="LC23" s="39"/>
      <c r="LD23" s="39"/>
      <c r="LE23" s="39"/>
      <c r="LF23" s="39"/>
      <c r="LG23" s="39"/>
      <c r="LH23" s="39"/>
      <c r="LI23" s="39"/>
      <c r="LJ23" s="39"/>
      <c r="LK23" s="39"/>
      <c r="LL23" s="39"/>
      <c r="LM23" s="39"/>
      <c r="LN23" s="38"/>
      <c r="LO23" s="39"/>
      <c r="LP23" s="39"/>
      <c r="LQ23" s="40"/>
      <c r="LR23" s="39"/>
      <c r="LS23" s="39"/>
      <c r="LT23" s="39"/>
      <c r="LU23" s="39"/>
      <c r="LV23" s="39"/>
      <c r="LW23" s="39"/>
      <c r="LX23" s="39"/>
      <c r="LY23" s="39"/>
      <c r="LZ23" s="39"/>
      <c r="MA23" s="39"/>
      <c r="MB23" s="39"/>
      <c r="MC23" s="39"/>
      <c r="MD23" s="39"/>
      <c r="ME23" s="39"/>
      <c r="MF23" s="39"/>
      <c r="MG23" s="39"/>
      <c r="MH23" s="39"/>
      <c r="MI23" s="39"/>
      <c r="MJ23" s="39"/>
      <c r="MK23" s="39"/>
      <c r="ML23" s="39"/>
      <c r="MM23" s="39"/>
      <c r="MN23" s="39"/>
      <c r="MO23" s="39"/>
      <c r="MP23" s="39"/>
      <c r="MQ23" s="39"/>
      <c r="MR23" s="39"/>
      <c r="MS23" s="38"/>
      <c r="MT23" s="39"/>
      <c r="MU23" s="39"/>
      <c r="MV23" s="39"/>
      <c r="MW23" s="39"/>
      <c r="MX23" s="39"/>
      <c r="MY23" s="39"/>
      <c r="MZ23" s="39"/>
      <c r="NA23" s="39"/>
      <c r="NB23" s="39"/>
      <c r="NC23" s="39"/>
      <c r="ND23" s="39"/>
      <c r="NE23" s="39"/>
      <c r="NF23" s="39"/>
      <c r="NG23" s="39"/>
      <c r="NH23" s="39"/>
      <c r="NI23" s="39"/>
      <c r="NJ23" s="39"/>
      <c r="NK23" s="39"/>
      <c r="NL23" s="39"/>
      <c r="NM23" s="39"/>
      <c r="NN23" s="39"/>
      <c r="NO23" s="39"/>
      <c r="NP23" s="39"/>
      <c r="NQ23" s="39"/>
      <c r="NR23" s="39"/>
      <c r="NS23" s="39"/>
      <c r="NT23" s="39"/>
      <c r="NU23" s="39"/>
      <c r="NV23" s="39"/>
      <c r="NW23" s="39"/>
      <c r="NX23" s="39"/>
      <c r="NY23" s="38"/>
    </row>
    <row r="24">
      <c r="A24" s="50" t="s">
        <v>414</v>
      </c>
      <c r="B24" s="26" t="str">
        <f>IFERROR(__xludf.DUMMYFUNCTION("VLOOKUP(A24, IMPORTRANGE(""https://docs.google.com/spreadsheets/d/1KpTMcNM9m1P7u9qCVzob8p1-RZoC1ejaYs5CdpAbWFY/edit?gid=260580969#gid=260580969"", ""2025 EMP PROFILE DATA!a1:W98""), 22, FALSE)"),"#REF!")</f>
        <v>#REF!</v>
      </c>
      <c r="C24" s="50">
        <f t="shared" si="1"/>
        <v>2</v>
      </c>
      <c r="D24" s="50">
        <f t="shared" si="2"/>
        <v>0</v>
      </c>
      <c r="E24" s="50">
        <f t="shared" si="3"/>
        <v>1</v>
      </c>
      <c r="F24" s="50">
        <f t="shared" si="4"/>
        <v>0</v>
      </c>
      <c r="G24" s="51">
        <f t="shared" si="5"/>
        <v>0.005050505051</v>
      </c>
      <c r="H24" s="51">
        <f t="shared" si="6"/>
        <v>0.002525252525</v>
      </c>
      <c r="I24" s="28">
        <f t="shared" si="7"/>
        <v>9</v>
      </c>
      <c r="J24" s="26">
        <v>0.0</v>
      </c>
      <c r="K24" s="26">
        <v>0.0</v>
      </c>
      <c r="L24" s="52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29"/>
      <c r="AS24" s="28"/>
      <c r="AT24" s="28"/>
      <c r="AU24" s="28"/>
      <c r="AV24" s="28"/>
      <c r="AW24" s="26"/>
      <c r="AX24" s="28"/>
      <c r="AY24" s="28"/>
      <c r="AZ24" s="26"/>
      <c r="BA24" s="28"/>
      <c r="BB24" s="26"/>
      <c r="BC24" s="28"/>
      <c r="BD24" s="28"/>
      <c r="BE24" s="26"/>
      <c r="BF24" s="28"/>
      <c r="BG24" s="28"/>
      <c r="BH24" s="26"/>
      <c r="BI24" s="26"/>
      <c r="BJ24" s="26"/>
      <c r="BK24" s="28"/>
      <c r="BL24" s="28"/>
      <c r="BM24" s="26"/>
      <c r="BN24" s="28"/>
      <c r="BO24" s="28"/>
      <c r="BP24" s="28"/>
      <c r="BQ24" s="28"/>
      <c r="BR24" s="28"/>
      <c r="BS24" s="31"/>
      <c r="BT24" s="26"/>
      <c r="BU24" s="32"/>
      <c r="BV24" s="33"/>
      <c r="BW24" s="33"/>
      <c r="BX24" s="33"/>
      <c r="BY24" s="33"/>
      <c r="BZ24" s="33"/>
      <c r="CA24" s="33"/>
      <c r="CB24" s="35"/>
      <c r="CC24" s="33"/>
      <c r="CD24" s="37"/>
      <c r="CE24" s="34"/>
      <c r="CF24" s="36"/>
      <c r="CG24" s="26"/>
      <c r="CH24" s="28"/>
      <c r="CI24" s="28"/>
      <c r="CJ24" s="28"/>
      <c r="CK24" s="28"/>
      <c r="CL24" s="37"/>
      <c r="CM24" s="28"/>
      <c r="CN24" s="28"/>
      <c r="CO24" s="28"/>
      <c r="CP24" s="26"/>
      <c r="CQ24" s="28"/>
      <c r="CR24" s="28"/>
      <c r="CS24" s="28"/>
      <c r="CT24" s="28"/>
      <c r="CU24" s="26"/>
      <c r="CV24" s="31"/>
      <c r="CW24" s="26"/>
      <c r="CX24" s="26"/>
      <c r="CY24" s="26"/>
      <c r="CZ24" s="31"/>
      <c r="DA24" s="32"/>
      <c r="DB24" s="28"/>
      <c r="DC24" s="28"/>
      <c r="DD24" s="28"/>
      <c r="DE24" s="26"/>
      <c r="DF24" s="26"/>
      <c r="DG24" s="26"/>
      <c r="DH24" s="26"/>
      <c r="DI24" s="26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6"/>
      <c r="DX24" s="26"/>
      <c r="DY24" s="28"/>
      <c r="DZ24" s="28"/>
      <c r="EA24" s="28"/>
      <c r="EB24" s="31"/>
      <c r="EC24" s="26"/>
      <c r="ED24" s="31"/>
      <c r="EE24" s="26"/>
      <c r="EF24" s="32"/>
      <c r="EG24" s="28"/>
      <c r="EH24" s="26"/>
      <c r="EI24" s="28"/>
      <c r="EJ24" s="28"/>
      <c r="EK24" s="26"/>
      <c r="EL24" s="28"/>
      <c r="EM24" s="28"/>
      <c r="EN24" s="26"/>
      <c r="EO24" s="26"/>
      <c r="EP24" s="28"/>
      <c r="EQ24" s="28"/>
      <c r="ER24" s="26" t="s">
        <v>19</v>
      </c>
      <c r="ES24" s="26" t="s">
        <v>19</v>
      </c>
      <c r="ET24" s="26"/>
      <c r="EU24" s="26"/>
      <c r="EV24" s="28"/>
      <c r="EW24" s="28"/>
      <c r="EX24" s="28"/>
      <c r="EY24" s="28"/>
      <c r="EZ24" s="28"/>
      <c r="FA24" s="28"/>
      <c r="FB24" s="26" t="s">
        <v>21</v>
      </c>
      <c r="FC24" s="28"/>
      <c r="FD24" s="28"/>
      <c r="FE24" s="28"/>
      <c r="FF24" s="28"/>
      <c r="FG24" s="26"/>
      <c r="FH24" s="26"/>
      <c r="FI24" s="31"/>
      <c r="FJ24" s="31"/>
      <c r="FK24" s="31"/>
      <c r="FL24" s="32"/>
      <c r="FM24" s="28"/>
      <c r="FN24" s="26"/>
      <c r="FO24" s="28"/>
      <c r="FP24" s="28"/>
      <c r="FQ24" s="26"/>
      <c r="FR24" s="28"/>
      <c r="FS24" s="28"/>
      <c r="FT24" s="28"/>
      <c r="FU24" s="26"/>
      <c r="FV24" s="28"/>
      <c r="FW24" s="28"/>
      <c r="FX24" s="26"/>
      <c r="FY24" s="28"/>
      <c r="FZ24" s="28"/>
      <c r="GA24" s="28"/>
      <c r="GB24" s="26"/>
      <c r="GC24" s="26"/>
      <c r="GD24" s="28"/>
      <c r="GE24" s="28"/>
      <c r="GF24" s="28"/>
      <c r="GG24" s="28"/>
      <c r="GH24" s="28"/>
      <c r="GI24" s="26"/>
      <c r="GJ24" s="28"/>
      <c r="GK24" s="28"/>
      <c r="GL24" s="28"/>
      <c r="GM24" s="31"/>
      <c r="GN24" s="26"/>
      <c r="GO24" s="31"/>
      <c r="GP24" s="31"/>
      <c r="GQ24" s="38"/>
      <c r="GR24" s="39"/>
      <c r="GS24" s="39"/>
      <c r="GT24" s="39"/>
      <c r="GU24" s="39"/>
      <c r="GV24" s="39"/>
      <c r="GW24" s="39"/>
      <c r="GX24" s="39"/>
      <c r="GY24" s="39"/>
      <c r="GZ24" s="40"/>
      <c r="HA24" s="39"/>
      <c r="HB24" s="39"/>
      <c r="HC24" s="39"/>
      <c r="HD24" s="39"/>
      <c r="HE24" s="39"/>
      <c r="HF24" s="39"/>
      <c r="HG24" s="39"/>
      <c r="HH24" s="39"/>
      <c r="HI24" s="39"/>
      <c r="HJ24" s="39"/>
      <c r="HK24" s="39"/>
      <c r="HL24" s="40"/>
      <c r="HM24" s="40"/>
      <c r="HN24" s="39"/>
      <c r="HO24" s="39"/>
      <c r="HP24" s="39"/>
      <c r="HQ24" s="39"/>
      <c r="HR24" s="39"/>
      <c r="HS24" s="39"/>
      <c r="HT24" s="39"/>
      <c r="HU24" s="40"/>
      <c r="HV24" s="39"/>
      <c r="HW24" s="38"/>
      <c r="HX24" s="41"/>
      <c r="HY24" s="39"/>
      <c r="HZ24" s="39"/>
      <c r="IA24" s="39"/>
      <c r="IB24" s="39"/>
      <c r="IC24" s="39"/>
      <c r="ID24" s="40"/>
      <c r="IE24" s="39"/>
      <c r="IF24" s="39"/>
      <c r="IG24" s="39"/>
      <c r="IH24" s="40"/>
      <c r="II24" s="40"/>
      <c r="IJ24" s="42"/>
      <c r="IK24" s="42"/>
      <c r="IL24" s="39"/>
      <c r="IM24" s="39"/>
      <c r="IN24" s="39"/>
      <c r="IO24" s="42"/>
      <c r="IP24" s="40"/>
      <c r="IQ24" s="39"/>
      <c r="IR24" s="39"/>
      <c r="IS24" s="39"/>
      <c r="IT24" s="39"/>
      <c r="IU24" s="39"/>
      <c r="IV24" s="39"/>
      <c r="IW24" s="39"/>
      <c r="IX24" s="39"/>
      <c r="IY24" s="39"/>
      <c r="IZ24" s="39"/>
      <c r="JA24" s="39"/>
      <c r="JB24" s="39"/>
      <c r="JC24" s="38"/>
      <c r="JD24" s="39"/>
      <c r="JE24" s="39"/>
      <c r="JF24" s="39"/>
      <c r="JG24" s="39"/>
      <c r="JH24" s="39"/>
      <c r="JI24" s="39"/>
      <c r="JJ24" s="39"/>
      <c r="JK24" s="39"/>
      <c r="JL24" s="39"/>
      <c r="JM24" s="39"/>
      <c r="JN24" s="39"/>
      <c r="JO24" s="39"/>
      <c r="JP24" s="39"/>
      <c r="JQ24" s="39"/>
      <c r="JR24" s="39"/>
      <c r="JS24" s="39"/>
      <c r="JT24" s="39"/>
      <c r="JU24" s="39"/>
      <c r="JV24" s="39"/>
      <c r="JW24" s="39"/>
      <c r="JX24" s="39"/>
      <c r="JY24" s="39"/>
      <c r="JZ24" s="39"/>
      <c r="KA24" s="39"/>
      <c r="KB24" s="39"/>
      <c r="KC24" s="39"/>
      <c r="KD24" s="39"/>
      <c r="KE24" s="39"/>
      <c r="KF24" s="39"/>
      <c r="KG24" s="39"/>
      <c r="KH24" s="38"/>
      <c r="KI24" s="39"/>
      <c r="KJ24" s="39"/>
      <c r="KK24" s="39"/>
      <c r="KL24" s="39"/>
      <c r="KM24" s="39"/>
      <c r="KN24" s="39"/>
      <c r="KO24" s="39"/>
      <c r="KP24" s="39"/>
      <c r="KQ24" s="39"/>
      <c r="KR24" s="39"/>
      <c r="KS24" s="39"/>
      <c r="KT24" s="39"/>
      <c r="KU24" s="40"/>
      <c r="KV24" s="39"/>
      <c r="KW24" s="39"/>
      <c r="KX24" s="39"/>
      <c r="KY24" s="39"/>
      <c r="KZ24" s="39"/>
      <c r="LA24" s="39"/>
      <c r="LB24" s="39"/>
      <c r="LC24" s="39"/>
      <c r="LD24" s="39"/>
      <c r="LE24" s="39"/>
      <c r="LF24" s="39"/>
      <c r="LG24" s="39"/>
      <c r="LH24" s="39"/>
      <c r="LI24" s="39"/>
      <c r="LJ24" s="39"/>
      <c r="LK24" s="39"/>
      <c r="LL24" s="39"/>
      <c r="LM24" s="39"/>
      <c r="LN24" s="38"/>
      <c r="LO24" s="39"/>
      <c r="LP24" s="39"/>
      <c r="LQ24" s="40"/>
      <c r="LR24" s="39"/>
      <c r="LS24" s="39"/>
      <c r="LT24" s="39"/>
      <c r="LU24" s="39"/>
      <c r="LV24" s="39"/>
      <c r="LW24" s="39"/>
      <c r="LX24" s="39"/>
      <c r="LY24" s="39"/>
      <c r="LZ24" s="39"/>
      <c r="MA24" s="39"/>
      <c r="MB24" s="39"/>
      <c r="MC24" s="39"/>
      <c r="MD24" s="39"/>
      <c r="ME24" s="39"/>
      <c r="MF24" s="39"/>
      <c r="MG24" s="39"/>
      <c r="MH24" s="39"/>
      <c r="MI24" s="39"/>
      <c r="MJ24" s="39"/>
      <c r="MK24" s="39"/>
      <c r="ML24" s="39"/>
      <c r="MM24" s="39"/>
      <c r="MN24" s="39"/>
      <c r="MO24" s="39"/>
      <c r="MP24" s="39"/>
      <c r="MQ24" s="39"/>
      <c r="MR24" s="39"/>
      <c r="MS24" s="38"/>
      <c r="MT24" s="39"/>
      <c r="MU24" s="39"/>
      <c r="MV24" s="39"/>
      <c r="MW24" s="39"/>
      <c r="MX24" s="39"/>
      <c r="MY24" s="39"/>
      <c r="MZ24" s="39"/>
      <c r="NA24" s="39"/>
      <c r="NB24" s="39"/>
      <c r="NC24" s="39"/>
      <c r="ND24" s="39"/>
      <c r="NE24" s="39"/>
      <c r="NF24" s="39"/>
      <c r="NG24" s="39"/>
      <c r="NH24" s="39"/>
      <c r="NI24" s="39"/>
      <c r="NJ24" s="39"/>
      <c r="NK24" s="39"/>
      <c r="NL24" s="39"/>
      <c r="NM24" s="39"/>
      <c r="NN24" s="39"/>
      <c r="NO24" s="39"/>
      <c r="NP24" s="39"/>
      <c r="NQ24" s="39"/>
      <c r="NR24" s="39"/>
      <c r="NS24" s="39"/>
      <c r="NT24" s="39"/>
      <c r="NU24" s="39"/>
      <c r="NV24" s="39"/>
      <c r="NW24" s="39"/>
      <c r="NX24" s="39"/>
      <c r="NY24" s="38"/>
    </row>
    <row r="25">
      <c r="A25" s="45" t="s">
        <v>415</v>
      </c>
      <c r="B25" s="26" t="str">
        <f>IFERROR(__xludf.DUMMYFUNCTION("VLOOKUP(A25, IMPORTRANGE(""https://docs.google.com/spreadsheets/d/1KpTMcNM9m1P7u9qCVzob8p1-RZoC1ejaYs5CdpAbWFY/edit?gid=260580969#gid=260580969"", ""2025 EMP PROFILE DATA!a1:W98""), 22, FALSE)"),"#REF!")</f>
        <v>#REF!</v>
      </c>
      <c r="C25" s="45">
        <f t="shared" si="1"/>
        <v>0</v>
      </c>
      <c r="D25" s="45">
        <f t="shared" si="2"/>
        <v>3</v>
      </c>
      <c r="E25" s="45">
        <f t="shared" si="3"/>
        <v>71</v>
      </c>
      <c r="F25" s="45">
        <f t="shared" si="4"/>
        <v>1</v>
      </c>
      <c r="G25" s="46">
        <f t="shared" si="5"/>
        <v>0</v>
      </c>
      <c r="H25" s="46">
        <f t="shared" si="6"/>
        <v>0.1792929293</v>
      </c>
      <c r="I25" s="28">
        <f t="shared" si="7"/>
        <v>71</v>
      </c>
      <c r="J25" s="26">
        <v>0.0</v>
      </c>
      <c r="K25" s="26">
        <v>0.0</v>
      </c>
      <c r="L25" s="49"/>
      <c r="M25" s="45"/>
      <c r="N25" s="37" t="s">
        <v>21</v>
      </c>
      <c r="O25" s="37" t="s">
        <v>21</v>
      </c>
      <c r="P25" s="45"/>
      <c r="Q25" s="45"/>
      <c r="R25" s="45"/>
      <c r="S25" s="37" t="s">
        <v>21</v>
      </c>
      <c r="T25" s="37" t="s">
        <v>21</v>
      </c>
      <c r="U25" s="37" t="s">
        <v>21</v>
      </c>
      <c r="V25" s="37" t="s">
        <v>21</v>
      </c>
      <c r="W25" s="45"/>
      <c r="X25" s="45"/>
      <c r="Y25" s="37" t="s">
        <v>21</v>
      </c>
      <c r="Z25" s="45"/>
      <c r="AA25" s="45"/>
      <c r="AB25" s="45"/>
      <c r="AC25" s="45"/>
      <c r="AD25" s="45"/>
      <c r="AE25" s="45"/>
      <c r="AF25" s="37" t="s">
        <v>21</v>
      </c>
      <c r="AG25" s="45"/>
      <c r="AH25" s="45"/>
      <c r="AI25" s="37" t="s">
        <v>21</v>
      </c>
      <c r="AJ25" s="45"/>
      <c r="AK25" s="45"/>
      <c r="AL25" s="37" t="s">
        <v>21</v>
      </c>
      <c r="AM25" s="37" t="s">
        <v>21</v>
      </c>
      <c r="AN25" s="37"/>
      <c r="AO25" s="37" t="s">
        <v>21</v>
      </c>
      <c r="AP25" s="45"/>
      <c r="AQ25" s="37" t="s">
        <v>21</v>
      </c>
      <c r="AR25" s="29"/>
      <c r="AS25" s="28"/>
      <c r="AT25" s="28"/>
      <c r="AU25" s="28"/>
      <c r="AV25" s="37" t="s">
        <v>21</v>
      </c>
      <c r="AW25" s="37" t="s">
        <v>21</v>
      </c>
      <c r="AX25" s="26" t="s">
        <v>20</v>
      </c>
      <c r="AY25" s="26" t="s">
        <v>20</v>
      </c>
      <c r="AZ25" s="26"/>
      <c r="BA25" s="37" t="s">
        <v>21</v>
      </c>
      <c r="BB25" s="26"/>
      <c r="BC25" s="28"/>
      <c r="BD25" s="37" t="s">
        <v>21</v>
      </c>
      <c r="BE25" s="26"/>
      <c r="BF25" s="37" t="s">
        <v>21</v>
      </c>
      <c r="BG25" s="28"/>
      <c r="BH25" s="37" t="s">
        <v>21</v>
      </c>
      <c r="BI25" s="26"/>
      <c r="BJ25" s="37" t="s">
        <v>21</v>
      </c>
      <c r="BK25" s="37" t="s">
        <v>21</v>
      </c>
      <c r="BL25" s="37" t="s">
        <v>21</v>
      </c>
      <c r="BM25" s="26"/>
      <c r="BN25" s="28"/>
      <c r="BO25" s="28"/>
      <c r="BP25" s="28"/>
      <c r="BQ25" s="28"/>
      <c r="BR25" s="37" t="s">
        <v>21</v>
      </c>
      <c r="BS25" s="37" t="s">
        <v>21</v>
      </c>
      <c r="BT25" s="37" t="s">
        <v>21</v>
      </c>
      <c r="BU25" s="32"/>
      <c r="BV25" s="33"/>
      <c r="BW25" s="37" t="s">
        <v>21</v>
      </c>
      <c r="BX25" s="37" t="s">
        <v>21</v>
      </c>
      <c r="BY25" s="33"/>
      <c r="BZ25" s="33"/>
      <c r="CA25" s="33"/>
      <c r="CB25" s="37" t="s">
        <v>21</v>
      </c>
      <c r="CC25" s="33"/>
      <c r="CD25" s="37" t="s">
        <v>21</v>
      </c>
      <c r="CE25" s="34"/>
      <c r="CF25" s="36"/>
      <c r="CG25" s="37" t="s">
        <v>21</v>
      </c>
      <c r="CH25" s="37" t="s">
        <v>21</v>
      </c>
      <c r="CI25" s="37" t="s">
        <v>21</v>
      </c>
      <c r="CJ25" s="28"/>
      <c r="CK25" s="37" t="s">
        <v>21</v>
      </c>
      <c r="CL25" s="26"/>
      <c r="CM25" s="37" t="s">
        <v>21</v>
      </c>
      <c r="CN25" s="37" t="s">
        <v>21</v>
      </c>
      <c r="CO25" s="37" t="s">
        <v>21</v>
      </c>
      <c r="CP25" s="37" t="s">
        <v>21</v>
      </c>
      <c r="CQ25" s="28"/>
      <c r="CR25" s="37" t="s">
        <v>21</v>
      </c>
      <c r="CS25" s="37" t="s">
        <v>21</v>
      </c>
      <c r="CT25" s="28"/>
      <c r="CU25" s="37" t="s">
        <v>21</v>
      </c>
      <c r="CV25" s="31"/>
      <c r="CW25" s="26"/>
      <c r="CX25" s="26"/>
      <c r="CY25" s="37" t="s">
        <v>21</v>
      </c>
      <c r="CZ25" s="37" t="s">
        <v>21</v>
      </c>
      <c r="DA25" s="32"/>
      <c r="DB25" s="28"/>
      <c r="DC25" s="37" t="s">
        <v>21</v>
      </c>
      <c r="DD25" s="28"/>
      <c r="DE25" s="37" t="s">
        <v>21</v>
      </c>
      <c r="DF25" s="26"/>
      <c r="DG25" s="26"/>
      <c r="DH25" s="26"/>
      <c r="DI25" s="26"/>
      <c r="DJ25" s="37" t="s">
        <v>21</v>
      </c>
      <c r="DK25" s="28"/>
      <c r="DL25" s="28"/>
      <c r="DM25" s="28"/>
      <c r="DN25" s="37" t="s">
        <v>21</v>
      </c>
      <c r="DO25" s="37"/>
      <c r="DP25" s="37" t="s">
        <v>21</v>
      </c>
      <c r="DQ25" s="37" t="s">
        <v>21</v>
      </c>
      <c r="DR25" s="28"/>
      <c r="DS25" s="37" t="s">
        <v>21</v>
      </c>
      <c r="DT25" s="28"/>
      <c r="DU25" s="28"/>
      <c r="DV25" s="37" t="s">
        <v>21</v>
      </c>
      <c r="DW25" s="26"/>
      <c r="DX25" s="37" t="s">
        <v>21</v>
      </c>
      <c r="DY25" s="37" t="s">
        <v>21</v>
      </c>
      <c r="DZ25" s="37" t="s">
        <v>21</v>
      </c>
      <c r="EA25" s="28"/>
      <c r="EB25" s="31"/>
      <c r="EC25" s="26"/>
      <c r="ED25" s="31"/>
      <c r="EE25" s="37" t="s">
        <v>21</v>
      </c>
      <c r="EF25" s="32"/>
      <c r="EG25" s="37" t="s">
        <v>21</v>
      </c>
      <c r="EH25" s="26"/>
      <c r="EI25" s="28"/>
      <c r="EJ25" s="28"/>
      <c r="EK25" s="37" t="s">
        <v>21</v>
      </c>
      <c r="EL25" s="28"/>
      <c r="EM25" s="28"/>
      <c r="EN25" s="26"/>
      <c r="EO25" s="37" t="s">
        <v>21</v>
      </c>
      <c r="EP25" s="28"/>
      <c r="EQ25" s="37" t="s">
        <v>21</v>
      </c>
      <c r="ER25" s="37" t="s">
        <v>21</v>
      </c>
      <c r="ES25" s="28"/>
      <c r="ET25" s="26"/>
      <c r="EU25" s="26"/>
      <c r="EV25" s="28"/>
      <c r="EW25" s="28"/>
      <c r="EX25" s="28"/>
      <c r="EY25" s="37" t="s">
        <v>21</v>
      </c>
      <c r="EZ25" s="37" t="s">
        <v>21</v>
      </c>
      <c r="FA25" s="28"/>
      <c r="FB25" s="28"/>
      <c r="FC25" s="28"/>
      <c r="FD25" s="28"/>
      <c r="FE25" s="28"/>
      <c r="FF25" s="28"/>
      <c r="FG25" s="26"/>
      <c r="FH25" s="26"/>
      <c r="FI25" s="31"/>
      <c r="FJ25" s="31"/>
      <c r="FK25" s="31"/>
      <c r="FL25" s="32"/>
      <c r="FM25" s="28"/>
      <c r="FN25" s="26"/>
      <c r="FO25" s="28"/>
      <c r="FP25" s="28"/>
      <c r="FQ25" s="37" t="s">
        <v>21</v>
      </c>
      <c r="FR25" s="28"/>
      <c r="FS25" s="28"/>
      <c r="FT25" s="37" t="s">
        <v>21</v>
      </c>
      <c r="FU25" s="26"/>
      <c r="FV25" s="28"/>
      <c r="FW25" s="37" t="s">
        <v>21</v>
      </c>
      <c r="FX25" s="26"/>
      <c r="FY25" s="37" t="s">
        <v>21</v>
      </c>
      <c r="FZ25" s="28"/>
      <c r="GA25" s="37" t="s">
        <v>21</v>
      </c>
      <c r="GB25" s="26"/>
      <c r="GC25" s="26"/>
      <c r="GD25" s="37" t="s">
        <v>21</v>
      </c>
      <c r="GE25" s="37" t="s">
        <v>21</v>
      </c>
      <c r="GF25" s="28"/>
      <c r="GG25" s="28"/>
      <c r="GH25" s="37" t="s">
        <v>21</v>
      </c>
      <c r="GI25" s="37" t="s">
        <v>21</v>
      </c>
      <c r="GJ25" s="28"/>
      <c r="GK25" s="26" t="s">
        <v>20</v>
      </c>
      <c r="GL25" s="26" t="s">
        <v>22</v>
      </c>
      <c r="GM25" s="37" t="s">
        <v>21</v>
      </c>
      <c r="GN25" s="26"/>
      <c r="GO25" s="31"/>
      <c r="GP25" s="31"/>
      <c r="GQ25" s="38"/>
      <c r="GR25" s="39"/>
      <c r="GS25" s="39"/>
      <c r="GT25" s="39"/>
      <c r="GU25" s="39"/>
      <c r="GV25" s="39"/>
      <c r="GW25" s="39"/>
      <c r="GX25" s="39"/>
      <c r="GY25" s="39"/>
      <c r="GZ25" s="40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40"/>
      <c r="HM25" s="40"/>
      <c r="HN25" s="39"/>
      <c r="HO25" s="39"/>
      <c r="HP25" s="39"/>
      <c r="HQ25" s="39"/>
      <c r="HR25" s="39"/>
      <c r="HS25" s="39"/>
      <c r="HT25" s="39"/>
      <c r="HU25" s="40"/>
      <c r="HV25" s="39"/>
      <c r="HW25" s="38"/>
      <c r="HX25" s="41"/>
      <c r="HY25" s="39"/>
      <c r="HZ25" s="39"/>
      <c r="IA25" s="39"/>
      <c r="IB25" s="39"/>
      <c r="IC25" s="39"/>
      <c r="ID25" s="40"/>
      <c r="IE25" s="39"/>
      <c r="IF25" s="39"/>
      <c r="IG25" s="39"/>
      <c r="IH25" s="40"/>
      <c r="II25" s="40"/>
      <c r="IJ25" s="42"/>
      <c r="IK25" s="42"/>
      <c r="IL25" s="39"/>
      <c r="IM25" s="39"/>
      <c r="IN25" s="39"/>
      <c r="IO25" s="42"/>
      <c r="IP25" s="40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8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8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40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8"/>
      <c r="LO25" s="39"/>
      <c r="LP25" s="39"/>
      <c r="LQ25" s="40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9"/>
      <c r="MM25" s="39"/>
      <c r="MN25" s="39"/>
      <c r="MO25" s="39"/>
      <c r="MP25" s="39"/>
      <c r="MQ25" s="39"/>
      <c r="MR25" s="39"/>
      <c r="MS25" s="38"/>
      <c r="MT25" s="39"/>
      <c r="MU25" s="39"/>
      <c r="MV25" s="39"/>
      <c r="MW25" s="39"/>
      <c r="MX25" s="39"/>
      <c r="MY25" s="39"/>
      <c r="MZ25" s="39"/>
      <c r="NA25" s="39"/>
      <c r="NB25" s="39"/>
      <c r="NC25" s="39"/>
      <c r="ND25" s="39"/>
      <c r="NE25" s="39"/>
      <c r="NF25" s="39"/>
      <c r="NG25" s="39"/>
      <c r="NH25" s="39"/>
      <c r="NI25" s="39"/>
      <c r="NJ25" s="39"/>
      <c r="NK25" s="39"/>
      <c r="NL25" s="39"/>
      <c r="NM25" s="39"/>
      <c r="NN25" s="39"/>
      <c r="NO25" s="39"/>
      <c r="NP25" s="39"/>
      <c r="NQ25" s="39"/>
      <c r="NR25" s="39"/>
      <c r="NS25" s="39"/>
      <c r="NT25" s="39"/>
      <c r="NU25" s="39"/>
      <c r="NV25" s="39"/>
      <c r="NW25" s="39"/>
      <c r="NX25" s="39"/>
      <c r="NY25" s="38"/>
    </row>
    <row r="26">
      <c r="A26" s="50" t="s">
        <v>416</v>
      </c>
      <c r="B26" s="26" t="str">
        <f>IFERROR(__xludf.DUMMYFUNCTION("VLOOKUP(A26, IMPORTRANGE(""https://docs.google.com/spreadsheets/d/1KpTMcNM9m1P7u9qCVzob8p1-RZoC1ejaYs5CdpAbWFY/edit?gid=260580969#gid=260580969"", ""2025 EMP PROFILE DATA!a1:W98""), 22, FALSE)"),"#REF!")</f>
        <v>#REF!</v>
      </c>
      <c r="C26" s="50">
        <f t="shared" si="1"/>
        <v>0</v>
      </c>
      <c r="D26" s="50">
        <f t="shared" si="2"/>
        <v>1</v>
      </c>
      <c r="E26" s="50">
        <f t="shared" si="3"/>
        <v>49</v>
      </c>
      <c r="F26" s="50">
        <f t="shared" si="4"/>
        <v>0</v>
      </c>
      <c r="G26" s="51">
        <f t="shared" si="5"/>
        <v>0</v>
      </c>
      <c r="H26" s="51">
        <f t="shared" si="6"/>
        <v>0.1237373737</v>
      </c>
      <c r="I26" s="28">
        <f t="shared" si="7"/>
        <v>49</v>
      </c>
      <c r="J26" s="26">
        <v>0.0</v>
      </c>
      <c r="K26" s="26">
        <v>0.0</v>
      </c>
      <c r="L26" s="52"/>
      <c r="M26" s="50"/>
      <c r="N26" s="50"/>
      <c r="O26" s="50"/>
      <c r="P26" s="50"/>
      <c r="Q26" s="50"/>
      <c r="R26" s="37" t="s">
        <v>21</v>
      </c>
      <c r="S26" s="50"/>
      <c r="T26" s="37" t="s">
        <v>21</v>
      </c>
      <c r="U26" s="59" t="s">
        <v>20</v>
      </c>
      <c r="V26" s="50"/>
      <c r="W26" s="50"/>
      <c r="X26" s="37" t="s">
        <v>21</v>
      </c>
      <c r="Y26" s="37" t="s">
        <v>21</v>
      </c>
      <c r="Z26" s="37" t="s">
        <v>21</v>
      </c>
      <c r="AA26" s="37" t="s">
        <v>21</v>
      </c>
      <c r="AB26" s="37" t="s">
        <v>21</v>
      </c>
      <c r="AC26" s="50"/>
      <c r="AD26" s="50"/>
      <c r="AE26" s="50"/>
      <c r="AF26" s="37" t="s">
        <v>21</v>
      </c>
      <c r="AG26" s="50"/>
      <c r="AH26" s="50"/>
      <c r="AI26" s="37" t="s">
        <v>21</v>
      </c>
      <c r="AJ26" s="50"/>
      <c r="AK26" s="50"/>
      <c r="AL26" s="37" t="s">
        <v>21</v>
      </c>
      <c r="AM26" s="50"/>
      <c r="AN26" s="50"/>
      <c r="AO26" s="50"/>
      <c r="AP26" s="50"/>
      <c r="AQ26" s="50"/>
      <c r="AR26" s="29"/>
      <c r="AS26" s="28"/>
      <c r="AT26" s="28"/>
      <c r="AU26" s="28"/>
      <c r="AV26" s="28"/>
      <c r="AW26" s="26"/>
      <c r="AX26" s="28"/>
      <c r="AY26" s="28"/>
      <c r="AZ26" s="26"/>
      <c r="BA26" s="28"/>
      <c r="BB26" s="26"/>
      <c r="BC26" s="28"/>
      <c r="BD26" s="28"/>
      <c r="BE26" s="26"/>
      <c r="BF26" s="28"/>
      <c r="BG26" s="28"/>
      <c r="BH26" s="26"/>
      <c r="BI26" s="26"/>
      <c r="BJ26" s="26"/>
      <c r="BK26" s="28"/>
      <c r="BL26" s="28"/>
      <c r="BM26" s="26"/>
      <c r="BN26" s="28"/>
      <c r="BO26" s="28"/>
      <c r="BP26" s="28"/>
      <c r="BQ26" s="28"/>
      <c r="BR26" s="28"/>
      <c r="BS26" s="31"/>
      <c r="BT26" s="26"/>
      <c r="BU26" s="32"/>
      <c r="BV26" s="33"/>
      <c r="BW26" s="33"/>
      <c r="BX26" s="33"/>
      <c r="BY26" s="33"/>
      <c r="BZ26" s="37" t="s">
        <v>21</v>
      </c>
      <c r="CA26" s="33"/>
      <c r="CB26" s="35"/>
      <c r="CC26" s="33"/>
      <c r="CD26" s="37" t="s">
        <v>21</v>
      </c>
      <c r="CE26" s="34"/>
      <c r="CF26" s="36"/>
      <c r="CG26" s="26"/>
      <c r="CH26" s="37" t="s">
        <v>21</v>
      </c>
      <c r="CI26" s="37" t="s">
        <v>21</v>
      </c>
      <c r="CJ26" s="28"/>
      <c r="CK26" s="37" t="s">
        <v>21</v>
      </c>
      <c r="CL26" s="37" t="s">
        <v>21</v>
      </c>
      <c r="CM26" s="37" t="s">
        <v>21</v>
      </c>
      <c r="CN26" s="28"/>
      <c r="CO26" s="28"/>
      <c r="CP26" s="26"/>
      <c r="CQ26" s="28"/>
      <c r="CR26" s="37" t="s">
        <v>21</v>
      </c>
      <c r="CS26" s="28"/>
      <c r="CT26" s="28"/>
      <c r="CU26" s="37" t="s">
        <v>21</v>
      </c>
      <c r="CV26" s="31"/>
      <c r="CW26" s="26"/>
      <c r="CX26" s="26"/>
      <c r="CY26" s="37" t="s">
        <v>21</v>
      </c>
      <c r="CZ26" s="37" t="s">
        <v>21</v>
      </c>
      <c r="DA26" s="32"/>
      <c r="DB26" s="28"/>
      <c r="DC26" s="28"/>
      <c r="DD26" s="28"/>
      <c r="DE26" s="26"/>
      <c r="DF26" s="26"/>
      <c r="DG26" s="37" t="s">
        <v>21</v>
      </c>
      <c r="DH26" s="37" t="s">
        <v>21</v>
      </c>
      <c r="DI26" s="37" t="s">
        <v>21</v>
      </c>
      <c r="DJ26" s="28"/>
      <c r="DK26" s="28"/>
      <c r="DL26" s="28"/>
      <c r="DM26" s="28"/>
      <c r="DN26" s="28"/>
      <c r="DO26" s="37" t="s">
        <v>21</v>
      </c>
      <c r="DP26" s="37" t="s">
        <v>21</v>
      </c>
      <c r="DQ26" s="37" t="s">
        <v>21</v>
      </c>
      <c r="DR26" s="28"/>
      <c r="DS26" s="28"/>
      <c r="DT26" s="28"/>
      <c r="DU26" s="37" t="s">
        <v>21</v>
      </c>
      <c r="DV26" s="28"/>
      <c r="DW26" s="26"/>
      <c r="DX26" s="37" t="s">
        <v>21</v>
      </c>
      <c r="DY26" s="37" t="s">
        <v>21</v>
      </c>
      <c r="DZ26" s="37" t="s">
        <v>21</v>
      </c>
      <c r="EA26" s="28"/>
      <c r="EB26" s="37" t="s">
        <v>21</v>
      </c>
      <c r="EC26" s="37" t="s">
        <v>21</v>
      </c>
      <c r="ED26" s="31"/>
      <c r="EE26" s="37" t="s">
        <v>21</v>
      </c>
      <c r="EF26" s="32"/>
      <c r="EG26" s="28"/>
      <c r="EH26" s="26"/>
      <c r="EI26" s="28"/>
      <c r="EJ26" s="37" t="s">
        <v>21</v>
      </c>
      <c r="EK26" s="37" t="s">
        <v>21</v>
      </c>
      <c r="EL26" s="37" t="s">
        <v>21</v>
      </c>
      <c r="EM26" s="37" t="s">
        <v>21</v>
      </c>
      <c r="EN26" s="37" t="s">
        <v>21</v>
      </c>
      <c r="EO26" s="26"/>
      <c r="EP26" s="28"/>
      <c r="EQ26" s="28"/>
      <c r="ER26" s="37" t="s">
        <v>21</v>
      </c>
      <c r="ES26" s="37" t="s">
        <v>21</v>
      </c>
      <c r="ET26" s="26"/>
      <c r="EU26" s="26"/>
      <c r="EV26" s="28"/>
      <c r="EW26" s="28"/>
      <c r="EX26" s="28"/>
      <c r="EY26" s="28"/>
      <c r="EZ26" s="28"/>
      <c r="FA26" s="28"/>
      <c r="FB26" s="37" t="s">
        <v>21</v>
      </c>
      <c r="FC26" s="28"/>
      <c r="FD26" s="28"/>
      <c r="FE26" s="28"/>
      <c r="FF26" s="37" t="s">
        <v>21</v>
      </c>
      <c r="FG26" s="37" t="s">
        <v>21</v>
      </c>
      <c r="FH26" s="37" t="s">
        <v>21</v>
      </c>
      <c r="FI26" s="31"/>
      <c r="FJ26" s="31"/>
      <c r="FK26" s="31"/>
      <c r="FL26" s="32"/>
      <c r="FM26" s="28"/>
      <c r="FN26" s="26"/>
      <c r="FO26" s="28"/>
      <c r="FP26" s="28"/>
      <c r="FQ26" s="26"/>
      <c r="FR26" s="28"/>
      <c r="FS26" s="28"/>
      <c r="FT26" s="28"/>
      <c r="FU26" s="26"/>
      <c r="FV26" s="28"/>
      <c r="FW26" s="28"/>
      <c r="FX26" s="26"/>
      <c r="FY26" s="28"/>
      <c r="FZ26" s="28"/>
      <c r="GA26" s="28"/>
      <c r="GB26" s="26"/>
      <c r="GC26" s="26"/>
      <c r="GD26" s="37" t="s">
        <v>21</v>
      </c>
      <c r="GE26" s="37" t="s">
        <v>21</v>
      </c>
      <c r="GF26" s="28"/>
      <c r="GG26" s="28"/>
      <c r="GH26" s="37" t="s">
        <v>21</v>
      </c>
      <c r="GI26" s="37" t="s">
        <v>21</v>
      </c>
      <c r="GJ26" s="28"/>
      <c r="GK26" s="28"/>
      <c r="GL26" s="28"/>
      <c r="GM26" s="31"/>
      <c r="GN26" s="26"/>
      <c r="GO26" s="31"/>
      <c r="GP26" s="31"/>
      <c r="GQ26" s="38"/>
      <c r="GR26" s="39"/>
      <c r="GS26" s="39"/>
      <c r="GT26" s="39"/>
      <c r="GU26" s="39"/>
      <c r="GV26" s="39"/>
      <c r="GW26" s="39"/>
      <c r="GX26" s="39"/>
      <c r="GY26" s="39"/>
      <c r="GZ26" s="40"/>
      <c r="HA26" s="39"/>
      <c r="HB26" s="39"/>
      <c r="HC26" s="39"/>
      <c r="HD26" s="39"/>
      <c r="HE26" s="39"/>
      <c r="HF26" s="39"/>
      <c r="HG26" s="39"/>
      <c r="HH26" s="39"/>
      <c r="HI26" s="39"/>
      <c r="HJ26" s="39"/>
      <c r="HK26" s="39"/>
      <c r="HL26" s="40"/>
      <c r="HM26" s="40"/>
      <c r="HN26" s="39"/>
      <c r="HO26" s="39"/>
      <c r="HP26" s="39"/>
      <c r="HQ26" s="39"/>
      <c r="HR26" s="39"/>
      <c r="HS26" s="39"/>
      <c r="HT26" s="39"/>
      <c r="HU26" s="40"/>
      <c r="HV26" s="39"/>
      <c r="HW26" s="38"/>
      <c r="HX26" s="41"/>
      <c r="HY26" s="39"/>
      <c r="HZ26" s="39"/>
      <c r="IA26" s="39"/>
      <c r="IB26" s="39"/>
      <c r="IC26" s="39"/>
      <c r="ID26" s="40"/>
      <c r="IE26" s="39"/>
      <c r="IF26" s="39"/>
      <c r="IG26" s="39"/>
      <c r="IH26" s="40"/>
      <c r="II26" s="40"/>
      <c r="IJ26" s="42"/>
      <c r="IK26" s="42"/>
      <c r="IL26" s="39"/>
      <c r="IM26" s="39"/>
      <c r="IN26" s="39"/>
      <c r="IO26" s="42"/>
      <c r="IP26" s="40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8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8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40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8"/>
      <c r="LO26" s="39"/>
      <c r="LP26" s="39"/>
      <c r="LQ26" s="40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9"/>
      <c r="MM26" s="39"/>
      <c r="MN26" s="39"/>
      <c r="MO26" s="39"/>
      <c r="MP26" s="39"/>
      <c r="MQ26" s="39"/>
      <c r="MR26" s="39"/>
      <c r="MS26" s="38"/>
      <c r="MT26" s="39"/>
      <c r="MU26" s="39"/>
      <c r="MV26" s="39"/>
      <c r="MW26" s="39"/>
      <c r="MX26" s="39"/>
      <c r="MY26" s="39"/>
      <c r="MZ26" s="39"/>
      <c r="NA26" s="39"/>
      <c r="NB26" s="39"/>
      <c r="NC26" s="39"/>
      <c r="ND26" s="39"/>
      <c r="NE26" s="39"/>
      <c r="NF26" s="39"/>
      <c r="NG26" s="39"/>
      <c r="NH26" s="39"/>
      <c r="NI26" s="39"/>
      <c r="NJ26" s="39"/>
      <c r="NK26" s="39"/>
      <c r="NL26" s="39"/>
      <c r="NM26" s="39"/>
      <c r="NN26" s="39"/>
      <c r="NO26" s="39"/>
      <c r="NP26" s="39"/>
      <c r="NQ26" s="39"/>
      <c r="NR26" s="39"/>
      <c r="NS26" s="39"/>
      <c r="NT26" s="39"/>
      <c r="NU26" s="39"/>
      <c r="NV26" s="39"/>
      <c r="NW26" s="39"/>
      <c r="NX26" s="39"/>
      <c r="NY26" s="38"/>
    </row>
    <row r="27">
      <c r="A27" s="45" t="s">
        <v>417</v>
      </c>
      <c r="B27" s="26" t="str">
        <f>IFERROR(__xludf.DUMMYFUNCTION("VLOOKUP(A27, IMPORTRANGE(""https://docs.google.com/spreadsheets/d/1KpTMcNM9m1P7u9qCVzob8p1-RZoC1ejaYs5CdpAbWFY/edit?gid=260580969#gid=260580969"", ""2025 EMP PROFILE DATA!a1:W98""), 22, FALSE)"),"#REF!")</f>
        <v>#REF!</v>
      </c>
      <c r="C27" s="45">
        <f t="shared" si="1"/>
        <v>0</v>
      </c>
      <c r="D27" s="45">
        <f t="shared" si="2"/>
        <v>0</v>
      </c>
      <c r="E27" s="45">
        <f t="shared" si="3"/>
        <v>1</v>
      </c>
      <c r="F27" s="45">
        <f t="shared" si="4"/>
        <v>0</v>
      </c>
      <c r="G27" s="46">
        <f t="shared" si="5"/>
        <v>0</v>
      </c>
      <c r="H27" s="46">
        <f t="shared" si="6"/>
        <v>0.002525252525</v>
      </c>
      <c r="I27" s="28">
        <f t="shared" si="7"/>
        <v>1</v>
      </c>
      <c r="J27" s="26">
        <v>0.0</v>
      </c>
      <c r="K27" s="26">
        <v>0.0</v>
      </c>
      <c r="L27" s="49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29"/>
      <c r="AS27" s="28"/>
      <c r="AT27" s="28"/>
      <c r="AU27" s="28"/>
      <c r="AV27" s="28"/>
      <c r="AW27" s="26"/>
      <c r="AX27" s="28"/>
      <c r="AY27" s="28"/>
      <c r="AZ27" s="26"/>
      <c r="BA27" s="28"/>
      <c r="BB27" s="26"/>
      <c r="BC27" s="28"/>
      <c r="BD27" s="28"/>
      <c r="BE27" s="26"/>
      <c r="BF27" s="28"/>
      <c r="BG27" s="28"/>
      <c r="BH27" s="26"/>
      <c r="BI27" s="26"/>
      <c r="BJ27" s="26"/>
      <c r="BK27" s="28"/>
      <c r="BL27" s="28"/>
      <c r="BM27" s="26"/>
      <c r="BN27" s="28"/>
      <c r="BO27" s="28"/>
      <c r="BP27" s="28"/>
      <c r="BQ27" s="28"/>
      <c r="BR27" s="28"/>
      <c r="BS27" s="31"/>
      <c r="BT27" s="26"/>
      <c r="BU27" s="32"/>
      <c r="BV27" s="33"/>
      <c r="BW27" s="33"/>
      <c r="BX27" s="33"/>
      <c r="BY27" s="33"/>
      <c r="BZ27" s="33"/>
      <c r="CA27" s="33"/>
      <c r="CB27" s="35"/>
      <c r="CC27" s="33"/>
      <c r="CD27" s="33"/>
      <c r="CE27" s="34"/>
      <c r="CF27" s="36"/>
      <c r="CG27" s="26"/>
      <c r="CH27" s="28"/>
      <c r="CI27" s="28"/>
      <c r="CJ27" s="28"/>
      <c r="CK27" s="28"/>
      <c r="CL27" s="26"/>
      <c r="CM27" s="28"/>
      <c r="CN27" s="28"/>
      <c r="CO27" s="28"/>
      <c r="CP27" s="26"/>
      <c r="CQ27" s="28"/>
      <c r="CR27" s="28"/>
      <c r="CS27" s="28"/>
      <c r="CT27" s="28"/>
      <c r="CU27" s="26"/>
      <c r="CV27" s="31"/>
      <c r="CW27" s="26"/>
      <c r="CX27" s="26"/>
      <c r="CY27" s="26"/>
      <c r="CZ27" s="31"/>
      <c r="DA27" s="32"/>
      <c r="DB27" s="28"/>
      <c r="DC27" s="28"/>
      <c r="DD27" s="28"/>
      <c r="DE27" s="26"/>
      <c r="DF27" s="26"/>
      <c r="DG27" s="26"/>
      <c r="DH27" s="26"/>
      <c r="DI27" s="26"/>
      <c r="DJ27" s="28"/>
      <c r="DK27" s="37" t="s">
        <v>21</v>
      </c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6"/>
      <c r="DX27" s="26"/>
      <c r="DY27" s="28"/>
      <c r="DZ27" s="28"/>
      <c r="EA27" s="28"/>
      <c r="EB27" s="31"/>
      <c r="EC27" s="26"/>
      <c r="ED27" s="31"/>
      <c r="EE27" s="26"/>
      <c r="EF27" s="32"/>
      <c r="EG27" s="28"/>
      <c r="EH27" s="26"/>
      <c r="EI27" s="28"/>
      <c r="EJ27" s="28"/>
      <c r="EK27" s="26"/>
      <c r="EL27" s="28"/>
      <c r="EM27" s="28"/>
      <c r="EN27" s="26"/>
      <c r="EO27" s="26"/>
      <c r="EP27" s="28"/>
      <c r="EQ27" s="28"/>
      <c r="ER27" s="26"/>
      <c r="ES27" s="28"/>
      <c r="ET27" s="26"/>
      <c r="EU27" s="26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6"/>
      <c r="FH27" s="26"/>
      <c r="FI27" s="31"/>
      <c r="FJ27" s="31"/>
      <c r="FK27" s="31"/>
      <c r="FL27" s="32"/>
      <c r="FM27" s="28"/>
      <c r="FN27" s="26"/>
      <c r="FO27" s="28"/>
      <c r="FP27" s="28"/>
      <c r="FQ27" s="26"/>
      <c r="FR27" s="28"/>
      <c r="FS27" s="28"/>
      <c r="FT27" s="28"/>
      <c r="FU27" s="26"/>
      <c r="FV27" s="28"/>
      <c r="FW27" s="28"/>
      <c r="FX27" s="26"/>
      <c r="FY27" s="28"/>
      <c r="FZ27" s="28"/>
      <c r="GA27" s="28"/>
      <c r="GB27" s="26"/>
      <c r="GC27" s="26"/>
      <c r="GD27" s="28"/>
      <c r="GE27" s="28"/>
      <c r="GF27" s="28"/>
      <c r="GG27" s="28"/>
      <c r="GH27" s="28"/>
      <c r="GI27" s="26"/>
      <c r="GJ27" s="28"/>
      <c r="GK27" s="28"/>
      <c r="GL27" s="28"/>
      <c r="GM27" s="31"/>
      <c r="GN27" s="26"/>
      <c r="GO27" s="31"/>
      <c r="GP27" s="31"/>
      <c r="GQ27" s="38"/>
      <c r="GR27" s="39"/>
      <c r="GS27" s="39"/>
      <c r="GT27" s="39"/>
      <c r="GU27" s="39"/>
      <c r="GV27" s="39"/>
      <c r="GW27" s="39"/>
      <c r="GX27" s="39"/>
      <c r="GY27" s="39"/>
      <c r="GZ27" s="40"/>
      <c r="HA27" s="39"/>
      <c r="HB27" s="39"/>
      <c r="HC27" s="39"/>
      <c r="HD27" s="39"/>
      <c r="HE27" s="39"/>
      <c r="HF27" s="39"/>
      <c r="HG27" s="39"/>
      <c r="HH27" s="39"/>
      <c r="HI27" s="39"/>
      <c r="HJ27" s="39"/>
      <c r="HK27" s="39"/>
      <c r="HL27" s="40"/>
      <c r="HM27" s="40"/>
      <c r="HN27" s="39"/>
      <c r="HO27" s="39"/>
      <c r="HP27" s="39"/>
      <c r="HQ27" s="39"/>
      <c r="HR27" s="39"/>
      <c r="HS27" s="39"/>
      <c r="HT27" s="39"/>
      <c r="HU27" s="40"/>
      <c r="HV27" s="39"/>
      <c r="HW27" s="38"/>
      <c r="HX27" s="41"/>
      <c r="HY27" s="39"/>
      <c r="HZ27" s="39"/>
      <c r="IA27" s="39"/>
      <c r="IB27" s="39"/>
      <c r="IC27" s="39"/>
      <c r="ID27" s="40"/>
      <c r="IE27" s="39"/>
      <c r="IF27" s="39"/>
      <c r="IG27" s="39"/>
      <c r="IH27" s="40"/>
      <c r="II27" s="40"/>
      <c r="IJ27" s="42"/>
      <c r="IK27" s="42"/>
      <c r="IL27" s="39"/>
      <c r="IM27" s="39"/>
      <c r="IN27" s="39"/>
      <c r="IO27" s="42"/>
      <c r="IP27" s="40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8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8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40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8"/>
      <c r="LO27" s="39"/>
      <c r="LP27" s="39"/>
      <c r="LQ27" s="40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9"/>
      <c r="MM27" s="39"/>
      <c r="MN27" s="39"/>
      <c r="MO27" s="39"/>
      <c r="MP27" s="39"/>
      <c r="MQ27" s="39"/>
      <c r="MR27" s="39"/>
      <c r="MS27" s="38"/>
      <c r="MT27" s="39"/>
      <c r="MU27" s="39"/>
      <c r="MV27" s="39"/>
      <c r="MW27" s="39"/>
      <c r="MX27" s="39"/>
      <c r="MY27" s="39"/>
      <c r="MZ27" s="39"/>
      <c r="NA27" s="39"/>
      <c r="NB27" s="39"/>
      <c r="NC27" s="39"/>
      <c r="ND27" s="39"/>
      <c r="NE27" s="39"/>
      <c r="NF27" s="39"/>
      <c r="NG27" s="39"/>
      <c r="NH27" s="39"/>
      <c r="NI27" s="39"/>
      <c r="NJ27" s="39"/>
      <c r="NK27" s="39"/>
      <c r="NL27" s="39"/>
      <c r="NM27" s="39"/>
      <c r="NN27" s="39"/>
      <c r="NO27" s="39"/>
      <c r="NP27" s="39"/>
      <c r="NQ27" s="39"/>
      <c r="NR27" s="39"/>
      <c r="NS27" s="39"/>
      <c r="NT27" s="39"/>
      <c r="NU27" s="39"/>
      <c r="NV27" s="39"/>
      <c r="NW27" s="39"/>
      <c r="NX27" s="39"/>
      <c r="NY27" s="38"/>
    </row>
    <row r="28">
      <c r="A28" s="50" t="s">
        <v>418</v>
      </c>
      <c r="B28" s="26" t="str">
        <f>IFERROR(__xludf.DUMMYFUNCTION("VLOOKUP(A28, IMPORTRANGE(""https://docs.google.com/spreadsheets/d/1KpTMcNM9m1P7u9qCVzob8p1-RZoC1ejaYs5CdpAbWFY/edit?gid=260580969#gid=260580969"", ""2025 EMP PROFILE DATA!a1:W98""), 22, FALSE)"),"#REF!")</f>
        <v>#REF!</v>
      </c>
      <c r="C28" s="50">
        <f t="shared" si="1"/>
        <v>0</v>
      </c>
      <c r="D28" s="50">
        <f t="shared" si="2"/>
        <v>0</v>
      </c>
      <c r="E28" s="50">
        <f t="shared" si="3"/>
        <v>20</v>
      </c>
      <c r="F28" s="50">
        <f t="shared" si="4"/>
        <v>0</v>
      </c>
      <c r="G28" s="51">
        <f t="shared" si="5"/>
        <v>0</v>
      </c>
      <c r="H28" s="51">
        <f t="shared" si="6"/>
        <v>0.05050505051</v>
      </c>
      <c r="I28" s="28">
        <f t="shared" si="7"/>
        <v>20</v>
      </c>
      <c r="J28" s="26">
        <v>0.0</v>
      </c>
      <c r="K28" s="26">
        <v>0.0</v>
      </c>
      <c r="L28" s="52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29"/>
      <c r="AS28" s="28"/>
      <c r="AT28" s="28"/>
      <c r="AU28" s="28"/>
      <c r="AV28" s="28"/>
      <c r="AW28" s="26"/>
      <c r="AX28" s="28"/>
      <c r="AY28" s="28"/>
      <c r="AZ28" s="26"/>
      <c r="BA28" s="28"/>
      <c r="BB28" s="26"/>
      <c r="BC28" s="28"/>
      <c r="BD28" s="28"/>
      <c r="BE28" s="26"/>
      <c r="BF28" s="28"/>
      <c r="BG28" s="28"/>
      <c r="BH28" s="26"/>
      <c r="BI28" s="26"/>
      <c r="BJ28" s="37" t="s">
        <v>21</v>
      </c>
      <c r="BK28" s="28"/>
      <c r="BL28" s="28"/>
      <c r="BM28" s="26"/>
      <c r="BN28" s="28"/>
      <c r="BO28" s="28"/>
      <c r="BP28" s="28"/>
      <c r="BQ28" s="28"/>
      <c r="BR28" s="28"/>
      <c r="BS28" s="31"/>
      <c r="BT28" s="26"/>
      <c r="BU28" s="32"/>
      <c r="BV28" s="33"/>
      <c r="BW28" s="33"/>
      <c r="BX28" s="33"/>
      <c r="BY28" s="33"/>
      <c r="BZ28" s="33"/>
      <c r="CA28" s="33"/>
      <c r="CB28" s="35"/>
      <c r="CC28" s="33"/>
      <c r="CD28" s="33"/>
      <c r="CE28" s="34"/>
      <c r="CF28" s="36"/>
      <c r="CG28" s="37" t="s">
        <v>21</v>
      </c>
      <c r="CH28" s="28"/>
      <c r="CI28" s="28"/>
      <c r="CJ28" s="28"/>
      <c r="CK28" s="28"/>
      <c r="CL28" s="26"/>
      <c r="CM28" s="28"/>
      <c r="CN28" s="28"/>
      <c r="CO28" s="28"/>
      <c r="CP28" s="26"/>
      <c r="CQ28" s="28"/>
      <c r="CR28" s="28"/>
      <c r="CS28" s="37" t="s">
        <v>21</v>
      </c>
      <c r="CT28" s="28"/>
      <c r="CU28" s="26"/>
      <c r="CV28" s="31"/>
      <c r="CW28" s="26"/>
      <c r="CX28" s="26"/>
      <c r="CY28" s="26"/>
      <c r="CZ28" s="37" t="s">
        <v>21</v>
      </c>
      <c r="DA28" s="32"/>
      <c r="DB28" s="28"/>
      <c r="DC28" s="37" t="s">
        <v>21</v>
      </c>
      <c r="DD28" s="37" t="s">
        <v>21</v>
      </c>
      <c r="DE28" s="37" t="s">
        <v>21</v>
      </c>
      <c r="DF28" s="26"/>
      <c r="DG28" s="37" t="s">
        <v>21</v>
      </c>
      <c r="DH28" s="26"/>
      <c r="DI28" s="26"/>
      <c r="DJ28" s="28"/>
      <c r="DK28" s="37" t="s">
        <v>21</v>
      </c>
      <c r="DL28" s="28"/>
      <c r="DM28" s="28"/>
      <c r="DN28" s="37" t="s">
        <v>21</v>
      </c>
      <c r="DO28" s="28"/>
      <c r="DP28" s="37" t="s">
        <v>21</v>
      </c>
      <c r="DQ28" s="28"/>
      <c r="DR28" s="28"/>
      <c r="DS28" s="28"/>
      <c r="DT28" s="28"/>
      <c r="DU28" s="28"/>
      <c r="DV28" s="28"/>
      <c r="DW28" s="26"/>
      <c r="DX28" s="26"/>
      <c r="DY28" s="37" t="s">
        <v>21</v>
      </c>
      <c r="DZ28" s="28"/>
      <c r="EA28" s="28"/>
      <c r="EB28" s="31"/>
      <c r="EC28" s="26"/>
      <c r="ED28" s="31"/>
      <c r="EE28" s="26"/>
      <c r="EF28" s="32"/>
      <c r="EG28" s="28"/>
      <c r="EH28" s="26"/>
      <c r="EI28" s="28"/>
      <c r="EJ28" s="28"/>
      <c r="EK28" s="26"/>
      <c r="EL28" s="28"/>
      <c r="EM28" s="37" t="s">
        <v>21</v>
      </c>
      <c r="EN28" s="26"/>
      <c r="EO28" s="26"/>
      <c r="EP28" s="28"/>
      <c r="EQ28" s="28"/>
      <c r="ER28" s="26"/>
      <c r="ES28" s="28"/>
      <c r="ET28" s="26"/>
      <c r="EU28" s="26"/>
      <c r="EV28" s="37" t="s">
        <v>21</v>
      </c>
      <c r="EW28" s="28"/>
      <c r="EX28" s="28"/>
      <c r="EY28" s="28"/>
      <c r="EZ28" s="28"/>
      <c r="FA28" s="37" t="s">
        <v>21</v>
      </c>
      <c r="FB28" s="28"/>
      <c r="FC28" s="28"/>
      <c r="FD28" s="28"/>
      <c r="FE28" s="28"/>
      <c r="FF28" s="37" t="s">
        <v>21</v>
      </c>
      <c r="FG28" s="26"/>
      <c r="FH28" s="26"/>
      <c r="FI28" s="31"/>
      <c r="FJ28" s="31"/>
      <c r="FK28" s="31"/>
      <c r="FL28" s="32"/>
      <c r="FM28" s="37" t="s">
        <v>21</v>
      </c>
      <c r="FN28" s="26"/>
      <c r="FO28" s="28"/>
      <c r="FP28" s="37" t="s">
        <v>21</v>
      </c>
      <c r="FQ28" s="26"/>
      <c r="FR28" s="28"/>
      <c r="FS28" s="28"/>
      <c r="FT28" s="28"/>
      <c r="FU28" s="26"/>
      <c r="FV28" s="28"/>
      <c r="FW28" s="28"/>
      <c r="FX28" s="26"/>
      <c r="FY28" s="28"/>
      <c r="FZ28" s="28"/>
      <c r="GA28" s="28"/>
      <c r="GB28" s="26"/>
      <c r="GC28" s="26"/>
      <c r="GD28" s="37" t="s">
        <v>21</v>
      </c>
      <c r="GE28" s="28"/>
      <c r="GF28" s="28"/>
      <c r="GG28" s="28"/>
      <c r="GH28" s="37" t="s">
        <v>21</v>
      </c>
      <c r="GI28" s="26"/>
      <c r="GJ28" s="28"/>
      <c r="GK28" s="28"/>
      <c r="GL28" s="28"/>
      <c r="GM28" s="31"/>
      <c r="GN28" s="26"/>
      <c r="GO28" s="31"/>
      <c r="GP28" s="31"/>
      <c r="GQ28" s="38"/>
      <c r="GR28" s="39"/>
      <c r="GS28" s="39"/>
      <c r="GT28" s="39"/>
      <c r="GU28" s="39"/>
      <c r="GV28" s="39"/>
      <c r="GW28" s="39"/>
      <c r="GX28" s="39"/>
      <c r="GY28" s="39"/>
      <c r="GZ28" s="40"/>
      <c r="HA28" s="39"/>
      <c r="HB28" s="39"/>
      <c r="HC28" s="39"/>
      <c r="HD28" s="39"/>
      <c r="HE28" s="39"/>
      <c r="HF28" s="39"/>
      <c r="HG28" s="39"/>
      <c r="HH28" s="39"/>
      <c r="HI28" s="39"/>
      <c r="HJ28" s="39"/>
      <c r="HK28" s="39"/>
      <c r="HL28" s="40"/>
      <c r="HM28" s="40"/>
      <c r="HN28" s="39"/>
      <c r="HO28" s="39"/>
      <c r="HP28" s="39"/>
      <c r="HQ28" s="39"/>
      <c r="HR28" s="39"/>
      <c r="HS28" s="39"/>
      <c r="HT28" s="39"/>
      <c r="HU28" s="40"/>
      <c r="HV28" s="39"/>
      <c r="HW28" s="38"/>
      <c r="HX28" s="41"/>
      <c r="HY28" s="39"/>
      <c r="HZ28" s="39"/>
      <c r="IA28" s="39"/>
      <c r="IB28" s="39"/>
      <c r="IC28" s="39"/>
      <c r="ID28" s="40"/>
      <c r="IE28" s="39"/>
      <c r="IF28" s="39"/>
      <c r="IG28" s="39"/>
      <c r="IH28" s="40"/>
      <c r="II28" s="40"/>
      <c r="IJ28" s="42"/>
      <c r="IK28" s="42"/>
      <c r="IL28" s="39"/>
      <c r="IM28" s="39"/>
      <c r="IN28" s="39"/>
      <c r="IO28" s="42"/>
      <c r="IP28" s="40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8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8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40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8"/>
      <c r="LO28" s="39"/>
      <c r="LP28" s="39"/>
      <c r="LQ28" s="40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9"/>
      <c r="MM28" s="39"/>
      <c r="MN28" s="39"/>
      <c r="MO28" s="39"/>
      <c r="MP28" s="39"/>
      <c r="MQ28" s="39"/>
      <c r="MR28" s="39"/>
      <c r="MS28" s="38"/>
      <c r="MT28" s="39"/>
      <c r="MU28" s="39"/>
      <c r="MV28" s="39"/>
      <c r="MW28" s="39"/>
      <c r="MX28" s="39"/>
      <c r="MY28" s="39"/>
      <c r="MZ28" s="39"/>
      <c r="NA28" s="39"/>
      <c r="NB28" s="39"/>
      <c r="NC28" s="39"/>
      <c r="ND28" s="39"/>
      <c r="NE28" s="39"/>
      <c r="NF28" s="39"/>
      <c r="NG28" s="39"/>
      <c r="NH28" s="39"/>
      <c r="NI28" s="39"/>
      <c r="NJ28" s="39"/>
      <c r="NK28" s="39"/>
      <c r="NL28" s="39"/>
      <c r="NM28" s="39"/>
      <c r="NN28" s="39"/>
      <c r="NO28" s="39"/>
      <c r="NP28" s="39"/>
      <c r="NQ28" s="39"/>
      <c r="NR28" s="39"/>
      <c r="NS28" s="39"/>
      <c r="NT28" s="39"/>
      <c r="NU28" s="39"/>
      <c r="NV28" s="39"/>
      <c r="NW28" s="39"/>
      <c r="NX28" s="39"/>
      <c r="NY28" s="38"/>
    </row>
    <row r="29">
      <c r="A29" s="45" t="s">
        <v>419</v>
      </c>
      <c r="B29" s="26" t="str">
        <f>IFERROR(__xludf.DUMMYFUNCTION("VLOOKUP(A29, IMPORTRANGE(""https://docs.google.com/spreadsheets/d/1KpTMcNM9m1P7u9qCVzob8p1-RZoC1ejaYs5CdpAbWFY/edit?gid=260580969#gid=260580969"", ""2025 EMP PROFILE DATA!a1:W98""), 22, FALSE)"),"#REF!")</f>
        <v>#REF!</v>
      </c>
      <c r="C29" s="45">
        <f t="shared" si="1"/>
        <v>0</v>
      </c>
      <c r="D29" s="45">
        <f t="shared" si="2"/>
        <v>0</v>
      </c>
      <c r="E29" s="45">
        <f t="shared" si="3"/>
        <v>0</v>
      </c>
      <c r="F29" s="45">
        <f t="shared" si="4"/>
        <v>0</v>
      </c>
      <c r="G29" s="46">
        <f t="shared" si="5"/>
        <v>0</v>
      </c>
      <c r="H29" s="46">
        <f t="shared" si="6"/>
        <v>0</v>
      </c>
      <c r="I29" s="28">
        <f t="shared" si="7"/>
        <v>0</v>
      </c>
      <c r="J29" s="26">
        <v>0.0</v>
      </c>
      <c r="K29" s="26">
        <v>0.0</v>
      </c>
      <c r="L29" s="49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29"/>
      <c r="AS29" s="28"/>
      <c r="AT29" s="28"/>
      <c r="AU29" s="28"/>
      <c r="AV29" s="28"/>
      <c r="AW29" s="26"/>
      <c r="AX29" s="28"/>
      <c r="AY29" s="28"/>
      <c r="AZ29" s="26"/>
      <c r="BA29" s="28"/>
      <c r="BB29" s="26"/>
      <c r="BC29" s="28"/>
      <c r="BD29" s="28"/>
      <c r="BE29" s="26"/>
      <c r="BF29" s="28"/>
      <c r="BG29" s="28"/>
      <c r="BH29" s="26"/>
      <c r="BI29" s="26"/>
      <c r="BJ29" s="26"/>
      <c r="BK29" s="28"/>
      <c r="BL29" s="28"/>
      <c r="BM29" s="26"/>
      <c r="BN29" s="28"/>
      <c r="BO29" s="28"/>
      <c r="BP29" s="28"/>
      <c r="BQ29" s="28"/>
      <c r="BR29" s="28"/>
      <c r="BS29" s="31"/>
      <c r="BT29" s="26"/>
      <c r="BU29" s="32"/>
      <c r="BV29" s="33"/>
      <c r="BW29" s="33"/>
      <c r="BX29" s="33"/>
      <c r="BY29" s="33"/>
      <c r="BZ29" s="33"/>
      <c r="CA29" s="33"/>
      <c r="CB29" s="35"/>
      <c r="CC29" s="33"/>
      <c r="CD29" s="33"/>
      <c r="CE29" s="34"/>
      <c r="CF29" s="36"/>
      <c r="CG29" s="26"/>
      <c r="CH29" s="28"/>
      <c r="CI29" s="28"/>
      <c r="CJ29" s="28"/>
      <c r="CK29" s="28"/>
      <c r="CL29" s="26"/>
      <c r="CM29" s="28"/>
      <c r="CN29" s="28"/>
      <c r="CO29" s="28"/>
      <c r="CP29" s="26"/>
      <c r="CQ29" s="28"/>
      <c r="CR29" s="28"/>
      <c r="CS29" s="28"/>
      <c r="CT29" s="28"/>
      <c r="CU29" s="26"/>
      <c r="CV29" s="31"/>
      <c r="CW29" s="26"/>
      <c r="CX29" s="26"/>
      <c r="CY29" s="26"/>
      <c r="CZ29" s="31"/>
      <c r="DA29" s="32"/>
      <c r="DB29" s="28"/>
      <c r="DC29" s="28"/>
      <c r="DD29" s="28"/>
      <c r="DE29" s="26"/>
      <c r="DF29" s="26"/>
      <c r="DG29" s="26"/>
      <c r="DH29" s="26"/>
      <c r="DI29" s="26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6"/>
      <c r="DX29" s="26"/>
      <c r="DY29" s="28"/>
      <c r="DZ29" s="28"/>
      <c r="EA29" s="28"/>
      <c r="EB29" s="31"/>
      <c r="EC29" s="26"/>
      <c r="ED29" s="31"/>
      <c r="EE29" s="26"/>
      <c r="EF29" s="32"/>
      <c r="EG29" s="28"/>
      <c r="EH29" s="26"/>
      <c r="EI29" s="28"/>
      <c r="EJ29" s="28"/>
      <c r="EK29" s="26"/>
      <c r="EL29" s="28"/>
      <c r="EM29" s="28"/>
      <c r="EN29" s="26"/>
      <c r="EO29" s="26"/>
      <c r="EP29" s="28"/>
      <c r="EQ29" s="28"/>
      <c r="ER29" s="26"/>
      <c r="ES29" s="28"/>
      <c r="ET29" s="26"/>
      <c r="EU29" s="26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6"/>
      <c r="FH29" s="26"/>
      <c r="FI29" s="31"/>
      <c r="FJ29" s="31"/>
      <c r="FK29" s="31"/>
      <c r="FL29" s="32"/>
      <c r="FM29" s="28"/>
      <c r="FN29" s="26"/>
      <c r="FO29" s="28"/>
      <c r="FP29" s="28"/>
      <c r="FQ29" s="26"/>
      <c r="FR29" s="28"/>
      <c r="FS29" s="28"/>
      <c r="FT29" s="28"/>
      <c r="FU29" s="26"/>
      <c r="FV29" s="28"/>
      <c r="FW29" s="28"/>
      <c r="FX29" s="26"/>
      <c r="FY29" s="28"/>
      <c r="FZ29" s="28"/>
      <c r="GA29" s="28"/>
      <c r="GB29" s="26"/>
      <c r="GC29" s="26"/>
      <c r="GD29" s="28"/>
      <c r="GE29" s="28"/>
      <c r="GF29" s="28"/>
      <c r="GG29" s="28"/>
      <c r="GH29" s="28"/>
      <c r="GI29" s="26"/>
      <c r="GJ29" s="28"/>
      <c r="GK29" s="28"/>
      <c r="GL29" s="28"/>
      <c r="GM29" s="31"/>
      <c r="GN29" s="26"/>
      <c r="GO29" s="31"/>
      <c r="GP29" s="31"/>
      <c r="GQ29" s="38"/>
      <c r="GR29" s="39"/>
      <c r="GS29" s="39"/>
      <c r="GT29" s="39"/>
      <c r="GU29" s="39"/>
      <c r="GV29" s="39"/>
      <c r="GW29" s="39"/>
      <c r="GX29" s="39"/>
      <c r="GY29" s="39"/>
      <c r="GZ29" s="40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40"/>
      <c r="HM29" s="40"/>
      <c r="HN29" s="39"/>
      <c r="HO29" s="39"/>
      <c r="HP29" s="39"/>
      <c r="HQ29" s="39"/>
      <c r="HR29" s="39"/>
      <c r="HS29" s="39"/>
      <c r="HT29" s="39"/>
      <c r="HU29" s="40"/>
      <c r="HV29" s="39"/>
      <c r="HW29" s="38"/>
      <c r="HX29" s="41"/>
      <c r="HY29" s="39"/>
      <c r="HZ29" s="39"/>
      <c r="IA29" s="39"/>
      <c r="IB29" s="39"/>
      <c r="IC29" s="39"/>
      <c r="ID29" s="40"/>
      <c r="IE29" s="39"/>
      <c r="IF29" s="39"/>
      <c r="IG29" s="39"/>
      <c r="IH29" s="40"/>
      <c r="II29" s="40"/>
      <c r="IJ29" s="42"/>
      <c r="IK29" s="42"/>
      <c r="IL29" s="39"/>
      <c r="IM29" s="39"/>
      <c r="IN29" s="39"/>
      <c r="IO29" s="42"/>
      <c r="IP29" s="40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8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8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40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8"/>
      <c r="LO29" s="39"/>
      <c r="LP29" s="39"/>
      <c r="LQ29" s="40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9"/>
      <c r="MM29" s="39"/>
      <c r="MN29" s="39"/>
      <c r="MO29" s="39"/>
      <c r="MP29" s="39"/>
      <c r="MQ29" s="39"/>
      <c r="MR29" s="39"/>
      <c r="MS29" s="38"/>
      <c r="MT29" s="39"/>
      <c r="MU29" s="39"/>
      <c r="MV29" s="39"/>
      <c r="MW29" s="39"/>
      <c r="MX29" s="39"/>
      <c r="MY29" s="39"/>
      <c r="MZ29" s="39"/>
      <c r="NA29" s="39"/>
      <c r="NB29" s="39"/>
      <c r="NC29" s="39"/>
      <c r="ND29" s="39"/>
      <c r="NE29" s="39"/>
      <c r="NF29" s="39"/>
      <c r="NG29" s="39"/>
      <c r="NH29" s="39"/>
      <c r="NI29" s="39"/>
      <c r="NJ29" s="39"/>
      <c r="NK29" s="39"/>
      <c r="NL29" s="39"/>
      <c r="NM29" s="39"/>
      <c r="NN29" s="39"/>
      <c r="NO29" s="39"/>
      <c r="NP29" s="39"/>
      <c r="NQ29" s="39"/>
      <c r="NR29" s="39"/>
      <c r="NS29" s="39"/>
      <c r="NT29" s="39"/>
      <c r="NU29" s="39"/>
      <c r="NV29" s="39"/>
      <c r="NW29" s="39"/>
      <c r="NX29" s="39"/>
      <c r="NY29" s="38"/>
    </row>
    <row r="30">
      <c r="A30" s="45" t="s">
        <v>420</v>
      </c>
      <c r="B30" s="26" t="str">
        <f>IFERROR(__xludf.DUMMYFUNCTION("VLOOKUP(A30, IMPORTRANGE(""https://docs.google.com/spreadsheets/d/1KpTMcNM9m1P7u9qCVzob8p1-RZoC1ejaYs5CdpAbWFY/edit?gid=260580969#gid=260580969"", ""2025 EMP PROFILE DATA!a1:W98""), 22, FALSE)"),"#REF!")</f>
        <v>#REF!</v>
      </c>
      <c r="C30" s="45">
        <f t="shared" si="1"/>
        <v>1</v>
      </c>
      <c r="D30" s="45">
        <f t="shared" si="2"/>
        <v>0</v>
      </c>
      <c r="E30" s="45">
        <f t="shared" si="3"/>
        <v>20</v>
      </c>
      <c r="F30" s="45">
        <f t="shared" si="4"/>
        <v>0</v>
      </c>
      <c r="G30" s="46">
        <f t="shared" si="5"/>
        <v>0.002525252525</v>
      </c>
      <c r="H30" s="46">
        <f t="shared" si="6"/>
        <v>0.05050505051</v>
      </c>
      <c r="I30" s="28">
        <f t="shared" si="7"/>
        <v>24</v>
      </c>
      <c r="J30" s="26">
        <v>0.0</v>
      </c>
      <c r="K30" s="26">
        <v>0.0</v>
      </c>
      <c r="L30" s="49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37"/>
      <c r="Z30" s="37" t="s">
        <v>21</v>
      </c>
      <c r="AA30" s="45"/>
      <c r="AB30" s="45"/>
      <c r="AC30" s="45"/>
      <c r="AD30" s="45"/>
      <c r="AE30" s="37" t="s">
        <v>21</v>
      </c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29"/>
      <c r="AS30" s="28"/>
      <c r="AT30" s="28"/>
      <c r="AU30" s="28"/>
      <c r="AV30" s="28"/>
      <c r="AW30" s="26"/>
      <c r="AX30" s="28"/>
      <c r="AY30" s="28"/>
      <c r="AZ30" s="26"/>
      <c r="BA30" s="28"/>
      <c r="BB30" s="26"/>
      <c r="BC30" s="28"/>
      <c r="BD30" s="28"/>
      <c r="BE30" s="26"/>
      <c r="BF30" s="28"/>
      <c r="BG30" s="28"/>
      <c r="BH30" s="26"/>
      <c r="BI30" s="37" t="s">
        <v>21</v>
      </c>
      <c r="BJ30" s="26"/>
      <c r="BK30" s="28"/>
      <c r="BL30" s="37" t="s">
        <v>21</v>
      </c>
      <c r="BM30" s="26"/>
      <c r="BN30" s="28"/>
      <c r="BO30" s="28"/>
      <c r="BP30" s="28"/>
      <c r="BQ30" s="37" t="s">
        <v>21</v>
      </c>
      <c r="BR30" s="28"/>
      <c r="BS30" s="31"/>
      <c r="BT30" s="26"/>
      <c r="BU30" s="32"/>
      <c r="BV30" s="33"/>
      <c r="BW30" s="33"/>
      <c r="BX30" s="37" t="s">
        <v>21</v>
      </c>
      <c r="BY30" s="33"/>
      <c r="BZ30" s="37" t="s">
        <v>21</v>
      </c>
      <c r="CA30" s="33"/>
      <c r="CB30" s="35"/>
      <c r="CC30" s="33"/>
      <c r="CD30" s="37" t="s">
        <v>21</v>
      </c>
      <c r="CE30" s="37" t="s">
        <v>21</v>
      </c>
      <c r="CF30" s="36"/>
      <c r="CG30" s="26"/>
      <c r="CH30" s="28"/>
      <c r="CI30" s="28"/>
      <c r="CJ30" s="28"/>
      <c r="CK30" s="37" t="s">
        <v>19</v>
      </c>
      <c r="CL30" s="37" t="s">
        <v>21</v>
      </c>
      <c r="CM30" s="28"/>
      <c r="CN30" s="28"/>
      <c r="CO30" s="28"/>
      <c r="CP30" s="37" t="s">
        <v>21</v>
      </c>
      <c r="CQ30" s="28"/>
      <c r="CR30" s="37" t="s">
        <v>21</v>
      </c>
      <c r="CS30" s="37" t="s">
        <v>21</v>
      </c>
      <c r="CT30" s="37" t="s">
        <v>21</v>
      </c>
      <c r="CU30" s="26"/>
      <c r="CV30" s="37" t="s">
        <v>21</v>
      </c>
      <c r="CW30" s="26"/>
      <c r="CX30" s="26"/>
      <c r="CY30" s="26"/>
      <c r="CZ30" s="31"/>
      <c r="DA30" s="32"/>
      <c r="DB30" s="28"/>
      <c r="DC30" s="28"/>
      <c r="DD30" s="28"/>
      <c r="DE30" s="26"/>
      <c r="DF30" s="26"/>
      <c r="DG30" s="26"/>
      <c r="DH30" s="26"/>
      <c r="DI30" s="26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6"/>
      <c r="DX30" s="26"/>
      <c r="DY30" s="28"/>
      <c r="DZ30" s="28"/>
      <c r="EA30" s="28"/>
      <c r="EB30" s="31"/>
      <c r="EC30" s="26"/>
      <c r="ED30" s="31"/>
      <c r="EE30" s="37" t="s">
        <v>21</v>
      </c>
      <c r="EF30" s="32"/>
      <c r="EG30" s="28"/>
      <c r="EH30" s="26"/>
      <c r="EI30" s="28"/>
      <c r="EJ30" s="28"/>
      <c r="EK30" s="26"/>
      <c r="EL30" s="28"/>
      <c r="EM30" s="28"/>
      <c r="EN30" s="26"/>
      <c r="EO30" s="26"/>
      <c r="EP30" s="28"/>
      <c r="EQ30" s="28"/>
      <c r="ER30" s="26"/>
      <c r="ES30" s="28"/>
      <c r="ET30" s="26"/>
      <c r="EU30" s="26"/>
      <c r="EV30" s="28"/>
      <c r="EW30" s="28"/>
      <c r="EX30" s="28"/>
      <c r="EY30" s="37" t="s">
        <v>21</v>
      </c>
      <c r="EZ30" s="28"/>
      <c r="FA30" s="28"/>
      <c r="FB30" s="28"/>
      <c r="FC30" s="28"/>
      <c r="FD30" s="28"/>
      <c r="FE30" s="28"/>
      <c r="FF30" s="28"/>
      <c r="FG30" s="26"/>
      <c r="FH30" s="37" t="s">
        <v>21</v>
      </c>
      <c r="FI30" s="31"/>
      <c r="FJ30" s="31"/>
      <c r="FK30" s="31"/>
      <c r="FL30" s="32"/>
      <c r="FM30" s="28"/>
      <c r="FN30" s="26"/>
      <c r="FO30" s="28"/>
      <c r="FP30" s="28"/>
      <c r="FQ30" s="26"/>
      <c r="FR30" s="28"/>
      <c r="FS30" s="28"/>
      <c r="FT30" s="28"/>
      <c r="FU30" s="37" t="s">
        <v>21</v>
      </c>
      <c r="FV30" s="28"/>
      <c r="FW30" s="37" t="s">
        <v>21</v>
      </c>
      <c r="FX30" s="26"/>
      <c r="FY30" s="28"/>
      <c r="FZ30" s="28"/>
      <c r="GA30" s="28"/>
      <c r="GB30" s="26"/>
      <c r="GC30" s="26"/>
      <c r="GD30" s="28"/>
      <c r="GE30" s="28"/>
      <c r="GF30" s="28"/>
      <c r="GG30" s="28"/>
      <c r="GH30" s="28"/>
      <c r="GI30" s="26"/>
      <c r="GJ30" s="28"/>
      <c r="GK30" s="28"/>
      <c r="GL30" s="28"/>
      <c r="GM30" s="31"/>
      <c r="GN30" s="26"/>
      <c r="GO30" s="31"/>
      <c r="GP30" s="31"/>
      <c r="GQ30" s="38"/>
      <c r="GR30" s="39"/>
      <c r="GS30" s="39"/>
      <c r="GT30" s="39"/>
      <c r="GU30" s="39"/>
      <c r="GV30" s="39"/>
      <c r="GW30" s="39"/>
      <c r="GX30" s="39"/>
      <c r="GY30" s="39"/>
      <c r="GZ30" s="40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40"/>
      <c r="HM30" s="40"/>
      <c r="HN30" s="39"/>
      <c r="HO30" s="39"/>
      <c r="HP30" s="39"/>
      <c r="HQ30" s="39"/>
      <c r="HR30" s="39"/>
      <c r="HS30" s="39"/>
      <c r="HT30" s="39"/>
      <c r="HU30" s="40"/>
      <c r="HV30" s="39"/>
      <c r="HW30" s="38"/>
      <c r="HX30" s="41"/>
      <c r="HY30" s="39"/>
      <c r="HZ30" s="39"/>
      <c r="IA30" s="39"/>
      <c r="IB30" s="39"/>
      <c r="IC30" s="39"/>
      <c r="ID30" s="40"/>
      <c r="IE30" s="39"/>
      <c r="IF30" s="39"/>
      <c r="IG30" s="39"/>
      <c r="IH30" s="40"/>
      <c r="II30" s="40"/>
      <c r="IJ30" s="42"/>
      <c r="IK30" s="42"/>
      <c r="IL30" s="39"/>
      <c r="IM30" s="39"/>
      <c r="IN30" s="39"/>
      <c r="IO30" s="42"/>
      <c r="IP30" s="40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8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8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40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8"/>
      <c r="LO30" s="39"/>
      <c r="LP30" s="39"/>
      <c r="LQ30" s="40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9"/>
      <c r="MM30" s="39"/>
      <c r="MN30" s="39"/>
      <c r="MO30" s="39"/>
      <c r="MP30" s="39"/>
      <c r="MQ30" s="39"/>
      <c r="MR30" s="39"/>
      <c r="MS30" s="38"/>
      <c r="MT30" s="39"/>
      <c r="MU30" s="39"/>
      <c r="MV30" s="39"/>
      <c r="MW30" s="39"/>
      <c r="MX30" s="39"/>
      <c r="MY30" s="39"/>
      <c r="MZ30" s="39"/>
      <c r="NA30" s="39"/>
      <c r="NB30" s="39"/>
      <c r="NC30" s="39"/>
      <c r="ND30" s="39"/>
      <c r="NE30" s="39"/>
      <c r="NF30" s="39"/>
      <c r="NG30" s="39"/>
      <c r="NH30" s="39"/>
      <c r="NI30" s="39"/>
      <c r="NJ30" s="39"/>
      <c r="NK30" s="39"/>
      <c r="NL30" s="39"/>
      <c r="NM30" s="39"/>
      <c r="NN30" s="39"/>
      <c r="NO30" s="39"/>
      <c r="NP30" s="39"/>
      <c r="NQ30" s="39"/>
      <c r="NR30" s="39"/>
      <c r="NS30" s="39"/>
      <c r="NT30" s="39"/>
      <c r="NU30" s="39"/>
      <c r="NV30" s="39"/>
      <c r="NW30" s="39"/>
      <c r="NX30" s="39"/>
      <c r="NY30" s="38"/>
    </row>
    <row r="31">
      <c r="A31" s="50" t="s">
        <v>421</v>
      </c>
      <c r="B31" s="26" t="str">
        <f>IFERROR(__xludf.DUMMYFUNCTION("VLOOKUP(A31, IMPORTRANGE(""https://docs.google.com/spreadsheets/d/1KpTMcNM9m1P7u9qCVzob8p1-RZoC1ejaYs5CdpAbWFY/edit?gid=260580969#gid=260580969"", ""2025 EMP PROFILE DATA!a1:W98""), 22, FALSE)"),"#REF!")</f>
        <v>#REF!</v>
      </c>
      <c r="C31" s="50">
        <f t="shared" si="1"/>
        <v>1</v>
      </c>
      <c r="D31" s="50">
        <f t="shared" si="2"/>
        <v>0</v>
      </c>
      <c r="E31" s="50">
        <f t="shared" si="3"/>
        <v>11</v>
      </c>
      <c r="F31" s="50">
        <f t="shared" si="4"/>
        <v>0</v>
      </c>
      <c r="G31" s="51">
        <f t="shared" si="5"/>
        <v>0.002525252525</v>
      </c>
      <c r="H31" s="51">
        <f t="shared" si="6"/>
        <v>0.02777777778</v>
      </c>
      <c r="I31" s="28">
        <f t="shared" si="7"/>
        <v>15</v>
      </c>
      <c r="J31" s="26">
        <v>0.0</v>
      </c>
      <c r="K31" s="26">
        <v>0.0</v>
      </c>
      <c r="L31" s="52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37" t="s">
        <v>21</v>
      </c>
      <c r="AN31" s="50"/>
      <c r="AO31" s="50"/>
      <c r="AP31" s="50"/>
      <c r="AQ31" s="50"/>
      <c r="AR31" s="29"/>
      <c r="AS31" s="28"/>
      <c r="AT31" s="28"/>
      <c r="AU31" s="28"/>
      <c r="AV31" s="28"/>
      <c r="AW31" s="26"/>
      <c r="AX31" s="28"/>
      <c r="AY31" s="28"/>
      <c r="AZ31" s="26"/>
      <c r="BA31" s="28"/>
      <c r="BB31" s="26"/>
      <c r="BC31" s="28"/>
      <c r="BD31" s="28"/>
      <c r="BE31" s="26"/>
      <c r="BF31" s="28"/>
      <c r="BG31" s="28"/>
      <c r="BH31" s="26"/>
      <c r="BI31" s="26"/>
      <c r="BJ31" s="26"/>
      <c r="BK31" s="28"/>
      <c r="BL31" s="28"/>
      <c r="BM31" s="26"/>
      <c r="BN31" s="28"/>
      <c r="BO31" s="28"/>
      <c r="BP31" s="28"/>
      <c r="BQ31" s="37" t="s">
        <v>21</v>
      </c>
      <c r="BR31" s="37" t="s">
        <v>21</v>
      </c>
      <c r="BS31" s="31"/>
      <c r="BT31" s="26"/>
      <c r="BU31" s="32"/>
      <c r="BV31" s="33"/>
      <c r="BW31" s="33"/>
      <c r="BX31" s="33"/>
      <c r="BY31" s="33"/>
      <c r="BZ31" s="33"/>
      <c r="CA31" s="33"/>
      <c r="CB31" s="35"/>
      <c r="CC31" s="33"/>
      <c r="CD31" s="33"/>
      <c r="CE31" s="34"/>
      <c r="CF31" s="37" t="s">
        <v>19</v>
      </c>
      <c r="CG31" s="26"/>
      <c r="CH31" s="28"/>
      <c r="CI31" s="28"/>
      <c r="CJ31" s="28"/>
      <c r="CK31" s="28"/>
      <c r="CL31" s="26"/>
      <c r="CM31" s="28"/>
      <c r="CN31" s="28"/>
      <c r="CO31" s="28"/>
      <c r="CP31" s="26"/>
      <c r="CQ31" s="28"/>
      <c r="CR31" s="28"/>
      <c r="CS31" s="37" t="s">
        <v>21</v>
      </c>
      <c r="CT31" s="28"/>
      <c r="CU31" s="26"/>
      <c r="CV31" s="31"/>
      <c r="CW31" s="26"/>
      <c r="CX31" s="26"/>
      <c r="CY31" s="26"/>
      <c r="CZ31" s="31"/>
      <c r="DA31" s="32"/>
      <c r="DB31" s="28"/>
      <c r="DC31" s="28"/>
      <c r="DD31" s="28"/>
      <c r="DE31" s="26"/>
      <c r="DF31" s="26"/>
      <c r="DG31" s="26"/>
      <c r="DH31" s="26"/>
      <c r="DI31" s="37" t="s">
        <v>21</v>
      </c>
      <c r="DJ31" s="37" t="s">
        <v>21</v>
      </c>
      <c r="DK31" s="37" t="s">
        <v>21</v>
      </c>
      <c r="DL31" s="28"/>
      <c r="DM31" s="28"/>
      <c r="DN31" s="28"/>
      <c r="DO31" s="28"/>
      <c r="DP31" s="28"/>
      <c r="DQ31" s="28"/>
      <c r="DR31" s="37" t="s">
        <v>21</v>
      </c>
      <c r="DS31" s="28"/>
      <c r="DT31" s="28"/>
      <c r="DU31" s="28"/>
      <c r="DV31" s="28"/>
      <c r="DW31" s="26"/>
      <c r="DX31" s="26"/>
      <c r="DY31" s="28"/>
      <c r="DZ31" s="28"/>
      <c r="EA31" s="28"/>
      <c r="EB31" s="31"/>
      <c r="EC31" s="26"/>
      <c r="ED31" s="31"/>
      <c r="EE31" s="26"/>
      <c r="EF31" s="32"/>
      <c r="EG31" s="28"/>
      <c r="EH31" s="26"/>
      <c r="EI31" s="28"/>
      <c r="EJ31" s="28"/>
      <c r="EK31" s="37" t="s">
        <v>21</v>
      </c>
      <c r="EL31" s="28"/>
      <c r="EM31" s="28"/>
      <c r="EN31" s="26"/>
      <c r="EO31" s="26"/>
      <c r="EP31" s="28"/>
      <c r="EQ31" s="28"/>
      <c r="ER31" s="26"/>
      <c r="ES31" s="28"/>
      <c r="ET31" s="26"/>
      <c r="EU31" s="26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37" t="s">
        <v>21</v>
      </c>
      <c r="FH31" s="37" t="s">
        <v>21</v>
      </c>
      <c r="FI31" s="31"/>
      <c r="FJ31" s="31"/>
      <c r="FK31" s="31"/>
      <c r="FL31" s="32"/>
      <c r="FM31" s="28"/>
      <c r="FN31" s="26"/>
      <c r="FO31" s="28"/>
      <c r="FP31" s="28"/>
      <c r="FQ31" s="26"/>
      <c r="FR31" s="28"/>
      <c r="FS31" s="28"/>
      <c r="FT31" s="28"/>
      <c r="FU31" s="26"/>
      <c r="FV31" s="28"/>
      <c r="FW31" s="28"/>
      <c r="FX31" s="26"/>
      <c r="FY31" s="28"/>
      <c r="FZ31" s="28"/>
      <c r="GA31" s="28"/>
      <c r="GB31" s="26"/>
      <c r="GC31" s="26"/>
      <c r="GD31" s="28"/>
      <c r="GE31" s="28"/>
      <c r="GF31" s="28"/>
      <c r="GG31" s="28"/>
      <c r="GH31" s="28"/>
      <c r="GI31" s="26"/>
      <c r="GJ31" s="28"/>
      <c r="GK31" s="28"/>
      <c r="GL31" s="28"/>
      <c r="GM31" s="31"/>
      <c r="GN31" s="26"/>
      <c r="GO31" s="31"/>
      <c r="GP31" s="31"/>
      <c r="GQ31" s="38"/>
      <c r="GR31" s="39"/>
      <c r="GS31" s="39"/>
      <c r="GT31" s="39"/>
      <c r="GU31" s="39"/>
      <c r="GV31" s="39"/>
      <c r="GW31" s="39"/>
      <c r="GX31" s="39"/>
      <c r="GY31" s="39"/>
      <c r="GZ31" s="40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40"/>
      <c r="HM31" s="40"/>
      <c r="HN31" s="39"/>
      <c r="HO31" s="39"/>
      <c r="HP31" s="39"/>
      <c r="HQ31" s="39"/>
      <c r="HR31" s="39"/>
      <c r="HS31" s="39"/>
      <c r="HT31" s="39"/>
      <c r="HU31" s="40"/>
      <c r="HV31" s="39"/>
      <c r="HW31" s="38"/>
      <c r="HX31" s="41"/>
      <c r="HY31" s="39"/>
      <c r="HZ31" s="39"/>
      <c r="IA31" s="39"/>
      <c r="IB31" s="39"/>
      <c r="IC31" s="39"/>
      <c r="ID31" s="40"/>
      <c r="IE31" s="39"/>
      <c r="IF31" s="39"/>
      <c r="IG31" s="39"/>
      <c r="IH31" s="40"/>
      <c r="II31" s="40"/>
      <c r="IJ31" s="42"/>
      <c r="IK31" s="42"/>
      <c r="IL31" s="39"/>
      <c r="IM31" s="39"/>
      <c r="IN31" s="39"/>
      <c r="IO31" s="42"/>
      <c r="IP31" s="40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8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8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40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8"/>
      <c r="LO31" s="39"/>
      <c r="LP31" s="39"/>
      <c r="LQ31" s="40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9"/>
      <c r="MM31" s="39"/>
      <c r="MN31" s="39"/>
      <c r="MO31" s="39"/>
      <c r="MP31" s="39"/>
      <c r="MQ31" s="39"/>
      <c r="MR31" s="39"/>
      <c r="MS31" s="38"/>
      <c r="MT31" s="39"/>
      <c r="MU31" s="39"/>
      <c r="MV31" s="39"/>
      <c r="MW31" s="39"/>
      <c r="MX31" s="39"/>
      <c r="MY31" s="39"/>
      <c r="MZ31" s="39"/>
      <c r="NA31" s="39"/>
      <c r="NB31" s="39"/>
      <c r="NC31" s="39"/>
      <c r="ND31" s="39"/>
      <c r="NE31" s="39"/>
      <c r="NF31" s="39"/>
      <c r="NG31" s="39"/>
      <c r="NH31" s="39"/>
      <c r="NI31" s="39"/>
      <c r="NJ31" s="39"/>
      <c r="NK31" s="39"/>
      <c r="NL31" s="39"/>
      <c r="NM31" s="39"/>
      <c r="NN31" s="39"/>
      <c r="NO31" s="39"/>
      <c r="NP31" s="39"/>
      <c r="NQ31" s="39"/>
      <c r="NR31" s="39"/>
      <c r="NS31" s="39"/>
      <c r="NT31" s="39"/>
      <c r="NU31" s="39"/>
      <c r="NV31" s="39"/>
      <c r="NW31" s="39"/>
      <c r="NX31" s="39"/>
      <c r="NY31" s="38"/>
    </row>
    <row r="32">
      <c r="A32" s="45" t="s">
        <v>422</v>
      </c>
      <c r="B32" s="26" t="str">
        <f>IFERROR(__xludf.DUMMYFUNCTION("VLOOKUP(A32, IMPORTRANGE(""https://docs.google.com/spreadsheets/d/1KpTMcNM9m1P7u9qCVzob8p1-RZoC1ejaYs5CdpAbWFY/edit?gid=260580969#gid=260580969"", ""2025 EMP PROFILE DATA!a1:W98""), 22, FALSE)"),"#REF!")</f>
        <v>#REF!</v>
      </c>
      <c r="C32" s="45">
        <f t="shared" si="1"/>
        <v>0</v>
      </c>
      <c r="D32" s="45">
        <f t="shared" si="2"/>
        <v>0</v>
      </c>
      <c r="E32" s="45">
        <f t="shared" si="3"/>
        <v>1</v>
      </c>
      <c r="F32" s="45">
        <f t="shared" si="4"/>
        <v>0</v>
      </c>
      <c r="G32" s="46">
        <f t="shared" si="5"/>
        <v>0</v>
      </c>
      <c r="H32" s="46">
        <f t="shared" si="6"/>
        <v>0.002525252525</v>
      </c>
      <c r="I32" s="28">
        <f t="shared" si="7"/>
        <v>1</v>
      </c>
      <c r="J32" s="26">
        <v>0.0</v>
      </c>
      <c r="K32" s="26">
        <v>0.0</v>
      </c>
      <c r="L32" s="49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29"/>
      <c r="AS32" s="28"/>
      <c r="AT32" s="28"/>
      <c r="AU32" s="28"/>
      <c r="AV32" s="28"/>
      <c r="AW32" s="26"/>
      <c r="AX32" s="28"/>
      <c r="AY32" s="28"/>
      <c r="AZ32" s="26"/>
      <c r="BA32" s="28"/>
      <c r="BB32" s="26"/>
      <c r="BC32" s="28"/>
      <c r="BD32" s="28"/>
      <c r="BE32" s="26"/>
      <c r="BF32" s="28"/>
      <c r="BG32" s="28"/>
      <c r="BH32" s="26"/>
      <c r="BI32" s="26"/>
      <c r="BJ32" s="26"/>
      <c r="BK32" s="28"/>
      <c r="BL32" s="28"/>
      <c r="BM32" s="26"/>
      <c r="BN32" s="28"/>
      <c r="BO32" s="28"/>
      <c r="BP32" s="28"/>
      <c r="BQ32" s="28"/>
      <c r="BR32" s="28"/>
      <c r="BS32" s="31"/>
      <c r="BT32" s="26"/>
      <c r="BU32" s="32"/>
      <c r="BV32" s="33"/>
      <c r="BW32" s="33"/>
      <c r="BX32" s="33"/>
      <c r="BY32" s="33"/>
      <c r="BZ32" s="33"/>
      <c r="CA32" s="33"/>
      <c r="CB32" s="35"/>
      <c r="CC32" s="33"/>
      <c r="CD32" s="33"/>
      <c r="CE32" s="34"/>
      <c r="CF32" s="36"/>
      <c r="CG32" s="26"/>
      <c r="CH32" s="28"/>
      <c r="CI32" s="28"/>
      <c r="CJ32" s="28"/>
      <c r="CK32" s="28"/>
      <c r="CL32" s="26"/>
      <c r="CM32" s="28"/>
      <c r="CN32" s="28"/>
      <c r="CO32" s="28"/>
      <c r="CP32" s="26"/>
      <c r="CQ32" s="28"/>
      <c r="CR32" s="28"/>
      <c r="CS32" s="28"/>
      <c r="CT32" s="28"/>
      <c r="CU32" s="26"/>
      <c r="CV32" s="31"/>
      <c r="CW32" s="26"/>
      <c r="CX32" s="26"/>
      <c r="CY32" s="26"/>
      <c r="CZ32" s="31"/>
      <c r="DA32" s="32"/>
      <c r="DB32" s="28"/>
      <c r="DC32" s="28"/>
      <c r="DD32" s="28"/>
      <c r="DE32" s="26"/>
      <c r="DF32" s="26"/>
      <c r="DG32" s="26"/>
      <c r="DH32" s="26"/>
      <c r="DI32" s="26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6"/>
      <c r="DX32" s="26"/>
      <c r="DY32" s="28"/>
      <c r="DZ32" s="28"/>
      <c r="EA32" s="28"/>
      <c r="EB32" s="31"/>
      <c r="EC32" s="26"/>
      <c r="ED32" s="31"/>
      <c r="EE32" s="26"/>
      <c r="EF32" s="32"/>
      <c r="EG32" s="28"/>
      <c r="EH32" s="26"/>
      <c r="EI32" s="28"/>
      <c r="EJ32" s="28"/>
      <c r="EK32" s="26"/>
      <c r="EL32" s="28"/>
      <c r="EM32" s="28"/>
      <c r="EN32" s="26"/>
      <c r="EO32" s="26"/>
      <c r="EP32" s="28"/>
      <c r="EQ32" s="28"/>
      <c r="ER32" s="26"/>
      <c r="ES32" s="28"/>
      <c r="ET32" s="26"/>
      <c r="EU32" s="26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37" t="s">
        <v>21</v>
      </c>
      <c r="FH32" s="26"/>
      <c r="FI32" s="31"/>
      <c r="FJ32" s="31"/>
      <c r="FK32" s="31"/>
      <c r="FL32" s="32"/>
      <c r="FM32" s="28"/>
      <c r="FN32" s="26"/>
      <c r="FO32" s="28"/>
      <c r="FP32" s="28"/>
      <c r="FQ32" s="26"/>
      <c r="FR32" s="28"/>
      <c r="FS32" s="28"/>
      <c r="FT32" s="28"/>
      <c r="FU32" s="26"/>
      <c r="FV32" s="28"/>
      <c r="FW32" s="28"/>
      <c r="FX32" s="26"/>
      <c r="FY32" s="28"/>
      <c r="FZ32" s="28"/>
      <c r="GA32" s="28"/>
      <c r="GB32" s="26"/>
      <c r="GC32" s="26"/>
      <c r="GD32" s="28"/>
      <c r="GE32" s="28"/>
      <c r="GF32" s="28"/>
      <c r="GG32" s="28"/>
      <c r="GH32" s="28"/>
      <c r="GI32" s="26"/>
      <c r="GJ32" s="28"/>
      <c r="GK32" s="28"/>
      <c r="GL32" s="28"/>
      <c r="GM32" s="31"/>
      <c r="GN32" s="26"/>
      <c r="GO32" s="31"/>
      <c r="GP32" s="31"/>
      <c r="GQ32" s="38"/>
      <c r="GR32" s="39"/>
      <c r="GS32" s="39"/>
      <c r="GT32" s="39"/>
      <c r="GU32" s="39"/>
      <c r="GV32" s="39"/>
      <c r="GW32" s="39"/>
      <c r="GX32" s="39"/>
      <c r="GY32" s="39"/>
      <c r="GZ32" s="40"/>
      <c r="HA32" s="39"/>
      <c r="HB32" s="39"/>
      <c r="HC32" s="39"/>
      <c r="HD32" s="39"/>
      <c r="HE32" s="39"/>
      <c r="HF32" s="39"/>
      <c r="HG32" s="39"/>
      <c r="HH32" s="39"/>
      <c r="HI32" s="39"/>
      <c r="HJ32" s="39"/>
      <c r="HK32" s="39"/>
      <c r="HL32" s="40"/>
      <c r="HM32" s="40"/>
      <c r="HN32" s="39"/>
      <c r="HO32" s="39"/>
      <c r="HP32" s="39"/>
      <c r="HQ32" s="39"/>
      <c r="HR32" s="39"/>
      <c r="HS32" s="39"/>
      <c r="HT32" s="39"/>
      <c r="HU32" s="40"/>
      <c r="HV32" s="39"/>
      <c r="HW32" s="38"/>
      <c r="HX32" s="41"/>
      <c r="HY32" s="39"/>
      <c r="HZ32" s="39"/>
      <c r="IA32" s="39"/>
      <c r="IB32" s="39"/>
      <c r="IC32" s="39"/>
      <c r="ID32" s="40"/>
      <c r="IE32" s="39"/>
      <c r="IF32" s="39"/>
      <c r="IG32" s="39"/>
      <c r="IH32" s="40"/>
      <c r="II32" s="40"/>
      <c r="IJ32" s="42"/>
      <c r="IK32" s="42"/>
      <c r="IL32" s="39"/>
      <c r="IM32" s="39"/>
      <c r="IN32" s="39"/>
      <c r="IO32" s="42"/>
      <c r="IP32" s="40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8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8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40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8"/>
      <c r="LO32" s="39"/>
      <c r="LP32" s="39"/>
      <c r="LQ32" s="40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9"/>
      <c r="MM32" s="39"/>
      <c r="MN32" s="39"/>
      <c r="MO32" s="39"/>
      <c r="MP32" s="39"/>
      <c r="MQ32" s="39"/>
      <c r="MR32" s="39"/>
      <c r="MS32" s="38"/>
      <c r="MT32" s="39"/>
      <c r="MU32" s="39"/>
      <c r="MV32" s="39"/>
      <c r="MW32" s="39"/>
      <c r="MX32" s="39"/>
      <c r="MY32" s="39"/>
      <c r="MZ32" s="39"/>
      <c r="NA32" s="39"/>
      <c r="NB32" s="39"/>
      <c r="NC32" s="39"/>
      <c r="ND32" s="39"/>
      <c r="NE32" s="39"/>
      <c r="NF32" s="39"/>
      <c r="NG32" s="39"/>
      <c r="NH32" s="39"/>
      <c r="NI32" s="39"/>
      <c r="NJ32" s="39"/>
      <c r="NK32" s="39"/>
      <c r="NL32" s="39"/>
      <c r="NM32" s="39"/>
      <c r="NN32" s="39"/>
      <c r="NO32" s="39"/>
      <c r="NP32" s="39"/>
      <c r="NQ32" s="39"/>
      <c r="NR32" s="39"/>
      <c r="NS32" s="39"/>
      <c r="NT32" s="39"/>
      <c r="NU32" s="39"/>
      <c r="NV32" s="39"/>
      <c r="NW32" s="39"/>
      <c r="NX32" s="39"/>
      <c r="NY32" s="38"/>
    </row>
    <row r="33">
      <c r="A33" s="45" t="s">
        <v>423</v>
      </c>
      <c r="B33" s="26" t="str">
        <f>IFERROR(__xludf.DUMMYFUNCTION("VLOOKUP(A33, IMPORTRANGE(""https://docs.google.com/spreadsheets/d/1KpTMcNM9m1P7u9qCVzob8p1-RZoC1ejaYs5CdpAbWFY/edit?gid=260580969#gid=260580969"", ""2025 EMP PROFILE DATA!a1:W98""), 22, FALSE)"),"#REF!")</f>
        <v>#REF!</v>
      </c>
      <c r="C33" s="45">
        <f t="shared" si="1"/>
        <v>0</v>
      </c>
      <c r="D33" s="45">
        <f t="shared" si="2"/>
        <v>0</v>
      </c>
      <c r="E33" s="45">
        <f t="shared" si="3"/>
        <v>0</v>
      </c>
      <c r="F33" s="45">
        <f t="shared" si="4"/>
        <v>0</v>
      </c>
      <c r="G33" s="46">
        <f t="shared" si="5"/>
        <v>0</v>
      </c>
      <c r="H33" s="46">
        <f t="shared" si="6"/>
        <v>0</v>
      </c>
      <c r="I33" s="28">
        <f t="shared" si="7"/>
        <v>0</v>
      </c>
      <c r="J33" s="26">
        <v>0.0</v>
      </c>
      <c r="K33" s="26">
        <v>0.0</v>
      </c>
      <c r="L33" s="49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29"/>
      <c r="AS33" s="28"/>
      <c r="AT33" s="28"/>
      <c r="AU33" s="28"/>
      <c r="AV33" s="28"/>
      <c r="AW33" s="26"/>
      <c r="AX33" s="28"/>
      <c r="AY33" s="28"/>
      <c r="AZ33" s="26"/>
      <c r="BA33" s="28"/>
      <c r="BB33" s="26"/>
      <c r="BC33" s="28"/>
      <c r="BD33" s="28"/>
      <c r="BE33" s="26"/>
      <c r="BF33" s="28"/>
      <c r="BG33" s="28"/>
      <c r="BH33" s="26"/>
      <c r="BI33" s="26"/>
      <c r="BJ33" s="26"/>
      <c r="BK33" s="28"/>
      <c r="BL33" s="28"/>
      <c r="BM33" s="26"/>
      <c r="BN33" s="28"/>
      <c r="BO33" s="28"/>
      <c r="BP33" s="28"/>
      <c r="BQ33" s="28"/>
      <c r="BR33" s="28"/>
      <c r="BS33" s="31"/>
      <c r="BT33" s="26"/>
      <c r="BU33" s="32"/>
      <c r="BV33" s="33"/>
      <c r="BW33" s="33"/>
      <c r="BX33" s="33"/>
      <c r="BY33" s="33"/>
      <c r="BZ33" s="33"/>
      <c r="CA33" s="33"/>
      <c r="CB33" s="35"/>
      <c r="CC33" s="33"/>
      <c r="CD33" s="33"/>
      <c r="CE33" s="34"/>
      <c r="CF33" s="36"/>
      <c r="CG33" s="26"/>
      <c r="CH33" s="28"/>
      <c r="CI33" s="28"/>
      <c r="CJ33" s="28"/>
      <c r="CK33" s="28"/>
      <c r="CL33" s="26"/>
      <c r="CM33" s="28"/>
      <c r="CN33" s="28"/>
      <c r="CO33" s="28"/>
      <c r="CP33" s="26"/>
      <c r="CQ33" s="28"/>
      <c r="CR33" s="28"/>
      <c r="CS33" s="28"/>
      <c r="CT33" s="28"/>
      <c r="CU33" s="26"/>
      <c r="CV33" s="31"/>
      <c r="CW33" s="26"/>
      <c r="CX33" s="26"/>
      <c r="CY33" s="26"/>
      <c r="CZ33" s="31"/>
      <c r="DA33" s="32"/>
      <c r="DB33" s="28"/>
      <c r="DC33" s="28"/>
      <c r="DD33" s="28"/>
      <c r="DE33" s="26"/>
      <c r="DF33" s="26"/>
      <c r="DG33" s="26"/>
      <c r="DH33" s="26"/>
      <c r="DI33" s="26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6"/>
      <c r="DX33" s="26"/>
      <c r="DY33" s="28"/>
      <c r="DZ33" s="28"/>
      <c r="EA33" s="28"/>
      <c r="EB33" s="31"/>
      <c r="EC33" s="26"/>
      <c r="ED33" s="31"/>
      <c r="EE33" s="26"/>
      <c r="EF33" s="32"/>
      <c r="EG33" s="28"/>
      <c r="EH33" s="26"/>
      <c r="EI33" s="28"/>
      <c r="EJ33" s="28"/>
      <c r="EK33" s="26"/>
      <c r="EL33" s="28"/>
      <c r="EM33" s="28"/>
      <c r="EN33" s="26"/>
      <c r="EO33" s="26"/>
      <c r="EP33" s="28"/>
      <c r="EQ33" s="28"/>
      <c r="ER33" s="26"/>
      <c r="ES33" s="28"/>
      <c r="ET33" s="26"/>
      <c r="EU33" s="26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6"/>
      <c r="FH33" s="26"/>
      <c r="FI33" s="31"/>
      <c r="FJ33" s="31"/>
      <c r="FK33" s="31"/>
      <c r="FL33" s="32"/>
      <c r="FM33" s="28"/>
      <c r="FN33" s="26"/>
      <c r="FO33" s="28"/>
      <c r="FP33" s="28"/>
      <c r="FQ33" s="26"/>
      <c r="FR33" s="28"/>
      <c r="FS33" s="28"/>
      <c r="FT33" s="28"/>
      <c r="FU33" s="26"/>
      <c r="FV33" s="28"/>
      <c r="FW33" s="28"/>
      <c r="FX33" s="26"/>
      <c r="FY33" s="28"/>
      <c r="FZ33" s="28"/>
      <c r="GA33" s="28"/>
      <c r="GB33" s="26"/>
      <c r="GC33" s="26"/>
      <c r="GD33" s="28"/>
      <c r="GE33" s="28"/>
      <c r="GF33" s="28"/>
      <c r="GG33" s="28"/>
      <c r="GH33" s="28"/>
      <c r="GI33" s="26"/>
      <c r="GJ33" s="28"/>
      <c r="GK33" s="28"/>
      <c r="GL33" s="28"/>
      <c r="GM33" s="31"/>
      <c r="GN33" s="26"/>
      <c r="GO33" s="31"/>
      <c r="GP33" s="31"/>
      <c r="GQ33" s="38"/>
      <c r="GR33" s="39"/>
      <c r="GS33" s="39"/>
      <c r="GT33" s="39"/>
      <c r="GU33" s="39"/>
      <c r="GV33" s="39"/>
      <c r="GW33" s="39"/>
      <c r="GX33" s="39"/>
      <c r="GY33" s="39"/>
      <c r="GZ33" s="40"/>
      <c r="HA33" s="39"/>
      <c r="HB33" s="39"/>
      <c r="HC33" s="39"/>
      <c r="HD33" s="39"/>
      <c r="HE33" s="39"/>
      <c r="HF33" s="39"/>
      <c r="HG33" s="39"/>
      <c r="HH33" s="39"/>
      <c r="HI33" s="39"/>
      <c r="HJ33" s="39"/>
      <c r="HK33" s="39"/>
      <c r="HL33" s="40"/>
      <c r="HM33" s="40"/>
      <c r="HN33" s="39"/>
      <c r="HO33" s="39"/>
      <c r="HP33" s="39"/>
      <c r="HQ33" s="39"/>
      <c r="HR33" s="39"/>
      <c r="HS33" s="39"/>
      <c r="HT33" s="39"/>
      <c r="HU33" s="40"/>
      <c r="HV33" s="39"/>
      <c r="HW33" s="38"/>
      <c r="HX33" s="41"/>
      <c r="HY33" s="39"/>
      <c r="HZ33" s="39"/>
      <c r="IA33" s="39"/>
      <c r="IB33" s="39"/>
      <c r="IC33" s="39"/>
      <c r="ID33" s="40"/>
      <c r="IE33" s="39"/>
      <c r="IF33" s="39"/>
      <c r="IG33" s="39"/>
      <c r="IH33" s="40"/>
      <c r="II33" s="40"/>
      <c r="IJ33" s="42"/>
      <c r="IK33" s="42"/>
      <c r="IL33" s="39"/>
      <c r="IM33" s="39"/>
      <c r="IN33" s="39"/>
      <c r="IO33" s="42"/>
      <c r="IP33" s="40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8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8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40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8"/>
      <c r="LO33" s="39"/>
      <c r="LP33" s="39"/>
      <c r="LQ33" s="40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9"/>
      <c r="MM33" s="39"/>
      <c r="MN33" s="39"/>
      <c r="MO33" s="39"/>
      <c r="MP33" s="39"/>
      <c r="MQ33" s="39"/>
      <c r="MR33" s="39"/>
      <c r="MS33" s="38"/>
      <c r="MT33" s="39"/>
      <c r="MU33" s="39"/>
      <c r="MV33" s="39"/>
      <c r="MW33" s="39"/>
      <c r="MX33" s="39"/>
      <c r="MY33" s="39"/>
      <c r="MZ33" s="39"/>
      <c r="NA33" s="39"/>
      <c r="NB33" s="39"/>
      <c r="NC33" s="39"/>
      <c r="ND33" s="39"/>
      <c r="NE33" s="39"/>
      <c r="NF33" s="39"/>
      <c r="NG33" s="39"/>
      <c r="NH33" s="39"/>
      <c r="NI33" s="39"/>
      <c r="NJ33" s="39"/>
      <c r="NK33" s="39"/>
      <c r="NL33" s="39"/>
      <c r="NM33" s="39"/>
      <c r="NN33" s="39"/>
      <c r="NO33" s="39"/>
      <c r="NP33" s="39"/>
      <c r="NQ33" s="39"/>
      <c r="NR33" s="39"/>
      <c r="NS33" s="39"/>
      <c r="NT33" s="39"/>
      <c r="NU33" s="39"/>
      <c r="NV33" s="39"/>
      <c r="NW33" s="39"/>
      <c r="NX33" s="39"/>
      <c r="NY33" s="38"/>
    </row>
    <row r="34">
      <c r="A34" s="43" t="s">
        <v>424</v>
      </c>
      <c r="B34" s="26" t="str">
        <f>IFERROR(__xludf.DUMMYFUNCTION("VLOOKUP(A34, IMPORTRANGE(""https://docs.google.com/spreadsheets/d/1KpTMcNM9m1P7u9qCVzob8p1-RZoC1ejaYs5CdpAbWFY/edit?gid=260580969#gid=260580969"", ""2025 EMP PROFILE DATA!a1:W98""), 22, FALSE)"),"#REF!")</f>
        <v>#REF!</v>
      </c>
      <c r="C34" s="60">
        <f t="shared" si="1"/>
        <v>0</v>
      </c>
      <c r="D34" s="60">
        <f t="shared" si="2"/>
        <v>0</v>
      </c>
      <c r="E34" s="60">
        <f t="shared" si="3"/>
        <v>22</v>
      </c>
      <c r="F34" s="60">
        <f t="shared" si="4"/>
        <v>0</v>
      </c>
      <c r="G34" s="61">
        <f t="shared" si="5"/>
        <v>0</v>
      </c>
      <c r="H34" s="61">
        <f t="shared" si="6"/>
        <v>0.05555555556</v>
      </c>
      <c r="I34" s="28">
        <f t="shared" si="7"/>
        <v>22</v>
      </c>
      <c r="J34" s="26">
        <v>0.0</v>
      </c>
      <c r="K34" s="26">
        <v>0.0</v>
      </c>
      <c r="L34" s="62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37" t="s">
        <v>21</v>
      </c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37" t="s">
        <v>21</v>
      </c>
      <c r="AP34" s="60"/>
      <c r="AQ34" s="60"/>
      <c r="AR34" s="29"/>
      <c r="AS34" s="28"/>
      <c r="AT34" s="28"/>
      <c r="AU34" s="28"/>
      <c r="AV34" s="28"/>
      <c r="AW34" s="26"/>
      <c r="AX34" s="28"/>
      <c r="AY34" s="28"/>
      <c r="AZ34" s="26"/>
      <c r="BA34" s="28"/>
      <c r="BB34" s="26"/>
      <c r="BC34" s="28"/>
      <c r="BD34" s="28"/>
      <c r="BE34" s="26"/>
      <c r="BF34" s="28"/>
      <c r="BG34" s="28"/>
      <c r="BH34" s="26"/>
      <c r="BI34" s="26"/>
      <c r="BJ34" s="26"/>
      <c r="BK34" s="37" t="s">
        <v>21</v>
      </c>
      <c r="BL34" s="37" t="s">
        <v>21</v>
      </c>
      <c r="BM34" s="26"/>
      <c r="BN34" s="28"/>
      <c r="BO34" s="28"/>
      <c r="BP34" s="28"/>
      <c r="BQ34" s="37" t="s">
        <v>21</v>
      </c>
      <c r="BR34" s="37" t="s">
        <v>21</v>
      </c>
      <c r="BS34" s="31"/>
      <c r="BT34" s="26"/>
      <c r="BU34" s="32"/>
      <c r="BV34" s="33"/>
      <c r="BW34" s="33"/>
      <c r="BX34" s="33"/>
      <c r="BY34" s="33"/>
      <c r="BZ34" s="33"/>
      <c r="CA34" s="33"/>
      <c r="CB34" s="35"/>
      <c r="CC34" s="33"/>
      <c r="CD34" s="33"/>
      <c r="CE34" s="34"/>
      <c r="CF34" s="36"/>
      <c r="CG34" s="37" t="s">
        <v>21</v>
      </c>
      <c r="CH34" s="28"/>
      <c r="CI34" s="28"/>
      <c r="CJ34" s="28"/>
      <c r="CK34" s="28"/>
      <c r="CL34" s="37"/>
      <c r="CM34" s="28"/>
      <c r="CN34" s="28"/>
      <c r="CO34" s="28"/>
      <c r="CP34" s="26"/>
      <c r="CQ34" s="28"/>
      <c r="CR34" s="28"/>
      <c r="CS34" s="28"/>
      <c r="CT34" s="28"/>
      <c r="CU34" s="26"/>
      <c r="CV34" s="31"/>
      <c r="CW34" s="26"/>
      <c r="CX34" s="26"/>
      <c r="CY34" s="26"/>
      <c r="CZ34" s="31"/>
      <c r="DA34" s="32"/>
      <c r="DB34" s="28"/>
      <c r="DC34" s="28"/>
      <c r="DD34" s="28"/>
      <c r="DE34" s="26"/>
      <c r="DF34" s="26"/>
      <c r="DG34" s="26"/>
      <c r="DH34" s="26"/>
      <c r="DI34" s="37" t="s">
        <v>21</v>
      </c>
      <c r="DJ34" s="28"/>
      <c r="DK34" s="28"/>
      <c r="DL34" s="28"/>
      <c r="DM34" s="28"/>
      <c r="DN34" s="28"/>
      <c r="DO34" s="28"/>
      <c r="DP34" s="28"/>
      <c r="DQ34" s="37" t="s">
        <v>21</v>
      </c>
      <c r="DR34" s="28"/>
      <c r="DS34" s="28"/>
      <c r="DT34" s="28"/>
      <c r="DU34" s="37" t="s">
        <v>21</v>
      </c>
      <c r="DV34" s="28"/>
      <c r="DW34" s="26"/>
      <c r="DX34" s="26"/>
      <c r="DY34" s="28"/>
      <c r="DZ34" s="28"/>
      <c r="EA34" s="28"/>
      <c r="EB34" s="31"/>
      <c r="EC34" s="26"/>
      <c r="ED34" s="31"/>
      <c r="EE34" s="37" t="s">
        <v>21</v>
      </c>
      <c r="EF34" s="32"/>
      <c r="EG34" s="28"/>
      <c r="EH34" s="37" t="s">
        <v>21</v>
      </c>
      <c r="EI34" s="28"/>
      <c r="EJ34" s="28"/>
      <c r="EK34" s="26"/>
      <c r="EL34" s="28"/>
      <c r="EM34" s="28"/>
      <c r="EN34" s="26"/>
      <c r="EO34" s="26"/>
      <c r="EP34" s="28"/>
      <c r="EQ34" s="28"/>
      <c r="ER34" s="26"/>
      <c r="ES34" s="28"/>
      <c r="ET34" s="26"/>
      <c r="EU34" s="37" t="s">
        <v>21</v>
      </c>
      <c r="EV34" s="28"/>
      <c r="EW34" s="28"/>
      <c r="EX34" s="63" t="s">
        <v>21</v>
      </c>
      <c r="EY34" s="28"/>
      <c r="EZ34" s="28"/>
      <c r="FA34" s="63" t="s">
        <v>21</v>
      </c>
      <c r="FB34" s="28"/>
      <c r="FC34" s="28"/>
      <c r="FD34" s="28"/>
      <c r="FE34" s="28"/>
      <c r="FF34" s="28"/>
      <c r="FG34" s="26"/>
      <c r="FH34" s="63" t="s">
        <v>21</v>
      </c>
      <c r="FI34" s="63" t="s">
        <v>21</v>
      </c>
      <c r="FJ34" s="31"/>
      <c r="FK34" s="31"/>
      <c r="FL34" s="32"/>
      <c r="FM34" s="28"/>
      <c r="FN34" s="26"/>
      <c r="FO34" s="28"/>
      <c r="FP34" s="37" t="s">
        <v>21</v>
      </c>
      <c r="FQ34" s="37" t="s">
        <v>21</v>
      </c>
      <c r="FR34" s="28"/>
      <c r="FS34" s="28"/>
      <c r="FT34" s="28"/>
      <c r="FU34" s="26"/>
      <c r="FV34" s="28"/>
      <c r="FW34" s="28"/>
      <c r="FX34" s="26"/>
      <c r="FY34" s="28"/>
      <c r="FZ34" s="28"/>
      <c r="GA34" s="37" t="s">
        <v>21</v>
      </c>
      <c r="GB34" s="26"/>
      <c r="GC34" s="26"/>
      <c r="GD34" s="37" t="s">
        <v>21</v>
      </c>
      <c r="GE34" s="28"/>
      <c r="GF34" s="28"/>
      <c r="GG34" s="28"/>
      <c r="GH34" s="37" t="s">
        <v>21</v>
      </c>
      <c r="GI34" s="37"/>
      <c r="GJ34" s="28"/>
      <c r="GK34" s="28"/>
      <c r="GL34" s="28"/>
      <c r="GM34" s="31"/>
      <c r="GN34" s="26"/>
      <c r="GO34" s="31"/>
      <c r="GP34" s="31"/>
      <c r="GQ34" s="38"/>
      <c r="GR34" s="39"/>
      <c r="GS34" s="39"/>
      <c r="GT34" s="39"/>
      <c r="GU34" s="39"/>
      <c r="GV34" s="39"/>
      <c r="GW34" s="39"/>
      <c r="GX34" s="39"/>
      <c r="GY34" s="39"/>
      <c r="GZ34" s="40"/>
      <c r="HA34" s="39"/>
      <c r="HB34" s="39"/>
      <c r="HC34" s="39"/>
      <c r="HD34" s="39"/>
      <c r="HE34" s="39"/>
      <c r="HF34" s="39"/>
      <c r="HG34" s="39"/>
      <c r="HH34" s="39"/>
      <c r="HI34" s="39"/>
      <c r="HJ34" s="39"/>
      <c r="HK34" s="39"/>
      <c r="HL34" s="40"/>
      <c r="HM34" s="40"/>
      <c r="HN34" s="39"/>
      <c r="HO34" s="39"/>
      <c r="HP34" s="39"/>
      <c r="HQ34" s="39"/>
      <c r="HR34" s="39"/>
      <c r="HS34" s="39"/>
      <c r="HT34" s="39"/>
      <c r="HU34" s="40"/>
      <c r="HV34" s="39"/>
      <c r="HW34" s="38"/>
      <c r="HX34" s="41"/>
      <c r="HY34" s="39"/>
      <c r="HZ34" s="39"/>
      <c r="IA34" s="39"/>
      <c r="IB34" s="39"/>
      <c r="IC34" s="39"/>
      <c r="ID34" s="40"/>
      <c r="IE34" s="39"/>
      <c r="IF34" s="39"/>
      <c r="IG34" s="39"/>
      <c r="IH34" s="40"/>
      <c r="II34" s="40"/>
      <c r="IJ34" s="42"/>
      <c r="IK34" s="42"/>
      <c r="IL34" s="39"/>
      <c r="IM34" s="39"/>
      <c r="IN34" s="39"/>
      <c r="IO34" s="42"/>
      <c r="IP34" s="40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8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8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40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8"/>
      <c r="LO34" s="39"/>
      <c r="LP34" s="39"/>
      <c r="LQ34" s="40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9"/>
      <c r="MM34" s="39"/>
      <c r="MN34" s="39"/>
      <c r="MO34" s="39"/>
      <c r="MP34" s="39"/>
      <c r="MQ34" s="39"/>
      <c r="MR34" s="39"/>
      <c r="MS34" s="38"/>
      <c r="MT34" s="39"/>
      <c r="MU34" s="39"/>
      <c r="MV34" s="39"/>
      <c r="MW34" s="39"/>
      <c r="MX34" s="39"/>
      <c r="MY34" s="39"/>
      <c r="MZ34" s="39"/>
      <c r="NA34" s="39"/>
      <c r="NB34" s="39"/>
      <c r="NC34" s="39"/>
      <c r="ND34" s="39"/>
      <c r="NE34" s="39"/>
      <c r="NF34" s="39"/>
      <c r="NG34" s="39"/>
      <c r="NH34" s="39"/>
      <c r="NI34" s="39"/>
      <c r="NJ34" s="39"/>
      <c r="NK34" s="39"/>
      <c r="NL34" s="39"/>
      <c r="NM34" s="39"/>
      <c r="NN34" s="39"/>
      <c r="NO34" s="39"/>
      <c r="NP34" s="39"/>
      <c r="NQ34" s="39"/>
      <c r="NR34" s="39"/>
      <c r="NS34" s="39"/>
      <c r="NT34" s="39"/>
      <c r="NU34" s="39"/>
      <c r="NV34" s="39"/>
      <c r="NW34" s="39"/>
      <c r="NX34" s="39"/>
      <c r="NY34" s="38"/>
    </row>
    <row r="35">
      <c r="A35" s="43" t="s">
        <v>425</v>
      </c>
      <c r="B35" s="26" t="str">
        <f>IFERROR(__xludf.DUMMYFUNCTION("VLOOKUP(A35, IMPORTRANGE(""https://docs.google.com/spreadsheets/d/1KpTMcNM9m1P7u9qCVzob8p1-RZoC1ejaYs5CdpAbWFY/edit?gid=260580969#gid=260580969"", ""2025 EMP PROFILE DATA!a1:W98""), 22, FALSE)"),"#REF!")</f>
        <v>#REF!</v>
      </c>
      <c r="C35" s="60">
        <f t="shared" si="1"/>
        <v>0</v>
      </c>
      <c r="D35" s="60">
        <f t="shared" si="2"/>
        <v>3</v>
      </c>
      <c r="E35" s="60">
        <f t="shared" si="3"/>
        <v>10</v>
      </c>
      <c r="F35" s="60">
        <f t="shared" si="4"/>
        <v>0</v>
      </c>
      <c r="G35" s="61">
        <f t="shared" si="5"/>
        <v>0</v>
      </c>
      <c r="H35" s="61">
        <f t="shared" si="6"/>
        <v>0.02525252525</v>
      </c>
      <c r="I35" s="28">
        <f t="shared" si="7"/>
        <v>10</v>
      </c>
      <c r="J35" s="26">
        <v>0.0</v>
      </c>
      <c r="K35" s="26">
        <v>0.0</v>
      </c>
      <c r="L35" s="62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37"/>
      <c r="AJ35" s="37" t="s">
        <v>21</v>
      </c>
      <c r="AK35" s="60"/>
      <c r="AL35" s="60"/>
      <c r="AM35" s="60"/>
      <c r="AN35" s="60"/>
      <c r="AO35" s="60"/>
      <c r="AP35" s="60"/>
      <c r="AQ35" s="60"/>
      <c r="AR35" s="29"/>
      <c r="AS35" s="28"/>
      <c r="AT35" s="28"/>
      <c r="AU35" s="28"/>
      <c r="AV35" s="28"/>
      <c r="AW35" s="26"/>
      <c r="AX35" s="28"/>
      <c r="AY35" s="28"/>
      <c r="AZ35" s="26"/>
      <c r="BA35" s="28"/>
      <c r="BB35" s="26"/>
      <c r="BC35" s="28"/>
      <c r="BD35" s="26" t="s">
        <v>20</v>
      </c>
      <c r="BE35" s="26"/>
      <c r="BF35" s="28"/>
      <c r="BG35" s="28"/>
      <c r="BH35" s="26"/>
      <c r="BI35" s="26"/>
      <c r="BJ35" s="26"/>
      <c r="BK35" s="37" t="s">
        <v>21</v>
      </c>
      <c r="BL35" s="37" t="s">
        <v>21</v>
      </c>
      <c r="BM35" s="26"/>
      <c r="BN35" s="28"/>
      <c r="BO35" s="28"/>
      <c r="BP35" s="28"/>
      <c r="BQ35" s="37" t="s">
        <v>21</v>
      </c>
      <c r="BR35" s="28"/>
      <c r="BS35" s="31"/>
      <c r="BT35" s="26"/>
      <c r="BU35" s="32"/>
      <c r="BV35" s="33"/>
      <c r="BW35" s="33"/>
      <c r="BX35" s="33"/>
      <c r="BY35" s="33"/>
      <c r="BZ35" s="33"/>
      <c r="CA35" s="33"/>
      <c r="CB35" s="35"/>
      <c r="CC35" s="33"/>
      <c r="CD35" s="33"/>
      <c r="CE35" s="34"/>
      <c r="CF35" s="36"/>
      <c r="CG35" s="37" t="s">
        <v>21</v>
      </c>
      <c r="CH35" s="28"/>
      <c r="CI35" s="28"/>
      <c r="CJ35" s="28"/>
      <c r="CK35" s="28"/>
      <c r="CL35" s="26"/>
      <c r="CM35" s="28"/>
      <c r="CN35" s="37" t="s">
        <v>21</v>
      </c>
      <c r="CO35" s="28"/>
      <c r="CP35" s="26"/>
      <c r="CQ35" s="28"/>
      <c r="CR35" s="28"/>
      <c r="CS35" s="28"/>
      <c r="CT35" s="28"/>
      <c r="CU35" s="26"/>
      <c r="CV35" s="31"/>
      <c r="CW35" s="26"/>
      <c r="CX35" s="26"/>
      <c r="CY35" s="26"/>
      <c r="CZ35" s="31"/>
      <c r="DA35" s="32"/>
      <c r="DB35" s="28"/>
      <c r="DC35" s="28"/>
      <c r="DD35" s="28"/>
      <c r="DE35" s="26"/>
      <c r="DF35" s="26"/>
      <c r="DG35" s="26"/>
      <c r="DH35" s="26"/>
      <c r="DI35" s="26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6"/>
      <c r="DX35" s="26"/>
      <c r="DY35" s="28"/>
      <c r="DZ35" s="28"/>
      <c r="EA35" s="28"/>
      <c r="EB35" s="31"/>
      <c r="EC35" s="26"/>
      <c r="ED35" s="31"/>
      <c r="EE35" s="26"/>
      <c r="EF35" s="32"/>
      <c r="EG35" s="28"/>
      <c r="EH35" s="26"/>
      <c r="EI35" s="28"/>
      <c r="EJ35" s="28"/>
      <c r="EK35" s="26"/>
      <c r="EL35" s="28"/>
      <c r="EM35" s="26" t="s">
        <v>20</v>
      </c>
      <c r="EN35" s="26" t="s">
        <v>20</v>
      </c>
      <c r="EO35" s="26"/>
      <c r="EP35" s="28"/>
      <c r="EQ35" s="28"/>
      <c r="ER35" s="26"/>
      <c r="ES35" s="28"/>
      <c r="ET35" s="26"/>
      <c r="EU35" s="26"/>
      <c r="EV35" s="28"/>
      <c r="EW35" s="28"/>
      <c r="EX35" s="28"/>
      <c r="EY35" s="28"/>
      <c r="EZ35" s="28"/>
      <c r="FA35" s="63" t="s">
        <v>21</v>
      </c>
      <c r="FB35" s="28"/>
      <c r="FC35" s="28"/>
      <c r="FD35" s="28"/>
      <c r="FE35" s="28"/>
      <c r="FF35" s="28"/>
      <c r="FG35" s="26"/>
      <c r="FH35" s="26"/>
      <c r="FI35" s="63" t="s">
        <v>21</v>
      </c>
      <c r="FJ35" s="31"/>
      <c r="FK35" s="31"/>
      <c r="FL35" s="32"/>
      <c r="FM35" s="28"/>
      <c r="FN35" s="26"/>
      <c r="FO35" s="28"/>
      <c r="FP35" s="37" t="s">
        <v>21</v>
      </c>
      <c r="FQ35" s="26"/>
      <c r="FR35" s="28"/>
      <c r="FS35" s="28"/>
      <c r="FT35" s="28"/>
      <c r="FU35" s="26"/>
      <c r="FV35" s="37"/>
      <c r="FW35" s="37"/>
      <c r="FX35" s="26"/>
      <c r="FY35" s="28"/>
      <c r="FZ35" s="28"/>
      <c r="GA35" s="28"/>
      <c r="GB35" s="37" t="s">
        <v>21</v>
      </c>
      <c r="GC35" s="26"/>
      <c r="GD35" s="28"/>
      <c r="GE35" s="28"/>
      <c r="GF35" s="28"/>
      <c r="GG35" s="28"/>
      <c r="GH35" s="28"/>
      <c r="GI35" s="26"/>
      <c r="GJ35" s="28"/>
      <c r="GK35" s="28"/>
      <c r="GL35" s="28"/>
      <c r="GM35" s="31"/>
      <c r="GN35" s="26"/>
      <c r="GO35" s="31"/>
      <c r="GP35" s="31"/>
      <c r="GQ35" s="38"/>
      <c r="GR35" s="39"/>
      <c r="GS35" s="39"/>
      <c r="GT35" s="39"/>
      <c r="GU35" s="39"/>
      <c r="GV35" s="39"/>
      <c r="GW35" s="39"/>
      <c r="GX35" s="39"/>
      <c r="GY35" s="39"/>
      <c r="GZ35" s="40"/>
      <c r="HA35" s="39"/>
      <c r="HB35" s="39"/>
      <c r="HC35" s="39"/>
      <c r="HD35" s="39"/>
      <c r="HE35" s="39"/>
      <c r="HF35" s="39"/>
      <c r="HG35" s="39"/>
      <c r="HH35" s="39"/>
      <c r="HI35" s="39"/>
      <c r="HJ35" s="39"/>
      <c r="HK35" s="39"/>
      <c r="HL35" s="40"/>
      <c r="HM35" s="40"/>
      <c r="HN35" s="39"/>
      <c r="HO35" s="39"/>
      <c r="HP35" s="39"/>
      <c r="HQ35" s="39"/>
      <c r="HR35" s="39"/>
      <c r="HS35" s="39"/>
      <c r="HT35" s="39"/>
      <c r="HU35" s="40"/>
      <c r="HV35" s="39"/>
      <c r="HW35" s="38"/>
      <c r="HX35" s="41"/>
      <c r="HY35" s="39"/>
      <c r="HZ35" s="39"/>
      <c r="IA35" s="39"/>
      <c r="IB35" s="39"/>
      <c r="IC35" s="39"/>
      <c r="ID35" s="40"/>
      <c r="IE35" s="39"/>
      <c r="IF35" s="39"/>
      <c r="IG35" s="39"/>
      <c r="IH35" s="40"/>
      <c r="II35" s="40"/>
      <c r="IJ35" s="42"/>
      <c r="IK35" s="42"/>
      <c r="IL35" s="39"/>
      <c r="IM35" s="39"/>
      <c r="IN35" s="39"/>
      <c r="IO35" s="42"/>
      <c r="IP35" s="40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8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8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40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8"/>
      <c r="LO35" s="39"/>
      <c r="LP35" s="39"/>
      <c r="LQ35" s="40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9"/>
      <c r="MM35" s="39"/>
      <c r="MN35" s="39"/>
      <c r="MO35" s="39"/>
      <c r="MP35" s="39"/>
      <c r="MQ35" s="39"/>
      <c r="MR35" s="39"/>
      <c r="MS35" s="38"/>
      <c r="MT35" s="39"/>
      <c r="MU35" s="39"/>
      <c r="MV35" s="39"/>
      <c r="MW35" s="39"/>
      <c r="MX35" s="39"/>
      <c r="MY35" s="39"/>
      <c r="MZ35" s="39"/>
      <c r="NA35" s="39"/>
      <c r="NB35" s="39"/>
      <c r="NC35" s="39"/>
      <c r="ND35" s="39"/>
      <c r="NE35" s="39"/>
      <c r="NF35" s="39"/>
      <c r="NG35" s="39"/>
      <c r="NH35" s="39"/>
      <c r="NI35" s="39"/>
      <c r="NJ35" s="39"/>
      <c r="NK35" s="39"/>
      <c r="NL35" s="39"/>
      <c r="NM35" s="39"/>
      <c r="NN35" s="39"/>
      <c r="NO35" s="39"/>
      <c r="NP35" s="39"/>
      <c r="NQ35" s="39"/>
      <c r="NR35" s="39"/>
      <c r="NS35" s="39"/>
      <c r="NT35" s="39"/>
      <c r="NU35" s="39"/>
      <c r="NV35" s="39"/>
      <c r="NW35" s="39"/>
      <c r="NX35" s="39"/>
      <c r="NY35" s="38"/>
    </row>
    <row r="36">
      <c r="A36" s="45" t="s">
        <v>426</v>
      </c>
      <c r="B36" s="26" t="str">
        <f>IFERROR(__xludf.DUMMYFUNCTION("VLOOKUP(A36, IMPORTRANGE(""https://docs.google.com/spreadsheets/d/1KpTMcNM9m1P7u9qCVzob8p1-RZoC1ejaYs5CdpAbWFY/edit?gid=260580969#gid=260580969"", ""2025 EMP PROFILE DATA!a1:W98""), 22, FALSE)"),"#REF!")</f>
        <v>#REF!</v>
      </c>
      <c r="C36" s="45">
        <f t="shared" si="1"/>
        <v>0</v>
      </c>
      <c r="D36" s="45">
        <f t="shared" si="2"/>
        <v>5</v>
      </c>
      <c r="E36" s="45">
        <f t="shared" si="3"/>
        <v>3</v>
      </c>
      <c r="F36" s="45">
        <f t="shared" si="4"/>
        <v>0</v>
      </c>
      <c r="G36" s="46">
        <f t="shared" si="5"/>
        <v>0</v>
      </c>
      <c r="H36" s="46">
        <f t="shared" si="6"/>
        <v>0.007575757576</v>
      </c>
      <c r="I36" s="28">
        <f t="shared" si="7"/>
        <v>3</v>
      </c>
      <c r="J36" s="26">
        <v>0.0</v>
      </c>
      <c r="K36" s="26">
        <v>0.0</v>
      </c>
      <c r="L36" s="49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37" t="s">
        <v>21</v>
      </c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29"/>
      <c r="AS36" s="28"/>
      <c r="AT36" s="26" t="s">
        <v>20</v>
      </c>
      <c r="AU36" s="26" t="s">
        <v>20</v>
      </c>
      <c r="AV36" s="28"/>
      <c r="AW36" s="26" t="s">
        <v>20</v>
      </c>
      <c r="AX36" s="26" t="s">
        <v>20</v>
      </c>
      <c r="AY36" s="26" t="s">
        <v>20</v>
      </c>
      <c r="AZ36" s="26"/>
      <c r="BA36" s="28"/>
      <c r="BB36" s="26"/>
      <c r="BC36" s="28"/>
      <c r="BD36" s="28"/>
      <c r="BE36" s="26"/>
      <c r="BF36" s="28"/>
      <c r="BG36" s="28"/>
      <c r="BH36" s="26"/>
      <c r="BI36" s="26"/>
      <c r="BJ36" s="26"/>
      <c r="BK36" s="28"/>
      <c r="BL36" s="28"/>
      <c r="BM36" s="26"/>
      <c r="BN36" s="28"/>
      <c r="BO36" s="28"/>
      <c r="BP36" s="28"/>
      <c r="BQ36" s="28"/>
      <c r="BR36" s="28"/>
      <c r="BS36" s="31"/>
      <c r="BT36" s="26"/>
      <c r="BU36" s="32"/>
      <c r="BV36" s="33"/>
      <c r="BW36" s="33"/>
      <c r="BX36" s="33"/>
      <c r="BY36" s="33"/>
      <c r="BZ36" s="33"/>
      <c r="CA36" s="33"/>
      <c r="CB36" s="35"/>
      <c r="CC36" s="33"/>
      <c r="CD36" s="33"/>
      <c r="CE36" s="34"/>
      <c r="CF36" s="36"/>
      <c r="CG36" s="26"/>
      <c r="CH36" s="28"/>
      <c r="CI36" s="28"/>
      <c r="CJ36" s="28"/>
      <c r="CK36" s="28"/>
      <c r="CL36" s="26"/>
      <c r="CM36" s="28"/>
      <c r="CN36" s="28"/>
      <c r="CO36" s="28"/>
      <c r="CP36" s="26"/>
      <c r="CQ36" s="28"/>
      <c r="CR36" s="28"/>
      <c r="CS36" s="28"/>
      <c r="CT36" s="28"/>
      <c r="CU36" s="26"/>
      <c r="CV36" s="31"/>
      <c r="CW36" s="26"/>
      <c r="CX36" s="26"/>
      <c r="CY36" s="26"/>
      <c r="CZ36" s="31"/>
      <c r="DA36" s="32"/>
      <c r="DB36" s="28"/>
      <c r="DC36" s="28"/>
      <c r="DD36" s="28"/>
      <c r="DE36" s="26"/>
      <c r="DF36" s="26"/>
      <c r="DG36" s="26"/>
      <c r="DH36" s="26"/>
      <c r="DI36" s="26"/>
      <c r="DJ36" s="28"/>
      <c r="DK36" s="28"/>
      <c r="DL36" s="28"/>
      <c r="DM36" s="28"/>
      <c r="DN36" s="28"/>
      <c r="DO36" s="28"/>
      <c r="DP36" s="37" t="s">
        <v>21</v>
      </c>
      <c r="DQ36" s="28"/>
      <c r="DR36" s="28"/>
      <c r="DS36" s="28"/>
      <c r="DT36" s="28"/>
      <c r="DU36" s="28"/>
      <c r="DV36" s="37" t="s">
        <v>21</v>
      </c>
      <c r="DW36" s="26"/>
      <c r="DX36" s="26"/>
      <c r="DY36" s="28"/>
      <c r="DZ36" s="28"/>
      <c r="EA36" s="28"/>
      <c r="EB36" s="31"/>
      <c r="EC36" s="26"/>
      <c r="ED36" s="31"/>
      <c r="EE36" s="26"/>
      <c r="EF36" s="32"/>
      <c r="EG36" s="28"/>
      <c r="EH36" s="26"/>
      <c r="EI36" s="28"/>
      <c r="EJ36" s="28"/>
      <c r="EK36" s="26"/>
      <c r="EL36" s="28"/>
      <c r="EM36" s="28"/>
      <c r="EN36" s="26"/>
      <c r="EO36" s="26"/>
      <c r="EP36" s="28"/>
      <c r="EQ36" s="28"/>
      <c r="ER36" s="26"/>
      <c r="ES36" s="28"/>
      <c r="ET36" s="26"/>
      <c r="EU36" s="26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6"/>
      <c r="FH36" s="26"/>
      <c r="FI36" s="31"/>
      <c r="FJ36" s="31"/>
      <c r="FK36" s="31"/>
      <c r="FL36" s="32"/>
      <c r="FM36" s="28"/>
      <c r="FN36" s="26"/>
      <c r="FO36" s="28"/>
      <c r="FP36" s="28"/>
      <c r="FQ36" s="26"/>
      <c r="FR36" s="28"/>
      <c r="FS36" s="28"/>
      <c r="FT36" s="28"/>
      <c r="FU36" s="26"/>
      <c r="FV36" s="28"/>
      <c r="FW36" s="28"/>
      <c r="FX36" s="26"/>
      <c r="FY36" s="28"/>
      <c r="FZ36" s="28"/>
      <c r="GA36" s="28"/>
      <c r="GB36" s="26"/>
      <c r="GC36" s="26"/>
      <c r="GD36" s="28"/>
      <c r="GE36" s="28"/>
      <c r="GF36" s="28"/>
      <c r="GG36" s="28"/>
      <c r="GH36" s="28"/>
      <c r="GI36" s="26"/>
      <c r="GJ36" s="28"/>
      <c r="GK36" s="28"/>
      <c r="GL36" s="28"/>
      <c r="GM36" s="31"/>
      <c r="GN36" s="26"/>
      <c r="GO36" s="31"/>
      <c r="GP36" s="31"/>
      <c r="GQ36" s="38"/>
      <c r="GR36" s="39"/>
      <c r="GS36" s="39"/>
      <c r="GT36" s="39"/>
      <c r="GU36" s="39"/>
      <c r="GV36" s="39"/>
      <c r="GW36" s="39"/>
      <c r="GX36" s="39"/>
      <c r="GY36" s="39"/>
      <c r="GZ36" s="40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40"/>
      <c r="HM36" s="40"/>
      <c r="HN36" s="39"/>
      <c r="HO36" s="39"/>
      <c r="HP36" s="39"/>
      <c r="HQ36" s="39"/>
      <c r="HR36" s="39"/>
      <c r="HS36" s="39"/>
      <c r="HT36" s="39"/>
      <c r="HU36" s="40"/>
      <c r="HV36" s="39"/>
      <c r="HW36" s="38"/>
      <c r="HX36" s="41"/>
      <c r="HY36" s="39"/>
      <c r="HZ36" s="39"/>
      <c r="IA36" s="39"/>
      <c r="IB36" s="39"/>
      <c r="IC36" s="39"/>
      <c r="ID36" s="40"/>
      <c r="IE36" s="39"/>
      <c r="IF36" s="39"/>
      <c r="IG36" s="39"/>
      <c r="IH36" s="40"/>
      <c r="II36" s="40"/>
      <c r="IJ36" s="42"/>
      <c r="IK36" s="42"/>
      <c r="IL36" s="39"/>
      <c r="IM36" s="39"/>
      <c r="IN36" s="39"/>
      <c r="IO36" s="42"/>
      <c r="IP36" s="40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8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8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40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8"/>
      <c r="LO36" s="39"/>
      <c r="LP36" s="39"/>
      <c r="LQ36" s="40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9"/>
      <c r="MM36" s="39"/>
      <c r="MN36" s="39"/>
      <c r="MO36" s="39"/>
      <c r="MP36" s="39"/>
      <c r="MQ36" s="39"/>
      <c r="MR36" s="39"/>
      <c r="MS36" s="38"/>
      <c r="MT36" s="39"/>
      <c r="MU36" s="39"/>
      <c r="MV36" s="39"/>
      <c r="MW36" s="39"/>
      <c r="MX36" s="39"/>
      <c r="MY36" s="39"/>
      <c r="MZ36" s="39"/>
      <c r="NA36" s="39"/>
      <c r="NB36" s="39"/>
      <c r="NC36" s="39"/>
      <c r="ND36" s="39"/>
      <c r="NE36" s="39"/>
      <c r="NF36" s="39"/>
      <c r="NG36" s="39"/>
      <c r="NH36" s="39"/>
      <c r="NI36" s="39"/>
      <c r="NJ36" s="39"/>
      <c r="NK36" s="39"/>
      <c r="NL36" s="39"/>
      <c r="NM36" s="39"/>
      <c r="NN36" s="39"/>
      <c r="NO36" s="39"/>
      <c r="NP36" s="39"/>
      <c r="NQ36" s="39"/>
      <c r="NR36" s="39"/>
      <c r="NS36" s="39"/>
      <c r="NT36" s="39"/>
      <c r="NU36" s="39"/>
      <c r="NV36" s="39"/>
      <c r="NW36" s="39"/>
      <c r="NX36" s="39"/>
      <c r="NY36" s="38"/>
    </row>
    <row r="37">
      <c r="A37" s="45" t="s">
        <v>427</v>
      </c>
      <c r="B37" s="26" t="str">
        <f>IFERROR(__xludf.DUMMYFUNCTION("VLOOKUP(A37, IMPORTRANGE(""https://docs.google.com/spreadsheets/d/1KpTMcNM9m1P7u9qCVzob8p1-RZoC1ejaYs5CdpAbWFY/edit?gid=260580969#gid=260580969"", ""2025 EMP PROFILE DATA!a1:W98""), 22, FALSE)"),"#REF!")</f>
        <v>#REF!</v>
      </c>
      <c r="C37" s="45">
        <f t="shared" si="1"/>
        <v>1</v>
      </c>
      <c r="D37" s="45">
        <f t="shared" si="2"/>
        <v>0</v>
      </c>
      <c r="E37" s="45">
        <f t="shared" si="3"/>
        <v>17</v>
      </c>
      <c r="F37" s="45">
        <f t="shared" si="4"/>
        <v>0</v>
      </c>
      <c r="G37" s="46">
        <f t="shared" si="5"/>
        <v>0.002525252525</v>
      </c>
      <c r="H37" s="46">
        <f t="shared" si="6"/>
        <v>0.04292929293</v>
      </c>
      <c r="I37" s="28">
        <f t="shared" si="7"/>
        <v>21</v>
      </c>
      <c r="J37" s="26">
        <v>0.0</v>
      </c>
      <c r="K37" s="26">
        <v>0.0</v>
      </c>
      <c r="L37" s="49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37" t="s">
        <v>21</v>
      </c>
      <c r="Z37" s="45"/>
      <c r="AA37" s="45"/>
      <c r="AB37" s="37" t="s">
        <v>21</v>
      </c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29"/>
      <c r="AS37" s="28"/>
      <c r="AT37" s="28"/>
      <c r="AU37" s="28"/>
      <c r="AV37" s="28"/>
      <c r="AW37" s="26"/>
      <c r="AX37" s="28"/>
      <c r="AY37" s="28"/>
      <c r="AZ37" s="26"/>
      <c r="BA37" s="28"/>
      <c r="BB37" s="26"/>
      <c r="BC37" s="28"/>
      <c r="BD37" s="28"/>
      <c r="BE37" s="26"/>
      <c r="BF37" s="28"/>
      <c r="BG37" s="28"/>
      <c r="BH37" s="26"/>
      <c r="BI37" s="26"/>
      <c r="BJ37" s="26"/>
      <c r="BK37" s="28"/>
      <c r="BL37" s="28"/>
      <c r="BM37" s="26"/>
      <c r="BN37" s="28"/>
      <c r="BO37" s="28"/>
      <c r="BP37" s="28"/>
      <c r="BQ37" s="28"/>
      <c r="BR37" s="28"/>
      <c r="BS37" s="31"/>
      <c r="BT37" s="26"/>
      <c r="BU37" s="32"/>
      <c r="BV37" s="33"/>
      <c r="BW37" s="33"/>
      <c r="BX37" s="33"/>
      <c r="BY37" s="33"/>
      <c r="BZ37" s="33"/>
      <c r="CA37" s="33"/>
      <c r="CB37" s="35"/>
      <c r="CC37" s="33"/>
      <c r="CD37" s="33"/>
      <c r="CE37" s="34"/>
      <c r="CF37" s="36"/>
      <c r="CG37" s="26"/>
      <c r="CH37" s="28"/>
      <c r="CI37" s="28"/>
      <c r="CJ37" s="28"/>
      <c r="CK37" s="28"/>
      <c r="CL37" s="26"/>
      <c r="CM37" s="28"/>
      <c r="CN37" s="28"/>
      <c r="CO37" s="28"/>
      <c r="CP37" s="26"/>
      <c r="CQ37" s="28"/>
      <c r="CR37" s="37" t="s">
        <v>21</v>
      </c>
      <c r="CS37" s="37" t="s">
        <v>21</v>
      </c>
      <c r="CT37" s="37" t="s">
        <v>21</v>
      </c>
      <c r="CU37" s="26"/>
      <c r="CV37" s="31"/>
      <c r="CW37" s="26"/>
      <c r="CX37" s="26"/>
      <c r="CY37" s="26"/>
      <c r="CZ37" s="37" t="s">
        <v>21</v>
      </c>
      <c r="DA37" s="32"/>
      <c r="DB37" s="37" t="s">
        <v>21</v>
      </c>
      <c r="DC37" s="28"/>
      <c r="DD37" s="37" t="s">
        <v>21</v>
      </c>
      <c r="DE37" s="26"/>
      <c r="DF37" s="26"/>
      <c r="DG37" s="26"/>
      <c r="DH37" s="26"/>
      <c r="DI37" s="26"/>
      <c r="DJ37" s="28"/>
      <c r="DK37" s="37" t="s">
        <v>21</v>
      </c>
      <c r="DL37" s="28"/>
      <c r="DM37" s="28"/>
      <c r="DN37" s="28"/>
      <c r="DO37" s="37" t="s">
        <v>21</v>
      </c>
      <c r="DP37" s="28"/>
      <c r="DQ37" s="28"/>
      <c r="DR37" s="28"/>
      <c r="DS37" s="28"/>
      <c r="DT37" s="28"/>
      <c r="DU37" s="28"/>
      <c r="DV37" s="28"/>
      <c r="DW37" s="37" t="s">
        <v>21</v>
      </c>
      <c r="DX37" s="37" t="s">
        <v>21</v>
      </c>
      <c r="DY37" s="37" t="s">
        <v>21</v>
      </c>
      <c r="DZ37" s="28"/>
      <c r="EA37" s="28"/>
      <c r="EB37" s="37" t="s">
        <v>21</v>
      </c>
      <c r="EC37" s="26"/>
      <c r="ED37" s="37" t="s">
        <v>19</v>
      </c>
      <c r="EE37" s="26"/>
      <c r="EF37" s="32"/>
      <c r="EG37" s="28"/>
      <c r="EH37" s="26"/>
      <c r="EI37" s="28"/>
      <c r="EJ37" s="28"/>
      <c r="EK37" s="26"/>
      <c r="EL37" s="37" t="s">
        <v>21</v>
      </c>
      <c r="EM37" s="28"/>
      <c r="EN37" s="26"/>
      <c r="EO37" s="26"/>
      <c r="EP37" s="28"/>
      <c r="EQ37" s="28"/>
      <c r="ER37" s="26"/>
      <c r="ES37" s="28"/>
      <c r="ET37" s="37" t="s">
        <v>21</v>
      </c>
      <c r="EU37" s="26"/>
      <c r="EV37" s="37" t="s">
        <v>21</v>
      </c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6"/>
      <c r="FH37" s="26"/>
      <c r="FI37" s="31"/>
      <c r="FJ37" s="31"/>
      <c r="FK37" s="31"/>
      <c r="FL37" s="32"/>
      <c r="FM37" s="28"/>
      <c r="FN37" s="26"/>
      <c r="FO37" s="28"/>
      <c r="FP37" s="28"/>
      <c r="FQ37" s="26"/>
      <c r="FR37" s="28"/>
      <c r="FS37" s="28"/>
      <c r="FT37" s="28"/>
      <c r="FU37" s="26"/>
      <c r="FV37" s="28"/>
      <c r="FW37" s="28"/>
      <c r="FX37" s="26"/>
      <c r="FY37" s="28"/>
      <c r="FZ37" s="28"/>
      <c r="GA37" s="28"/>
      <c r="GB37" s="26"/>
      <c r="GC37" s="26"/>
      <c r="GD37" s="28"/>
      <c r="GE37" s="28"/>
      <c r="GF37" s="28"/>
      <c r="GG37" s="28"/>
      <c r="GH37" s="28"/>
      <c r="GI37" s="26"/>
      <c r="GJ37" s="28"/>
      <c r="GK37" s="28"/>
      <c r="GL37" s="28"/>
      <c r="GM37" s="31"/>
      <c r="GN37" s="26"/>
      <c r="GO37" s="31"/>
      <c r="GP37" s="31"/>
      <c r="GQ37" s="38"/>
      <c r="GR37" s="39"/>
      <c r="GS37" s="39"/>
      <c r="GT37" s="39"/>
      <c r="GU37" s="39"/>
      <c r="GV37" s="39"/>
      <c r="GW37" s="39"/>
      <c r="GX37" s="39"/>
      <c r="GY37" s="39"/>
      <c r="GZ37" s="40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40"/>
      <c r="HM37" s="40"/>
      <c r="HN37" s="39"/>
      <c r="HO37" s="39"/>
      <c r="HP37" s="39"/>
      <c r="HQ37" s="39"/>
      <c r="HR37" s="39"/>
      <c r="HS37" s="39"/>
      <c r="HT37" s="39"/>
      <c r="HU37" s="40"/>
      <c r="HV37" s="39"/>
      <c r="HW37" s="38"/>
      <c r="HX37" s="41"/>
      <c r="HY37" s="39"/>
      <c r="HZ37" s="39"/>
      <c r="IA37" s="39"/>
      <c r="IB37" s="39"/>
      <c r="IC37" s="39"/>
      <c r="ID37" s="40"/>
      <c r="IE37" s="39"/>
      <c r="IF37" s="39"/>
      <c r="IG37" s="39"/>
      <c r="IH37" s="40"/>
      <c r="II37" s="40"/>
      <c r="IJ37" s="42"/>
      <c r="IK37" s="42"/>
      <c r="IL37" s="39"/>
      <c r="IM37" s="39"/>
      <c r="IN37" s="39"/>
      <c r="IO37" s="42"/>
      <c r="IP37" s="40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8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8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40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8"/>
      <c r="LO37" s="39"/>
      <c r="LP37" s="39"/>
      <c r="LQ37" s="40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9"/>
      <c r="MM37" s="39"/>
      <c r="MN37" s="39"/>
      <c r="MO37" s="39"/>
      <c r="MP37" s="39"/>
      <c r="MQ37" s="39"/>
      <c r="MR37" s="39"/>
      <c r="MS37" s="38"/>
      <c r="MT37" s="39"/>
      <c r="MU37" s="39"/>
      <c r="MV37" s="39"/>
      <c r="MW37" s="39"/>
      <c r="MX37" s="39"/>
      <c r="MY37" s="39"/>
      <c r="MZ37" s="39"/>
      <c r="NA37" s="39"/>
      <c r="NB37" s="39"/>
      <c r="NC37" s="39"/>
      <c r="ND37" s="39"/>
      <c r="NE37" s="39"/>
      <c r="NF37" s="39"/>
      <c r="NG37" s="39"/>
      <c r="NH37" s="39"/>
      <c r="NI37" s="39"/>
      <c r="NJ37" s="39"/>
      <c r="NK37" s="39"/>
      <c r="NL37" s="39"/>
      <c r="NM37" s="39"/>
      <c r="NN37" s="39"/>
      <c r="NO37" s="39"/>
      <c r="NP37" s="39"/>
      <c r="NQ37" s="39"/>
      <c r="NR37" s="39"/>
      <c r="NS37" s="39"/>
      <c r="NT37" s="39"/>
      <c r="NU37" s="39"/>
      <c r="NV37" s="39"/>
      <c r="NW37" s="39"/>
      <c r="NX37" s="39"/>
      <c r="NY37" s="38"/>
    </row>
    <row r="38">
      <c r="A38" s="50" t="s">
        <v>428</v>
      </c>
      <c r="B38" s="26" t="str">
        <f>IFERROR(__xludf.DUMMYFUNCTION("VLOOKUP(A38, IMPORTRANGE(""https://docs.google.com/spreadsheets/d/1KpTMcNM9m1P7u9qCVzob8p1-RZoC1ejaYs5CdpAbWFY/edit?gid=260580969#gid=260580969"", ""2025 EMP PROFILE DATA!a1:W98""), 22, FALSE)"),"#REF!")</f>
        <v>#REF!</v>
      </c>
      <c r="C38" s="50">
        <f t="shared" si="1"/>
        <v>0</v>
      </c>
      <c r="D38" s="50">
        <f t="shared" si="2"/>
        <v>0</v>
      </c>
      <c r="E38" s="50">
        <f t="shared" si="3"/>
        <v>3</v>
      </c>
      <c r="F38" s="50">
        <f t="shared" si="4"/>
        <v>0</v>
      </c>
      <c r="G38" s="51">
        <f t="shared" si="5"/>
        <v>0</v>
      </c>
      <c r="H38" s="51">
        <f t="shared" si="6"/>
        <v>0.007575757576</v>
      </c>
      <c r="I38" s="28">
        <f t="shared" si="7"/>
        <v>3</v>
      </c>
      <c r="J38" s="26">
        <v>0.0</v>
      </c>
      <c r="K38" s="26">
        <v>0.0</v>
      </c>
      <c r="L38" s="52"/>
      <c r="M38" s="50"/>
      <c r="N38" s="50"/>
      <c r="O38" s="57" t="s">
        <v>21</v>
      </c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37" t="s">
        <v>21</v>
      </c>
      <c r="AM38" s="50"/>
      <c r="AN38" s="50"/>
      <c r="AO38" s="50"/>
      <c r="AP38" s="50"/>
      <c r="AQ38" s="50"/>
      <c r="AR38" s="29"/>
      <c r="AS38" s="28"/>
      <c r="AT38" s="28"/>
      <c r="AU38" s="28"/>
      <c r="AV38" s="28"/>
      <c r="AW38" s="26"/>
      <c r="AX38" s="28"/>
      <c r="AY38" s="28"/>
      <c r="AZ38" s="26"/>
      <c r="BA38" s="28"/>
      <c r="BB38" s="26"/>
      <c r="BC38" s="28"/>
      <c r="BD38" s="28"/>
      <c r="BE38" s="26"/>
      <c r="BF38" s="28"/>
      <c r="BG38" s="28"/>
      <c r="BH38" s="26"/>
      <c r="BI38" s="26"/>
      <c r="BJ38" s="26"/>
      <c r="BK38" s="28"/>
      <c r="BL38" s="28"/>
      <c r="BM38" s="26"/>
      <c r="BN38" s="28"/>
      <c r="BO38" s="28"/>
      <c r="BP38" s="28"/>
      <c r="BQ38" s="28"/>
      <c r="BR38" s="28"/>
      <c r="BS38" s="31"/>
      <c r="BT38" s="26"/>
      <c r="BU38" s="32"/>
      <c r="BV38" s="33"/>
      <c r="BW38" s="33"/>
      <c r="BX38" s="33"/>
      <c r="BY38" s="33"/>
      <c r="BZ38" s="33"/>
      <c r="CA38" s="33"/>
      <c r="CB38" s="35"/>
      <c r="CC38" s="33"/>
      <c r="CD38" s="33"/>
      <c r="CE38" s="34"/>
      <c r="CF38" s="36"/>
      <c r="CG38" s="26"/>
      <c r="CH38" s="28"/>
      <c r="CI38" s="28"/>
      <c r="CJ38" s="28"/>
      <c r="CK38" s="28"/>
      <c r="CL38" s="26"/>
      <c r="CM38" s="28"/>
      <c r="CN38" s="28"/>
      <c r="CO38" s="28"/>
      <c r="CP38" s="26"/>
      <c r="CQ38" s="28"/>
      <c r="CR38" s="28"/>
      <c r="CS38" s="28"/>
      <c r="CT38" s="28"/>
      <c r="CU38" s="37"/>
      <c r="CV38" s="31"/>
      <c r="CW38" s="26"/>
      <c r="CX38" s="26"/>
      <c r="CY38" s="26"/>
      <c r="CZ38" s="31"/>
      <c r="DA38" s="32"/>
      <c r="DB38" s="28"/>
      <c r="DC38" s="28"/>
      <c r="DD38" s="28"/>
      <c r="DE38" s="26"/>
      <c r="DF38" s="26"/>
      <c r="DG38" s="26"/>
      <c r="DH38" s="26"/>
      <c r="DI38" s="26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6"/>
      <c r="DX38" s="26"/>
      <c r="DY38" s="28"/>
      <c r="DZ38" s="28"/>
      <c r="EA38" s="28"/>
      <c r="EB38" s="31"/>
      <c r="EC38" s="26"/>
      <c r="ED38" s="31"/>
      <c r="EE38" s="26"/>
      <c r="EF38" s="32"/>
      <c r="EG38" s="28"/>
      <c r="EH38" s="26"/>
      <c r="EI38" s="28"/>
      <c r="EJ38" s="28"/>
      <c r="EK38" s="26"/>
      <c r="EL38" s="28"/>
      <c r="EM38" s="28"/>
      <c r="EN38" s="26"/>
      <c r="EO38" s="26"/>
      <c r="EP38" s="28"/>
      <c r="EQ38" s="28"/>
      <c r="ER38" s="26"/>
      <c r="ES38" s="28"/>
      <c r="ET38" s="26"/>
      <c r="EU38" s="26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6"/>
      <c r="FH38" s="26"/>
      <c r="FI38" s="31"/>
      <c r="FJ38" s="31"/>
      <c r="FK38" s="31"/>
      <c r="FL38" s="32"/>
      <c r="FM38" s="28"/>
      <c r="FN38" s="26"/>
      <c r="FO38" s="28"/>
      <c r="FP38" s="28"/>
      <c r="FQ38" s="26"/>
      <c r="FR38" s="28"/>
      <c r="FS38" s="28"/>
      <c r="FT38" s="28"/>
      <c r="FU38" s="26"/>
      <c r="FV38" s="28"/>
      <c r="FW38" s="28"/>
      <c r="FX38" s="26"/>
      <c r="FY38" s="28"/>
      <c r="FZ38" s="28"/>
      <c r="GA38" s="28"/>
      <c r="GB38" s="26"/>
      <c r="GC38" s="26"/>
      <c r="GD38" s="28"/>
      <c r="GE38" s="37" t="s">
        <v>21</v>
      </c>
      <c r="GF38" s="28"/>
      <c r="GG38" s="28"/>
      <c r="GH38" s="28"/>
      <c r="GI38" s="26"/>
      <c r="GJ38" s="28"/>
      <c r="GK38" s="28"/>
      <c r="GL38" s="28"/>
      <c r="GM38" s="31"/>
      <c r="GN38" s="26"/>
      <c r="GO38" s="31"/>
      <c r="GP38" s="31"/>
      <c r="GQ38" s="38"/>
      <c r="GR38" s="39"/>
      <c r="GS38" s="39"/>
      <c r="GT38" s="39"/>
      <c r="GU38" s="39"/>
      <c r="GV38" s="39"/>
      <c r="GW38" s="39"/>
      <c r="GX38" s="39"/>
      <c r="GY38" s="39"/>
      <c r="GZ38" s="40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40"/>
      <c r="HM38" s="40"/>
      <c r="HN38" s="39"/>
      <c r="HO38" s="39"/>
      <c r="HP38" s="39"/>
      <c r="HQ38" s="39"/>
      <c r="HR38" s="39"/>
      <c r="HS38" s="39"/>
      <c r="HT38" s="39"/>
      <c r="HU38" s="40"/>
      <c r="HV38" s="39"/>
      <c r="HW38" s="38"/>
      <c r="HX38" s="41"/>
      <c r="HY38" s="39"/>
      <c r="HZ38" s="39"/>
      <c r="IA38" s="39"/>
      <c r="IB38" s="39"/>
      <c r="IC38" s="39"/>
      <c r="ID38" s="40"/>
      <c r="IE38" s="39"/>
      <c r="IF38" s="39"/>
      <c r="IG38" s="39"/>
      <c r="IH38" s="40"/>
      <c r="II38" s="40"/>
      <c r="IJ38" s="42"/>
      <c r="IK38" s="42"/>
      <c r="IL38" s="39"/>
      <c r="IM38" s="39"/>
      <c r="IN38" s="39"/>
      <c r="IO38" s="42"/>
      <c r="IP38" s="40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8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8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40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8"/>
      <c r="LO38" s="39"/>
      <c r="LP38" s="39"/>
      <c r="LQ38" s="40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9"/>
      <c r="MM38" s="39"/>
      <c r="MN38" s="39"/>
      <c r="MO38" s="39"/>
      <c r="MP38" s="39"/>
      <c r="MQ38" s="39"/>
      <c r="MR38" s="39"/>
      <c r="MS38" s="38"/>
      <c r="MT38" s="39"/>
      <c r="MU38" s="39"/>
      <c r="MV38" s="39"/>
      <c r="MW38" s="39"/>
      <c r="MX38" s="39"/>
      <c r="MY38" s="39"/>
      <c r="MZ38" s="39"/>
      <c r="NA38" s="39"/>
      <c r="NB38" s="39"/>
      <c r="NC38" s="39"/>
      <c r="ND38" s="39"/>
      <c r="NE38" s="39"/>
      <c r="NF38" s="39"/>
      <c r="NG38" s="39"/>
      <c r="NH38" s="39"/>
      <c r="NI38" s="39"/>
      <c r="NJ38" s="39"/>
      <c r="NK38" s="39"/>
      <c r="NL38" s="39"/>
      <c r="NM38" s="39"/>
      <c r="NN38" s="39"/>
      <c r="NO38" s="39"/>
      <c r="NP38" s="39"/>
      <c r="NQ38" s="39"/>
      <c r="NR38" s="39"/>
      <c r="NS38" s="39"/>
      <c r="NT38" s="39"/>
      <c r="NU38" s="39"/>
      <c r="NV38" s="39"/>
      <c r="NW38" s="39"/>
      <c r="NX38" s="39"/>
      <c r="NY38" s="38"/>
    </row>
    <row r="39">
      <c r="A39" s="45" t="s">
        <v>429</v>
      </c>
      <c r="B39" s="26" t="str">
        <f>IFERROR(__xludf.DUMMYFUNCTION("VLOOKUP(A39, IMPORTRANGE(""https://docs.google.com/spreadsheets/d/1KpTMcNM9m1P7u9qCVzob8p1-RZoC1ejaYs5CdpAbWFY/edit?gid=260580969#gid=260580969"", ""2025 EMP PROFILE DATA!a1:W98""), 22, FALSE)"),"#REF!")</f>
        <v>#REF!</v>
      </c>
      <c r="C39" s="45">
        <f t="shared" si="1"/>
        <v>1</v>
      </c>
      <c r="D39" s="45">
        <f t="shared" si="2"/>
        <v>2</v>
      </c>
      <c r="E39" s="45">
        <f t="shared" si="3"/>
        <v>6</v>
      </c>
      <c r="F39" s="45">
        <f t="shared" si="4"/>
        <v>0</v>
      </c>
      <c r="G39" s="46">
        <f t="shared" si="5"/>
        <v>0.002525252525</v>
      </c>
      <c r="H39" s="46">
        <f t="shared" si="6"/>
        <v>0.01515151515</v>
      </c>
      <c r="I39" s="28">
        <f t="shared" si="7"/>
        <v>10</v>
      </c>
      <c r="J39" s="26">
        <v>0.0</v>
      </c>
      <c r="K39" s="26">
        <v>0.0</v>
      </c>
      <c r="L39" s="49"/>
      <c r="M39" s="45"/>
      <c r="N39" s="45"/>
      <c r="O39" s="45"/>
      <c r="P39" s="45"/>
      <c r="Q39" s="45"/>
      <c r="R39" s="64" t="s">
        <v>20</v>
      </c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29"/>
      <c r="AS39" s="28"/>
      <c r="AT39" s="28"/>
      <c r="AU39" s="28"/>
      <c r="AV39" s="28"/>
      <c r="AW39" s="57" t="s">
        <v>21</v>
      </c>
      <c r="AX39" s="28"/>
      <c r="AY39" s="28"/>
      <c r="AZ39" s="26"/>
      <c r="BA39" s="28"/>
      <c r="BB39" s="26"/>
      <c r="BC39" s="28"/>
      <c r="BD39" s="28"/>
      <c r="BE39" s="26"/>
      <c r="BF39" s="28"/>
      <c r="BG39" s="28"/>
      <c r="BH39" s="26"/>
      <c r="BI39" s="26"/>
      <c r="BJ39" s="26"/>
      <c r="BK39" s="28"/>
      <c r="BL39" s="28"/>
      <c r="BM39" s="26"/>
      <c r="BN39" s="28"/>
      <c r="BO39" s="28"/>
      <c r="BP39" s="28"/>
      <c r="BQ39" s="28"/>
      <c r="BR39" s="37"/>
      <c r="BS39" s="31"/>
      <c r="BT39" s="26"/>
      <c r="BU39" s="32"/>
      <c r="BV39" s="33"/>
      <c r="BW39" s="37" t="s">
        <v>21</v>
      </c>
      <c r="BX39" s="33"/>
      <c r="BY39" s="33"/>
      <c r="BZ39" s="33"/>
      <c r="CA39" s="33"/>
      <c r="CB39" s="35"/>
      <c r="CC39" s="33"/>
      <c r="CD39" s="33"/>
      <c r="CE39" s="34"/>
      <c r="CF39" s="36"/>
      <c r="CG39" s="26"/>
      <c r="CH39" s="28"/>
      <c r="CI39" s="37"/>
      <c r="CJ39" s="28"/>
      <c r="CK39" s="28"/>
      <c r="CL39" s="26"/>
      <c r="CM39" s="28"/>
      <c r="CN39" s="28"/>
      <c r="CO39" s="37" t="s">
        <v>19</v>
      </c>
      <c r="CP39" s="26"/>
      <c r="CQ39" s="28"/>
      <c r="CR39" s="28"/>
      <c r="CS39" s="28"/>
      <c r="CT39" s="28"/>
      <c r="CU39" s="26"/>
      <c r="CV39" s="31"/>
      <c r="CW39" s="37" t="s">
        <v>21</v>
      </c>
      <c r="CX39" s="26"/>
      <c r="CY39" s="26"/>
      <c r="CZ39" s="31"/>
      <c r="DA39" s="32"/>
      <c r="DB39" s="28"/>
      <c r="DC39" s="28"/>
      <c r="DD39" s="28"/>
      <c r="DE39" s="26"/>
      <c r="DF39" s="26"/>
      <c r="DG39" s="26"/>
      <c r="DH39" s="26"/>
      <c r="DI39" s="37" t="s">
        <v>21</v>
      </c>
      <c r="DJ39" s="28"/>
      <c r="DK39" s="28"/>
      <c r="DL39" s="28"/>
      <c r="DM39" s="28"/>
      <c r="DN39" s="28"/>
      <c r="DO39" s="28"/>
      <c r="DP39" s="28"/>
      <c r="DQ39" s="28"/>
      <c r="DR39" s="37" t="s">
        <v>21</v>
      </c>
      <c r="DS39" s="28"/>
      <c r="DT39" s="28"/>
      <c r="DU39" s="28"/>
      <c r="DV39" s="28"/>
      <c r="DW39" s="26"/>
      <c r="DX39" s="26"/>
      <c r="DY39" s="28"/>
      <c r="DZ39" s="28"/>
      <c r="EA39" s="28"/>
      <c r="EB39" s="31"/>
      <c r="EC39" s="26"/>
      <c r="ED39" s="31"/>
      <c r="EE39" s="26"/>
      <c r="EF39" s="32"/>
      <c r="EG39" s="28"/>
      <c r="EH39" s="26"/>
      <c r="EI39" s="28"/>
      <c r="EJ39" s="28"/>
      <c r="EK39" s="26"/>
      <c r="EL39" s="28"/>
      <c r="EM39" s="28"/>
      <c r="EN39" s="26"/>
      <c r="EO39" s="26"/>
      <c r="EP39" s="28"/>
      <c r="EQ39" s="28"/>
      <c r="ER39" s="26"/>
      <c r="ES39" s="28"/>
      <c r="ET39" s="26"/>
      <c r="EU39" s="26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6"/>
      <c r="FH39" s="26"/>
      <c r="FI39" s="31"/>
      <c r="FJ39" s="31"/>
      <c r="FK39" s="31"/>
      <c r="FL39" s="32"/>
      <c r="FM39" s="28"/>
      <c r="FN39" s="26"/>
      <c r="FO39" s="28"/>
      <c r="FP39" s="28"/>
      <c r="FQ39" s="26"/>
      <c r="FR39" s="28"/>
      <c r="FS39" s="28"/>
      <c r="FT39" s="28"/>
      <c r="FU39" s="26" t="s">
        <v>20</v>
      </c>
      <c r="FV39" s="28"/>
      <c r="FW39" s="28"/>
      <c r="FX39" s="26"/>
      <c r="FY39" s="28"/>
      <c r="FZ39" s="28"/>
      <c r="GA39" s="28"/>
      <c r="GB39" s="26"/>
      <c r="GC39" s="26"/>
      <c r="GD39" s="28"/>
      <c r="GE39" s="28"/>
      <c r="GF39" s="28"/>
      <c r="GG39" s="28"/>
      <c r="GH39" s="28"/>
      <c r="GI39" s="37" t="s">
        <v>21</v>
      </c>
      <c r="GJ39" s="28"/>
      <c r="GK39" s="28"/>
      <c r="GL39" s="28"/>
      <c r="GM39" s="31"/>
      <c r="GN39" s="26"/>
      <c r="GO39" s="31"/>
      <c r="GP39" s="31"/>
      <c r="GQ39" s="38"/>
      <c r="GR39" s="39"/>
      <c r="GS39" s="39"/>
      <c r="GT39" s="39"/>
      <c r="GU39" s="39"/>
      <c r="GV39" s="39"/>
      <c r="GW39" s="39"/>
      <c r="GX39" s="39"/>
      <c r="GY39" s="39"/>
      <c r="GZ39" s="40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40"/>
      <c r="HM39" s="40"/>
      <c r="HN39" s="39"/>
      <c r="HO39" s="39"/>
      <c r="HP39" s="39"/>
      <c r="HQ39" s="39"/>
      <c r="HR39" s="39"/>
      <c r="HS39" s="39"/>
      <c r="HT39" s="39"/>
      <c r="HU39" s="40"/>
      <c r="HV39" s="39"/>
      <c r="HW39" s="38"/>
      <c r="HX39" s="41"/>
      <c r="HY39" s="39"/>
      <c r="HZ39" s="39"/>
      <c r="IA39" s="39"/>
      <c r="IB39" s="39"/>
      <c r="IC39" s="39"/>
      <c r="ID39" s="40"/>
      <c r="IE39" s="39"/>
      <c r="IF39" s="39"/>
      <c r="IG39" s="39"/>
      <c r="IH39" s="40"/>
      <c r="II39" s="40"/>
      <c r="IJ39" s="42"/>
      <c r="IK39" s="42"/>
      <c r="IL39" s="39"/>
      <c r="IM39" s="39"/>
      <c r="IN39" s="39"/>
      <c r="IO39" s="42"/>
      <c r="IP39" s="40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8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8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40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8"/>
      <c r="LO39" s="39"/>
      <c r="LP39" s="39"/>
      <c r="LQ39" s="40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9"/>
      <c r="MM39" s="39"/>
      <c r="MN39" s="39"/>
      <c r="MO39" s="39"/>
      <c r="MP39" s="39"/>
      <c r="MQ39" s="39"/>
      <c r="MR39" s="39"/>
      <c r="MS39" s="38"/>
      <c r="MT39" s="39"/>
      <c r="MU39" s="39"/>
      <c r="MV39" s="39"/>
      <c r="MW39" s="39"/>
      <c r="MX39" s="39"/>
      <c r="MY39" s="39"/>
      <c r="MZ39" s="39"/>
      <c r="NA39" s="39"/>
      <c r="NB39" s="39"/>
      <c r="NC39" s="39"/>
      <c r="ND39" s="39"/>
      <c r="NE39" s="39"/>
      <c r="NF39" s="39"/>
      <c r="NG39" s="39"/>
      <c r="NH39" s="39"/>
      <c r="NI39" s="39"/>
      <c r="NJ39" s="39"/>
      <c r="NK39" s="39"/>
      <c r="NL39" s="39"/>
      <c r="NM39" s="39"/>
      <c r="NN39" s="39"/>
      <c r="NO39" s="39"/>
      <c r="NP39" s="39"/>
      <c r="NQ39" s="39"/>
      <c r="NR39" s="39"/>
      <c r="NS39" s="39"/>
      <c r="NT39" s="39"/>
      <c r="NU39" s="39"/>
      <c r="NV39" s="39"/>
      <c r="NW39" s="39"/>
      <c r="NX39" s="39"/>
      <c r="NY39" s="38"/>
    </row>
    <row r="40">
      <c r="A40" s="45" t="s">
        <v>430</v>
      </c>
      <c r="B40" s="26" t="str">
        <f>IFERROR(__xludf.DUMMYFUNCTION("VLOOKUP(A40, IMPORTRANGE(""https://docs.google.com/spreadsheets/d/1KpTMcNM9m1P7u9qCVzob8p1-RZoC1ejaYs5CdpAbWFY/edit?gid=260580969#gid=260580969"", ""2025 EMP PROFILE DATA!a1:W98""), 22, FALSE)"),"#REF!")</f>
        <v>#REF!</v>
      </c>
      <c r="C40" s="45">
        <f t="shared" si="1"/>
        <v>6</v>
      </c>
      <c r="D40" s="45">
        <f t="shared" si="2"/>
        <v>1</v>
      </c>
      <c r="E40" s="45">
        <f t="shared" si="3"/>
        <v>7</v>
      </c>
      <c r="F40" s="45">
        <f t="shared" si="4"/>
        <v>0</v>
      </c>
      <c r="G40" s="46">
        <f t="shared" si="5"/>
        <v>0.01515151515</v>
      </c>
      <c r="H40" s="46">
        <f t="shared" si="6"/>
        <v>0.01767676768</v>
      </c>
      <c r="I40" s="28">
        <f t="shared" si="7"/>
        <v>31</v>
      </c>
      <c r="J40" s="26">
        <v>0.0</v>
      </c>
      <c r="K40" s="26">
        <v>0.0</v>
      </c>
      <c r="L40" s="49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37" t="s">
        <v>21</v>
      </c>
      <c r="AA40" s="37" t="s">
        <v>19</v>
      </c>
      <c r="AB40" s="45"/>
      <c r="AC40" s="45"/>
      <c r="AD40" s="45"/>
      <c r="AE40" s="45"/>
      <c r="AF40" s="45"/>
      <c r="AG40" s="45"/>
      <c r="AH40" s="37" t="s">
        <v>21</v>
      </c>
      <c r="AI40" s="45"/>
      <c r="AJ40" s="45"/>
      <c r="AK40" s="45"/>
      <c r="AL40" s="45"/>
      <c r="AM40" s="45"/>
      <c r="AN40" s="45"/>
      <c r="AO40" s="45"/>
      <c r="AP40" s="45"/>
      <c r="AQ40" s="45"/>
      <c r="AR40" s="29"/>
      <c r="AS40" s="28"/>
      <c r="AT40" s="28"/>
      <c r="AU40" s="28"/>
      <c r="AV40" s="28"/>
      <c r="AW40" s="26"/>
      <c r="AX40" s="28"/>
      <c r="AY40" s="28"/>
      <c r="AZ40" s="26"/>
      <c r="BA40" s="28"/>
      <c r="BB40" s="26"/>
      <c r="BC40" s="28"/>
      <c r="BD40" s="26" t="s">
        <v>19</v>
      </c>
      <c r="BE40" s="26"/>
      <c r="BF40" s="28"/>
      <c r="BG40" s="28"/>
      <c r="BH40" s="26"/>
      <c r="BI40" s="26"/>
      <c r="BJ40" s="26" t="s">
        <v>19</v>
      </c>
      <c r="BK40" s="37" t="s">
        <v>21</v>
      </c>
      <c r="BL40" s="28"/>
      <c r="BM40" s="26"/>
      <c r="BN40" s="28"/>
      <c r="BO40" s="28"/>
      <c r="BP40" s="28"/>
      <c r="BQ40" s="37" t="s">
        <v>21</v>
      </c>
      <c r="BR40" s="28"/>
      <c r="BS40" s="31"/>
      <c r="BT40" s="26"/>
      <c r="BU40" s="32"/>
      <c r="BV40" s="33"/>
      <c r="BW40" s="33"/>
      <c r="BX40" s="33"/>
      <c r="BY40" s="33"/>
      <c r="BZ40" s="37" t="s">
        <v>21</v>
      </c>
      <c r="CA40" s="33"/>
      <c r="CB40" s="35"/>
      <c r="CC40" s="33"/>
      <c r="CD40" s="33"/>
      <c r="CE40" s="34"/>
      <c r="CF40" s="36"/>
      <c r="CG40" s="26"/>
      <c r="CH40" s="28"/>
      <c r="CI40" s="28"/>
      <c r="CJ40" s="28"/>
      <c r="CK40" s="28"/>
      <c r="CL40" s="26"/>
      <c r="CM40" s="28"/>
      <c r="CN40" s="37" t="s">
        <v>21</v>
      </c>
      <c r="CO40" s="28"/>
      <c r="CP40" s="26"/>
      <c r="CQ40" s="28"/>
      <c r="CR40" s="28"/>
      <c r="CS40" s="28"/>
      <c r="CT40" s="28"/>
      <c r="CU40" s="26"/>
      <c r="CV40" s="31"/>
      <c r="CW40" s="26"/>
      <c r="CX40" s="26"/>
      <c r="CY40" s="26"/>
      <c r="CZ40" s="31"/>
      <c r="DA40" s="32"/>
      <c r="DB40" s="26" t="s">
        <v>20</v>
      </c>
      <c r="DC40" s="59" t="s">
        <v>19</v>
      </c>
      <c r="DD40" s="28"/>
      <c r="DE40" s="26"/>
      <c r="DF40" s="26"/>
      <c r="DG40" s="26"/>
      <c r="DH40" s="26"/>
      <c r="DI40" s="26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6"/>
      <c r="DX40" s="37" t="s">
        <v>21</v>
      </c>
      <c r="DY40" s="28"/>
      <c r="DZ40" s="28"/>
      <c r="EA40" s="28"/>
      <c r="EB40" s="31"/>
      <c r="EC40" s="26"/>
      <c r="ED40" s="31"/>
      <c r="EE40" s="26"/>
      <c r="EF40" s="32"/>
      <c r="EG40" s="28"/>
      <c r="EH40" s="26"/>
      <c r="EI40" s="28"/>
      <c r="EJ40" s="28"/>
      <c r="EK40" s="26"/>
      <c r="EL40" s="28"/>
      <c r="EM40" s="26" t="s">
        <v>19</v>
      </c>
      <c r="EN40" s="26"/>
      <c r="EO40" s="26"/>
      <c r="EP40" s="28"/>
      <c r="EQ40" s="28"/>
      <c r="ER40" s="26"/>
      <c r="ES40" s="28"/>
      <c r="ET40" s="26"/>
      <c r="EU40" s="26"/>
      <c r="EV40" s="28"/>
      <c r="EW40" s="28"/>
      <c r="EX40" s="28"/>
      <c r="EY40" s="28"/>
      <c r="EZ40" s="26" t="s">
        <v>19</v>
      </c>
      <c r="FA40" s="28"/>
      <c r="FB40" s="28"/>
      <c r="FC40" s="28"/>
      <c r="FD40" s="28"/>
      <c r="FE40" s="28"/>
      <c r="FF40" s="28"/>
      <c r="FG40" s="26"/>
      <c r="FH40" s="26"/>
      <c r="FI40" s="31"/>
      <c r="FJ40" s="31"/>
      <c r="FK40" s="31"/>
      <c r="FL40" s="32"/>
      <c r="FM40" s="28"/>
      <c r="FN40" s="26"/>
      <c r="FO40" s="28"/>
      <c r="FP40" s="28"/>
      <c r="FQ40" s="26"/>
      <c r="FR40" s="28"/>
      <c r="FS40" s="28"/>
      <c r="FT40" s="28"/>
      <c r="FU40" s="26"/>
      <c r="FV40" s="28"/>
      <c r="FW40" s="28"/>
      <c r="FX40" s="26"/>
      <c r="FY40" s="28"/>
      <c r="FZ40" s="28"/>
      <c r="GA40" s="28"/>
      <c r="GB40" s="26"/>
      <c r="GC40" s="26"/>
      <c r="GD40" s="28"/>
      <c r="GE40" s="28"/>
      <c r="GF40" s="28"/>
      <c r="GG40" s="28"/>
      <c r="GH40" s="28"/>
      <c r="GI40" s="26"/>
      <c r="GJ40" s="28"/>
      <c r="GK40" s="28"/>
      <c r="GL40" s="28"/>
      <c r="GM40" s="31"/>
      <c r="GN40" s="26"/>
      <c r="GO40" s="31"/>
      <c r="GP40" s="31"/>
      <c r="GQ40" s="38"/>
      <c r="GR40" s="39"/>
      <c r="GS40" s="39"/>
      <c r="GT40" s="39"/>
      <c r="GU40" s="39"/>
      <c r="GV40" s="39"/>
      <c r="GW40" s="39"/>
      <c r="GX40" s="39"/>
      <c r="GY40" s="39"/>
      <c r="GZ40" s="40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40"/>
      <c r="HM40" s="40"/>
      <c r="HN40" s="39"/>
      <c r="HO40" s="39"/>
      <c r="HP40" s="39"/>
      <c r="HQ40" s="39"/>
      <c r="HR40" s="39"/>
      <c r="HS40" s="39"/>
      <c r="HT40" s="39"/>
      <c r="HU40" s="40"/>
      <c r="HV40" s="39"/>
      <c r="HW40" s="38"/>
      <c r="HX40" s="41"/>
      <c r="HY40" s="39"/>
      <c r="HZ40" s="39"/>
      <c r="IA40" s="39"/>
      <c r="IB40" s="39"/>
      <c r="IC40" s="39"/>
      <c r="ID40" s="40"/>
      <c r="IE40" s="39"/>
      <c r="IF40" s="39"/>
      <c r="IG40" s="39"/>
      <c r="IH40" s="40"/>
      <c r="II40" s="40"/>
      <c r="IJ40" s="42"/>
      <c r="IK40" s="42"/>
      <c r="IL40" s="39"/>
      <c r="IM40" s="39"/>
      <c r="IN40" s="39"/>
      <c r="IO40" s="42"/>
      <c r="IP40" s="40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8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8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40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8"/>
      <c r="LO40" s="39"/>
      <c r="LP40" s="39"/>
      <c r="LQ40" s="40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9"/>
      <c r="MM40" s="39"/>
      <c r="MN40" s="39"/>
      <c r="MO40" s="39"/>
      <c r="MP40" s="39"/>
      <c r="MQ40" s="39"/>
      <c r="MR40" s="39"/>
      <c r="MS40" s="38"/>
      <c r="MT40" s="39"/>
      <c r="MU40" s="39"/>
      <c r="MV40" s="39"/>
      <c r="MW40" s="39"/>
      <c r="MX40" s="39"/>
      <c r="MY40" s="39"/>
      <c r="MZ40" s="39"/>
      <c r="NA40" s="39"/>
      <c r="NB40" s="39"/>
      <c r="NC40" s="39"/>
      <c r="ND40" s="39"/>
      <c r="NE40" s="39"/>
      <c r="NF40" s="39"/>
      <c r="NG40" s="39"/>
      <c r="NH40" s="39"/>
      <c r="NI40" s="39"/>
      <c r="NJ40" s="39"/>
      <c r="NK40" s="39"/>
      <c r="NL40" s="39"/>
      <c r="NM40" s="39"/>
      <c r="NN40" s="39"/>
      <c r="NO40" s="39"/>
      <c r="NP40" s="39"/>
      <c r="NQ40" s="39"/>
      <c r="NR40" s="39"/>
      <c r="NS40" s="39"/>
      <c r="NT40" s="39"/>
      <c r="NU40" s="39"/>
      <c r="NV40" s="39"/>
      <c r="NW40" s="39"/>
      <c r="NX40" s="39"/>
      <c r="NY40" s="38"/>
    </row>
    <row r="41">
      <c r="A41" s="42" t="s">
        <v>431</v>
      </c>
      <c r="B41" s="26" t="str">
        <f>IFERROR(__xludf.DUMMYFUNCTION("VLOOKUP(A41, IMPORTRANGE(""https://docs.google.com/spreadsheets/d/1KpTMcNM9m1P7u9qCVzob8p1-RZoC1ejaYs5CdpAbWFY/edit?gid=260580969#gid=260580969"", ""2025 EMP PROFILE DATA!a1:W98""), 22, FALSE)"),"#REF!")</f>
        <v>#REF!</v>
      </c>
      <c r="C41" s="50">
        <f t="shared" si="1"/>
        <v>1</v>
      </c>
      <c r="D41" s="50">
        <f t="shared" si="2"/>
        <v>1</v>
      </c>
      <c r="E41" s="50">
        <f t="shared" si="3"/>
        <v>0</v>
      </c>
      <c r="F41" s="50">
        <f t="shared" si="4"/>
        <v>0</v>
      </c>
      <c r="G41" s="51">
        <f t="shared" si="5"/>
        <v>0.002525252525</v>
      </c>
      <c r="H41" s="51">
        <f t="shared" si="6"/>
        <v>0</v>
      </c>
      <c r="I41" s="28">
        <f t="shared" si="7"/>
        <v>4</v>
      </c>
      <c r="J41" s="26">
        <v>0.0</v>
      </c>
      <c r="K41" s="26">
        <v>0.0</v>
      </c>
      <c r="L41" s="52"/>
      <c r="M41" s="50"/>
      <c r="N41" s="50"/>
      <c r="O41" s="50"/>
      <c r="P41" s="50"/>
      <c r="Q41" s="50"/>
      <c r="R41" s="50"/>
      <c r="S41" s="50"/>
      <c r="T41" s="50"/>
      <c r="U41" s="64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42"/>
      <c r="AM41" s="50"/>
      <c r="AN41" s="50"/>
      <c r="AO41" s="50"/>
      <c r="AP41" s="50"/>
      <c r="AQ41" s="50"/>
      <c r="AR41" s="29"/>
      <c r="AS41" s="28"/>
      <c r="AT41" s="28"/>
      <c r="AU41" s="28"/>
      <c r="AV41" s="28"/>
      <c r="AW41" s="26"/>
      <c r="AX41" s="28"/>
      <c r="AY41" s="28"/>
      <c r="AZ41" s="26"/>
      <c r="BA41" s="28"/>
      <c r="BB41" s="26"/>
      <c r="BC41" s="28"/>
      <c r="BD41" s="28"/>
      <c r="BE41" s="26"/>
      <c r="BF41" s="28"/>
      <c r="BG41" s="28"/>
      <c r="BH41" s="26"/>
      <c r="BI41" s="26"/>
      <c r="BJ41" s="26"/>
      <c r="BK41" s="28"/>
      <c r="BL41" s="26"/>
      <c r="BM41" s="26"/>
      <c r="BN41" s="28"/>
      <c r="BO41" s="26"/>
      <c r="BP41" s="28"/>
      <c r="BQ41" s="26"/>
      <c r="BR41" s="28"/>
      <c r="BS41" s="31"/>
      <c r="BT41" s="26"/>
      <c r="BU41" s="32"/>
      <c r="BV41" s="33"/>
      <c r="BW41" s="33"/>
      <c r="BX41" s="33"/>
      <c r="BY41" s="33"/>
      <c r="BZ41" s="33"/>
      <c r="CA41" s="33"/>
      <c r="CB41" s="35"/>
      <c r="CC41" s="33"/>
      <c r="CD41" s="33"/>
      <c r="CE41" s="34"/>
      <c r="CF41" s="36"/>
      <c r="CG41" s="26"/>
      <c r="CH41" s="28"/>
      <c r="CI41" s="28"/>
      <c r="CJ41" s="28"/>
      <c r="CK41" s="28"/>
      <c r="CL41" s="26"/>
      <c r="CM41" s="28"/>
      <c r="CN41" s="28"/>
      <c r="CO41" s="28"/>
      <c r="CP41" s="26"/>
      <c r="CQ41" s="28"/>
      <c r="CR41" s="28"/>
      <c r="CS41" s="28"/>
      <c r="CT41" s="28"/>
      <c r="CU41" s="26"/>
      <c r="CV41" s="31"/>
      <c r="CW41" s="26"/>
      <c r="CX41" s="26"/>
      <c r="CY41" s="26"/>
      <c r="CZ41" s="31"/>
      <c r="DA41" s="32"/>
      <c r="DB41" s="28"/>
      <c r="DC41" s="28"/>
      <c r="DD41" s="28"/>
      <c r="DE41" s="26"/>
      <c r="DF41" s="26"/>
      <c r="DG41" s="26"/>
      <c r="DH41" s="26"/>
      <c r="DI41" s="26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6"/>
      <c r="DX41" s="26"/>
      <c r="DY41" s="28"/>
      <c r="DZ41" s="28"/>
      <c r="EA41" s="28"/>
      <c r="EB41" s="31"/>
      <c r="EC41" s="26"/>
      <c r="ED41" s="31"/>
      <c r="EE41" s="26"/>
      <c r="EF41" s="32"/>
      <c r="EG41" s="28"/>
      <c r="EH41" s="26"/>
      <c r="EI41" s="28"/>
      <c r="EJ41" s="28"/>
      <c r="EK41" s="26"/>
      <c r="EL41" s="28"/>
      <c r="EM41" s="28"/>
      <c r="EN41" s="26"/>
      <c r="EO41" s="26"/>
      <c r="EP41" s="28"/>
      <c r="EQ41" s="28"/>
      <c r="ER41" s="26"/>
      <c r="ES41" s="28"/>
      <c r="ET41" s="26"/>
      <c r="EU41" s="26"/>
      <c r="EV41" s="28"/>
      <c r="EW41" s="28"/>
      <c r="EX41" s="28"/>
      <c r="EY41" s="28"/>
      <c r="EZ41" s="28"/>
      <c r="FA41" s="37" t="s">
        <v>19</v>
      </c>
      <c r="FB41" s="28"/>
      <c r="FC41" s="28"/>
      <c r="FD41" s="28"/>
      <c r="FE41" s="28"/>
      <c r="FF41" s="28"/>
      <c r="FG41" s="26"/>
      <c r="FH41" s="26"/>
      <c r="FI41" s="31"/>
      <c r="FJ41" s="31"/>
      <c r="FK41" s="31"/>
      <c r="FL41" s="32"/>
      <c r="FM41" s="28"/>
      <c r="FN41" s="26"/>
      <c r="FO41" s="28"/>
      <c r="FP41" s="28"/>
      <c r="FQ41" s="26"/>
      <c r="FR41" s="28"/>
      <c r="FS41" s="28"/>
      <c r="FT41" s="28"/>
      <c r="FU41" s="26"/>
      <c r="FV41" s="28"/>
      <c r="FW41" s="28"/>
      <c r="FX41" s="26"/>
      <c r="FY41" s="28"/>
      <c r="FZ41" s="28"/>
      <c r="GA41" s="28"/>
      <c r="GB41" s="26"/>
      <c r="GC41" s="26"/>
      <c r="GD41" s="28"/>
      <c r="GE41" s="28"/>
      <c r="GF41" s="28"/>
      <c r="GG41" s="28"/>
      <c r="GH41" s="28"/>
      <c r="GI41" s="26"/>
      <c r="GJ41" s="28"/>
      <c r="GK41" s="28"/>
      <c r="GL41" s="28"/>
      <c r="GM41" s="31"/>
      <c r="GN41" s="26"/>
      <c r="GO41" s="58" t="s">
        <v>20</v>
      </c>
      <c r="GP41" s="31"/>
      <c r="GQ41" s="38"/>
      <c r="GR41" s="39"/>
      <c r="GS41" s="39"/>
      <c r="GT41" s="39"/>
      <c r="GU41" s="39"/>
      <c r="GV41" s="39"/>
      <c r="GW41" s="39"/>
      <c r="GX41" s="39"/>
      <c r="GY41" s="39"/>
      <c r="GZ41" s="40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40"/>
      <c r="HM41" s="40"/>
      <c r="HN41" s="39"/>
      <c r="HO41" s="39"/>
      <c r="HP41" s="39"/>
      <c r="HQ41" s="39"/>
      <c r="HR41" s="39"/>
      <c r="HS41" s="39"/>
      <c r="HT41" s="39"/>
      <c r="HU41" s="40"/>
      <c r="HV41" s="39"/>
      <c r="HW41" s="38"/>
      <c r="HX41" s="41"/>
      <c r="HY41" s="39"/>
      <c r="HZ41" s="39"/>
      <c r="IA41" s="39"/>
      <c r="IB41" s="39"/>
      <c r="IC41" s="39"/>
      <c r="ID41" s="40"/>
      <c r="IE41" s="39"/>
      <c r="IF41" s="39"/>
      <c r="IG41" s="39"/>
      <c r="IH41" s="40"/>
      <c r="II41" s="40"/>
      <c r="IJ41" s="42"/>
      <c r="IK41" s="42"/>
      <c r="IL41" s="39"/>
      <c r="IM41" s="39"/>
      <c r="IN41" s="39"/>
      <c r="IO41" s="42"/>
      <c r="IP41" s="40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8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8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40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8"/>
      <c r="LO41" s="39"/>
      <c r="LP41" s="39"/>
      <c r="LQ41" s="40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9"/>
      <c r="MM41" s="39"/>
      <c r="MN41" s="39"/>
      <c r="MO41" s="39"/>
      <c r="MP41" s="39"/>
      <c r="MQ41" s="39"/>
      <c r="MR41" s="39"/>
      <c r="MS41" s="38"/>
      <c r="MT41" s="39"/>
      <c r="MU41" s="39"/>
      <c r="MV41" s="39"/>
      <c r="MW41" s="39"/>
      <c r="MX41" s="39"/>
      <c r="MY41" s="39"/>
      <c r="MZ41" s="39"/>
      <c r="NA41" s="39"/>
      <c r="NB41" s="39"/>
      <c r="NC41" s="39"/>
      <c r="ND41" s="39"/>
      <c r="NE41" s="39"/>
      <c r="NF41" s="39"/>
      <c r="NG41" s="39"/>
      <c r="NH41" s="39"/>
      <c r="NI41" s="39"/>
      <c r="NJ41" s="39"/>
      <c r="NK41" s="39"/>
      <c r="NL41" s="39"/>
      <c r="NM41" s="39"/>
      <c r="NN41" s="39"/>
      <c r="NO41" s="39"/>
      <c r="NP41" s="39"/>
      <c r="NQ41" s="39"/>
      <c r="NR41" s="39"/>
      <c r="NS41" s="39"/>
      <c r="NT41" s="39"/>
      <c r="NU41" s="39"/>
      <c r="NV41" s="39"/>
      <c r="NW41" s="39"/>
      <c r="NX41" s="39"/>
      <c r="NY41" s="38"/>
    </row>
    <row r="42">
      <c r="A42" s="45" t="s">
        <v>432</v>
      </c>
      <c r="B42" s="26" t="str">
        <f>IFERROR(__xludf.DUMMYFUNCTION("VLOOKUP(A42, IMPORTRANGE(""https://docs.google.com/spreadsheets/d/1KpTMcNM9m1P7u9qCVzob8p1-RZoC1ejaYs5CdpAbWFY/edit?gid=260580969#gid=260580969"", ""2025 EMP PROFILE DATA!a1:W98""), 22, FALSE)"),"#REF!")</f>
        <v>#REF!</v>
      </c>
      <c r="C42" s="45">
        <f t="shared" si="1"/>
        <v>5</v>
      </c>
      <c r="D42" s="45">
        <f t="shared" si="2"/>
        <v>7</v>
      </c>
      <c r="E42" s="45">
        <f t="shared" si="3"/>
        <v>14</v>
      </c>
      <c r="F42" s="45">
        <f t="shared" si="4"/>
        <v>0</v>
      </c>
      <c r="G42" s="46">
        <f t="shared" si="5"/>
        <v>0.01262626263</v>
      </c>
      <c r="H42" s="46">
        <f t="shared" si="6"/>
        <v>0.03535353535</v>
      </c>
      <c r="I42" s="28">
        <f t="shared" si="7"/>
        <v>34</v>
      </c>
      <c r="J42" s="26">
        <v>0.0</v>
      </c>
      <c r="K42" s="26">
        <v>0.0</v>
      </c>
      <c r="L42" s="49"/>
      <c r="M42" s="45"/>
      <c r="N42" s="45"/>
      <c r="O42" s="45"/>
      <c r="P42" s="45"/>
      <c r="Q42" s="45"/>
      <c r="R42" s="45"/>
      <c r="S42" s="45"/>
      <c r="T42" s="45"/>
      <c r="U42" s="45"/>
      <c r="V42" s="47" t="s">
        <v>19</v>
      </c>
      <c r="W42" s="45"/>
      <c r="X42" s="45"/>
      <c r="Y42" s="37" t="s">
        <v>19</v>
      </c>
      <c r="Z42" s="45"/>
      <c r="AA42" s="37" t="s">
        <v>21</v>
      </c>
      <c r="AB42" s="45"/>
      <c r="AC42" s="45"/>
      <c r="AD42" s="45"/>
      <c r="AE42" s="45"/>
      <c r="AF42" s="45"/>
      <c r="AG42" s="45"/>
      <c r="AH42" s="45"/>
      <c r="AI42" s="45"/>
      <c r="AJ42" s="37" t="s">
        <v>21</v>
      </c>
      <c r="AK42" s="45"/>
      <c r="AL42" s="45"/>
      <c r="AM42" s="45"/>
      <c r="AN42" s="45"/>
      <c r="AO42" s="45"/>
      <c r="AP42" s="45"/>
      <c r="AQ42" s="45"/>
      <c r="AR42" s="29"/>
      <c r="AS42" s="28"/>
      <c r="AT42" s="28"/>
      <c r="AU42" s="47" t="s">
        <v>19</v>
      </c>
      <c r="AV42" s="26" t="s">
        <v>20</v>
      </c>
      <c r="AW42" s="26" t="s">
        <v>20</v>
      </c>
      <c r="AX42" s="26" t="s">
        <v>20</v>
      </c>
      <c r="AY42" s="28"/>
      <c r="AZ42" s="26"/>
      <c r="BA42" s="28"/>
      <c r="BB42" s="37" t="s">
        <v>21</v>
      </c>
      <c r="BC42" s="28"/>
      <c r="BD42" s="28"/>
      <c r="BE42" s="26"/>
      <c r="BF42" s="28"/>
      <c r="BG42" s="28"/>
      <c r="BH42" s="26"/>
      <c r="BI42" s="26"/>
      <c r="BJ42" s="26"/>
      <c r="BK42" s="28"/>
      <c r="BL42" s="28"/>
      <c r="BM42" s="59" t="s">
        <v>20</v>
      </c>
      <c r="BN42" s="28"/>
      <c r="BO42" s="28"/>
      <c r="BP42" s="28"/>
      <c r="BQ42" s="28"/>
      <c r="BR42" s="37" t="s">
        <v>21</v>
      </c>
      <c r="BS42" s="31"/>
      <c r="BT42" s="26"/>
      <c r="BU42" s="32"/>
      <c r="BV42" s="33"/>
      <c r="BW42" s="33"/>
      <c r="BX42" s="33"/>
      <c r="BY42" s="33"/>
      <c r="BZ42" s="33"/>
      <c r="CA42" s="37" t="s">
        <v>21</v>
      </c>
      <c r="CB42" s="35"/>
      <c r="CC42" s="33"/>
      <c r="CD42" s="33"/>
      <c r="CE42" s="37" t="s">
        <v>21</v>
      </c>
      <c r="CF42" s="37" t="s">
        <v>21</v>
      </c>
      <c r="CG42" s="26"/>
      <c r="CH42" s="28"/>
      <c r="CI42" s="28"/>
      <c r="CJ42" s="28"/>
      <c r="CK42" s="28"/>
      <c r="CL42" s="26"/>
      <c r="CM42" s="28"/>
      <c r="CN42" s="28"/>
      <c r="CO42" s="28"/>
      <c r="CP42" s="26"/>
      <c r="CQ42" s="28"/>
      <c r="CR42" s="37" t="s">
        <v>21</v>
      </c>
      <c r="CS42" s="28"/>
      <c r="CT42" s="37" t="s">
        <v>21</v>
      </c>
      <c r="CU42" s="26"/>
      <c r="CV42" s="31"/>
      <c r="CW42" s="37" t="s">
        <v>19</v>
      </c>
      <c r="CX42" s="26"/>
      <c r="CY42" s="26"/>
      <c r="CZ42" s="31"/>
      <c r="DA42" s="32"/>
      <c r="DB42" s="26" t="s">
        <v>19</v>
      </c>
      <c r="DC42" s="37" t="s">
        <v>21</v>
      </c>
      <c r="DD42" s="28"/>
      <c r="DE42" s="26"/>
      <c r="DF42" s="26"/>
      <c r="DG42" s="26"/>
      <c r="DH42" s="26"/>
      <c r="DI42" s="26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6"/>
      <c r="DX42" s="26"/>
      <c r="DY42" s="28"/>
      <c r="DZ42" s="28"/>
      <c r="EA42" s="28"/>
      <c r="EB42" s="31"/>
      <c r="EC42" s="26"/>
      <c r="ED42" s="31"/>
      <c r="EE42" s="26"/>
      <c r="EF42" s="32"/>
      <c r="EG42" s="28"/>
      <c r="EH42" s="26"/>
      <c r="EI42" s="28"/>
      <c r="EJ42" s="28"/>
      <c r="EK42" s="26"/>
      <c r="EL42" s="28"/>
      <c r="EM42" s="28"/>
      <c r="EN42" s="26"/>
      <c r="EO42" s="26"/>
      <c r="EP42" s="28"/>
      <c r="EQ42" s="28"/>
      <c r="ER42" s="26"/>
      <c r="ES42" s="28"/>
      <c r="ET42" s="26"/>
      <c r="EU42" s="26"/>
      <c r="EV42" s="28"/>
      <c r="EW42" s="28"/>
      <c r="EX42" s="28"/>
      <c r="EY42" s="28"/>
      <c r="EZ42" s="63" t="s">
        <v>21</v>
      </c>
      <c r="FA42" s="28"/>
      <c r="FB42" s="28"/>
      <c r="FC42" s="28"/>
      <c r="FD42" s="28"/>
      <c r="FE42" s="28"/>
      <c r="FF42" s="28"/>
      <c r="FG42" s="26"/>
      <c r="FH42" s="26"/>
      <c r="FI42" s="31"/>
      <c r="FJ42" s="63" t="s">
        <v>21</v>
      </c>
      <c r="FK42" s="31"/>
      <c r="FL42" s="32"/>
      <c r="FM42" s="28"/>
      <c r="FN42" s="26"/>
      <c r="FO42" s="28"/>
      <c r="FP42" s="28"/>
      <c r="FQ42" s="26" t="s">
        <v>20</v>
      </c>
      <c r="FR42" s="37" t="s">
        <v>21</v>
      </c>
      <c r="FS42" s="28"/>
      <c r="FT42" s="28"/>
      <c r="FU42" s="26"/>
      <c r="FV42" s="28"/>
      <c r="FW42" s="28"/>
      <c r="FX42" s="26"/>
      <c r="FY42" s="37" t="s">
        <v>21</v>
      </c>
      <c r="FZ42" s="28"/>
      <c r="GA42" s="28"/>
      <c r="GB42" s="26"/>
      <c r="GC42" s="26"/>
      <c r="GD42" s="28"/>
      <c r="GE42" s="28"/>
      <c r="GF42" s="28"/>
      <c r="GG42" s="28"/>
      <c r="GH42" s="28"/>
      <c r="GI42" s="26"/>
      <c r="GJ42" s="28"/>
      <c r="GK42" s="28"/>
      <c r="GL42" s="28"/>
      <c r="GM42" s="31"/>
      <c r="GN42" s="26"/>
      <c r="GO42" s="26" t="s">
        <v>20</v>
      </c>
      <c r="GP42" s="31"/>
      <c r="GQ42" s="38"/>
      <c r="GR42" s="39"/>
      <c r="GS42" s="39"/>
      <c r="GT42" s="26" t="s">
        <v>20</v>
      </c>
      <c r="GU42" s="39"/>
      <c r="GV42" s="39"/>
      <c r="GW42" s="39"/>
      <c r="GX42" s="39"/>
      <c r="GY42" s="39"/>
      <c r="GZ42" s="40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40"/>
      <c r="HM42" s="40"/>
      <c r="HN42" s="39"/>
      <c r="HO42" s="39"/>
      <c r="HP42" s="39"/>
      <c r="HQ42" s="39"/>
      <c r="HR42" s="39"/>
      <c r="HS42" s="39"/>
      <c r="HT42" s="39"/>
      <c r="HU42" s="40"/>
      <c r="HV42" s="39"/>
      <c r="HW42" s="38"/>
      <c r="HX42" s="41"/>
      <c r="HY42" s="39"/>
      <c r="HZ42" s="39"/>
      <c r="IA42" s="39"/>
      <c r="IB42" s="39"/>
      <c r="IC42" s="39"/>
      <c r="ID42" s="40"/>
      <c r="IE42" s="39"/>
      <c r="IF42" s="39"/>
      <c r="IG42" s="39"/>
      <c r="IH42" s="40"/>
      <c r="II42" s="40"/>
      <c r="IJ42" s="42"/>
      <c r="IK42" s="42"/>
      <c r="IL42" s="39"/>
      <c r="IM42" s="39"/>
      <c r="IN42" s="39"/>
      <c r="IO42" s="42"/>
      <c r="IP42" s="40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8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8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40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8"/>
      <c r="LO42" s="39"/>
      <c r="LP42" s="39"/>
      <c r="LQ42" s="40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9"/>
      <c r="MM42" s="39"/>
      <c r="MN42" s="39"/>
      <c r="MO42" s="39"/>
      <c r="MP42" s="39"/>
      <c r="MQ42" s="39"/>
      <c r="MR42" s="39"/>
      <c r="MS42" s="38"/>
      <c r="MT42" s="39"/>
      <c r="MU42" s="39"/>
      <c r="MV42" s="39"/>
      <c r="MW42" s="39"/>
      <c r="MX42" s="39"/>
      <c r="MY42" s="39"/>
      <c r="MZ42" s="39"/>
      <c r="NA42" s="39"/>
      <c r="NB42" s="39"/>
      <c r="NC42" s="39"/>
      <c r="ND42" s="39"/>
      <c r="NE42" s="39"/>
      <c r="NF42" s="39"/>
      <c r="NG42" s="39"/>
      <c r="NH42" s="39"/>
      <c r="NI42" s="39"/>
      <c r="NJ42" s="39"/>
      <c r="NK42" s="39"/>
      <c r="NL42" s="39"/>
      <c r="NM42" s="39"/>
      <c r="NN42" s="39"/>
      <c r="NO42" s="39"/>
      <c r="NP42" s="39"/>
      <c r="NQ42" s="39"/>
      <c r="NR42" s="39"/>
      <c r="NS42" s="39"/>
      <c r="NT42" s="39"/>
      <c r="NU42" s="39"/>
      <c r="NV42" s="39"/>
      <c r="NW42" s="39"/>
      <c r="NX42" s="39"/>
      <c r="NY42" s="38"/>
    </row>
    <row r="43">
      <c r="A43" s="45" t="s">
        <v>433</v>
      </c>
      <c r="B43" s="26" t="str">
        <f>IFERROR(__xludf.DUMMYFUNCTION("VLOOKUP(A43, IMPORTRANGE(""https://docs.google.com/spreadsheets/d/1KpTMcNM9m1P7u9qCVzob8p1-RZoC1ejaYs5CdpAbWFY/edit?gid=260580969#gid=260580969"", ""2025 EMP PROFILE DATA!a1:W98""), 22, FALSE)"),"#REF!")</f>
        <v>#REF!</v>
      </c>
      <c r="C43" s="45">
        <f t="shared" si="1"/>
        <v>1</v>
      </c>
      <c r="D43" s="45">
        <f t="shared" si="2"/>
        <v>3</v>
      </c>
      <c r="E43" s="45">
        <f t="shared" si="3"/>
        <v>21</v>
      </c>
      <c r="F43" s="45">
        <f t="shared" si="4"/>
        <v>0</v>
      </c>
      <c r="G43" s="46">
        <f t="shared" si="5"/>
        <v>0.002525252525</v>
      </c>
      <c r="H43" s="46">
        <f t="shared" si="6"/>
        <v>0.05303030303</v>
      </c>
      <c r="I43" s="28">
        <f t="shared" si="7"/>
        <v>25</v>
      </c>
      <c r="J43" s="26">
        <v>0.0</v>
      </c>
      <c r="K43" s="26">
        <v>0.0</v>
      </c>
      <c r="L43" s="49"/>
      <c r="M43" s="45"/>
      <c r="N43" s="57" t="s">
        <v>21</v>
      </c>
      <c r="O43" s="57" t="s">
        <v>21</v>
      </c>
      <c r="P43" s="57"/>
      <c r="Q43" s="45"/>
      <c r="R43" s="57" t="s">
        <v>21</v>
      </c>
      <c r="S43" s="45"/>
      <c r="T43" s="45"/>
      <c r="U43" s="57" t="s">
        <v>21</v>
      </c>
      <c r="V43" s="45"/>
      <c r="W43" s="45"/>
      <c r="X43" s="45"/>
      <c r="Y43" s="57" t="s">
        <v>21</v>
      </c>
      <c r="Z43" s="57" t="s">
        <v>21</v>
      </c>
      <c r="AA43" s="45"/>
      <c r="AB43" s="57" t="s">
        <v>21</v>
      </c>
      <c r="AC43" s="57" t="s">
        <v>19</v>
      </c>
      <c r="AD43" s="45"/>
      <c r="AE43" s="45"/>
      <c r="AF43" s="45"/>
      <c r="AG43" s="57" t="s">
        <v>21</v>
      </c>
      <c r="AH43" s="57" t="s">
        <v>21</v>
      </c>
      <c r="AI43" s="45"/>
      <c r="AJ43" s="45"/>
      <c r="AK43" s="45"/>
      <c r="AL43" s="57" t="s">
        <v>21</v>
      </c>
      <c r="AM43" s="45"/>
      <c r="AN43" s="45"/>
      <c r="AO43" s="57" t="s">
        <v>21</v>
      </c>
      <c r="AP43" s="45"/>
      <c r="AQ43" s="45"/>
      <c r="AR43" s="29"/>
      <c r="AS43" s="28"/>
      <c r="AT43" s="28"/>
      <c r="AU43" s="28"/>
      <c r="AV43" s="28"/>
      <c r="AW43" s="26"/>
      <c r="AX43" s="28"/>
      <c r="AY43" s="28"/>
      <c r="AZ43" s="26"/>
      <c r="BA43" s="28"/>
      <c r="BB43" s="26"/>
      <c r="BC43" s="28"/>
      <c r="BD43" s="28"/>
      <c r="BE43" s="26"/>
      <c r="BF43" s="28"/>
      <c r="BG43" s="28"/>
      <c r="BH43" s="26"/>
      <c r="BI43" s="37" t="s">
        <v>21</v>
      </c>
      <c r="BJ43" s="26"/>
      <c r="BK43" s="28"/>
      <c r="BL43" s="28"/>
      <c r="BM43" s="26"/>
      <c r="BN43" s="28"/>
      <c r="BO43" s="28"/>
      <c r="BP43" s="28"/>
      <c r="BQ43" s="37" t="s">
        <v>21</v>
      </c>
      <c r="BR43" s="37" t="s">
        <v>21</v>
      </c>
      <c r="BS43" s="31"/>
      <c r="BT43" s="26"/>
      <c r="BU43" s="32"/>
      <c r="BV43" s="33"/>
      <c r="BW43" s="33"/>
      <c r="BX43" s="33"/>
      <c r="BY43" s="33"/>
      <c r="BZ43" s="33"/>
      <c r="CA43" s="33"/>
      <c r="CB43" s="35"/>
      <c r="CC43" s="33"/>
      <c r="CD43" s="33"/>
      <c r="CE43" s="34"/>
      <c r="CF43" s="36"/>
      <c r="CG43" s="26"/>
      <c r="CH43" s="28"/>
      <c r="CI43" s="28"/>
      <c r="CJ43" s="28"/>
      <c r="CK43" s="28"/>
      <c r="CL43" s="26"/>
      <c r="CM43" s="28"/>
      <c r="CN43" s="28"/>
      <c r="CO43" s="28"/>
      <c r="CP43" s="26"/>
      <c r="CQ43" s="28"/>
      <c r="CR43" s="28"/>
      <c r="CS43" s="28"/>
      <c r="CT43" s="26" t="s">
        <v>20</v>
      </c>
      <c r="CU43" s="26"/>
      <c r="CV43" s="31"/>
      <c r="CW43" s="26"/>
      <c r="CX43" s="26"/>
      <c r="CY43" s="26"/>
      <c r="CZ43" s="31"/>
      <c r="DA43" s="32"/>
      <c r="DB43" s="37" t="s">
        <v>21</v>
      </c>
      <c r="DC43" s="28"/>
      <c r="DD43" s="28"/>
      <c r="DE43" s="26"/>
      <c r="DF43" s="26"/>
      <c r="DG43" s="26"/>
      <c r="DH43" s="26"/>
      <c r="DI43" s="26"/>
      <c r="DJ43" s="37" t="s">
        <v>21</v>
      </c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6" t="s">
        <v>20</v>
      </c>
      <c r="DV43" s="26" t="s">
        <v>20</v>
      </c>
      <c r="DW43" s="26"/>
      <c r="DX43" s="26"/>
      <c r="DY43" s="28"/>
      <c r="DZ43" s="28"/>
      <c r="EA43" s="28"/>
      <c r="EB43" s="31"/>
      <c r="EC43" s="26"/>
      <c r="ED43" s="31"/>
      <c r="EE43" s="26"/>
      <c r="EF43" s="32"/>
      <c r="EG43" s="28"/>
      <c r="EH43" s="26"/>
      <c r="EI43" s="28"/>
      <c r="EJ43" s="37" t="s">
        <v>21</v>
      </c>
      <c r="EK43" s="26"/>
      <c r="EL43" s="28"/>
      <c r="EM43" s="28"/>
      <c r="EN43" s="26"/>
      <c r="EO43" s="37" t="s">
        <v>21</v>
      </c>
      <c r="EP43" s="28"/>
      <c r="EQ43" s="28"/>
      <c r="ER43" s="26"/>
      <c r="ES43" s="28"/>
      <c r="ET43" s="26"/>
      <c r="EU43" s="37" t="s">
        <v>21</v>
      </c>
      <c r="EV43" s="28"/>
      <c r="EW43" s="28"/>
      <c r="EX43" s="28"/>
      <c r="EY43" s="28"/>
      <c r="EZ43" s="28"/>
      <c r="FA43" s="28"/>
      <c r="FB43" s="37" t="s">
        <v>21</v>
      </c>
      <c r="FC43" s="28"/>
      <c r="FD43" s="28"/>
      <c r="FE43" s="28"/>
      <c r="FF43" s="28"/>
      <c r="FG43" s="26"/>
      <c r="FH43" s="26"/>
      <c r="FI43" s="31"/>
      <c r="FJ43" s="31"/>
      <c r="FK43" s="31"/>
      <c r="FL43" s="32"/>
      <c r="FM43" s="28"/>
      <c r="FN43" s="26"/>
      <c r="FO43" s="28"/>
      <c r="FP43" s="28"/>
      <c r="FQ43" s="26"/>
      <c r="FR43" s="28"/>
      <c r="FS43" s="28"/>
      <c r="FT43" s="28"/>
      <c r="FU43" s="37" t="s">
        <v>21</v>
      </c>
      <c r="FV43" s="28"/>
      <c r="FW43" s="28"/>
      <c r="FX43" s="26"/>
      <c r="FY43" s="28"/>
      <c r="FZ43" s="28"/>
      <c r="GA43" s="28"/>
      <c r="GB43" s="26"/>
      <c r="GC43" s="26"/>
      <c r="GD43" s="28"/>
      <c r="GE43" s="28"/>
      <c r="GF43" s="28"/>
      <c r="GG43" s="28"/>
      <c r="GH43" s="28"/>
      <c r="GI43" s="26"/>
      <c r="GJ43" s="28"/>
      <c r="GK43" s="28"/>
      <c r="GL43" s="28"/>
      <c r="GM43" s="31"/>
      <c r="GN43" s="26"/>
      <c r="GO43" s="31"/>
      <c r="GP43" s="31"/>
      <c r="GQ43" s="38"/>
      <c r="GR43" s="39"/>
      <c r="GS43" s="39"/>
      <c r="GT43" s="39"/>
      <c r="GU43" s="39"/>
      <c r="GV43" s="39"/>
      <c r="GW43" s="39"/>
      <c r="GX43" s="39"/>
      <c r="GY43" s="39"/>
      <c r="GZ43" s="40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40"/>
      <c r="HM43" s="40"/>
      <c r="HN43" s="39"/>
      <c r="HO43" s="39"/>
      <c r="HP43" s="39"/>
      <c r="HQ43" s="39"/>
      <c r="HR43" s="39"/>
      <c r="HS43" s="39"/>
      <c r="HT43" s="39"/>
      <c r="HU43" s="40"/>
      <c r="HV43" s="39"/>
      <c r="HW43" s="38"/>
      <c r="HX43" s="41"/>
      <c r="HY43" s="39"/>
      <c r="HZ43" s="39"/>
      <c r="IA43" s="39"/>
      <c r="IB43" s="39"/>
      <c r="IC43" s="39"/>
      <c r="ID43" s="40"/>
      <c r="IE43" s="39"/>
      <c r="IF43" s="39"/>
      <c r="IG43" s="39"/>
      <c r="IH43" s="40"/>
      <c r="II43" s="40"/>
      <c r="IJ43" s="42"/>
      <c r="IK43" s="42"/>
      <c r="IL43" s="39"/>
      <c r="IM43" s="39"/>
      <c r="IN43" s="39"/>
      <c r="IO43" s="42"/>
      <c r="IP43" s="40"/>
      <c r="IQ43" s="39"/>
      <c r="IR43" s="39"/>
      <c r="IS43" s="39"/>
      <c r="IT43" s="39"/>
      <c r="IU43" s="39"/>
      <c r="IV43" s="39"/>
      <c r="IW43" s="39"/>
      <c r="IX43" s="39"/>
      <c r="IY43" s="39"/>
      <c r="IZ43" s="39"/>
      <c r="JA43" s="39"/>
      <c r="JB43" s="39"/>
      <c r="JC43" s="38"/>
      <c r="JD43" s="39"/>
      <c r="JE43" s="39"/>
      <c r="JF43" s="39"/>
      <c r="JG43" s="39"/>
      <c r="JH43" s="39"/>
      <c r="JI43" s="39"/>
      <c r="JJ43" s="39"/>
      <c r="JK43" s="39"/>
      <c r="JL43" s="39"/>
      <c r="JM43" s="39"/>
      <c r="JN43" s="39"/>
      <c r="JO43" s="39"/>
      <c r="JP43" s="39"/>
      <c r="JQ43" s="39"/>
      <c r="JR43" s="39"/>
      <c r="JS43" s="39"/>
      <c r="JT43" s="39"/>
      <c r="JU43" s="39"/>
      <c r="JV43" s="39"/>
      <c r="JW43" s="39"/>
      <c r="JX43" s="39"/>
      <c r="JY43" s="39"/>
      <c r="JZ43" s="39"/>
      <c r="KA43" s="39"/>
      <c r="KB43" s="39"/>
      <c r="KC43" s="39"/>
      <c r="KD43" s="39"/>
      <c r="KE43" s="39"/>
      <c r="KF43" s="39"/>
      <c r="KG43" s="39"/>
      <c r="KH43" s="38"/>
      <c r="KI43" s="39"/>
      <c r="KJ43" s="39"/>
      <c r="KK43" s="39"/>
      <c r="KL43" s="39"/>
      <c r="KM43" s="39"/>
      <c r="KN43" s="39"/>
      <c r="KO43" s="39"/>
      <c r="KP43" s="39"/>
      <c r="KQ43" s="39"/>
      <c r="KR43" s="39"/>
      <c r="KS43" s="39"/>
      <c r="KT43" s="39"/>
      <c r="KU43" s="40"/>
      <c r="KV43" s="39"/>
      <c r="KW43" s="39"/>
      <c r="KX43" s="39"/>
      <c r="KY43" s="39"/>
      <c r="KZ43" s="39"/>
      <c r="LA43" s="39"/>
      <c r="LB43" s="39"/>
      <c r="LC43" s="39"/>
      <c r="LD43" s="39"/>
      <c r="LE43" s="39"/>
      <c r="LF43" s="39"/>
      <c r="LG43" s="39"/>
      <c r="LH43" s="39"/>
      <c r="LI43" s="39"/>
      <c r="LJ43" s="39"/>
      <c r="LK43" s="39"/>
      <c r="LL43" s="39"/>
      <c r="LM43" s="39"/>
      <c r="LN43" s="38"/>
      <c r="LO43" s="39"/>
      <c r="LP43" s="39"/>
      <c r="LQ43" s="40"/>
      <c r="LR43" s="39"/>
      <c r="LS43" s="39"/>
      <c r="LT43" s="39"/>
      <c r="LU43" s="39"/>
      <c r="LV43" s="39"/>
      <c r="LW43" s="39"/>
      <c r="LX43" s="39"/>
      <c r="LY43" s="39"/>
      <c r="LZ43" s="39"/>
      <c r="MA43" s="39"/>
      <c r="MB43" s="39"/>
      <c r="MC43" s="39"/>
      <c r="MD43" s="39"/>
      <c r="ME43" s="39"/>
      <c r="MF43" s="39"/>
      <c r="MG43" s="39"/>
      <c r="MH43" s="39"/>
      <c r="MI43" s="39"/>
      <c r="MJ43" s="39"/>
      <c r="MK43" s="39"/>
      <c r="ML43" s="39"/>
      <c r="MM43" s="39"/>
      <c r="MN43" s="39"/>
      <c r="MO43" s="39"/>
      <c r="MP43" s="39"/>
      <c r="MQ43" s="39"/>
      <c r="MR43" s="39"/>
      <c r="MS43" s="38"/>
      <c r="MT43" s="39"/>
      <c r="MU43" s="39"/>
      <c r="MV43" s="39"/>
      <c r="MW43" s="39"/>
      <c r="MX43" s="39"/>
      <c r="MY43" s="39"/>
      <c r="MZ43" s="39"/>
      <c r="NA43" s="39"/>
      <c r="NB43" s="39"/>
      <c r="NC43" s="39"/>
      <c r="ND43" s="39"/>
      <c r="NE43" s="39"/>
      <c r="NF43" s="39"/>
      <c r="NG43" s="39"/>
      <c r="NH43" s="39"/>
      <c r="NI43" s="39"/>
      <c r="NJ43" s="39"/>
      <c r="NK43" s="39"/>
      <c r="NL43" s="39"/>
      <c r="NM43" s="39"/>
      <c r="NN43" s="39"/>
      <c r="NO43" s="39"/>
      <c r="NP43" s="39"/>
      <c r="NQ43" s="39"/>
      <c r="NR43" s="39"/>
      <c r="NS43" s="39"/>
      <c r="NT43" s="39"/>
      <c r="NU43" s="39"/>
      <c r="NV43" s="39"/>
      <c r="NW43" s="39"/>
      <c r="NX43" s="39"/>
      <c r="NY43" s="38"/>
    </row>
    <row r="44">
      <c r="A44" s="50" t="s">
        <v>434</v>
      </c>
      <c r="B44" s="26" t="str">
        <f>IFERROR(__xludf.DUMMYFUNCTION("VLOOKUP(A44, IMPORTRANGE(""https://docs.google.com/spreadsheets/d/1KpTMcNM9m1P7u9qCVzob8p1-RZoC1ejaYs5CdpAbWFY/edit?gid=260580969#gid=260580969"", ""2025 EMP PROFILE DATA!a1:W98""), 22, FALSE)"),"#REF!")</f>
        <v>#REF!</v>
      </c>
      <c r="C44" s="50">
        <f t="shared" si="1"/>
        <v>2</v>
      </c>
      <c r="D44" s="50">
        <f t="shared" si="2"/>
        <v>0</v>
      </c>
      <c r="E44" s="50">
        <f t="shared" si="3"/>
        <v>19</v>
      </c>
      <c r="F44" s="50">
        <f t="shared" si="4"/>
        <v>0</v>
      </c>
      <c r="G44" s="51">
        <f t="shared" si="5"/>
        <v>0.005050505051</v>
      </c>
      <c r="H44" s="51">
        <f t="shared" si="6"/>
        <v>0.04797979798</v>
      </c>
      <c r="I44" s="28">
        <f t="shared" si="7"/>
        <v>27</v>
      </c>
      <c r="J44" s="26">
        <v>0.0</v>
      </c>
      <c r="K44" s="26">
        <v>0.0</v>
      </c>
      <c r="L44" s="52"/>
      <c r="M44" s="50"/>
      <c r="N44" s="50"/>
      <c r="O44" s="57" t="s">
        <v>21</v>
      </c>
      <c r="P44" s="50"/>
      <c r="Q44" s="50"/>
      <c r="R44" s="57" t="s">
        <v>21</v>
      </c>
      <c r="S44" s="50"/>
      <c r="T44" s="50"/>
      <c r="U44" s="50"/>
      <c r="V44" s="57" t="s">
        <v>19</v>
      </c>
      <c r="W44" s="50"/>
      <c r="X44" s="37" t="s">
        <v>21</v>
      </c>
      <c r="Y44" s="37" t="s">
        <v>21</v>
      </c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37" t="s">
        <v>21</v>
      </c>
      <c r="AQ44" s="50"/>
      <c r="AR44" s="29"/>
      <c r="AS44" s="28"/>
      <c r="AT44" s="28"/>
      <c r="AU44" s="28"/>
      <c r="AV44" s="28"/>
      <c r="AW44" s="26"/>
      <c r="AX44" s="28"/>
      <c r="AY44" s="28"/>
      <c r="AZ44" s="26"/>
      <c r="BA44" s="28"/>
      <c r="BB44" s="26"/>
      <c r="BC44" s="28"/>
      <c r="BD44" s="28"/>
      <c r="BE44" s="26"/>
      <c r="BF44" s="28"/>
      <c r="BG44" s="28"/>
      <c r="BH44" s="26"/>
      <c r="BI44" s="26"/>
      <c r="BJ44" s="26"/>
      <c r="BK44" s="37" t="s">
        <v>21</v>
      </c>
      <c r="BL44" s="28"/>
      <c r="BM44" s="26"/>
      <c r="BN44" s="28"/>
      <c r="BO44" s="28"/>
      <c r="BP44" s="28"/>
      <c r="BQ44" s="37" t="s">
        <v>21</v>
      </c>
      <c r="BR44" s="28"/>
      <c r="BS44" s="31"/>
      <c r="BT44" s="37" t="s">
        <v>21</v>
      </c>
      <c r="BU44" s="32"/>
      <c r="BV44" s="33"/>
      <c r="BW44" s="33"/>
      <c r="BX44" s="33"/>
      <c r="BY44" s="33"/>
      <c r="BZ44" s="33"/>
      <c r="CA44" s="33"/>
      <c r="CB44" s="35"/>
      <c r="CC44" s="33"/>
      <c r="CD44" s="37" t="s">
        <v>21</v>
      </c>
      <c r="CE44" s="34"/>
      <c r="CF44" s="36"/>
      <c r="CG44" s="26"/>
      <c r="CH44" s="28"/>
      <c r="CI44" s="28"/>
      <c r="CJ44" s="28"/>
      <c r="CK44" s="28"/>
      <c r="CL44" s="37" t="s">
        <v>21</v>
      </c>
      <c r="CM44" s="28"/>
      <c r="CN44" s="28"/>
      <c r="CO44" s="28"/>
      <c r="CP44" s="26"/>
      <c r="CQ44" s="28"/>
      <c r="CR44" s="37" t="s">
        <v>21</v>
      </c>
      <c r="CS44" s="37" t="s">
        <v>21</v>
      </c>
      <c r="CT44" s="28"/>
      <c r="CU44" s="26"/>
      <c r="CV44" s="31"/>
      <c r="CW44" s="26"/>
      <c r="CX44" s="26"/>
      <c r="CY44" s="26"/>
      <c r="CZ44" s="31"/>
      <c r="DA44" s="32"/>
      <c r="DB44" s="28"/>
      <c r="DC44" s="28"/>
      <c r="DD44" s="28"/>
      <c r="DE44" s="26"/>
      <c r="DF44" s="26"/>
      <c r="DG44" s="26" t="s">
        <v>19</v>
      </c>
      <c r="DH44" s="26"/>
      <c r="DI44" s="26"/>
      <c r="DJ44" s="28"/>
      <c r="DK44" s="28"/>
      <c r="DL44" s="28"/>
      <c r="DM44" s="28"/>
      <c r="DN44" s="28"/>
      <c r="DO44" s="37" t="s">
        <v>21</v>
      </c>
      <c r="DP44" s="28"/>
      <c r="DQ44" s="28"/>
      <c r="DR44" s="28"/>
      <c r="DS44" s="28"/>
      <c r="DT44" s="28"/>
      <c r="DU44" s="28"/>
      <c r="DV44" s="37" t="s">
        <v>21</v>
      </c>
      <c r="DW44" s="26"/>
      <c r="DX44" s="37" t="s">
        <v>21</v>
      </c>
      <c r="DY44" s="28"/>
      <c r="DZ44" s="28"/>
      <c r="EA44" s="28"/>
      <c r="EB44" s="31"/>
      <c r="EC44" s="26"/>
      <c r="ED44" s="31"/>
      <c r="EE44" s="26"/>
      <c r="EF44" s="32"/>
      <c r="EG44" s="28"/>
      <c r="EH44" s="26"/>
      <c r="EI44" s="28"/>
      <c r="EJ44" s="28"/>
      <c r="EK44" s="26"/>
      <c r="EL44" s="28"/>
      <c r="EM44" s="28"/>
      <c r="EN44" s="26"/>
      <c r="EO44" s="26"/>
      <c r="EP44" s="28"/>
      <c r="EQ44" s="28"/>
      <c r="ER44" s="37" t="s">
        <v>21</v>
      </c>
      <c r="ES44" s="28"/>
      <c r="ET44" s="26"/>
      <c r="EU44" s="26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6"/>
      <c r="FH44" s="26"/>
      <c r="FI44" s="31"/>
      <c r="FJ44" s="31"/>
      <c r="FK44" s="31"/>
      <c r="FL44" s="32"/>
      <c r="FM44" s="28"/>
      <c r="FN44" s="26"/>
      <c r="FO44" s="37" t="s">
        <v>21</v>
      </c>
      <c r="FP44" s="28"/>
      <c r="FQ44" s="26"/>
      <c r="FR44" s="37" t="s">
        <v>21</v>
      </c>
      <c r="FS44" s="28"/>
      <c r="FT44" s="28"/>
      <c r="FU44" s="26"/>
      <c r="FV44" s="28"/>
      <c r="FW44" s="28"/>
      <c r="FX44" s="26"/>
      <c r="FY44" s="28"/>
      <c r="FZ44" s="28"/>
      <c r="GA44" s="28"/>
      <c r="GB44" s="26"/>
      <c r="GC44" s="26"/>
      <c r="GD44" s="28"/>
      <c r="GE44" s="37" t="s">
        <v>21</v>
      </c>
      <c r="GF44" s="28"/>
      <c r="GG44" s="28"/>
      <c r="GH44" s="28"/>
      <c r="GI44" s="26"/>
      <c r="GJ44" s="28"/>
      <c r="GK44" s="28"/>
      <c r="GL44" s="28"/>
      <c r="GM44" s="31"/>
      <c r="GN44" s="26"/>
      <c r="GO44" s="31"/>
      <c r="GP44" s="31"/>
      <c r="GQ44" s="38"/>
      <c r="GR44" s="39"/>
      <c r="GS44" s="39"/>
      <c r="GT44" s="39"/>
      <c r="GU44" s="39"/>
      <c r="GV44" s="39"/>
      <c r="GW44" s="39"/>
      <c r="GX44" s="39"/>
      <c r="GY44" s="39"/>
      <c r="GZ44" s="40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40"/>
      <c r="HM44" s="40"/>
      <c r="HN44" s="39"/>
      <c r="HO44" s="39"/>
      <c r="HP44" s="39"/>
      <c r="HQ44" s="39"/>
      <c r="HR44" s="39"/>
      <c r="HS44" s="39"/>
      <c r="HT44" s="39"/>
      <c r="HU44" s="40"/>
      <c r="HV44" s="39"/>
      <c r="HW44" s="38"/>
      <c r="HX44" s="41"/>
      <c r="HY44" s="39"/>
      <c r="HZ44" s="39"/>
      <c r="IA44" s="39"/>
      <c r="IB44" s="39"/>
      <c r="IC44" s="39"/>
      <c r="ID44" s="40"/>
      <c r="IE44" s="39"/>
      <c r="IF44" s="39"/>
      <c r="IG44" s="39"/>
      <c r="IH44" s="40"/>
      <c r="II44" s="40"/>
      <c r="IJ44" s="42"/>
      <c r="IK44" s="42"/>
      <c r="IL44" s="39"/>
      <c r="IM44" s="39"/>
      <c r="IN44" s="39"/>
      <c r="IO44" s="42"/>
      <c r="IP44" s="40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8"/>
      <c r="JD44" s="39"/>
      <c r="JE44" s="39"/>
      <c r="JF44" s="39"/>
      <c r="JG44" s="39"/>
      <c r="JH44" s="39"/>
      <c r="JI44" s="39"/>
      <c r="JJ44" s="39"/>
      <c r="JK44" s="39"/>
      <c r="JL44" s="39"/>
      <c r="JM44" s="39"/>
      <c r="JN44" s="39"/>
      <c r="JO44" s="39"/>
      <c r="JP44" s="39"/>
      <c r="JQ44" s="39"/>
      <c r="JR44" s="39"/>
      <c r="JS44" s="39"/>
      <c r="JT44" s="39"/>
      <c r="JU44" s="39"/>
      <c r="JV44" s="39"/>
      <c r="JW44" s="39"/>
      <c r="JX44" s="39"/>
      <c r="JY44" s="39"/>
      <c r="JZ44" s="39"/>
      <c r="KA44" s="39"/>
      <c r="KB44" s="39"/>
      <c r="KC44" s="39"/>
      <c r="KD44" s="39"/>
      <c r="KE44" s="39"/>
      <c r="KF44" s="39"/>
      <c r="KG44" s="39"/>
      <c r="KH44" s="38"/>
      <c r="KI44" s="39"/>
      <c r="KJ44" s="39"/>
      <c r="KK44" s="39"/>
      <c r="KL44" s="39"/>
      <c r="KM44" s="39"/>
      <c r="KN44" s="39"/>
      <c r="KO44" s="39"/>
      <c r="KP44" s="39"/>
      <c r="KQ44" s="39"/>
      <c r="KR44" s="39"/>
      <c r="KS44" s="39"/>
      <c r="KT44" s="39"/>
      <c r="KU44" s="40"/>
      <c r="KV44" s="39"/>
      <c r="KW44" s="39"/>
      <c r="KX44" s="39"/>
      <c r="KY44" s="39"/>
      <c r="KZ44" s="39"/>
      <c r="LA44" s="39"/>
      <c r="LB44" s="39"/>
      <c r="LC44" s="39"/>
      <c r="LD44" s="39"/>
      <c r="LE44" s="39"/>
      <c r="LF44" s="39"/>
      <c r="LG44" s="39"/>
      <c r="LH44" s="39"/>
      <c r="LI44" s="39"/>
      <c r="LJ44" s="39"/>
      <c r="LK44" s="39"/>
      <c r="LL44" s="39"/>
      <c r="LM44" s="39"/>
      <c r="LN44" s="38"/>
      <c r="LO44" s="39"/>
      <c r="LP44" s="39"/>
      <c r="LQ44" s="40"/>
      <c r="LR44" s="39"/>
      <c r="LS44" s="39"/>
      <c r="LT44" s="39"/>
      <c r="LU44" s="39"/>
      <c r="LV44" s="39"/>
      <c r="LW44" s="39"/>
      <c r="LX44" s="39"/>
      <c r="LY44" s="39"/>
      <c r="LZ44" s="39"/>
      <c r="MA44" s="39"/>
      <c r="MB44" s="39"/>
      <c r="MC44" s="39"/>
      <c r="MD44" s="39"/>
      <c r="ME44" s="39"/>
      <c r="MF44" s="39"/>
      <c r="MG44" s="39"/>
      <c r="MH44" s="39"/>
      <c r="MI44" s="39"/>
      <c r="MJ44" s="39"/>
      <c r="MK44" s="39"/>
      <c r="ML44" s="39"/>
      <c r="MM44" s="39"/>
      <c r="MN44" s="39"/>
      <c r="MO44" s="39"/>
      <c r="MP44" s="39"/>
      <c r="MQ44" s="39"/>
      <c r="MR44" s="39"/>
      <c r="MS44" s="38"/>
      <c r="MT44" s="39"/>
      <c r="MU44" s="39"/>
      <c r="MV44" s="39"/>
      <c r="MW44" s="39"/>
      <c r="MX44" s="39"/>
      <c r="MY44" s="39"/>
      <c r="MZ44" s="39"/>
      <c r="NA44" s="39"/>
      <c r="NB44" s="39"/>
      <c r="NC44" s="39"/>
      <c r="ND44" s="39"/>
      <c r="NE44" s="39"/>
      <c r="NF44" s="39"/>
      <c r="NG44" s="39"/>
      <c r="NH44" s="39"/>
      <c r="NI44" s="39"/>
      <c r="NJ44" s="39"/>
      <c r="NK44" s="39"/>
      <c r="NL44" s="39"/>
      <c r="NM44" s="39"/>
      <c r="NN44" s="39"/>
      <c r="NO44" s="39"/>
      <c r="NP44" s="39"/>
      <c r="NQ44" s="39"/>
      <c r="NR44" s="39"/>
      <c r="NS44" s="39"/>
      <c r="NT44" s="39"/>
      <c r="NU44" s="39"/>
      <c r="NV44" s="39"/>
      <c r="NW44" s="39"/>
      <c r="NX44" s="39"/>
      <c r="NY44" s="38"/>
    </row>
    <row r="45">
      <c r="A45" s="50" t="s">
        <v>435</v>
      </c>
      <c r="B45" s="26" t="str">
        <f>IFERROR(__xludf.DUMMYFUNCTION("VLOOKUP(A45, IMPORTRANGE(""https://docs.google.com/spreadsheets/d/1KpTMcNM9m1P7u9qCVzob8p1-RZoC1ejaYs5CdpAbWFY/edit?gid=260580969#gid=260580969"", ""2025 EMP PROFILE DATA!a1:W98""), 22, FALSE)"),"#REF!")</f>
        <v>#REF!</v>
      </c>
      <c r="C45" s="50">
        <f t="shared" si="1"/>
        <v>2</v>
      </c>
      <c r="D45" s="50">
        <f t="shared" si="2"/>
        <v>0</v>
      </c>
      <c r="E45" s="50">
        <f t="shared" si="3"/>
        <v>7</v>
      </c>
      <c r="F45" s="50">
        <f t="shared" si="4"/>
        <v>1</v>
      </c>
      <c r="G45" s="51">
        <f t="shared" si="5"/>
        <v>0.005050505051</v>
      </c>
      <c r="H45" s="51">
        <f t="shared" si="6"/>
        <v>0.01767676768</v>
      </c>
      <c r="I45" s="28">
        <f t="shared" si="7"/>
        <v>15</v>
      </c>
      <c r="J45" s="26">
        <v>0.0</v>
      </c>
      <c r="K45" s="26">
        <v>0.0</v>
      </c>
      <c r="L45" s="52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29"/>
      <c r="AS45" s="28"/>
      <c r="AT45" s="28"/>
      <c r="AU45" s="28"/>
      <c r="AV45" s="28"/>
      <c r="AW45" s="26"/>
      <c r="AX45" s="28"/>
      <c r="AY45" s="28"/>
      <c r="AZ45" s="26"/>
      <c r="BA45" s="28"/>
      <c r="BB45" s="26"/>
      <c r="BC45" s="28"/>
      <c r="BD45" s="28"/>
      <c r="BE45" s="26"/>
      <c r="BF45" s="37" t="s">
        <v>21</v>
      </c>
      <c r="BG45" s="28"/>
      <c r="BH45" s="26"/>
      <c r="BI45" s="26"/>
      <c r="BJ45" s="26"/>
      <c r="BK45" s="28"/>
      <c r="BL45" s="28"/>
      <c r="BM45" s="37" t="s">
        <v>21</v>
      </c>
      <c r="BN45" s="28"/>
      <c r="BO45" s="28"/>
      <c r="BP45" s="28"/>
      <c r="BQ45" s="28"/>
      <c r="BR45" s="28"/>
      <c r="BS45" s="31"/>
      <c r="BT45" s="26"/>
      <c r="BU45" s="32"/>
      <c r="BV45" s="33"/>
      <c r="BW45" s="33"/>
      <c r="BX45" s="33"/>
      <c r="BY45" s="33"/>
      <c r="BZ45" s="33"/>
      <c r="CA45" s="33"/>
      <c r="CB45" s="37" t="s">
        <v>21</v>
      </c>
      <c r="CC45" s="33"/>
      <c r="CD45" s="33"/>
      <c r="CE45" s="37" t="s">
        <v>21</v>
      </c>
      <c r="CF45" s="36"/>
      <c r="CG45" s="26"/>
      <c r="CH45" s="28"/>
      <c r="CI45" s="28"/>
      <c r="CJ45" s="28"/>
      <c r="CK45" s="28"/>
      <c r="CL45" s="26"/>
      <c r="CM45" s="28"/>
      <c r="CN45" s="28"/>
      <c r="CO45" s="28"/>
      <c r="CP45" s="26"/>
      <c r="CQ45" s="28"/>
      <c r="CR45" s="28"/>
      <c r="CS45" s="28"/>
      <c r="CT45" s="28"/>
      <c r="CU45" s="26"/>
      <c r="CV45" s="31"/>
      <c r="CW45" s="26"/>
      <c r="CX45" s="26"/>
      <c r="CY45" s="26"/>
      <c r="CZ45" s="31"/>
      <c r="DA45" s="32"/>
      <c r="DB45" s="28"/>
      <c r="DC45" s="28"/>
      <c r="DD45" s="26" t="s">
        <v>19</v>
      </c>
      <c r="DE45" s="26"/>
      <c r="DF45" s="26"/>
      <c r="DG45" s="26"/>
      <c r="DH45" s="26"/>
      <c r="DI45" s="26"/>
      <c r="DJ45" s="28"/>
      <c r="DK45" s="28"/>
      <c r="DL45" s="28"/>
      <c r="DM45" s="28"/>
      <c r="DN45" s="28"/>
      <c r="DO45" s="28"/>
      <c r="DP45" s="37" t="s">
        <v>21</v>
      </c>
      <c r="DQ45" s="28"/>
      <c r="DR45" s="28"/>
      <c r="DS45" s="28"/>
      <c r="DT45" s="28"/>
      <c r="DU45" s="28"/>
      <c r="DV45" s="28"/>
      <c r="DW45" s="26"/>
      <c r="DX45" s="26"/>
      <c r="DY45" s="28"/>
      <c r="DZ45" s="28"/>
      <c r="EA45" s="28"/>
      <c r="EB45" s="31"/>
      <c r="EC45" s="26"/>
      <c r="ED45" s="31"/>
      <c r="EE45" s="26"/>
      <c r="EF45" s="32"/>
      <c r="EG45" s="28"/>
      <c r="EH45" s="26"/>
      <c r="EI45" s="28"/>
      <c r="EJ45" s="28"/>
      <c r="EK45" s="26" t="s">
        <v>19</v>
      </c>
      <c r="EL45" s="28"/>
      <c r="EM45" s="28"/>
      <c r="EN45" s="26"/>
      <c r="EO45" s="26"/>
      <c r="EP45" s="28"/>
      <c r="EQ45" s="28"/>
      <c r="ER45" s="26"/>
      <c r="ES45" s="28"/>
      <c r="ET45" s="26"/>
      <c r="EU45" s="26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6"/>
      <c r="FH45" s="26"/>
      <c r="FI45" s="31"/>
      <c r="FJ45" s="31"/>
      <c r="FK45" s="31"/>
      <c r="FL45" s="32"/>
      <c r="FM45" s="28"/>
      <c r="FN45" s="26"/>
      <c r="FO45" s="28"/>
      <c r="FP45" s="28"/>
      <c r="FQ45" s="37" t="s">
        <v>21</v>
      </c>
      <c r="FR45" s="28"/>
      <c r="FS45" s="28"/>
      <c r="FT45" s="28"/>
      <c r="FU45" s="26" t="s">
        <v>22</v>
      </c>
      <c r="FV45" s="28"/>
      <c r="FW45" s="28"/>
      <c r="FX45" s="26"/>
      <c r="FY45" s="28"/>
      <c r="FZ45" s="28"/>
      <c r="GA45" s="28"/>
      <c r="GB45" s="26"/>
      <c r="GC45" s="26"/>
      <c r="GD45" s="28"/>
      <c r="GE45" s="28"/>
      <c r="GF45" s="28"/>
      <c r="GG45" s="28"/>
      <c r="GH45" s="28"/>
      <c r="GI45" s="26"/>
      <c r="GJ45" s="28"/>
      <c r="GK45" s="28"/>
      <c r="GL45" s="28"/>
      <c r="GM45" s="37" t="s">
        <v>21</v>
      </c>
      <c r="GN45" s="26"/>
      <c r="GO45" s="31"/>
      <c r="GP45" s="31"/>
      <c r="GQ45" s="38"/>
      <c r="GR45" s="39"/>
      <c r="GS45" s="39"/>
      <c r="GT45" s="39"/>
      <c r="GU45" s="39"/>
      <c r="GV45" s="39"/>
      <c r="GW45" s="39"/>
      <c r="GX45" s="39"/>
      <c r="GY45" s="39"/>
      <c r="GZ45" s="40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40"/>
      <c r="HM45" s="40"/>
      <c r="HN45" s="39"/>
      <c r="HO45" s="39"/>
      <c r="HP45" s="39"/>
      <c r="HQ45" s="39"/>
      <c r="HR45" s="39"/>
      <c r="HS45" s="39"/>
      <c r="HT45" s="39"/>
      <c r="HU45" s="40"/>
      <c r="HV45" s="39"/>
      <c r="HW45" s="38"/>
      <c r="HX45" s="41"/>
      <c r="HY45" s="39"/>
      <c r="HZ45" s="39"/>
      <c r="IA45" s="39"/>
      <c r="IB45" s="39"/>
      <c r="IC45" s="39"/>
      <c r="ID45" s="40"/>
      <c r="IE45" s="39"/>
      <c r="IF45" s="39"/>
      <c r="IG45" s="39"/>
      <c r="IH45" s="40"/>
      <c r="II45" s="40"/>
      <c r="IJ45" s="42"/>
      <c r="IK45" s="42"/>
      <c r="IL45" s="39"/>
      <c r="IM45" s="39"/>
      <c r="IN45" s="39"/>
      <c r="IO45" s="42"/>
      <c r="IP45" s="40"/>
      <c r="IQ45" s="39"/>
      <c r="IR45" s="39"/>
      <c r="IS45" s="39"/>
      <c r="IT45" s="39"/>
      <c r="IU45" s="39"/>
      <c r="IV45" s="39"/>
      <c r="IW45" s="39"/>
      <c r="IX45" s="39"/>
      <c r="IY45" s="39"/>
      <c r="IZ45" s="39"/>
      <c r="JA45" s="39"/>
      <c r="JB45" s="39"/>
      <c r="JC45" s="38"/>
      <c r="JD45" s="39"/>
      <c r="JE45" s="39"/>
      <c r="JF45" s="39"/>
      <c r="JG45" s="39"/>
      <c r="JH45" s="39"/>
      <c r="JI45" s="39"/>
      <c r="JJ45" s="39"/>
      <c r="JK45" s="39"/>
      <c r="JL45" s="39"/>
      <c r="JM45" s="39"/>
      <c r="JN45" s="39"/>
      <c r="JO45" s="39"/>
      <c r="JP45" s="39"/>
      <c r="JQ45" s="39"/>
      <c r="JR45" s="39"/>
      <c r="JS45" s="39"/>
      <c r="JT45" s="39"/>
      <c r="JU45" s="39"/>
      <c r="JV45" s="39"/>
      <c r="JW45" s="39"/>
      <c r="JX45" s="39"/>
      <c r="JY45" s="39"/>
      <c r="JZ45" s="39"/>
      <c r="KA45" s="39"/>
      <c r="KB45" s="39"/>
      <c r="KC45" s="39"/>
      <c r="KD45" s="39"/>
      <c r="KE45" s="39"/>
      <c r="KF45" s="39"/>
      <c r="KG45" s="39"/>
      <c r="KH45" s="38"/>
      <c r="KI45" s="39"/>
      <c r="KJ45" s="39"/>
      <c r="KK45" s="39"/>
      <c r="KL45" s="39"/>
      <c r="KM45" s="39"/>
      <c r="KN45" s="39"/>
      <c r="KO45" s="39"/>
      <c r="KP45" s="39"/>
      <c r="KQ45" s="39"/>
      <c r="KR45" s="39"/>
      <c r="KS45" s="39"/>
      <c r="KT45" s="39"/>
      <c r="KU45" s="40"/>
      <c r="KV45" s="39"/>
      <c r="KW45" s="39"/>
      <c r="KX45" s="39"/>
      <c r="KY45" s="39"/>
      <c r="KZ45" s="39"/>
      <c r="LA45" s="39"/>
      <c r="LB45" s="39"/>
      <c r="LC45" s="39"/>
      <c r="LD45" s="39"/>
      <c r="LE45" s="39"/>
      <c r="LF45" s="39"/>
      <c r="LG45" s="39"/>
      <c r="LH45" s="39"/>
      <c r="LI45" s="39"/>
      <c r="LJ45" s="39"/>
      <c r="LK45" s="39"/>
      <c r="LL45" s="39"/>
      <c r="LM45" s="39"/>
      <c r="LN45" s="38"/>
      <c r="LO45" s="39"/>
      <c r="LP45" s="39"/>
      <c r="LQ45" s="40"/>
      <c r="LR45" s="39"/>
      <c r="LS45" s="39"/>
      <c r="LT45" s="39"/>
      <c r="LU45" s="39"/>
      <c r="LV45" s="39"/>
      <c r="LW45" s="39"/>
      <c r="LX45" s="39"/>
      <c r="LY45" s="39"/>
      <c r="LZ45" s="39"/>
      <c r="MA45" s="39"/>
      <c r="MB45" s="39"/>
      <c r="MC45" s="39"/>
      <c r="MD45" s="39"/>
      <c r="ME45" s="39"/>
      <c r="MF45" s="39"/>
      <c r="MG45" s="39"/>
      <c r="MH45" s="39"/>
      <c r="MI45" s="39"/>
      <c r="MJ45" s="39"/>
      <c r="MK45" s="39"/>
      <c r="ML45" s="39"/>
      <c r="MM45" s="39"/>
      <c r="MN45" s="39"/>
      <c r="MO45" s="39"/>
      <c r="MP45" s="39"/>
      <c r="MQ45" s="39"/>
      <c r="MR45" s="39"/>
      <c r="MS45" s="38"/>
      <c r="MT45" s="39"/>
      <c r="MU45" s="39"/>
      <c r="MV45" s="39"/>
      <c r="MW45" s="39"/>
      <c r="MX45" s="39"/>
      <c r="MY45" s="39"/>
      <c r="MZ45" s="39"/>
      <c r="NA45" s="39"/>
      <c r="NB45" s="39"/>
      <c r="NC45" s="39"/>
      <c r="ND45" s="39"/>
      <c r="NE45" s="39"/>
      <c r="NF45" s="39"/>
      <c r="NG45" s="39"/>
      <c r="NH45" s="39"/>
      <c r="NI45" s="39"/>
      <c r="NJ45" s="39"/>
      <c r="NK45" s="39"/>
      <c r="NL45" s="39"/>
      <c r="NM45" s="39"/>
      <c r="NN45" s="39"/>
      <c r="NO45" s="39"/>
      <c r="NP45" s="39"/>
      <c r="NQ45" s="39"/>
      <c r="NR45" s="39"/>
      <c r="NS45" s="39"/>
      <c r="NT45" s="39"/>
      <c r="NU45" s="39"/>
      <c r="NV45" s="39"/>
      <c r="NW45" s="39"/>
      <c r="NX45" s="39"/>
      <c r="NY45" s="38"/>
    </row>
    <row r="46">
      <c r="A46" s="50" t="s">
        <v>436</v>
      </c>
      <c r="B46" s="26" t="str">
        <f>IFERROR(__xludf.DUMMYFUNCTION("VLOOKUP(A46, IMPORTRANGE(""https://docs.google.com/spreadsheets/d/1KpTMcNM9m1P7u9qCVzob8p1-RZoC1ejaYs5CdpAbWFY/edit?gid=260580969#gid=260580969"", ""2025 EMP PROFILE DATA!a1:W98""), 22, FALSE)"),"#REF!")</f>
        <v>#REF!</v>
      </c>
      <c r="C46" s="50">
        <f t="shared" si="1"/>
        <v>2</v>
      </c>
      <c r="D46" s="50">
        <f t="shared" si="2"/>
        <v>0</v>
      </c>
      <c r="E46" s="50">
        <f t="shared" si="3"/>
        <v>1</v>
      </c>
      <c r="F46" s="50">
        <f t="shared" si="4"/>
        <v>0</v>
      </c>
      <c r="G46" s="51">
        <f t="shared" si="5"/>
        <v>0.005050505051</v>
      </c>
      <c r="H46" s="51">
        <f t="shared" si="6"/>
        <v>0.002525252525</v>
      </c>
      <c r="I46" s="28">
        <f t="shared" si="7"/>
        <v>9</v>
      </c>
      <c r="J46" s="26">
        <v>0.0</v>
      </c>
      <c r="K46" s="26">
        <v>0.0</v>
      </c>
      <c r="L46" s="52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7" t="s">
        <v>19</v>
      </c>
      <c r="AP46" s="50"/>
      <c r="AQ46" s="57" t="s">
        <v>21</v>
      </c>
      <c r="AR46" s="29"/>
      <c r="AS46" s="28"/>
      <c r="AT46" s="28"/>
      <c r="AU46" s="28"/>
      <c r="AV46" s="28"/>
      <c r="AW46" s="26"/>
      <c r="AX46" s="28"/>
      <c r="AY46" s="28"/>
      <c r="AZ46" s="26"/>
      <c r="BA46" s="28"/>
      <c r="BB46" s="26"/>
      <c r="BC46" s="28"/>
      <c r="BD46" s="28"/>
      <c r="BE46" s="26"/>
      <c r="BF46" s="28"/>
      <c r="BG46" s="28"/>
      <c r="BH46" s="26"/>
      <c r="BI46" s="26"/>
      <c r="BJ46" s="26"/>
      <c r="BK46" s="28"/>
      <c r="BL46" s="28"/>
      <c r="BM46" s="26"/>
      <c r="BN46" s="28"/>
      <c r="BO46" s="28"/>
      <c r="BP46" s="28"/>
      <c r="BQ46" s="28"/>
      <c r="BR46" s="37" t="s">
        <v>19</v>
      </c>
      <c r="BS46" s="31"/>
      <c r="BT46" s="26"/>
      <c r="BU46" s="32"/>
      <c r="BV46" s="33"/>
      <c r="BW46" s="33"/>
      <c r="BX46" s="33"/>
      <c r="BY46" s="33"/>
      <c r="BZ46" s="33"/>
      <c r="CA46" s="33"/>
      <c r="CB46" s="35"/>
      <c r="CC46" s="33"/>
      <c r="CD46" s="33"/>
      <c r="CE46" s="34"/>
      <c r="CF46" s="36"/>
      <c r="CG46" s="26"/>
      <c r="CH46" s="28"/>
      <c r="CI46" s="28"/>
      <c r="CJ46" s="28"/>
      <c r="CK46" s="28"/>
      <c r="CL46" s="26"/>
      <c r="CM46" s="28"/>
      <c r="CN46" s="28"/>
      <c r="CO46" s="28"/>
      <c r="CP46" s="26"/>
      <c r="CQ46" s="28"/>
      <c r="CR46" s="28"/>
      <c r="CS46" s="28"/>
      <c r="CT46" s="28"/>
      <c r="CU46" s="26"/>
      <c r="CV46" s="31"/>
      <c r="CW46" s="26"/>
      <c r="CX46" s="26"/>
      <c r="CY46" s="26"/>
      <c r="CZ46" s="31"/>
      <c r="DA46" s="32"/>
      <c r="DB46" s="28"/>
      <c r="DC46" s="28"/>
      <c r="DD46" s="28"/>
      <c r="DE46" s="26"/>
      <c r="DF46" s="26"/>
      <c r="DG46" s="26"/>
      <c r="DH46" s="26"/>
      <c r="DI46" s="26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6"/>
      <c r="DX46" s="26"/>
      <c r="DY46" s="28"/>
      <c r="DZ46" s="28"/>
      <c r="EA46" s="28"/>
      <c r="EB46" s="31"/>
      <c r="EC46" s="26"/>
      <c r="ED46" s="31"/>
      <c r="EE46" s="26"/>
      <c r="EF46" s="32"/>
      <c r="EG46" s="28"/>
      <c r="EH46" s="26"/>
      <c r="EI46" s="28"/>
      <c r="EJ46" s="28"/>
      <c r="EK46" s="26"/>
      <c r="EL46" s="28"/>
      <c r="EM46" s="28"/>
      <c r="EN46" s="26"/>
      <c r="EO46" s="26"/>
      <c r="EP46" s="28"/>
      <c r="EQ46" s="28"/>
      <c r="ER46" s="26"/>
      <c r="ES46" s="28"/>
      <c r="ET46" s="26"/>
      <c r="EU46" s="26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6"/>
      <c r="FH46" s="26"/>
      <c r="FI46" s="31"/>
      <c r="FJ46" s="31"/>
      <c r="FK46" s="31"/>
      <c r="FL46" s="32"/>
      <c r="FM46" s="28"/>
      <c r="FN46" s="26"/>
      <c r="FO46" s="28"/>
      <c r="FP46" s="28"/>
      <c r="FQ46" s="26"/>
      <c r="FR46" s="28"/>
      <c r="FS46" s="28"/>
      <c r="FT46" s="28"/>
      <c r="FU46" s="26"/>
      <c r="FV46" s="28"/>
      <c r="FW46" s="28"/>
      <c r="FX46" s="26"/>
      <c r="FY46" s="28"/>
      <c r="FZ46" s="28"/>
      <c r="GA46" s="28"/>
      <c r="GB46" s="26"/>
      <c r="GC46" s="26"/>
      <c r="GD46" s="28"/>
      <c r="GE46" s="28"/>
      <c r="GF46" s="28"/>
      <c r="GG46" s="28"/>
      <c r="GH46" s="28"/>
      <c r="GI46" s="26"/>
      <c r="GJ46" s="28"/>
      <c r="GK46" s="28"/>
      <c r="GL46" s="28"/>
      <c r="GM46" s="31"/>
      <c r="GN46" s="26"/>
      <c r="GO46" s="31"/>
      <c r="GP46" s="31"/>
      <c r="GQ46" s="38"/>
      <c r="GR46" s="39"/>
      <c r="GS46" s="39"/>
      <c r="GT46" s="39"/>
      <c r="GU46" s="39"/>
      <c r="GV46" s="39"/>
      <c r="GW46" s="39"/>
      <c r="GX46" s="39"/>
      <c r="GY46" s="39"/>
      <c r="GZ46" s="40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40"/>
      <c r="HM46" s="40"/>
      <c r="HN46" s="39"/>
      <c r="HO46" s="39"/>
      <c r="HP46" s="39"/>
      <c r="HQ46" s="39"/>
      <c r="HR46" s="39"/>
      <c r="HS46" s="39"/>
      <c r="HT46" s="39"/>
      <c r="HU46" s="40"/>
      <c r="HV46" s="39"/>
      <c r="HW46" s="38"/>
      <c r="HX46" s="41"/>
      <c r="HY46" s="39"/>
      <c r="HZ46" s="39"/>
      <c r="IA46" s="39"/>
      <c r="IB46" s="39"/>
      <c r="IC46" s="39"/>
      <c r="ID46" s="40"/>
      <c r="IE46" s="39"/>
      <c r="IF46" s="39"/>
      <c r="IG46" s="39"/>
      <c r="IH46" s="40"/>
      <c r="II46" s="40"/>
      <c r="IJ46" s="42"/>
      <c r="IK46" s="42"/>
      <c r="IL46" s="39"/>
      <c r="IM46" s="39"/>
      <c r="IN46" s="39"/>
      <c r="IO46" s="42"/>
      <c r="IP46" s="40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8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8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40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8"/>
      <c r="LO46" s="39"/>
      <c r="LP46" s="39"/>
      <c r="LQ46" s="40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9"/>
      <c r="MM46" s="39"/>
      <c r="MN46" s="39"/>
      <c r="MO46" s="39"/>
      <c r="MP46" s="39"/>
      <c r="MQ46" s="39"/>
      <c r="MR46" s="39"/>
      <c r="MS46" s="38"/>
      <c r="MT46" s="39"/>
      <c r="MU46" s="39"/>
      <c r="MV46" s="39"/>
      <c r="MW46" s="39"/>
      <c r="MX46" s="39"/>
      <c r="MY46" s="39"/>
      <c r="MZ46" s="39"/>
      <c r="NA46" s="39"/>
      <c r="NB46" s="39"/>
      <c r="NC46" s="39"/>
      <c r="ND46" s="39"/>
      <c r="NE46" s="39"/>
      <c r="NF46" s="39"/>
      <c r="NG46" s="39"/>
      <c r="NH46" s="39"/>
      <c r="NI46" s="39"/>
      <c r="NJ46" s="39"/>
      <c r="NK46" s="39"/>
      <c r="NL46" s="39"/>
      <c r="NM46" s="39"/>
      <c r="NN46" s="39"/>
      <c r="NO46" s="39"/>
      <c r="NP46" s="39"/>
      <c r="NQ46" s="39"/>
      <c r="NR46" s="39"/>
      <c r="NS46" s="39"/>
      <c r="NT46" s="39"/>
      <c r="NU46" s="39"/>
      <c r="NV46" s="39"/>
      <c r="NW46" s="39"/>
      <c r="NX46" s="39"/>
      <c r="NY46" s="38"/>
    </row>
    <row r="47">
      <c r="A47" s="45" t="s">
        <v>437</v>
      </c>
      <c r="B47" s="26" t="str">
        <f>IFERROR(__xludf.DUMMYFUNCTION("VLOOKUP(A47, IMPORTRANGE(""https://docs.google.com/spreadsheets/d/1KpTMcNM9m1P7u9qCVzob8p1-RZoC1ejaYs5CdpAbWFY/edit?gid=260580969#gid=260580969"", ""2025 EMP PROFILE DATA!a1:W98""), 22, FALSE)"),"#REF!")</f>
        <v>#REF!</v>
      </c>
      <c r="C47" s="45">
        <f t="shared" si="1"/>
        <v>4</v>
      </c>
      <c r="D47" s="45">
        <f t="shared" si="2"/>
        <v>1</v>
      </c>
      <c r="E47" s="45">
        <f t="shared" si="3"/>
        <v>9</v>
      </c>
      <c r="F47" s="45">
        <f t="shared" si="4"/>
        <v>0</v>
      </c>
      <c r="G47" s="46">
        <f t="shared" si="5"/>
        <v>0.0101010101</v>
      </c>
      <c r="H47" s="46">
        <f t="shared" si="6"/>
        <v>0.02272727273</v>
      </c>
      <c r="I47" s="28">
        <f t="shared" si="7"/>
        <v>25</v>
      </c>
      <c r="J47" s="26">
        <v>0.0</v>
      </c>
      <c r="K47" s="26">
        <v>0.0</v>
      </c>
      <c r="L47" s="49"/>
      <c r="M47" s="45"/>
      <c r="N47" s="45"/>
      <c r="O47" s="45"/>
      <c r="P47" s="45"/>
      <c r="Q47" s="45"/>
      <c r="R47" s="45"/>
      <c r="S47" s="57" t="s">
        <v>19</v>
      </c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29"/>
      <c r="AS47" s="28"/>
      <c r="AT47" s="28"/>
      <c r="AU47" s="28"/>
      <c r="AV47" s="28"/>
      <c r="AW47" s="26"/>
      <c r="AX47" s="28"/>
      <c r="AY47" s="28"/>
      <c r="AZ47" s="26"/>
      <c r="BA47" s="28"/>
      <c r="BB47" s="26"/>
      <c r="BC47" s="28"/>
      <c r="BD47" s="28"/>
      <c r="BE47" s="26"/>
      <c r="BF47" s="28"/>
      <c r="BG47" s="28"/>
      <c r="BH47" s="26"/>
      <c r="BI47" s="26"/>
      <c r="BJ47" s="26"/>
      <c r="BK47" s="28"/>
      <c r="BL47" s="28"/>
      <c r="BM47" s="26"/>
      <c r="BN47" s="28"/>
      <c r="BO47" s="28"/>
      <c r="BP47" s="28"/>
      <c r="BQ47" s="28"/>
      <c r="BR47" s="28"/>
      <c r="BS47" s="31"/>
      <c r="BT47" s="26"/>
      <c r="BU47" s="32"/>
      <c r="BV47" s="33"/>
      <c r="BW47" s="33"/>
      <c r="BX47" s="33"/>
      <c r="BY47" s="33"/>
      <c r="BZ47" s="37" t="s">
        <v>21</v>
      </c>
      <c r="CA47" s="33"/>
      <c r="CB47" s="35"/>
      <c r="CC47" s="33"/>
      <c r="CD47" s="33"/>
      <c r="CE47" s="34"/>
      <c r="CF47" s="36"/>
      <c r="CG47" s="26"/>
      <c r="CH47" s="37" t="s">
        <v>21</v>
      </c>
      <c r="CI47" s="28"/>
      <c r="CJ47" s="28"/>
      <c r="CK47" s="28"/>
      <c r="CL47" s="26"/>
      <c r="CM47" s="26" t="s">
        <v>20</v>
      </c>
      <c r="CN47" s="28"/>
      <c r="CO47" s="28"/>
      <c r="CP47" s="26"/>
      <c r="CQ47" s="28"/>
      <c r="CR47" s="28"/>
      <c r="CS47" s="28"/>
      <c r="CT47" s="37" t="s">
        <v>21</v>
      </c>
      <c r="CU47" s="26"/>
      <c r="CV47" s="31"/>
      <c r="CW47" s="26"/>
      <c r="CX47" s="26"/>
      <c r="CY47" s="26" t="s">
        <v>19</v>
      </c>
      <c r="CZ47" s="31"/>
      <c r="DA47" s="32"/>
      <c r="DB47" s="28"/>
      <c r="DC47" s="28"/>
      <c r="DD47" s="28"/>
      <c r="DE47" s="26"/>
      <c r="DF47" s="26"/>
      <c r="DG47" s="26" t="s">
        <v>19</v>
      </c>
      <c r="DH47" s="26"/>
      <c r="DI47" s="26"/>
      <c r="DJ47" s="28"/>
      <c r="DK47" s="28"/>
      <c r="DL47" s="28"/>
      <c r="DM47" s="28"/>
      <c r="DN47" s="37" t="s">
        <v>21</v>
      </c>
      <c r="DO47" s="37" t="s">
        <v>21</v>
      </c>
      <c r="DP47" s="28"/>
      <c r="DQ47" s="28"/>
      <c r="DR47" s="28"/>
      <c r="DS47" s="28"/>
      <c r="DT47" s="28"/>
      <c r="DU47" s="28"/>
      <c r="DV47" s="28"/>
      <c r="DW47" s="26"/>
      <c r="DX47" s="26"/>
      <c r="DY47" s="28"/>
      <c r="DZ47" s="37" t="s">
        <v>21</v>
      </c>
      <c r="EA47" s="28"/>
      <c r="EB47" s="31"/>
      <c r="EC47" s="26"/>
      <c r="ED47" s="31"/>
      <c r="EE47" s="26"/>
      <c r="EF47" s="32"/>
      <c r="EG47" s="28"/>
      <c r="EH47" s="26"/>
      <c r="EI47" s="28"/>
      <c r="EJ47" s="28"/>
      <c r="EK47" s="26"/>
      <c r="EL47" s="28"/>
      <c r="EM47" s="28"/>
      <c r="EN47" s="26"/>
      <c r="EO47" s="26"/>
      <c r="EP47" s="28"/>
      <c r="EQ47" s="28"/>
      <c r="ER47" s="26"/>
      <c r="ES47" s="28"/>
      <c r="ET47" s="37" t="s">
        <v>21</v>
      </c>
      <c r="EU47" s="26"/>
      <c r="EV47" s="28"/>
      <c r="EW47" s="28"/>
      <c r="EX47" s="37" t="s">
        <v>21</v>
      </c>
      <c r="EY47" s="28"/>
      <c r="EZ47" s="28"/>
      <c r="FA47" s="28"/>
      <c r="FB47" s="28"/>
      <c r="FC47" s="28"/>
      <c r="FD47" s="28"/>
      <c r="FE47" s="28"/>
      <c r="FF47" s="28"/>
      <c r="FG47" s="26"/>
      <c r="FH47" s="26"/>
      <c r="FI47" s="31"/>
      <c r="FJ47" s="31"/>
      <c r="FK47" s="31"/>
      <c r="FL47" s="32"/>
      <c r="FM47" s="28"/>
      <c r="FN47" s="37" t="s">
        <v>21</v>
      </c>
      <c r="FO47" s="26" t="s">
        <v>19</v>
      </c>
      <c r="FP47" s="28"/>
      <c r="FQ47" s="26"/>
      <c r="FR47" s="28"/>
      <c r="FS47" s="28"/>
      <c r="FT47" s="28"/>
      <c r="FU47" s="26"/>
      <c r="FV47" s="28"/>
      <c r="FW47" s="28"/>
      <c r="FX47" s="26"/>
      <c r="FY47" s="28"/>
      <c r="FZ47" s="28"/>
      <c r="GA47" s="28"/>
      <c r="GB47" s="26"/>
      <c r="GC47" s="26"/>
      <c r="GD47" s="28"/>
      <c r="GE47" s="28"/>
      <c r="GF47" s="28"/>
      <c r="GG47" s="28"/>
      <c r="GH47" s="28"/>
      <c r="GI47" s="26"/>
      <c r="GJ47" s="28"/>
      <c r="GK47" s="28"/>
      <c r="GL47" s="28"/>
      <c r="GM47" s="31"/>
      <c r="GN47" s="26"/>
      <c r="GO47" s="31"/>
      <c r="GP47" s="31"/>
      <c r="GQ47" s="38"/>
      <c r="GR47" s="39"/>
      <c r="GS47" s="39"/>
      <c r="GT47" s="39"/>
      <c r="GU47" s="39"/>
      <c r="GV47" s="39"/>
      <c r="GW47" s="39"/>
      <c r="GX47" s="39"/>
      <c r="GY47" s="39"/>
      <c r="GZ47" s="40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40"/>
      <c r="HM47" s="40"/>
      <c r="HN47" s="39"/>
      <c r="HO47" s="39"/>
      <c r="HP47" s="39"/>
      <c r="HQ47" s="39"/>
      <c r="HR47" s="39"/>
      <c r="HS47" s="39"/>
      <c r="HT47" s="39"/>
      <c r="HU47" s="40"/>
      <c r="HV47" s="39"/>
      <c r="HW47" s="38"/>
      <c r="HX47" s="41"/>
      <c r="HY47" s="39"/>
      <c r="HZ47" s="39"/>
      <c r="IA47" s="39"/>
      <c r="IB47" s="39"/>
      <c r="IC47" s="39"/>
      <c r="ID47" s="40"/>
      <c r="IE47" s="39"/>
      <c r="IF47" s="39"/>
      <c r="IG47" s="39"/>
      <c r="IH47" s="40"/>
      <c r="II47" s="40"/>
      <c r="IJ47" s="42"/>
      <c r="IK47" s="42"/>
      <c r="IL47" s="39"/>
      <c r="IM47" s="39"/>
      <c r="IN47" s="39"/>
      <c r="IO47" s="42"/>
      <c r="IP47" s="40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8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8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40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8"/>
      <c r="LO47" s="39"/>
      <c r="LP47" s="39"/>
      <c r="LQ47" s="40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9"/>
      <c r="MM47" s="39"/>
      <c r="MN47" s="39"/>
      <c r="MO47" s="39"/>
      <c r="MP47" s="39"/>
      <c r="MQ47" s="39"/>
      <c r="MR47" s="39"/>
      <c r="MS47" s="38"/>
      <c r="MT47" s="39"/>
      <c r="MU47" s="39"/>
      <c r="MV47" s="39"/>
      <c r="MW47" s="39"/>
      <c r="MX47" s="39"/>
      <c r="MY47" s="39"/>
      <c r="MZ47" s="39"/>
      <c r="NA47" s="39"/>
      <c r="NB47" s="39"/>
      <c r="NC47" s="39"/>
      <c r="ND47" s="39"/>
      <c r="NE47" s="39"/>
      <c r="NF47" s="39"/>
      <c r="NG47" s="39"/>
      <c r="NH47" s="39"/>
      <c r="NI47" s="39"/>
      <c r="NJ47" s="39"/>
      <c r="NK47" s="39"/>
      <c r="NL47" s="39"/>
      <c r="NM47" s="39"/>
      <c r="NN47" s="39"/>
      <c r="NO47" s="39"/>
      <c r="NP47" s="39"/>
      <c r="NQ47" s="39"/>
      <c r="NR47" s="39"/>
      <c r="NS47" s="39"/>
      <c r="NT47" s="39"/>
      <c r="NU47" s="39"/>
      <c r="NV47" s="39"/>
      <c r="NW47" s="39"/>
      <c r="NX47" s="39"/>
      <c r="NY47" s="38"/>
    </row>
    <row r="48">
      <c r="A48" s="45" t="s">
        <v>438</v>
      </c>
      <c r="B48" s="26" t="str">
        <f>IFERROR(__xludf.DUMMYFUNCTION("VLOOKUP(A48, IMPORTRANGE(""https://docs.google.com/spreadsheets/d/1KpTMcNM9m1P7u9qCVzob8p1-RZoC1ejaYs5CdpAbWFY/edit?gid=260580969#gid=260580969"", ""2025 EMP PROFILE DATA!a1:W98""), 22, FALSE)"),"#REF!")</f>
        <v>#REF!</v>
      </c>
      <c r="C48" s="45">
        <f t="shared" si="1"/>
        <v>1</v>
      </c>
      <c r="D48" s="45">
        <f t="shared" si="2"/>
        <v>14</v>
      </c>
      <c r="E48" s="45">
        <f t="shared" si="3"/>
        <v>2</v>
      </c>
      <c r="F48" s="45">
        <f t="shared" si="4"/>
        <v>0</v>
      </c>
      <c r="G48" s="46">
        <f t="shared" si="5"/>
        <v>0.002525252525</v>
      </c>
      <c r="H48" s="46">
        <f t="shared" si="6"/>
        <v>0.005050505051</v>
      </c>
      <c r="I48" s="28">
        <f t="shared" si="7"/>
        <v>6</v>
      </c>
      <c r="J48" s="26">
        <v>0.0</v>
      </c>
      <c r="K48" s="26">
        <v>0.0</v>
      </c>
      <c r="L48" s="49"/>
      <c r="M48" s="45"/>
      <c r="N48" s="45"/>
      <c r="O48" s="45"/>
      <c r="P48" s="45"/>
      <c r="Q48" s="45"/>
      <c r="R48" s="45"/>
      <c r="S48" s="45"/>
      <c r="T48" s="47" t="s">
        <v>19</v>
      </c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29"/>
      <c r="AS48" s="28"/>
      <c r="AT48" s="26" t="s">
        <v>20</v>
      </c>
      <c r="AU48" s="28"/>
      <c r="AV48" s="28"/>
      <c r="AW48" s="26"/>
      <c r="AX48" s="28"/>
      <c r="AY48" s="28"/>
      <c r="AZ48" s="26"/>
      <c r="BA48" s="28"/>
      <c r="BB48" s="26"/>
      <c r="BC48" s="28"/>
      <c r="BD48" s="26" t="s">
        <v>20</v>
      </c>
      <c r="BE48" s="26" t="s">
        <v>20</v>
      </c>
      <c r="BF48" s="26" t="s">
        <v>20</v>
      </c>
      <c r="BG48" s="28"/>
      <c r="BH48" s="26"/>
      <c r="BI48" s="26"/>
      <c r="BJ48" s="26"/>
      <c r="BK48" s="28"/>
      <c r="BL48" s="28"/>
      <c r="BM48" s="26"/>
      <c r="BN48" s="28"/>
      <c r="BO48" s="26" t="s">
        <v>20</v>
      </c>
      <c r="BP48" s="28"/>
      <c r="BQ48" s="28"/>
      <c r="BR48" s="28"/>
      <c r="BS48" s="26" t="s">
        <v>20</v>
      </c>
      <c r="BT48" s="26" t="s">
        <v>20</v>
      </c>
      <c r="BU48" s="32"/>
      <c r="BV48" s="33"/>
      <c r="BW48" s="33"/>
      <c r="BX48" s="33"/>
      <c r="BY48" s="33"/>
      <c r="BZ48" s="33"/>
      <c r="CA48" s="59" t="s">
        <v>20</v>
      </c>
      <c r="CB48" s="35"/>
      <c r="CC48" s="33"/>
      <c r="CD48" s="33"/>
      <c r="CE48" s="37" t="s">
        <v>21</v>
      </c>
      <c r="CF48" s="37" t="s">
        <v>21</v>
      </c>
      <c r="CG48" s="26" t="s">
        <v>20</v>
      </c>
      <c r="CH48" s="26" t="s">
        <v>20</v>
      </c>
      <c r="CI48" s="28"/>
      <c r="CJ48" s="28"/>
      <c r="CK48" s="28"/>
      <c r="CL48" s="26"/>
      <c r="CM48" s="28"/>
      <c r="CN48" s="28"/>
      <c r="CO48" s="28"/>
      <c r="CP48" s="26"/>
      <c r="CQ48" s="28"/>
      <c r="CR48" s="28"/>
      <c r="CS48" s="28"/>
      <c r="CT48" s="28"/>
      <c r="CU48" s="26"/>
      <c r="CV48" s="31"/>
      <c r="CW48" s="26"/>
      <c r="CX48" s="26"/>
      <c r="CY48" s="26"/>
      <c r="CZ48" s="31"/>
      <c r="DA48" s="32"/>
      <c r="DB48" s="28"/>
      <c r="DC48" s="28"/>
      <c r="DD48" s="28"/>
      <c r="DE48" s="26"/>
      <c r="DF48" s="26"/>
      <c r="DG48" s="26"/>
      <c r="DH48" s="26"/>
      <c r="DI48" s="26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6"/>
      <c r="DX48" s="26"/>
      <c r="DY48" s="28"/>
      <c r="DZ48" s="37"/>
      <c r="EA48" s="28"/>
      <c r="EB48" s="31"/>
      <c r="EC48" s="26"/>
      <c r="ED48" s="31"/>
      <c r="EE48" s="26"/>
      <c r="EF48" s="32"/>
      <c r="EG48" s="28"/>
      <c r="EH48" s="26" t="s">
        <v>20</v>
      </c>
      <c r="EI48" s="28"/>
      <c r="EJ48" s="28"/>
      <c r="EK48" s="26"/>
      <c r="EL48" s="28"/>
      <c r="EM48" s="28"/>
      <c r="EN48" s="26" t="s">
        <v>20</v>
      </c>
      <c r="EO48" s="26" t="s">
        <v>20</v>
      </c>
      <c r="EP48" s="28"/>
      <c r="EQ48" s="26" t="s">
        <v>20</v>
      </c>
      <c r="ER48" s="26"/>
      <c r="ES48" s="28"/>
      <c r="ET48" s="26"/>
      <c r="EU48" s="26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6"/>
      <c r="FH48" s="26"/>
      <c r="FI48" s="31"/>
      <c r="FJ48" s="31"/>
      <c r="FK48" s="31"/>
      <c r="FL48" s="32"/>
      <c r="FM48" s="28"/>
      <c r="FN48" s="26"/>
      <c r="FO48" s="28"/>
      <c r="FP48" s="28"/>
      <c r="FQ48" s="26"/>
      <c r="FR48" s="28"/>
      <c r="FS48" s="28"/>
      <c r="FT48" s="28"/>
      <c r="FU48" s="26"/>
      <c r="FV48" s="28"/>
      <c r="FW48" s="28"/>
      <c r="FX48" s="26"/>
      <c r="FY48" s="28"/>
      <c r="FZ48" s="28"/>
      <c r="GA48" s="28"/>
      <c r="GB48" s="26"/>
      <c r="GC48" s="26"/>
      <c r="GD48" s="28"/>
      <c r="GE48" s="28"/>
      <c r="GF48" s="28"/>
      <c r="GG48" s="28"/>
      <c r="GH48" s="28"/>
      <c r="GI48" s="26"/>
      <c r="GJ48" s="28"/>
      <c r="GK48" s="28"/>
      <c r="GL48" s="28"/>
      <c r="GM48" s="31"/>
      <c r="GN48" s="26"/>
      <c r="GO48" s="31"/>
      <c r="GP48" s="31"/>
      <c r="GQ48" s="38"/>
      <c r="GR48" s="39"/>
      <c r="GS48" s="39"/>
      <c r="GT48" s="39"/>
      <c r="GU48" s="39"/>
      <c r="GV48" s="39"/>
      <c r="GW48" s="39"/>
      <c r="GX48" s="39"/>
      <c r="GY48" s="39"/>
      <c r="GZ48" s="40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40"/>
      <c r="HM48" s="40"/>
      <c r="HN48" s="39"/>
      <c r="HO48" s="39"/>
      <c r="HP48" s="39"/>
      <c r="HQ48" s="39"/>
      <c r="HR48" s="39"/>
      <c r="HS48" s="39"/>
      <c r="HT48" s="39"/>
      <c r="HU48" s="40"/>
      <c r="HV48" s="39"/>
      <c r="HW48" s="38"/>
      <c r="HX48" s="41"/>
      <c r="HY48" s="39"/>
      <c r="HZ48" s="39"/>
      <c r="IA48" s="39"/>
      <c r="IB48" s="39"/>
      <c r="IC48" s="39"/>
      <c r="ID48" s="40"/>
      <c r="IE48" s="39"/>
      <c r="IF48" s="39"/>
      <c r="IG48" s="39"/>
      <c r="IH48" s="40"/>
      <c r="II48" s="40"/>
      <c r="IJ48" s="42"/>
      <c r="IK48" s="42"/>
      <c r="IL48" s="39"/>
      <c r="IM48" s="39"/>
      <c r="IN48" s="39"/>
      <c r="IO48" s="42"/>
      <c r="IP48" s="40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8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8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40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8"/>
      <c r="LO48" s="39"/>
      <c r="LP48" s="39"/>
      <c r="LQ48" s="40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9"/>
      <c r="MM48" s="39"/>
      <c r="MN48" s="39"/>
      <c r="MO48" s="39"/>
      <c r="MP48" s="39"/>
      <c r="MQ48" s="39"/>
      <c r="MR48" s="39"/>
      <c r="MS48" s="38"/>
      <c r="MT48" s="39"/>
      <c r="MU48" s="39"/>
      <c r="MV48" s="39"/>
      <c r="MW48" s="39"/>
      <c r="MX48" s="39"/>
      <c r="MY48" s="39"/>
      <c r="MZ48" s="39"/>
      <c r="NA48" s="39"/>
      <c r="NB48" s="39"/>
      <c r="NC48" s="39"/>
      <c r="ND48" s="39"/>
      <c r="NE48" s="39"/>
      <c r="NF48" s="39"/>
      <c r="NG48" s="39"/>
      <c r="NH48" s="39"/>
      <c r="NI48" s="39"/>
      <c r="NJ48" s="39"/>
      <c r="NK48" s="39"/>
      <c r="NL48" s="39"/>
      <c r="NM48" s="39"/>
      <c r="NN48" s="39"/>
      <c r="NO48" s="39"/>
      <c r="NP48" s="39"/>
      <c r="NQ48" s="39"/>
      <c r="NR48" s="39"/>
      <c r="NS48" s="39"/>
      <c r="NT48" s="39"/>
      <c r="NU48" s="39"/>
      <c r="NV48" s="39"/>
      <c r="NW48" s="39"/>
      <c r="NX48" s="39"/>
      <c r="NY48" s="38"/>
    </row>
    <row r="49">
      <c r="A49" s="50" t="s">
        <v>439</v>
      </c>
      <c r="B49" s="26" t="str">
        <f>IFERROR(__xludf.DUMMYFUNCTION("VLOOKUP(A49, IMPORTRANGE(""https://docs.google.com/spreadsheets/d/1KpTMcNM9m1P7u9qCVzob8p1-RZoC1ejaYs5CdpAbWFY/edit?gid=260580969#gid=260580969"", ""2025 EMP PROFILE DATA!a1:W98""), 22, FALSE)"),"#REF!")</f>
        <v>#REF!</v>
      </c>
      <c r="C49" s="50">
        <f t="shared" si="1"/>
        <v>4</v>
      </c>
      <c r="D49" s="50">
        <f t="shared" si="2"/>
        <v>8</v>
      </c>
      <c r="E49" s="50">
        <f t="shared" si="3"/>
        <v>9</v>
      </c>
      <c r="F49" s="50">
        <f t="shared" si="4"/>
        <v>2</v>
      </c>
      <c r="G49" s="51">
        <f t="shared" si="5"/>
        <v>0.0101010101</v>
      </c>
      <c r="H49" s="51">
        <f t="shared" si="6"/>
        <v>0.02272727273</v>
      </c>
      <c r="I49" s="28">
        <f t="shared" si="7"/>
        <v>25</v>
      </c>
      <c r="J49" s="26">
        <v>0.0</v>
      </c>
      <c r="K49" s="26">
        <v>0.0</v>
      </c>
      <c r="L49" s="52"/>
      <c r="M49" s="50"/>
      <c r="N49" s="50"/>
      <c r="O49" s="50"/>
      <c r="P49" s="50"/>
      <c r="Q49" s="50"/>
      <c r="R49" s="57" t="s">
        <v>19</v>
      </c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42" t="s">
        <v>20</v>
      </c>
      <c r="AF49" s="42" t="s">
        <v>20</v>
      </c>
      <c r="AG49" s="50"/>
      <c r="AH49" s="42" t="s">
        <v>20</v>
      </c>
      <c r="AI49" s="42" t="s">
        <v>20</v>
      </c>
      <c r="AJ49" s="42" t="s">
        <v>20</v>
      </c>
      <c r="AK49" s="50"/>
      <c r="AL49" s="50"/>
      <c r="AM49" s="50"/>
      <c r="AN49" s="57" t="s">
        <v>21</v>
      </c>
      <c r="AO49" s="50"/>
      <c r="AP49" s="50"/>
      <c r="AQ49" s="50"/>
      <c r="AR49" s="29"/>
      <c r="AS49" s="28"/>
      <c r="AT49" s="28"/>
      <c r="AU49" s="28"/>
      <c r="AV49" s="28"/>
      <c r="AW49" s="57" t="s">
        <v>21</v>
      </c>
      <c r="AX49" s="28"/>
      <c r="AY49" s="28"/>
      <c r="AZ49" s="26"/>
      <c r="BA49" s="37" t="s">
        <v>21</v>
      </c>
      <c r="BB49" s="26"/>
      <c r="BC49" s="28"/>
      <c r="BD49" s="37" t="s">
        <v>21</v>
      </c>
      <c r="BE49" s="26"/>
      <c r="BF49" s="28"/>
      <c r="BG49" s="28"/>
      <c r="BH49" s="26"/>
      <c r="BI49" s="26"/>
      <c r="BJ49" s="26"/>
      <c r="BK49" s="28"/>
      <c r="BL49" s="28"/>
      <c r="BM49" s="26"/>
      <c r="BN49" s="28"/>
      <c r="BO49" s="28"/>
      <c r="BP49" s="28"/>
      <c r="BQ49" s="28"/>
      <c r="BR49" s="28"/>
      <c r="BS49" s="26" t="s">
        <v>20</v>
      </c>
      <c r="BT49" s="26"/>
      <c r="BU49" s="32"/>
      <c r="BV49" s="33"/>
      <c r="BW49" s="33"/>
      <c r="BX49" s="33"/>
      <c r="BY49" s="33"/>
      <c r="BZ49" s="33"/>
      <c r="CA49" s="33"/>
      <c r="CB49" s="35"/>
      <c r="CC49" s="33"/>
      <c r="CD49" s="33"/>
      <c r="CE49" s="34"/>
      <c r="CF49" s="36"/>
      <c r="CG49" s="26"/>
      <c r="CH49" s="28"/>
      <c r="CI49" s="28"/>
      <c r="CJ49" s="28"/>
      <c r="CK49" s="28"/>
      <c r="CL49" s="26"/>
      <c r="CM49" s="28"/>
      <c r="CN49" s="28"/>
      <c r="CO49" s="28"/>
      <c r="CP49" s="26"/>
      <c r="CQ49" s="28"/>
      <c r="CR49" s="28"/>
      <c r="CS49" s="28"/>
      <c r="CT49" s="28"/>
      <c r="CU49" s="26"/>
      <c r="CV49" s="31"/>
      <c r="CW49" s="26"/>
      <c r="CX49" s="26"/>
      <c r="CY49" s="26"/>
      <c r="CZ49" s="31"/>
      <c r="DA49" s="32"/>
      <c r="DB49" s="26" t="s">
        <v>20</v>
      </c>
      <c r="DC49" s="28"/>
      <c r="DD49" s="28"/>
      <c r="DE49" s="26"/>
      <c r="DF49" s="26"/>
      <c r="DG49" s="26" t="s">
        <v>22</v>
      </c>
      <c r="DH49" s="26"/>
      <c r="DI49" s="26"/>
      <c r="DJ49" s="28"/>
      <c r="DK49" s="28"/>
      <c r="DL49" s="28"/>
      <c r="DM49" s="28"/>
      <c r="DN49" s="28"/>
      <c r="DO49" s="37" t="s">
        <v>21</v>
      </c>
      <c r="DP49" s="28"/>
      <c r="DQ49" s="28"/>
      <c r="DR49" s="28"/>
      <c r="DS49" s="28"/>
      <c r="DT49" s="28"/>
      <c r="DU49" s="28"/>
      <c r="DV49" s="28"/>
      <c r="DW49" s="26"/>
      <c r="DX49" s="26"/>
      <c r="DY49" s="26" t="s">
        <v>19</v>
      </c>
      <c r="DZ49" s="28"/>
      <c r="EA49" s="28"/>
      <c r="EB49" s="31"/>
      <c r="EC49" s="26"/>
      <c r="ED49" s="31"/>
      <c r="EE49" s="26"/>
      <c r="EF49" s="32"/>
      <c r="EG49" s="26" t="s">
        <v>19</v>
      </c>
      <c r="EH49" s="26"/>
      <c r="EI49" s="28"/>
      <c r="EJ49" s="28"/>
      <c r="EK49" s="26"/>
      <c r="EL49" s="28"/>
      <c r="EM49" s="28"/>
      <c r="EN49" s="26"/>
      <c r="EO49" s="26"/>
      <c r="EP49" s="28"/>
      <c r="EQ49" s="28"/>
      <c r="ER49" s="26"/>
      <c r="ES49" s="65" t="s">
        <v>22</v>
      </c>
      <c r="ET49" s="26"/>
      <c r="EU49" s="26"/>
      <c r="EV49" s="28"/>
      <c r="EW49" s="28"/>
      <c r="EX49" s="37" t="s">
        <v>21</v>
      </c>
      <c r="EY49" s="28"/>
      <c r="EZ49" s="28"/>
      <c r="FA49" s="28"/>
      <c r="FB49" s="28"/>
      <c r="FC49" s="28"/>
      <c r="FD49" s="28"/>
      <c r="FE49" s="28"/>
      <c r="FF49" s="28"/>
      <c r="FG49" s="26"/>
      <c r="FH49" s="26"/>
      <c r="FI49" s="37" t="s">
        <v>21</v>
      </c>
      <c r="FJ49" s="31"/>
      <c r="FK49" s="31"/>
      <c r="FL49" s="32"/>
      <c r="FM49" s="37" t="s">
        <v>21</v>
      </c>
      <c r="FN49" s="26"/>
      <c r="FO49" s="28"/>
      <c r="FP49" s="37" t="s">
        <v>19</v>
      </c>
      <c r="FQ49" s="26"/>
      <c r="FR49" s="28"/>
      <c r="FS49" s="28"/>
      <c r="FT49" s="28"/>
      <c r="FU49" s="26"/>
      <c r="FV49" s="28"/>
      <c r="FW49" s="37" t="s">
        <v>21</v>
      </c>
      <c r="FX49" s="26"/>
      <c r="FY49" s="28"/>
      <c r="FZ49" s="28"/>
      <c r="GA49" s="28"/>
      <c r="GB49" s="26"/>
      <c r="GC49" s="26"/>
      <c r="GD49" s="28"/>
      <c r="GE49" s="28"/>
      <c r="GF49" s="28"/>
      <c r="GG49" s="28"/>
      <c r="GH49" s="28"/>
      <c r="GI49" s="26"/>
      <c r="GJ49" s="26" t="s">
        <v>20</v>
      </c>
      <c r="GK49" s="28"/>
      <c r="GL49" s="28"/>
      <c r="GM49" s="31"/>
      <c r="GN49" s="26"/>
      <c r="GO49" s="31"/>
      <c r="GP49" s="31"/>
      <c r="GQ49" s="38"/>
      <c r="GR49" s="39"/>
      <c r="GS49" s="39"/>
      <c r="GT49" s="39"/>
      <c r="GU49" s="39"/>
      <c r="GV49" s="39"/>
      <c r="GW49" s="39"/>
      <c r="GX49" s="39"/>
      <c r="GY49" s="39"/>
      <c r="GZ49" s="40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40"/>
      <c r="HM49" s="40"/>
      <c r="HN49" s="39"/>
      <c r="HO49" s="39"/>
      <c r="HP49" s="39"/>
      <c r="HQ49" s="39"/>
      <c r="HR49" s="39"/>
      <c r="HS49" s="39"/>
      <c r="HT49" s="39"/>
      <c r="HU49" s="40"/>
      <c r="HV49" s="39"/>
      <c r="HW49" s="38"/>
      <c r="HX49" s="41"/>
      <c r="HY49" s="39"/>
      <c r="HZ49" s="39"/>
      <c r="IA49" s="39"/>
      <c r="IB49" s="39"/>
      <c r="IC49" s="39"/>
      <c r="ID49" s="40"/>
      <c r="IE49" s="39"/>
      <c r="IF49" s="39"/>
      <c r="IG49" s="39"/>
      <c r="IH49" s="40"/>
      <c r="II49" s="40"/>
      <c r="IJ49" s="42"/>
      <c r="IK49" s="42"/>
      <c r="IL49" s="39"/>
      <c r="IM49" s="39"/>
      <c r="IN49" s="39"/>
      <c r="IO49" s="42"/>
      <c r="IP49" s="40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8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8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40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8"/>
      <c r="LO49" s="39"/>
      <c r="LP49" s="39"/>
      <c r="LQ49" s="40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9"/>
      <c r="MM49" s="39"/>
      <c r="MN49" s="39"/>
      <c r="MO49" s="39"/>
      <c r="MP49" s="39"/>
      <c r="MQ49" s="39"/>
      <c r="MR49" s="39"/>
      <c r="MS49" s="38"/>
      <c r="MT49" s="39"/>
      <c r="MU49" s="39"/>
      <c r="MV49" s="39"/>
      <c r="MW49" s="39"/>
      <c r="MX49" s="39"/>
      <c r="MY49" s="39"/>
      <c r="MZ49" s="39"/>
      <c r="NA49" s="39"/>
      <c r="NB49" s="39"/>
      <c r="NC49" s="39"/>
      <c r="ND49" s="39"/>
      <c r="NE49" s="39"/>
      <c r="NF49" s="39"/>
      <c r="NG49" s="39"/>
      <c r="NH49" s="39"/>
      <c r="NI49" s="39"/>
      <c r="NJ49" s="39"/>
      <c r="NK49" s="39"/>
      <c r="NL49" s="39"/>
      <c r="NM49" s="39"/>
      <c r="NN49" s="39"/>
      <c r="NO49" s="39"/>
      <c r="NP49" s="39"/>
      <c r="NQ49" s="39"/>
      <c r="NR49" s="39"/>
      <c r="NS49" s="39"/>
      <c r="NT49" s="39"/>
      <c r="NU49" s="39"/>
      <c r="NV49" s="39"/>
      <c r="NW49" s="39"/>
      <c r="NX49" s="39"/>
      <c r="NY49" s="38"/>
    </row>
    <row r="50">
      <c r="A50" s="45" t="s">
        <v>440</v>
      </c>
      <c r="B50" s="26" t="str">
        <f>IFERROR(__xludf.DUMMYFUNCTION("VLOOKUP(A50, IMPORTRANGE(""https://docs.google.com/spreadsheets/d/1KpTMcNM9m1P7u9qCVzob8p1-RZoC1ejaYs5CdpAbWFY/edit?gid=260580969#gid=260580969"", ""2025 EMP PROFILE DATA!a1:W98""), 22, FALSE)"),"#REF!")</f>
        <v>#REF!</v>
      </c>
      <c r="C50" s="45">
        <f t="shared" si="1"/>
        <v>0</v>
      </c>
      <c r="D50" s="45">
        <f t="shared" si="2"/>
        <v>6</v>
      </c>
      <c r="E50" s="45">
        <f t="shared" si="3"/>
        <v>0</v>
      </c>
      <c r="F50" s="45">
        <f t="shared" si="4"/>
        <v>0</v>
      </c>
      <c r="G50" s="46">
        <f t="shared" si="5"/>
        <v>0</v>
      </c>
      <c r="H50" s="46">
        <f t="shared" si="6"/>
        <v>0</v>
      </c>
      <c r="I50" s="28">
        <f t="shared" si="7"/>
        <v>0</v>
      </c>
      <c r="J50" s="26">
        <v>0.0</v>
      </c>
      <c r="K50" s="26">
        <v>0.0</v>
      </c>
      <c r="L50" s="49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29"/>
      <c r="AS50" s="28"/>
      <c r="AT50" s="28"/>
      <c r="AU50" s="28"/>
      <c r="AV50" s="28"/>
      <c r="AW50" s="26" t="s">
        <v>20</v>
      </c>
      <c r="AX50" s="26" t="s">
        <v>20</v>
      </c>
      <c r="AY50" s="28"/>
      <c r="AZ50" s="26"/>
      <c r="BA50" s="28"/>
      <c r="BB50" s="26"/>
      <c r="BC50" s="28"/>
      <c r="BD50" s="28"/>
      <c r="BE50" s="26"/>
      <c r="BF50" s="28"/>
      <c r="BG50" s="28"/>
      <c r="BH50" s="26"/>
      <c r="BI50" s="26"/>
      <c r="BJ50" s="26"/>
      <c r="BK50" s="28"/>
      <c r="BL50" s="28"/>
      <c r="BM50" s="26"/>
      <c r="BN50" s="28"/>
      <c r="BO50" s="28"/>
      <c r="BP50" s="28"/>
      <c r="BQ50" s="28"/>
      <c r="BR50" s="28"/>
      <c r="BS50" s="31"/>
      <c r="BT50" s="26"/>
      <c r="BU50" s="32"/>
      <c r="BV50" s="33"/>
      <c r="BW50" s="33"/>
      <c r="BX50" s="33"/>
      <c r="BY50" s="33"/>
      <c r="BZ50" s="33"/>
      <c r="CA50" s="33"/>
      <c r="CB50" s="35"/>
      <c r="CC50" s="33"/>
      <c r="CD50" s="33"/>
      <c r="CE50" s="34"/>
      <c r="CF50" s="36"/>
      <c r="CG50" s="26"/>
      <c r="CH50" s="28"/>
      <c r="CI50" s="28"/>
      <c r="CJ50" s="28"/>
      <c r="CK50" s="28"/>
      <c r="CL50" s="26"/>
      <c r="CM50" s="26" t="s">
        <v>20</v>
      </c>
      <c r="CN50" s="28"/>
      <c r="CO50" s="28"/>
      <c r="CP50" s="26"/>
      <c r="CQ50" s="28"/>
      <c r="CR50" s="28"/>
      <c r="CS50" s="28"/>
      <c r="CT50" s="28"/>
      <c r="CU50" s="26"/>
      <c r="CV50" s="31"/>
      <c r="CW50" s="26"/>
      <c r="CX50" s="26"/>
      <c r="CY50" s="26"/>
      <c r="CZ50" s="31"/>
      <c r="DA50" s="32"/>
      <c r="DB50" s="28"/>
      <c r="DC50" s="28"/>
      <c r="DD50" s="28"/>
      <c r="DE50" s="26"/>
      <c r="DF50" s="26"/>
      <c r="DG50" s="26"/>
      <c r="DH50" s="26"/>
      <c r="DI50" s="26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6"/>
      <c r="DX50" s="26"/>
      <c r="DY50" s="28"/>
      <c r="DZ50" s="28"/>
      <c r="EA50" s="28"/>
      <c r="EB50" s="31"/>
      <c r="EC50" s="26"/>
      <c r="ED50" s="58" t="s">
        <v>20</v>
      </c>
      <c r="EE50" s="26"/>
      <c r="EF50" s="32"/>
      <c r="EG50" s="26" t="s">
        <v>20</v>
      </c>
      <c r="EH50" s="26"/>
      <c r="EI50" s="28"/>
      <c r="EJ50" s="28"/>
      <c r="EK50" s="26"/>
      <c r="EL50" s="28"/>
      <c r="EM50" s="28"/>
      <c r="EN50" s="26"/>
      <c r="EO50" s="26"/>
      <c r="EP50" s="28"/>
      <c r="EQ50" s="28"/>
      <c r="ER50" s="26"/>
      <c r="ES50" s="28"/>
      <c r="ET50" s="26"/>
      <c r="EU50" s="26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6"/>
      <c r="FH50" s="26"/>
      <c r="FI50" s="31"/>
      <c r="FJ50" s="31"/>
      <c r="FK50" s="31"/>
      <c r="FL50" s="32"/>
      <c r="FM50" s="28"/>
      <c r="FN50" s="26"/>
      <c r="FO50" s="28"/>
      <c r="FP50" s="28"/>
      <c r="FQ50" s="26"/>
      <c r="FR50" s="28"/>
      <c r="FS50" s="28"/>
      <c r="FT50" s="28"/>
      <c r="FU50" s="26"/>
      <c r="FV50" s="28"/>
      <c r="FW50" s="28"/>
      <c r="FX50" s="26"/>
      <c r="FY50" s="28"/>
      <c r="FZ50" s="28"/>
      <c r="GA50" s="28"/>
      <c r="GB50" s="26"/>
      <c r="GC50" s="26"/>
      <c r="GD50" s="28"/>
      <c r="GE50" s="28"/>
      <c r="GF50" s="28"/>
      <c r="GG50" s="28"/>
      <c r="GH50" s="28"/>
      <c r="GI50" s="26"/>
      <c r="GJ50" s="28"/>
      <c r="GK50" s="28"/>
      <c r="GL50" s="28"/>
      <c r="GM50" s="31"/>
      <c r="GN50" s="26"/>
      <c r="GO50" s="31"/>
      <c r="GP50" s="31"/>
      <c r="GQ50" s="38"/>
      <c r="GR50" s="39"/>
      <c r="GS50" s="39"/>
      <c r="GT50" s="26" t="s">
        <v>20</v>
      </c>
      <c r="GU50" s="39"/>
      <c r="GV50" s="39"/>
      <c r="GW50" s="39"/>
      <c r="GX50" s="39"/>
      <c r="GY50" s="39"/>
      <c r="GZ50" s="40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40"/>
      <c r="HM50" s="40"/>
      <c r="HN50" s="39"/>
      <c r="HO50" s="39"/>
      <c r="HP50" s="39"/>
      <c r="HQ50" s="39"/>
      <c r="HR50" s="39"/>
      <c r="HS50" s="39"/>
      <c r="HT50" s="39"/>
      <c r="HU50" s="40"/>
      <c r="HV50" s="39"/>
      <c r="HW50" s="38"/>
      <c r="HX50" s="41"/>
      <c r="HY50" s="39"/>
      <c r="HZ50" s="39"/>
      <c r="IA50" s="39"/>
      <c r="IB50" s="39"/>
      <c r="IC50" s="39"/>
      <c r="ID50" s="40"/>
      <c r="IE50" s="39"/>
      <c r="IF50" s="39"/>
      <c r="IG50" s="39"/>
      <c r="IH50" s="40"/>
      <c r="II50" s="40"/>
      <c r="IJ50" s="42"/>
      <c r="IK50" s="42"/>
      <c r="IL50" s="39"/>
      <c r="IM50" s="39"/>
      <c r="IN50" s="39"/>
      <c r="IO50" s="42"/>
      <c r="IP50" s="40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8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8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40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8"/>
      <c r="LO50" s="39"/>
      <c r="LP50" s="39"/>
      <c r="LQ50" s="40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9"/>
      <c r="MM50" s="39"/>
      <c r="MN50" s="39"/>
      <c r="MO50" s="39"/>
      <c r="MP50" s="39"/>
      <c r="MQ50" s="39"/>
      <c r="MR50" s="39"/>
      <c r="MS50" s="38"/>
      <c r="MT50" s="39"/>
      <c r="MU50" s="39"/>
      <c r="MV50" s="39"/>
      <c r="MW50" s="39"/>
      <c r="MX50" s="39"/>
      <c r="MY50" s="39"/>
      <c r="MZ50" s="39"/>
      <c r="NA50" s="39"/>
      <c r="NB50" s="39"/>
      <c r="NC50" s="39"/>
      <c r="ND50" s="39"/>
      <c r="NE50" s="39"/>
      <c r="NF50" s="39"/>
      <c r="NG50" s="39"/>
      <c r="NH50" s="39"/>
      <c r="NI50" s="39"/>
      <c r="NJ50" s="39"/>
      <c r="NK50" s="39"/>
      <c r="NL50" s="39"/>
      <c r="NM50" s="39"/>
      <c r="NN50" s="39"/>
      <c r="NO50" s="39"/>
      <c r="NP50" s="39"/>
      <c r="NQ50" s="39"/>
      <c r="NR50" s="39"/>
      <c r="NS50" s="39"/>
      <c r="NT50" s="39"/>
      <c r="NU50" s="39"/>
      <c r="NV50" s="39"/>
      <c r="NW50" s="39"/>
      <c r="NX50" s="39"/>
      <c r="NY50" s="38"/>
    </row>
    <row r="51">
      <c r="A51" s="66" t="s">
        <v>441</v>
      </c>
      <c r="B51" s="26" t="str">
        <f>IFERROR(__xludf.DUMMYFUNCTION("VLOOKUP(A51, IMPORTRANGE(""https://docs.google.com/spreadsheets/d/1KpTMcNM9m1P7u9qCVzob8p1-RZoC1ejaYs5CdpAbWFY/edit?gid=260580969#gid=260580969"", ""2025 EMP PROFILE DATA!a1:W98""), 22, FALSE)"),"#REF!")</f>
        <v>#REF!</v>
      </c>
      <c r="C51" s="67">
        <f t="shared" si="1"/>
        <v>1</v>
      </c>
      <c r="D51" s="67">
        <f t="shared" si="2"/>
        <v>2</v>
      </c>
      <c r="E51" s="67">
        <f t="shared" si="3"/>
        <v>1</v>
      </c>
      <c r="F51" s="67">
        <f t="shared" si="4"/>
        <v>0</v>
      </c>
      <c r="G51" s="68">
        <f t="shared" si="5"/>
        <v>0.002525252525</v>
      </c>
      <c r="H51" s="68">
        <f t="shared" si="6"/>
        <v>0.002525252525</v>
      </c>
      <c r="I51" s="28">
        <f t="shared" si="7"/>
        <v>5</v>
      </c>
      <c r="J51" s="26">
        <v>0.0</v>
      </c>
      <c r="K51" s="26">
        <v>0.0</v>
      </c>
      <c r="L51" s="52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38"/>
      <c r="AS51" s="67"/>
      <c r="AT51" s="67"/>
      <c r="AU51" s="67"/>
      <c r="AV51" s="37" t="s">
        <v>21</v>
      </c>
      <c r="AW51" s="67"/>
      <c r="AX51" s="67"/>
      <c r="AY51" s="67"/>
      <c r="AZ51" s="67"/>
      <c r="BA51" s="67"/>
      <c r="BB51" s="67"/>
      <c r="BC51" s="67"/>
      <c r="BD51" s="67"/>
      <c r="BE51" s="67"/>
      <c r="BF51" s="66"/>
      <c r="BG51" s="67"/>
      <c r="BH51" s="66"/>
      <c r="BI51" s="67"/>
      <c r="BJ51" s="67"/>
      <c r="BK51" s="66"/>
      <c r="BL51" s="66"/>
      <c r="BM51" s="66"/>
      <c r="BN51" s="66"/>
      <c r="BO51" s="67"/>
      <c r="BP51" s="67"/>
      <c r="BQ51" s="67"/>
      <c r="BR51" s="67"/>
      <c r="BS51" s="69"/>
      <c r="BT51" s="69"/>
      <c r="BU51" s="38"/>
      <c r="BV51" s="67"/>
      <c r="BW51" s="67"/>
      <c r="BX51" s="67"/>
      <c r="BY51" s="67"/>
      <c r="BZ51" s="67"/>
      <c r="CA51" s="67"/>
      <c r="CB51" s="67"/>
      <c r="CC51" s="67"/>
      <c r="CD51" s="67"/>
      <c r="CE51" s="67"/>
      <c r="CF51" s="67"/>
      <c r="CG51" s="67"/>
      <c r="CH51" s="67"/>
      <c r="CI51" s="67"/>
      <c r="CJ51" s="67"/>
      <c r="CK51" s="67"/>
      <c r="CL51" s="67"/>
      <c r="CM51" s="67"/>
      <c r="CN51" s="67"/>
      <c r="CO51" s="67"/>
      <c r="CP51" s="67"/>
      <c r="CQ51" s="67"/>
      <c r="CR51" s="67"/>
      <c r="CS51" s="67"/>
      <c r="CT51" s="67"/>
      <c r="CU51" s="67"/>
      <c r="CV51" s="69"/>
      <c r="CW51" s="69"/>
      <c r="CX51" s="69"/>
      <c r="CY51" s="69"/>
      <c r="CZ51" s="69"/>
      <c r="DA51" s="38"/>
      <c r="DB51" s="67"/>
      <c r="DC51" s="67"/>
      <c r="DD51" s="66"/>
      <c r="DE51" s="67"/>
      <c r="DF51" s="67"/>
      <c r="DG51" s="67"/>
      <c r="DH51" s="66"/>
      <c r="DI51" s="67"/>
      <c r="DJ51" s="67"/>
      <c r="DK51" s="67"/>
      <c r="DL51" s="67"/>
      <c r="DM51" s="67"/>
      <c r="DN51" s="67"/>
      <c r="DO51" s="67"/>
      <c r="DP51" s="67"/>
      <c r="DQ51" s="67"/>
      <c r="DR51" s="67"/>
      <c r="DS51" s="67"/>
      <c r="DT51" s="67"/>
      <c r="DU51" s="67"/>
      <c r="DV51" s="67"/>
      <c r="DW51" s="67"/>
      <c r="DX51" s="67"/>
      <c r="DY51" s="67"/>
      <c r="DZ51" s="67"/>
      <c r="EA51" s="67"/>
      <c r="EB51" s="69"/>
      <c r="EC51" s="69"/>
      <c r="ED51" s="69"/>
      <c r="EE51" s="69"/>
      <c r="EF51" s="38"/>
      <c r="EG51" s="67"/>
      <c r="EH51" s="67"/>
      <c r="EI51" s="67"/>
      <c r="EJ51" s="66" t="s">
        <v>20</v>
      </c>
      <c r="EK51" s="66" t="s">
        <v>20</v>
      </c>
      <c r="EL51" s="67"/>
      <c r="EM51" s="67"/>
      <c r="EN51" s="67"/>
      <c r="EO51" s="67"/>
      <c r="EP51" s="67"/>
      <c r="EQ51" s="67"/>
      <c r="ER51" s="67"/>
      <c r="ES51" s="67"/>
      <c r="ET51" s="67"/>
      <c r="EU51" s="67"/>
      <c r="EV51" s="67"/>
      <c r="EW51" s="67"/>
      <c r="EX51" s="67"/>
      <c r="EY51" s="67"/>
      <c r="EZ51" s="67"/>
      <c r="FA51" s="67"/>
      <c r="FB51" s="67"/>
      <c r="FC51" s="67"/>
      <c r="FD51" s="67"/>
      <c r="FE51" s="67"/>
      <c r="FF51" s="67"/>
      <c r="FG51" s="69"/>
      <c r="FH51" s="69"/>
      <c r="FI51" s="69"/>
      <c r="FJ51" s="69"/>
      <c r="FK51" s="69"/>
      <c r="FL51" s="38"/>
      <c r="FM51" s="67"/>
      <c r="FN51" s="67"/>
      <c r="FO51" s="67"/>
      <c r="FP51" s="67"/>
      <c r="FQ51" s="67"/>
      <c r="FR51" s="67"/>
      <c r="FS51" s="67"/>
      <c r="FT51" s="67"/>
      <c r="FU51" s="67"/>
      <c r="FV51" s="67"/>
      <c r="FW51" s="67"/>
      <c r="FX51" s="67"/>
      <c r="FY51" s="37" t="s">
        <v>19</v>
      </c>
      <c r="FZ51" s="67"/>
      <c r="GA51" s="67"/>
      <c r="GB51" s="67"/>
      <c r="GC51" s="67"/>
      <c r="GD51" s="67"/>
      <c r="GE51" s="67"/>
      <c r="GF51" s="67"/>
      <c r="GG51" s="67"/>
      <c r="GH51" s="67"/>
      <c r="GI51" s="67"/>
      <c r="GJ51" s="67"/>
      <c r="GK51" s="67"/>
      <c r="GL51" s="67"/>
      <c r="GM51" s="69"/>
      <c r="GN51" s="69"/>
      <c r="GO51" s="69"/>
      <c r="GP51" s="69"/>
      <c r="GQ51" s="38"/>
      <c r="GR51" s="70"/>
      <c r="GS51" s="70"/>
      <c r="GT51" s="70"/>
      <c r="GU51" s="70"/>
      <c r="GV51" s="70"/>
      <c r="GW51" s="70"/>
      <c r="GX51" s="70"/>
      <c r="GY51" s="70"/>
      <c r="GZ51" s="70"/>
      <c r="HA51" s="70"/>
      <c r="HB51" s="70"/>
      <c r="HC51" s="70"/>
      <c r="HD51" s="70"/>
      <c r="HE51" s="70"/>
      <c r="HF51" s="70"/>
      <c r="HG51" s="70"/>
      <c r="HH51" s="70"/>
      <c r="HI51" s="70"/>
      <c r="HJ51" s="70"/>
      <c r="HK51" s="70"/>
      <c r="HL51" s="70"/>
      <c r="HM51" s="70"/>
      <c r="HN51" s="70"/>
      <c r="HO51" s="70"/>
      <c r="HP51" s="70"/>
      <c r="HQ51" s="70"/>
      <c r="HR51" s="70"/>
      <c r="HS51" s="70"/>
      <c r="HT51" s="70"/>
      <c r="HU51" s="70"/>
      <c r="HV51" s="70"/>
      <c r="HW51" s="38"/>
      <c r="HX51" s="70"/>
      <c r="HY51" s="70"/>
      <c r="HZ51" s="70"/>
      <c r="IA51" s="70"/>
      <c r="IB51" s="70"/>
      <c r="IC51" s="70"/>
      <c r="ID51" s="70"/>
      <c r="IE51" s="70"/>
      <c r="IF51" s="70"/>
      <c r="IG51" s="70"/>
      <c r="IH51" s="70"/>
      <c r="II51" s="70"/>
      <c r="IJ51" s="70"/>
      <c r="IK51" s="70"/>
      <c r="IL51" s="70"/>
      <c r="IM51" s="70"/>
      <c r="IN51" s="70"/>
      <c r="IO51" s="70"/>
      <c r="IP51" s="70"/>
      <c r="IQ51" s="70"/>
      <c r="IR51" s="70"/>
      <c r="IS51" s="70"/>
      <c r="IT51" s="70"/>
      <c r="IU51" s="70"/>
      <c r="IV51" s="70"/>
      <c r="IW51" s="70"/>
      <c r="IX51" s="70"/>
      <c r="IY51" s="70"/>
      <c r="IZ51" s="70"/>
      <c r="JA51" s="70"/>
      <c r="JB51" s="70"/>
      <c r="JC51" s="38"/>
      <c r="JD51" s="70"/>
      <c r="JE51" s="70"/>
      <c r="JF51" s="70"/>
      <c r="JG51" s="70"/>
      <c r="JH51" s="70"/>
      <c r="JI51" s="70"/>
      <c r="JJ51" s="70"/>
      <c r="JK51" s="70"/>
      <c r="JL51" s="70"/>
      <c r="JM51" s="70"/>
      <c r="JN51" s="70"/>
      <c r="JO51" s="70"/>
      <c r="JP51" s="70"/>
      <c r="JQ51" s="70"/>
      <c r="JR51" s="70"/>
      <c r="JS51" s="70"/>
      <c r="JT51" s="70"/>
      <c r="JU51" s="70"/>
      <c r="JV51" s="70"/>
      <c r="JW51" s="70"/>
      <c r="JX51" s="70"/>
      <c r="JY51" s="70"/>
      <c r="JZ51" s="70"/>
      <c r="KA51" s="70"/>
      <c r="KB51" s="70"/>
      <c r="KC51" s="70"/>
      <c r="KD51" s="70"/>
      <c r="KE51" s="70"/>
      <c r="KF51" s="70"/>
      <c r="KG51" s="70"/>
      <c r="KH51" s="38"/>
      <c r="KI51" s="70"/>
      <c r="KJ51" s="70"/>
      <c r="KK51" s="70"/>
      <c r="KL51" s="70"/>
      <c r="KM51" s="70"/>
      <c r="KN51" s="70"/>
      <c r="KO51" s="70"/>
      <c r="KP51" s="70"/>
      <c r="KQ51" s="70"/>
      <c r="KR51" s="70"/>
      <c r="KS51" s="70"/>
      <c r="KT51" s="70"/>
      <c r="KU51" s="70"/>
      <c r="KV51" s="70"/>
      <c r="KW51" s="70"/>
      <c r="KX51" s="70"/>
      <c r="KY51" s="70"/>
      <c r="KZ51" s="70"/>
      <c r="LA51" s="70"/>
      <c r="LB51" s="70"/>
      <c r="LC51" s="70"/>
      <c r="LD51" s="70"/>
      <c r="LE51" s="70"/>
      <c r="LF51" s="70"/>
      <c r="LG51" s="70"/>
      <c r="LH51" s="70"/>
      <c r="LI51" s="70"/>
      <c r="LJ51" s="70"/>
      <c r="LK51" s="70"/>
      <c r="LL51" s="70"/>
      <c r="LM51" s="70"/>
      <c r="LN51" s="38"/>
      <c r="LO51" s="70"/>
      <c r="LP51" s="70"/>
      <c r="LQ51" s="70"/>
      <c r="LR51" s="70"/>
      <c r="LS51" s="70"/>
      <c r="LT51" s="70"/>
      <c r="LU51" s="70"/>
      <c r="LV51" s="70"/>
      <c r="LW51" s="70"/>
      <c r="LX51" s="70"/>
      <c r="LY51" s="70"/>
      <c r="LZ51" s="70"/>
      <c r="MA51" s="70"/>
      <c r="MB51" s="70"/>
      <c r="MC51" s="70"/>
      <c r="MD51" s="70"/>
      <c r="ME51" s="70"/>
      <c r="MF51" s="70"/>
      <c r="MG51" s="70"/>
      <c r="MH51" s="70"/>
      <c r="MI51" s="70"/>
      <c r="MJ51" s="70"/>
      <c r="MK51" s="70"/>
      <c r="ML51" s="70"/>
      <c r="MM51" s="70"/>
      <c r="MN51" s="70"/>
      <c r="MO51" s="70"/>
      <c r="MP51" s="70"/>
      <c r="MQ51" s="70"/>
      <c r="MR51" s="70"/>
      <c r="MS51" s="38"/>
      <c r="MT51" s="70"/>
      <c r="MU51" s="70"/>
      <c r="MV51" s="70"/>
      <c r="MW51" s="70"/>
      <c r="MX51" s="70"/>
      <c r="MY51" s="70"/>
      <c r="MZ51" s="70"/>
      <c r="NA51" s="70"/>
      <c r="NB51" s="70"/>
      <c r="NC51" s="70"/>
      <c r="ND51" s="70"/>
      <c r="NE51" s="70"/>
      <c r="NF51" s="70"/>
      <c r="NG51" s="70"/>
      <c r="NH51" s="70"/>
      <c r="NI51" s="70"/>
      <c r="NJ51" s="70"/>
      <c r="NK51" s="70"/>
      <c r="NL51" s="70"/>
      <c r="NM51" s="70"/>
      <c r="NN51" s="70"/>
      <c r="NO51" s="70"/>
      <c r="NP51" s="70"/>
      <c r="NQ51" s="70"/>
      <c r="NR51" s="70"/>
      <c r="NS51" s="70"/>
      <c r="NT51" s="70"/>
      <c r="NU51" s="70"/>
      <c r="NV51" s="70"/>
      <c r="NW51" s="70"/>
      <c r="NX51" s="70"/>
      <c r="NY51" s="38"/>
    </row>
    <row r="52">
      <c r="A52" s="45" t="s">
        <v>442</v>
      </c>
      <c r="B52" s="26" t="str">
        <f>IFERROR(__xludf.DUMMYFUNCTION("VLOOKUP(A52, IMPORTRANGE(""https://docs.google.com/spreadsheets/d/1KpTMcNM9m1P7u9qCVzob8p1-RZoC1ejaYs5CdpAbWFY/edit?gid=260580969#gid=260580969"", ""2025 EMP PROFILE DATA!a1:W98""), 22, FALSE)"),"#REF!")</f>
        <v>#REF!</v>
      </c>
      <c r="C52" s="45">
        <f t="shared" si="1"/>
        <v>0</v>
      </c>
      <c r="D52" s="45">
        <f t="shared" si="2"/>
        <v>0</v>
      </c>
      <c r="E52" s="45">
        <f t="shared" si="3"/>
        <v>0</v>
      </c>
      <c r="F52" s="45">
        <f t="shared" si="4"/>
        <v>0</v>
      </c>
      <c r="G52" s="46">
        <f t="shared" si="5"/>
        <v>0</v>
      </c>
      <c r="H52" s="46">
        <f t="shared" si="6"/>
        <v>0</v>
      </c>
      <c r="I52" s="28">
        <f t="shared" si="7"/>
        <v>0</v>
      </c>
      <c r="J52" s="26">
        <v>0.0</v>
      </c>
      <c r="K52" s="26">
        <v>0.0</v>
      </c>
      <c r="L52" s="49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29"/>
      <c r="AS52" s="28"/>
      <c r="AT52" s="28"/>
      <c r="AU52" s="28"/>
      <c r="AV52" s="28"/>
      <c r="AW52" s="26"/>
      <c r="AX52" s="28"/>
      <c r="AY52" s="28"/>
      <c r="AZ52" s="26"/>
      <c r="BA52" s="28"/>
      <c r="BB52" s="26"/>
      <c r="BC52" s="28"/>
      <c r="BD52" s="28"/>
      <c r="BE52" s="26"/>
      <c r="BF52" s="28"/>
      <c r="BG52" s="28"/>
      <c r="BH52" s="26"/>
      <c r="BI52" s="26"/>
      <c r="BJ52" s="26"/>
      <c r="BK52" s="28"/>
      <c r="BL52" s="28"/>
      <c r="BM52" s="26"/>
      <c r="BN52" s="28"/>
      <c r="BO52" s="28"/>
      <c r="BP52" s="28"/>
      <c r="BQ52" s="28"/>
      <c r="BR52" s="28"/>
      <c r="BS52" s="31"/>
      <c r="BT52" s="26"/>
      <c r="BU52" s="32"/>
      <c r="BV52" s="33"/>
      <c r="BW52" s="33"/>
      <c r="BX52" s="33"/>
      <c r="BY52" s="33"/>
      <c r="BZ52" s="33"/>
      <c r="CA52" s="33"/>
      <c r="CB52" s="35"/>
      <c r="CC52" s="33"/>
      <c r="CD52" s="33"/>
      <c r="CE52" s="34"/>
      <c r="CF52" s="36"/>
      <c r="CG52" s="26"/>
      <c r="CH52" s="28"/>
      <c r="CI52" s="28"/>
      <c r="CJ52" s="28"/>
      <c r="CK52" s="28"/>
      <c r="CL52" s="26"/>
      <c r="CM52" s="28"/>
      <c r="CN52" s="28"/>
      <c r="CO52" s="28"/>
      <c r="CP52" s="26"/>
      <c r="CQ52" s="28"/>
      <c r="CR52" s="28"/>
      <c r="CS52" s="28"/>
      <c r="CT52" s="28"/>
      <c r="CU52" s="26"/>
      <c r="CV52" s="31"/>
      <c r="CW52" s="26"/>
      <c r="CX52" s="26"/>
      <c r="CY52" s="26"/>
      <c r="CZ52" s="31"/>
      <c r="DA52" s="32"/>
      <c r="DB52" s="28"/>
      <c r="DC52" s="28"/>
      <c r="DD52" s="28"/>
      <c r="DE52" s="26"/>
      <c r="DF52" s="26"/>
      <c r="DG52" s="26"/>
      <c r="DH52" s="26"/>
      <c r="DI52" s="26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6"/>
      <c r="DX52" s="26"/>
      <c r="DY52" s="28"/>
      <c r="DZ52" s="28"/>
      <c r="EA52" s="28"/>
      <c r="EB52" s="31"/>
      <c r="EC52" s="26"/>
      <c r="ED52" s="31"/>
      <c r="EE52" s="26"/>
      <c r="EF52" s="32"/>
      <c r="EG52" s="28"/>
      <c r="EH52" s="26"/>
      <c r="EI52" s="28"/>
      <c r="EJ52" s="28"/>
      <c r="EK52" s="26"/>
      <c r="EL52" s="28"/>
      <c r="EM52" s="28"/>
      <c r="EN52" s="26"/>
      <c r="EO52" s="26"/>
      <c r="EP52" s="28"/>
      <c r="EQ52" s="28"/>
      <c r="ER52" s="26"/>
      <c r="ES52" s="28"/>
      <c r="ET52" s="26"/>
      <c r="EU52" s="26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6"/>
      <c r="FH52" s="26"/>
      <c r="FI52" s="31"/>
      <c r="FJ52" s="31"/>
      <c r="FK52" s="31"/>
      <c r="FL52" s="32"/>
      <c r="FM52" s="28"/>
      <c r="FN52" s="26"/>
      <c r="FO52" s="28"/>
      <c r="FP52" s="28"/>
      <c r="FQ52" s="26"/>
      <c r="FR52" s="28"/>
      <c r="FS52" s="28"/>
      <c r="FT52" s="28"/>
      <c r="FU52" s="26"/>
      <c r="FV52" s="28"/>
      <c r="FW52" s="28"/>
      <c r="FX52" s="26"/>
      <c r="FY52" s="28"/>
      <c r="FZ52" s="28"/>
      <c r="GA52" s="28"/>
      <c r="GB52" s="26"/>
      <c r="GC52" s="26"/>
      <c r="GD52" s="28"/>
      <c r="GE52" s="28"/>
      <c r="GF52" s="28"/>
      <c r="GG52" s="28"/>
      <c r="GH52" s="28"/>
      <c r="GI52" s="26"/>
      <c r="GJ52" s="28"/>
      <c r="GK52" s="28"/>
      <c r="GL52" s="28"/>
      <c r="GM52" s="31"/>
      <c r="GN52" s="26"/>
      <c r="GO52" s="31"/>
      <c r="GP52" s="31"/>
      <c r="GQ52" s="38"/>
      <c r="GR52" s="39"/>
      <c r="GS52" s="39"/>
      <c r="GT52" s="39"/>
      <c r="GU52" s="39"/>
      <c r="GV52" s="39"/>
      <c r="GW52" s="39"/>
      <c r="GX52" s="39"/>
      <c r="GY52" s="39"/>
      <c r="GZ52" s="40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40"/>
      <c r="HM52" s="40"/>
      <c r="HN52" s="39"/>
      <c r="HO52" s="39"/>
      <c r="HP52" s="39"/>
      <c r="HQ52" s="39"/>
      <c r="HR52" s="39"/>
      <c r="HS52" s="39"/>
      <c r="HT52" s="39"/>
      <c r="HU52" s="40"/>
      <c r="HV52" s="39"/>
      <c r="HW52" s="38"/>
      <c r="HX52" s="41"/>
      <c r="HY52" s="39"/>
      <c r="HZ52" s="39"/>
      <c r="IA52" s="39"/>
      <c r="IB52" s="39"/>
      <c r="IC52" s="39"/>
      <c r="ID52" s="40"/>
      <c r="IE52" s="39"/>
      <c r="IF52" s="39"/>
      <c r="IG52" s="39"/>
      <c r="IH52" s="40"/>
      <c r="II52" s="40"/>
      <c r="IJ52" s="42"/>
      <c r="IK52" s="42"/>
      <c r="IL52" s="39"/>
      <c r="IM52" s="39"/>
      <c r="IN52" s="39"/>
      <c r="IO52" s="42"/>
      <c r="IP52" s="40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8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8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40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8"/>
      <c r="LO52" s="39"/>
      <c r="LP52" s="39"/>
      <c r="LQ52" s="40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9"/>
      <c r="MM52" s="39"/>
      <c r="MN52" s="39"/>
      <c r="MO52" s="39"/>
      <c r="MP52" s="39"/>
      <c r="MQ52" s="39"/>
      <c r="MR52" s="39"/>
      <c r="MS52" s="38"/>
      <c r="MT52" s="39"/>
      <c r="MU52" s="39"/>
      <c r="MV52" s="39"/>
      <c r="MW52" s="39"/>
      <c r="MX52" s="39"/>
      <c r="MY52" s="39"/>
      <c r="MZ52" s="39"/>
      <c r="NA52" s="39"/>
      <c r="NB52" s="39"/>
      <c r="NC52" s="39"/>
      <c r="ND52" s="39"/>
      <c r="NE52" s="39"/>
      <c r="NF52" s="39"/>
      <c r="NG52" s="39"/>
      <c r="NH52" s="39"/>
      <c r="NI52" s="39"/>
      <c r="NJ52" s="39"/>
      <c r="NK52" s="39"/>
      <c r="NL52" s="39"/>
      <c r="NM52" s="39"/>
      <c r="NN52" s="39"/>
      <c r="NO52" s="39"/>
      <c r="NP52" s="39"/>
      <c r="NQ52" s="39"/>
      <c r="NR52" s="39"/>
      <c r="NS52" s="39"/>
      <c r="NT52" s="39"/>
      <c r="NU52" s="39"/>
      <c r="NV52" s="39"/>
      <c r="NW52" s="39"/>
      <c r="NX52" s="39"/>
      <c r="NY52" s="38"/>
    </row>
    <row r="53">
      <c r="A53" s="50" t="s">
        <v>443</v>
      </c>
      <c r="B53" s="26" t="str">
        <f>IFERROR(__xludf.DUMMYFUNCTION("VLOOKUP(A53, IMPORTRANGE(""https://docs.google.com/spreadsheets/d/1KpTMcNM9m1P7u9qCVzob8p1-RZoC1ejaYs5CdpAbWFY/edit?gid=260580969#gid=260580969"", ""2025 EMP PROFILE DATA!a1:W98""), 22, FALSE)"),"#REF!")</f>
        <v>#REF!</v>
      </c>
      <c r="C53" s="50">
        <f t="shared" si="1"/>
        <v>2</v>
      </c>
      <c r="D53" s="50">
        <f t="shared" si="2"/>
        <v>4</v>
      </c>
      <c r="E53" s="50">
        <f t="shared" si="3"/>
        <v>5</v>
      </c>
      <c r="F53" s="50">
        <f t="shared" si="4"/>
        <v>1</v>
      </c>
      <c r="G53" s="51">
        <f t="shared" si="5"/>
        <v>0.005050505051</v>
      </c>
      <c r="H53" s="51">
        <f t="shared" si="6"/>
        <v>0.01262626263</v>
      </c>
      <c r="I53" s="28">
        <f t="shared" si="7"/>
        <v>13</v>
      </c>
      <c r="J53" s="26">
        <v>0.0</v>
      </c>
      <c r="K53" s="26">
        <v>0.0</v>
      </c>
      <c r="L53" s="52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29"/>
      <c r="AS53" s="28"/>
      <c r="AT53" s="28"/>
      <c r="AU53" s="28"/>
      <c r="AV53" s="28"/>
      <c r="AW53" s="26"/>
      <c r="AX53" s="28"/>
      <c r="AY53" s="28"/>
      <c r="AZ53" s="26"/>
      <c r="BA53" s="28"/>
      <c r="BB53" s="26"/>
      <c r="BC53" s="28"/>
      <c r="BD53" s="28"/>
      <c r="BE53" s="26"/>
      <c r="BF53" s="28"/>
      <c r="BG53" s="28"/>
      <c r="BH53" s="26"/>
      <c r="BI53" s="26"/>
      <c r="BJ53" s="26"/>
      <c r="BK53" s="28"/>
      <c r="BL53" s="28"/>
      <c r="BM53" s="26"/>
      <c r="BN53" s="28"/>
      <c r="BO53" s="28"/>
      <c r="BP53" s="28"/>
      <c r="BQ53" s="28"/>
      <c r="BR53" s="26" t="s">
        <v>19</v>
      </c>
      <c r="BS53" s="31"/>
      <c r="BT53" s="26"/>
      <c r="BU53" s="32"/>
      <c r="BV53" s="33"/>
      <c r="BW53" s="33"/>
      <c r="BX53" s="33"/>
      <c r="BY53" s="33"/>
      <c r="BZ53" s="33"/>
      <c r="CA53" s="33"/>
      <c r="CB53" s="35"/>
      <c r="CC53" s="33"/>
      <c r="CD53" s="33"/>
      <c r="CE53" s="34"/>
      <c r="CF53" s="36"/>
      <c r="CG53" s="26"/>
      <c r="CH53" s="28"/>
      <c r="CI53" s="28"/>
      <c r="CJ53" s="28"/>
      <c r="CK53" s="28"/>
      <c r="CL53" s="26"/>
      <c r="CM53" s="28"/>
      <c r="CN53" s="37" t="s">
        <v>21</v>
      </c>
      <c r="CO53" s="28"/>
      <c r="CP53" s="26"/>
      <c r="CQ53" s="28"/>
      <c r="CR53" s="28"/>
      <c r="CS53" s="28"/>
      <c r="CT53" s="28"/>
      <c r="CU53" s="37" t="s">
        <v>21</v>
      </c>
      <c r="CV53" s="31"/>
      <c r="CW53" s="26"/>
      <c r="CX53" s="26"/>
      <c r="CY53" s="26" t="s">
        <v>19</v>
      </c>
      <c r="CZ53" s="31"/>
      <c r="DA53" s="32"/>
      <c r="DB53" s="28"/>
      <c r="DC53" s="28"/>
      <c r="DD53" s="28"/>
      <c r="DE53" s="26"/>
      <c r="DF53" s="26"/>
      <c r="DG53" s="26"/>
      <c r="DH53" s="26"/>
      <c r="DI53" s="26"/>
      <c r="DJ53" s="37" t="s">
        <v>21</v>
      </c>
      <c r="DK53" s="28"/>
      <c r="DL53" s="28"/>
      <c r="DM53" s="28"/>
      <c r="DN53" s="26" t="s">
        <v>20</v>
      </c>
      <c r="DO53" s="26" t="s">
        <v>20</v>
      </c>
      <c r="DP53" s="28"/>
      <c r="DQ53" s="28"/>
      <c r="DR53" s="28"/>
      <c r="DS53" s="28"/>
      <c r="DT53" s="28"/>
      <c r="DU53" s="26" t="s">
        <v>22</v>
      </c>
      <c r="DV53" s="28"/>
      <c r="DW53" s="26"/>
      <c r="DX53" s="26"/>
      <c r="DY53" s="28"/>
      <c r="DZ53" s="28"/>
      <c r="EA53" s="28"/>
      <c r="EB53" s="31"/>
      <c r="EC53" s="26"/>
      <c r="ED53" s="31"/>
      <c r="EE53" s="26"/>
      <c r="EF53" s="32"/>
      <c r="EG53" s="28"/>
      <c r="EH53" s="26"/>
      <c r="EI53" s="28"/>
      <c r="EJ53" s="28"/>
      <c r="EK53" s="26"/>
      <c r="EL53" s="28"/>
      <c r="EM53" s="28"/>
      <c r="EN53" s="26"/>
      <c r="EO53" s="26"/>
      <c r="EP53" s="28"/>
      <c r="EQ53" s="28"/>
      <c r="ER53" s="26"/>
      <c r="ES53" s="28"/>
      <c r="ET53" s="26"/>
      <c r="EU53" s="26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6"/>
      <c r="FH53" s="26"/>
      <c r="FI53" s="31"/>
      <c r="FJ53" s="58" t="s">
        <v>20</v>
      </c>
      <c r="FK53" s="31"/>
      <c r="FL53" s="32"/>
      <c r="FM53" s="28"/>
      <c r="FN53" s="26"/>
      <c r="FO53" s="28"/>
      <c r="FP53" s="28"/>
      <c r="FQ53" s="26"/>
      <c r="FR53" s="28"/>
      <c r="FS53" s="28"/>
      <c r="FT53" s="28"/>
      <c r="FU53" s="26"/>
      <c r="FV53" s="37" t="s">
        <v>21</v>
      </c>
      <c r="FW53" s="28"/>
      <c r="FX53" s="26"/>
      <c r="FY53" s="28"/>
      <c r="FZ53" s="28"/>
      <c r="GA53" s="28"/>
      <c r="GB53" s="26"/>
      <c r="GC53" s="37" t="s">
        <v>21</v>
      </c>
      <c r="GD53" s="28"/>
      <c r="GE53" s="28"/>
      <c r="GF53" s="28"/>
      <c r="GG53" s="28"/>
      <c r="GH53" s="28"/>
      <c r="GI53" s="26"/>
      <c r="GJ53" s="28"/>
      <c r="GK53" s="28"/>
      <c r="GL53" s="28"/>
      <c r="GM53" s="31"/>
      <c r="GN53" s="26"/>
      <c r="GO53" s="31"/>
      <c r="GP53" s="31"/>
      <c r="GQ53" s="38"/>
      <c r="GR53" s="39"/>
      <c r="GS53" s="26" t="s">
        <v>20</v>
      </c>
      <c r="GT53" s="39"/>
      <c r="GU53" s="39"/>
      <c r="GV53" s="39"/>
      <c r="GW53" s="39"/>
      <c r="GX53" s="39"/>
      <c r="GY53" s="39"/>
      <c r="GZ53" s="40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40"/>
      <c r="HM53" s="40"/>
      <c r="HN53" s="39"/>
      <c r="HO53" s="39"/>
      <c r="HP53" s="39"/>
      <c r="HQ53" s="39"/>
      <c r="HR53" s="39"/>
      <c r="HS53" s="39"/>
      <c r="HT53" s="39"/>
      <c r="HU53" s="40"/>
      <c r="HV53" s="39"/>
      <c r="HW53" s="38"/>
      <c r="HX53" s="41"/>
      <c r="HY53" s="39"/>
      <c r="HZ53" s="39"/>
      <c r="IA53" s="39"/>
      <c r="IB53" s="39"/>
      <c r="IC53" s="39"/>
      <c r="ID53" s="40"/>
      <c r="IE53" s="39"/>
      <c r="IF53" s="39"/>
      <c r="IG53" s="39"/>
      <c r="IH53" s="40"/>
      <c r="II53" s="40"/>
      <c r="IJ53" s="42"/>
      <c r="IK53" s="42"/>
      <c r="IL53" s="39"/>
      <c r="IM53" s="39"/>
      <c r="IN53" s="39"/>
      <c r="IO53" s="42"/>
      <c r="IP53" s="40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8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8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40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8"/>
      <c r="LO53" s="39"/>
      <c r="LP53" s="39"/>
      <c r="LQ53" s="40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9"/>
      <c r="MM53" s="39"/>
      <c r="MN53" s="39"/>
      <c r="MO53" s="39"/>
      <c r="MP53" s="39"/>
      <c r="MQ53" s="39"/>
      <c r="MR53" s="39"/>
      <c r="MS53" s="38"/>
      <c r="MT53" s="39"/>
      <c r="MU53" s="39"/>
      <c r="MV53" s="39"/>
      <c r="MW53" s="39"/>
      <c r="MX53" s="39"/>
      <c r="MY53" s="39"/>
      <c r="MZ53" s="39"/>
      <c r="NA53" s="39"/>
      <c r="NB53" s="39"/>
      <c r="NC53" s="39"/>
      <c r="ND53" s="39"/>
      <c r="NE53" s="39"/>
      <c r="NF53" s="39"/>
      <c r="NG53" s="39"/>
      <c r="NH53" s="39"/>
      <c r="NI53" s="39"/>
      <c r="NJ53" s="39"/>
      <c r="NK53" s="39"/>
      <c r="NL53" s="39"/>
      <c r="NM53" s="39"/>
      <c r="NN53" s="39"/>
      <c r="NO53" s="39"/>
      <c r="NP53" s="39"/>
      <c r="NQ53" s="39"/>
      <c r="NR53" s="39"/>
      <c r="NS53" s="39"/>
      <c r="NT53" s="39"/>
      <c r="NU53" s="39"/>
      <c r="NV53" s="39"/>
      <c r="NW53" s="39"/>
      <c r="NX53" s="39"/>
      <c r="NY53" s="38"/>
    </row>
    <row r="54">
      <c r="A54" s="50" t="s">
        <v>444</v>
      </c>
      <c r="B54" s="26" t="str">
        <f>IFERROR(__xludf.DUMMYFUNCTION("VLOOKUP(A54, IMPORTRANGE(""https://docs.google.com/spreadsheets/d/1KpTMcNM9m1P7u9qCVzob8p1-RZoC1ejaYs5CdpAbWFY/edit?gid=260580969#gid=260580969"", ""2025 EMP PROFILE DATA!a1:W98""), 22, FALSE)"),"#REF!")</f>
        <v>#REF!</v>
      </c>
      <c r="C54" s="50">
        <f t="shared" si="1"/>
        <v>1</v>
      </c>
      <c r="D54" s="50">
        <f t="shared" si="2"/>
        <v>0</v>
      </c>
      <c r="E54" s="50">
        <f t="shared" si="3"/>
        <v>0</v>
      </c>
      <c r="F54" s="50">
        <f t="shared" si="4"/>
        <v>0</v>
      </c>
      <c r="G54" s="51">
        <f t="shared" si="5"/>
        <v>0.002525252525</v>
      </c>
      <c r="H54" s="51">
        <f t="shared" si="6"/>
        <v>0</v>
      </c>
      <c r="I54" s="28">
        <f t="shared" si="7"/>
        <v>4</v>
      </c>
      <c r="J54" s="26">
        <v>0.0</v>
      </c>
      <c r="K54" s="26">
        <v>0.0</v>
      </c>
      <c r="L54" s="49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37" t="s">
        <v>19</v>
      </c>
      <c r="AJ54" s="50"/>
      <c r="AK54" s="50"/>
      <c r="AL54" s="50"/>
      <c r="AM54" s="50"/>
      <c r="AN54" s="50"/>
      <c r="AO54" s="50"/>
      <c r="AP54" s="50"/>
      <c r="AQ54" s="50"/>
      <c r="AR54" s="29"/>
      <c r="AS54" s="28"/>
      <c r="AT54" s="28"/>
      <c r="AU54" s="28"/>
      <c r="AV54" s="28"/>
      <c r="AW54" s="26"/>
      <c r="AX54" s="28"/>
      <c r="AY54" s="28"/>
      <c r="AZ54" s="26"/>
      <c r="BA54" s="28"/>
      <c r="BB54" s="26"/>
      <c r="BC54" s="28"/>
      <c r="BD54" s="28"/>
      <c r="BE54" s="26"/>
      <c r="BF54" s="28"/>
      <c r="BG54" s="28"/>
      <c r="BH54" s="26"/>
      <c r="BI54" s="26"/>
      <c r="BJ54" s="26"/>
      <c r="BK54" s="28"/>
      <c r="BL54" s="28"/>
      <c r="BM54" s="26"/>
      <c r="BN54" s="28"/>
      <c r="BO54" s="28"/>
      <c r="BP54" s="28"/>
      <c r="BQ54" s="28"/>
      <c r="BR54" s="28"/>
      <c r="BS54" s="31"/>
      <c r="BT54" s="26"/>
      <c r="BU54" s="32"/>
      <c r="BV54" s="33"/>
      <c r="BW54" s="33"/>
      <c r="BX54" s="33"/>
      <c r="BY54" s="33"/>
      <c r="BZ54" s="33"/>
      <c r="CA54" s="33"/>
      <c r="CB54" s="35"/>
      <c r="CC54" s="33"/>
      <c r="CD54" s="33"/>
      <c r="CE54" s="34"/>
      <c r="CF54" s="36"/>
      <c r="CG54" s="26"/>
      <c r="CH54" s="28"/>
      <c r="CI54" s="28"/>
      <c r="CJ54" s="28"/>
      <c r="CK54" s="28"/>
      <c r="CL54" s="26"/>
      <c r="CM54" s="28"/>
      <c r="CN54" s="28"/>
      <c r="CO54" s="28"/>
      <c r="CP54" s="26"/>
      <c r="CQ54" s="28"/>
      <c r="CR54" s="28"/>
      <c r="CS54" s="28"/>
      <c r="CT54" s="28"/>
      <c r="CU54" s="26"/>
      <c r="CV54" s="31"/>
      <c r="CW54" s="26"/>
      <c r="CX54" s="26"/>
      <c r="CY54" s="26"/>
      <c r="CZ54" s="31"/>
      <c r="DA54" s="32"/>
      <c r="DB54" s="28"/>
      <c r="DC54" s="28"/>
      <c r="DD54" s="28"/>
      <c r="DE54" s="26"/>
      <c r="DF54" s="26"/>
      <c r="DG54" s="26"/>
      <c r="DH54" s="26"/>
      <c r="DI54" s="26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6"/>
      <c r="DX54" s="26"/>
      <c r="DY54" s="28"/>
      <c r="DZ54" s="28"/>
      <c r="EA54" s="28"/>
      <c r="EB54" s="31"/>
      <c r="EC54" s="26"/>
      <c r="ED54" s="31"/>
      <c r="EE54" s="26"/>
      <c r="EF54" s="32"/>
      <c r="EG54" s="28"/>
      <c r="EH54" s="26"/>
      <c r="EI54" s="28"/>
      <c r="EJ54" s="28"/>
      <c r="EK54" s="26"/>
      <c r="EL54" s="28"/>
      <c r="EM54" s="28"/>
      <c r="EN54" s="26"/>
      <c r="EO54" s="26"/>
      <c r="EP54" s="28"/>
      <c r="EQ54" s="28"/>
      <c r="ER54" s="26"/>
      <c r="ES54" s="28"/>
      <c r="ET54" s="26"/>
      <c r="EU54" s="26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6"/>
      <c r="FH54" s="26"/>
      <c r="FI54" s="31"/>
      <c r="FJ54" s="31"/>
      <c r="FK54" s="31"/>
      <c r="FL54" s="32"/>
      <c r="FM54" s="28"/>
      <c r="FN54" s="26"/>
      <c r="FO54" s="28"/>
      <c r="FP54" s="28"/>
      <c r="FQ54" s="26"/>
      <c r="FR54" s="28"/>
      <c r="FS54" s="28"/>
      <c r="FT54" s="28"/>
      <c r="FU54" s="26"/>
      <c r="FV54" s="28"/>
      <c r="FW54" s="28"/>
      <c r="FX54" s="26"/>
      <c r="FY54" s="28"/>
      <c r="FZ54" s="28"/>
      <c r="GA54" s="28"/>
      <c r="GB54" s="26"/>
      <c r="GC54" s="26"/>
      <c r="GD54" s="28"/>
      <c r="GE54" s="28"/>
      <c r="GF54" s="28"/>
      <c r="GG54" s="28"/>
      <c r="GH54" s="28"/>
      <c r="GI54" s="26"/>
      <c r="GJ54" s="28"/>
      <c r="GK54" s="28"/>
      <c r="GL54" s="28"/>
      <c r="GM54" s="31"/>
      <c r="GN54" s="26"/>
      <c r="GO54" s="31"/>
      <c r="GP54" s="31"/>
      <c r="GQ54" s="38"/>
      <c r="GR54" s="39"/>
      <c r="GS54" s="39"/>
      <c r="GT54" s="39"/>
      <c r="GU54" s="39"/>
      <c r="GV54" s="39"/>
      <c r="GW54" s="39"/>
      <c r="GX54" s="39"/>
      <c r="GY54" s="39"/>
      <c r="GZ54" s="40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39"/>
      <c r="HL54" s="40"/>
      <c r="HM54" s="40"/>
      <c r="HN54" s="39"/>
      <c r="HO54" s="39"/>
      <c r="HP54" s="39"/>
      <c r="HQ54" s="39"/>
      <c r="HR54" s="39"/>
      <c r="HS54" s="39"/>
      <c r="HT54" s="39"/>
      <c r="HU54" s="40"/>
      <c r="HV54" s="39"/>
      <c r="HW54" s="38"/>
      <c r="HX54" s="41"/>
      <c r="HY54" s="39"/>
      <c r="HZ54" s="39"/>
      <c r="IA54" s="39"/>
      <c r="IB54" s="39"/>
      <c r="IC54" s="39"/>
      <c r="ID54" s="40"/>
      <c r="IE54" s="39"/>
      <c r="IF54" s="39"/>
      <c r="IG54" s="39"/>
      <c r="IH54" s="40"/>
      <c r="II54" s="40"/>
      <c r="IJ54" s="42"/>
      <c r="IK54" s="42"/>
      <c r="IL54" s="39"/>
      <c r="IM54" s="39"/>
      <c r="IN54" s="39"/>
      <c r="IO54" s="42"/>
      <c r="IP54" s="40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8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8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40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8"/>
      <c r="LO54" s="39"/>
      <c r="LP54" s="39"/>
      <c r="LQ54" s="40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9"/>
      <c r="MM54" s="39"/>
      <c r="MN54" s="39"/>
      <c r="MO54" s="39"/>
      <c r="MP54" s="39"/>
      <c r="MQ54" s="39"/>
      <c r="MR54" s="39"/>
      <c r="MS54" s="38"/>
      <c r="MT54" s="39"/>
      <c r="MU54" s="39"/>
      <c r="MV54" s="39"/>
      <c r="MW54" s="39"/>
      <c r="MX54" s="39"/>
      <c r="MY54" s="39"/>
      <c r="MZ54" s="39"/>
      <c r="NA54" s="39"/>
      <c r="NB54" s="39"/>
      <c r="NC54" s="39"/>
      <c r="ND54" s="39"/>
      <c r="NE54" s="39"/>
      <c r="NF54" s="39"/>
      <c r="NG54" s="39"/>
      <c r="NH54" s="39"/>
      <c r="NI54" s="39"/>
      <c r="NJ54" s="39"/>
      <c r="NK54" s="39"/>
      <c r="NL54" s="39"/>
      <c r="NM54" s="39"/>
      <c r="NN54" s="39"/>
      <c r="NO54" s="39"/>
      <c r="NP54" s="39"/>
      <c r="NQ54" s="39"/>
      <c r="NR54" s="39"/>
      <c r="NS54" s="39"/>
      <c r="NT54" s="39"/>
      <c r="NU54" s="39"/>
      <c r="NV54" s="39"/>
      <c r="NW54" s="39"/>
      <c r="NX54" s="39"/>
      <c r="NY54" s="38"/>
    </row>
    <row r="55">
      <c r="A55" s="50" t="s">
        <v>445</v>
      </c>
      <c r="B55" s="26" t="str">
        <f>IFERROR(__xludf.DUMMYFUNCTION("VLOOKUP(A55, IMPORTRANGE(""https://docs.google.com/spreadsheets/d/1KpTMcNM9m1P7u9qCVzob8p1-RZoC1ejaYs5CdpAbWFY/edit?gid=260580969#gid=260580969"", ""2025 EMP PROFILE DATA!a1:W98""), 22, FALSE)"),"#REF!")</f>
        <v>#REF!</v>
      </c>
      <c r="C55" s="50">
        <f t="shared" si="1"/>
        <v>0</v>
      </c>
      <c r="D55" s="50">
        <f t="shared" si="2"/>
        <v>0</v>
      </c>
      <c r="E55" s="50">
        <f t="shared" si="3"/>
        <v>1</v>
      </c>
      <c r="F55" s="50">
        <f t="shared" si="4"/>
        <v>0</v>
      </c>
      <c r="G55" s="51">
        <f t="shared" si="5"/>
        <v>0</v>
      </c>
      <c r="H55" s="51">
        <f t="shared" si="6"/>
        <v>0.002525252525</v>
      </c>
      <c r="I55" s="28">
        <f t="shared" si="7"/>
        <v>1</v>
      </c>
      <c r="J55" s="26">
        <v>0.0</v>
      </c>
      <c r="K55" s="26">
        <v>0.0</v>
      </c>
      <c r="L55" s="52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29"/>
      <c r="AS55" s="28"/>
      <c r="AT55" s="28"/>
      <c r="AU55" s="28"/>
      <c r="AV55" s="28"/>
      <c r="AW55" s="26"/>
      <c r="AX55" s="28"/>
      <c r="AY55" s="28"/>
      <c r="AZ55" s="26"/>
      <c r="BA55" s="28"/>
      <c r="BB55" s="26"/>
      <c r="BC55" s="28"/>
      <c r="BD55" s="28"/>
      <c r="BE55" s="26"/>
      <c r="BF55" s="28"/>
      <c r="BG55" s="28"/>
      <c r="BH55" s="26"/>
      <c r="BI55" s="26"/>
      <c r="BJ55" s="26"/>
      <c r="BK55" s="28"/>
      <c r="BL55" s="28"/>
      <c r="BM55" s="26"/>
      <c r="BN55" s="28"/>
      <c r="BO55" s="28"/>
      <c r="BP55" s="28"/>
      <c r="BQ55" s="28"/>
      <c r="BR55" s="28"/>
      <c r="BS55" s="31"/>
      <c r="BT55" s="26"/>
      <c r="BU55" s="32"/>
      <c r="BV55" s="33"/>
      <c r="BW55" s="33"/>
      <c r="BX55" s="33"/>
      <c r="BY55" s="33"/>
      <c r="BZ55" s="33"/>
      <c r="CA55" s="33"/>
      <c r="CB55" s="35"/>
      <c r="CC55" s="33"/>
      <c r="CD55" s="33"/>
      <c r="CE55" s="34"/>
      <c r="CF55" s="36"/>
      <c r="CG55" s="26"/>
      <c r="CH55" s="28"/>
      <c r="CI55" s="28"/>
      <c r="CJ55" s="28"/>
      <c r="CK55" s="28"/>
      <c r="CL55" s="26"/>
      <c r="CM55" s="28"/>
      <c r="CN55" s="28"/>
      <c r="CO55" s="28"/>
      <c r="CP55" s="26"/>
      <c r="CQ55" s="28"/>
      <c r="CR55" s="28"/>
      <c r="CS55" s="28"/>
      <c r="CT55" s="28"/>
      <c r="CU55" s="26"/>
      <c r="CV55" s="31"/>
      <c r="CW55" s="26"/>
      <c r="CX55" s="26"/>
      <c r="CY55" s="26"/>
      <c r="CZ55" s="31"/>
      <c r="DA55" s="32"/>
      <c r="DB55" s="28"/>
      <c r="DC55" s="28"/>
      <c r="DD55" s="28"/>
      <c r="DE55" s="26"/>
      <c r="DF55" s="26"/>
      <c r="DG55" s="26"/>
      <c r="DH55" s="26"/>
      <c r="DI55" s="26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6"/>
      <c r="DX55" s="26"/>
      <c r="DY55" s="28"/>
      <c r="DZ55" s="28"/>
      <c r="EA55" s="28"/>
      <c r="EB55" s="31"/>
      <c r="EC55" s="26"/>
      <c r="ED55" s="31"/>
      <c r="EE55" s="26"/>
      <c r="EF55" s="32"/>
      <c r="EG55" s="28"/>
      <c r="EH55" s="26"/>
      <c r="EI55" s="28"/>
      <c r="EJ55" s="28"/>
      <c r="EK55" s="26"/>
      <c r="EL55" s="28"/>
      <c r="EM55" s="28"/>
      <c r="EN55" s="26"/>
      <c r="EO55" s="26"/>
      <c r="EP55" s="28"/>
      <c r="EQ55" s="28"/>
      <c r="ER55" s="26"/>
      <c r="ES55" s="28"/>
      <c r="ET55" s="26"/>
      <c r="EU55" s="26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6"/>
      <c r="FH55" s="26"/>
      <c r="FI55" s="31"/>
      <c r="FJ55" s="31"/>
      <c r="FK55" s="31"/>
      <c r="FL55" s="32"/>
      <c r="FM55" s="28"/>
      <c r="FN55" s="26"/>
      <c r="FO55" s="28"/>
      <c r="FP55" s="28"/>
      <c r="FQ55" s="37" t="s">
        <v>21</v>
      </c>
      <c r="FR55" s="28"/>
      <c r="FS55" s="28"/>
      <c r="FT55" s="28"/>
      <c r="FU55" s="26"/>
      <c r="FV55" s="28"/>
      <c r="FW55" s="28"/>
      <c r="FX55" s="26"/>
      <c r="FY55" s="28"/>
      <c r="FZ55" s="28"/>
      <c r="GA55" s="28"/>
      <c r="GB55" s="26"/>
      <c r="GC55" s="26"/>
      <c r="GD55" s="28"/>
      <c r="GE55" s="28"/>
      <c r="GF55" s="28"/>
      <c r="GG55" s="28"/>
      <c r="GH55" s="28"/>
      <c r="GI55" s="26"/>
      <c r="GJ55" s="28"/>
      <c r="GK55" s="28"/>
      <c r="GL55" s="28"/>
      <c r="GM55" s="31"/>
      <c r="GN55" s="26"/>
      <c r="GO55" s="31"/>
      <c r="GP55" s="31"/>
      <c r="GQ55" s="38"/>
      <c r="GR55" s="39"/>
      <c r="GS55" s="39"/>
      <c r="GT55" s="39"/>
      <c r="GU55" s="39"/>
      <c r="GV55" s="39"/>
      <c r="GW55" s="39"/>
      <c r="GX55" s="39"/>
      <c r="GY55" s="39"/>
      <c r="GZ55" s="40"/>
      <c r="HA55" s="39"/>
      <c r="HB55" s="39"/>
      <c r="HC55" s="39"/>
      <c r="HD55" s="39"/>
      <c r="HE55" s="39"/>
      <c r="HF55" s="39"/>
      <c r="HG55" s="39"/>
      <c r="HH55" s="39"/>
      <c r="HI55" s="39"/>
      <c r="HJ55" s="39"/>
      <c r="HK55" s="39"/>
      <c r="HL55" s="40"/>
      <c r="HM55" s="40"/>
      <c r="HN55" s="39"/>
      <c r="HO55" s="39"/>
      <c r="HP55" s="39"/>
      <c r="HQ55" s="39"/>
      <c r="HR55" s="39"/>
      <c r="HS55" s="39"/>
      <c r="HT55" s="39"/>
      <c r="HU55" s="40"/>
      <c r="HV55" s="39"/>
      <c r="HW55" s="38"/>
      <c r="HX55" s="41"/>
      <c r="HY55" s="39"/>
      <c r="HZ55" s="39"/>
      <c r="IA55" s="39"/>
      <c r="IB55" s="39"/>
      <c r="IC55" s="39"/>
      <c r="ID55" s="40"/>
      <c r="IE55" s="39"/>
      <c r="IF55" s="39"/>
      <c r="IG55" s="39"/>
      <c r="IH55" s="40"/>
      <c r="II55" s="40"/>
      <c r="IJ55" s="42"/>
      <c r="IK55" s="42"/>
      <c r="IL55" s="39"/>
      <c r="IM55" s="39"/>
      <c r="IN55" s="39"/>
      <c r="IO55" s="42"/>
      <c r="IP55" s="40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8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8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40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8"/>
      <c r="LO55" s="39"/>
      <c r="LP55" s="39"/>
      <c r="LQ55" s="40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9"/>
      <c r="MM55" s="39"/>
      <c r="MN55" s="39"/>
      <c r="MO55" s="39"/>
      <c r="MP55" s="39"/>
      <c r="MQ55" s="39"/>
      <c r="MR55" s="39"/>
      <c r="MS55" s="38"/>
      <c r="MT55" s="39"/>
      <c r="MU55" s="39"/>
      <c r="MV55" s="39"/>
      <c r="MW55" s="39"/>
      <c r="MX55" s="39"/>
      <c r="MY55" s="39"/>
      <c r="MZ55" s="39"/>
      <c r="NA55" s="39"/>
      <c r="NB55" s="39"/>
      <c r="NC55" s="39"/>
      <c r="ND55" s="39"/>
      <c r="NE55" s="39"/>
      <c r="NF55" s="39"/>
      <c r="NG55" s="39"/>
      <c r="NH55" s="39"/>
      <c r="NI55" s="39"/>
      <c r="NJ55" s="39"/>
      <c r="NK55" s="39"/>
      <c r="NL55" s="39"/>
      <c r="NM55" s="39"/>
      <c r="NN55" s="39"/>
      <c r="NO55" s="39"/>
      <c r="NP55" s="39"/>
      <c r="NQ55" s="39"/>
      <c r="NR55" s="39"/>
      <c r="NS55" s="39"/>
      <c r="NT55" s="39"/>
      <c r="NU55" s="39"/>
      <c r="NV55" s="39"/>
      <c r="NW55" s="39"/>
      <c r="NX55" s="39"/>
      <c r="NY55" s="38"/>
    </row>
    <row r="56">
      <c r="A56" s="50" t="s">
        <v>446</v>
      </c>
      <c r="B56" s="26" t="str">
        <f>IFERROR(__xludf.DUMMYFUNCTION("VLOOKUP(A56, IMPORTRANGE(""https://docs.google.com/spreadsheets/d/1KpTMcNM9m1P7u9qCVzob8p1-RZoC1ejaYs5CdpAbWFY/edit?gid=260580969#gid=260580969"", ""2025 EMP PROFILE DATA!a1:W98""), 22, FALSE)"),"#REF!")</f>
        <v>#REF!</v>
      </c>
      <c r="C56" s="50">
        <f t="shared" si="1"/>
        <v>3</v>
      </c>
      <c r="D56" s="50">
        <f t="shared" si="2"/>
        <v>2</v>
      </c>
      <c r="E56" s="50">
        <f t="shared" si="3"/>
        <v>0</v>
      </c>
      <c r="F56" s="50">
        <f t="shared" si="4"/>
        <v>0</v>
      </c>
      <c r="G56" s="51">
        <f t="shared" si="5"/>
        <v>0.007575757576</v>
      </c>
      <c r="H56" s="51">
        <f t="shared" si="6"/>
        <v>0</v>
      </c>
      <c r="I56" s="28">
        <f t="shared" si="7"/>
        <v>12</v>
      </c>
      <c r="J56" s="26">
        <v>0.0</v>
      </c>
      <c r="K56" s="26">
        <v>0.0</v>
      </c>
      <c r="L56" s="52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37" t="s">
        <v>19</v>
      </c>
      <c r="AK56" s="50"/>
      <c r="AL56" s="50"/>
      <c r="AM56" s="50"/>
      <c r="AN56" s="50"/>
      <c r="AO56" s="50"/>
      <c r="AP56" s="50"/>
      <c r="AQ56" s="50"/>
      <c r="AR56" s="29"/>
      <c r="AS56" s="28"/>
      <c r="AT56" s="28"/>
      <c r="AU56" s="28"/>
      <c r="AV56" s="28"/>
      <c r="AW56" s="26" t="s">
        <v>19</v>
      </c>
      <c r="AX56" s="28"/>
      <c r="AY56" s="28"/>
      <c r="AZ56" s="26"/>
      <c r="BA56" s="28"/>
      <c r="BB56" s="26"/>
      <c r="BC56" s="28"/>
      <c r="BD56" s="28"/>
      <c r="BE56" s="26"/>
      <c r="BF56" s="28"/>
      <c r="BG56" s="28"/>
      <c r="BH56" s="26"/>
      <c r="BI56" s="26"/>
      <c r="BJ56" s="26"/>
      <c r="BK56" s="28"/>
      <c r="BL56" s="28"/>
      <c r="BM56" s="26"/>
      <c r="BN56" s="28"/>
      <c r="BO56" s="28"/>
      <c r="BP56" s="28"/>
      <c r="BQ56" s="28"/>
      <c r="BR56" s="28"/>
      <c r="BS56" s="31"/>
      <c r="BT56" s="26"/>
      <c r="BU56" s="32"/>
      <c r="BV56" s="33"/>
      <c r="BW56" s="33"/>
      <c r="BX56" s="33"/>
      <c r="BY56" s="33"/>
      <c r="BZ56" s="33"/>
      <c r="CA56" s="33"/>
      <c r="CB56" s="35"/>
      <c r="CC56" s="33"/>
      <c r="CD56" s="33"/>
      <c r="CE56" s="34"/>
      <c r="CF56" s="36"/>
      <c r="CG56" s="26"/>
      <c r="CH56" s="28"/>
      <c r="CI56" s="28"/>
      <c r="CJ56" s="28"/>
      <c r="CK56" s="28"/>
      <c r="CL56" s="26"/>
      <c r="CM56" s="28"/>
      <c r="CN56" s="28"/>
      <c r="CO56" s="28"/>
      <c r="CP56" s="26"/>
      <c r="CQ56" s="28"/>
      <c r="CR56" s="28"/>
      <c r="CS56" s="28"/>
      <c r="CT56" s="28"/>
      <c r="CU56" s="26"/>
      <c r="CV56" s="31"/>
      <c r="CW56" s="26"/>
      <c r="CX56" s="26"/>
      <c r="CY56" s="26"/>
      <c r="CZ56" s="31"/>
      <c r="DA56" s="32"/>
      <c r="DB56" s="28"/>
      <c r="DC56" s="28"/>
      <c r="DD56" s="28"/>
      <c r="DE56" s="26"/>
      <c r="DF56" s="26"/>
      <c r="DG56" s="26"/>
      <c r="DH56" s="26"/>
      <c r="DI56" s="26"/>
      <c r="DJ56" s="26" t="s">
        <v>19</v>
      </c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6"/>
      <c r="DX56" s="26"/>
      <c r="DY56" s="28"/>
      <c r="DZ56" s="28"/>
      <c r="EA56" s="28"/>
      <c r="EB56" s="31"/>
      <c r="EC56" s="26"/>
      <c r="ED56" s="31"/>
      <c r="EE56" s="26"/>
      <c r="EF56" s="32"/>
      <c r="EG56" s="28"/>
      <c r="EH56" s="26"/>
      <c r="EI56" s="28"/>
      <c r="EJ56" s="28"/>
      <c r="EK56" s="26"/>
      <c r="EL56" s="28"/>
      <c r="EM56" s="28"/>
      <c r="EN56" s="26"/>
      <c r="EO56" s="26"/>
      <c r="EP56" s="28"/>
      <c r="EQ56" s="28"/>
      <c r="ER56" s="26"/>
      <c r="ES56" s="28"/>
      <c r="ET56" s="26"/>
      <c r="EU56" s="26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6"/>
      <c r="FH56" s="26"/>
      <c r="FI56" s="31"/>
      <c r="FJ56" s="31"/>
      <c r="FK56" s="31"/>
      <c r="FL56" s="32"/>
      <c r="FM56" s="28"/>
      <c r="FN56" s="26"/>
      <c r="FO56" s="28"/>
      <c r="FP56" s="28"/>
      <c r="FQ56" s="26"/>
      <c r="FR56" s="28"/>
      <c r="FS56" s="28"/>
      <c r="FT56" s="28"/>
      <c r="FU56" s="26"/>
      <c r="FV56" s="28"/>
      <c r="FW56" s="28"/>
      <c r="FX56" s="26"/>
      <c r="FY56" s="28"/>
      <c r="FZ56" s="59" t="s">
        <v>20</v>
      </c>
      <c r="GA56" s="28"/>
      <c r="GB56" s="26" t="s">
        <v>20</v>
      </c>
      <c r="GC56" s="26"/>
      <c r="GD56" s="28"/>
      <c r="GE56" s="28"/>
      <c r="GF56" s="28"/>
      <c r="GG56" s="28"/>
      <c r="GH56" s="28"/>
      <c r="GI56" s="26"/>
      <c r="GJ56" s="28"/>
      <c r="GK56" s="28"/>
      <c r="GL56" s="28"/>
      <c r="GM56" s="31"/>
      <c r="GN56" s="26"/>
      <c r="GO56" s="31"/>
      <c r="GP56" s="31"/>
      <c r="GQ56" s="38"/>
      <c r="GR56" s="39"/>
      <c r="GS56" s="39"/>
      <c r="GT56" s="39"/>
      <c r="GU56" s="39"/>
      <c r="GV56" s="39"/>
      <c r="GW56" s="39"/>
      <c r="GX56" s="39"/>
      <c r="GY56" s="39"/>
      <c r="GZ56" s="40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40"/>
      <c r="HM56" s="40"/>
      <c r="HN56" s="39"/>
      <c r="HO56" s="39"/>
      <c r="HP56" s="39"/>
      <c r="HQ56" s="39"/>
      <c r="HR56" s="39"/>
      <c r="HS56" s="39"/>
      <c r="HT56" s="39"/>
      <c r="HU56" s="40"/>
      <c r="HV56" s="39"/>
      <c r="HW56" s="38"/>
      <c r="HX56" s="41"/>
      <c r="HY56" s="39"/>
      <c r="HZ56" s="39"/>
      <c r="IA56" s="39"/>
      <c r="IB56" s="39"/>
      <c r="IC56" s="39"/>
      <c r="ID56" s="40"/>
      <c r="IE56" s="39"/>
      <c r="IF56" s="39"/>
      <c r="IG56" s="39"/>
      <c r="IH56" s="40"/>
      <c r="II56" s="40"/>
      <c r="IJ56" s="42"/>
      <c r="IK56" s="42"/>
      <c r="IL56" s="39"/>
      <c r="IM56" s="39"/>
      <c r="IN56" s="39"/>
      <c r="IO56" s="42"/>
      <c r="IP56" s="40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8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8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40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8"/>
      <c r="LO56" s="39"/>
      <c r="LP56" s="39"/>
      <c r="LQ56" s="40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9"/>
      <c r="MM56" s="39"/>
      <c r="MN56" s="39"/>
      <c r="MO56" s="39"/>
      <c r="MP56" s="39"/>
      <c r="MQ56" s="39"/>
      <c r="MR56" s="39"/>
      <c r="MS56" s="38"/>
      <c r="MT56" s="39"/>
      <c r="MU56" s="39"/>
      <c r="MV56" s="39"/>
      <c r="MW56" s="39"/>
      <c r="MX56" s="39"/>
      <c r="MY56" s="39"/>
      <c r="MZ56" s="39"/>
      <c r="NA56" s="39"/>
      <c r="NB56" s="39"/>
      <c r="NC56" s="39"/>
      <c r="ND56" s="39"/>
      <c r="NE56" s="39"/>
      <c r="NF56" s="39"/>
      <c r="NG56" s="39"/>
      <c r="NH56" s="39"/>
      <c r="NI56" s="39"/>
      <c r="NJ56" s="39"/>
      <c r="NK56" s="39"/>
      <c r="NL56" s="39"/>
      <c r="NM56" s="39"/>
      <c r="NN56" s="39"/>
      <c r="NO56" s="39"/>
      <c r="NP56" s="39"/>
      <c r="NQ56" s="39"/>
      <c r="NR56" s="39"/>
      <c r="NS56" s="39"/>
      <c r="NT56" s="39"/>
      <c r="NU56" s="39"/>
      <c r="NV56" s="39"/>
      <c r="NW56" s="39"/>
      <c r="NX56" s="39"/>
      <c r="NY56" s="38"/>
    </row>
    <row r="57">
      <c r="A57" s="47" t="s">
        <v>447</v>
      </c>
      <c r="B57" s="26" t="str">
        <f>IFERROR(__xludf.DUMMYFUNCTION("VLOOKUP(A57, IMPORTRANGE(""https://docs.google.com/spreadsheets/d/1KpTMcNM9m1P7u9qCVzob8p1-RZoC1ejaYs5CdpAbWFY/edit?gid=260580969#gid=260580969"", ""2025 EMP PROFILE DATA!a1:W98""), 22, FALSE)"),"#REF!")</f>
        <v>#REF!</v>
      </c>
      <c r="C57" s="45">
        <f t="shared" si="1"/>
        <v>2</v>
      </c>
      <c r="D57" s="45">
        <f t="shared" si="2"/>
        <v>1</v>
      </c>
      <c r="E57" s="45">
        <f t="shared" si="3"/>
        <v>4</v>
      </c>
      <c r="F57" s="45">
        <f t="shared" si="4"/>
        <v>0</v>
      </c>
      <c r="G57" s="46">
        <f t="shared" si="5"/>
        <v>0.005050505051</v>
      </c>
      <c r="H57" s="46">
        <f t="shared" si="6"/>
        <v>0.0101010101</v>
      </c>
      <c r="I57" s="28">
        <f t="shared" si="7"/>
        <v>12</v>
      </c>
      <c r="J57" s="26">
        <v>0.0</v>
      </c>
      <c r="K57" s="26">
        <v>0.0</v>
      </c>
      <c r="L57" s="49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29"/>
      <c r="AS57" s="28"/>
      <c r="AT57" s="28"/>
      <c r="AU57" s="28"/>
      <c r="AV57" s="28"/>
      <c r="AW57" s="26"/>
      <c r="AX57" s="28"/>
      <c r="AY57" s="28"/>
      <c r="AZ57" s="26"/>
      <c r="BA57" s="28"/>
      <c r="BB57" s="26"/>
      <c r="BC57" s="28"/>
      <c r="BD57" s="28"/>
      <c r="BE57" s="26"/>
      <c r="BF57" s="28"/>
      <c r="BG57" s="28"/>
      <c r="BH57" s="26"/>
      <c r="BI57" s="26"/>
      <c r="BJ57" s="26"/>
      <c r="BK57" s="28"/>
      <c r="BL57" s="28"/>
      <c r="BM57" s="26"/>
      <c r="BN57" s="28"/>
      <c r="BO57" s="28"/>
      <c r="BP57" s="28"/>
      <c r="BQ57" s="28"/>
      <c r="BR57" s="28"/>
      <c r="BS57" s="31"/>
      <c r="BT57" s="26"/>
      <c r="BU57" s="32"/>
      <c r="BV57" s="33"/>
      <c r="BW57" s="33"/>
      <c r="BX57" s="33"/>
      <c r="BY57" s="33"/>
      <c r="BZ57" s="33"/>
      <c r="CA57" s="33"/>
      <c r="CB57" s="35"/>
      <c r="CC57" s="33"/>
      <c r="CD57" s="33"/>
      <c r="CE57" s="34"/>
      <c r="CF57" s="36"/>
      <c r="CG57" s="26"/>
      <c r="CH57" s="28"/>
      <c r="CI57" s="28"/>
      <c r="CJ57" s="28"/>
      <c r="CK57" s="26" t="s">
        <v>19</v>
      </c>
      <c r="CL57" s="26"/>
      <c r="CM57" s="28"/>
      <c r="CN57" s="28"/>
      <c r="CO57" s="28"/>
      <c r="CP57" s="26"/>
      <c r="CQ57" s="28"/>
      <c r="CR57" s="37" t="s">
        <v>21</v>
      </c>
      <c r="CS57" s="28"/>
      <c r="CT57" s="28"/>
      <c r="CU57" s="26"/>
      <c r="CV57" s="37"/>
      <c r="CW57" s="26"/>
      <c r="CX57" s="26"/>
      <c r="CY57" s="26"/>
      <c r="CZ57" s="31"/>
      <c r="DA57" s="32"/>
      <c r="DB57" s="28"/>
      <c r="DC57" s="37"/>
      <c r="DD57" s="28"/>
      <c r="DE57" s="26"/>
      <c r="DF57" s="26"/>
      <c r="DG57" s="26"/>
      <c r="DH57" s="26"/>
      <c r="DI57" s="26"/>
      <c r="DJ57" s="28"/>
      <c r="DK57" s="28"/>
      <c r="DL57" s="37" t="s">
        <v>21</v>
      </c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6"/>
      <c r="DX57" s="26"/>
      <c r="DY57" s="28"/>
      <c r="DZ57" s="28"/>
      <c r="EA57" s="28"/>
      <c r="EB57" s="37" t="s">
        <v>21</v>
      </c>
      <c r="EC57" s="26"/>
      <c r="ED57" s="31"/>
      <c r="EE57" s="26"/>
      <c r="EF57" s="32"/>
      <c r="EG57" s="28"/>
      <c r="EH57" s="37" t="s">
        <v>21</v>
      </c>
      <c r="EI57" s="28"/>
      <c r="EJ57" s="28"/>
      <c r="EK57" s="26"/>
      <c r="EL57" s="28"/>
      <c r="EM57" s="28"/>
      <c r="EN57" s="26"/>
      <c r="EO57" s="26"/>
      <c r="EP57" s="28"/>
      <c r="EQ57" s="28"/>
      <c r="ER57" s="26"/>
      <c r="ES57" s="28"/>
      <c r="ET57" s="26"/>
      <c r="EU57" s="37" t="s">
        <v>19</v>
      </c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6"/>
      <c r="FH57" s="26"/>
      <c r="FI57" s="31"/>
      <c r="FJ57" s="31"/>
      <c r="FK57" s="31"/>
      <c r="FL57" s="32"/>
      <c r="FM57" s="28"/>
      <c r="FN57" s="26"/>
      <c r="FO57" s="28"/>
      <c r="FP57" s="28"/>
      <c r="FQ57" s="26"/>
      <c r="FR57" s="28"/>
      <c r="FS57" s="28"/>
      <c r="FT57" s="26" t="s">
        <v>20</v>
      </c>
      <c r="FU57" s="26"/>
      <c r="FV57" s="28"/>
      <c r="FW57" s="28"/>
      <c r="FX57" s="26"/>
      <c r="FY57" s="28"/>
      <c r="FZ57" s="28"/>
      <c r="GA57" s="28"/>
      <c r="GB57" s="26"/>
      <c r="GC57" s="26"/>
      <c r="GD57" s="28"/>
      <c r="GE57" s="28"/>
      <c r="GF57" s="28"/>
      <c r="GG57" s="28"/>
      <c r="GH57" s="28"/>
      <c r="GI57" s="26"/>
      <c r="GJ57" s="28"/>
      <c r="GK57" s="28"/>
      <c r="GL57" s="28"/>
      <c r="GM57" s="31"/>
      <c r="GN57" s="26"/>
      <c r="GO57" s="31"/>
      <c r="GP57" s="31"/>
      <c r="GQ57" s="38"/>
      <c r="GR57" s="39"/>
      <c r="GS57" s="39"/>
      <c r="GT57" s="39"/>
      <c r="GU57" s="39"/>
      <c r="GV57" s="39"/>
      <c r="GW57" s="39"/>
      <c r="GX57" s="39"/>
      <c r="GY57" s="39"/>
      <c r="GZ57" s="40"/>
      <c r="HA57" s="39"/>
      <c r="HB57" s="39"/>
      <c r="HC57" s="39"/>
      <c r="HD57" s="39"/>
      <c r="HE57" s="39"/>
      <c r="HF57" s="39"/>
      <c r="HG57" s="39"/>
      <c r="HH57" s="39"/>
      <c r="HI57" s="39"/>
      <c r="HJ57" s="39"/>
      <c r="HK57" s="39"/>
      <c r="HL57" s="40"/>
      <c r="HM57" s="40"/>
      <c r="HN57" s="39"/>
      <c r="HO57" s="39"/>
      <c r="HP57" s="39"/>
      <c r="HQ57" s="39"/>
      <c r="HR57" s="39"/>
      <c r="HS57" s="39"/>
      <c r="HT57" s="39"/>
      <c r="HU57" s="40"/>
      <c r="HV57" s="39"/>
      <c r="HW57" s="38"/>
      <c r="HX57" s="41"/>
      <c r="HY57" s="39"/>
      <c r="HZ57" s="39"/>
      <c r="IA57" s="39"/>
      <c r="IB57" s="39"/>
      <c r="IC57" s="39"/>
      <c r="ID57" s="40"/>
      <c r="IE57" s="39"/>
      <c r="IF57" s="39"/>
      <c r="IG57" s="39"/>
      <c r="IH57" s="40"/>
      <c r="II57" s="40"/>
      <c r="IJ57" s="42"/>
      <c r="IK57" s="42"/>
      <c r="IL57" s="39"/>
      <c r="IM57" s="39"/>
      <c r="IN57" s="39"/>
      <c r="IO57" s="42"/>
      <c r="IP57" s="40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8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8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40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8"/>
      <c r="LO57" s="39"/>
      <c r="LP57" s="39"/>
      <c r="LQ57" s="40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9"/>
      <c r="MM57" s="39"/>
      <c r="MN57" s="39"/>
      <c r="MO57" s="39"/>
      <c r="MP57" s="39"/>
      <c r="MQ57" s="39"/>
      <c r="MR57" s="39"/>
      <c r="MS57" s="38"/>
      <c r="MT57" s="39"/>
      <c r="MU57" s="39"/>
      <c r="MV57" s="39"/>
      <c r="MW57" s="39"/>
      <c r="MX57" s="39"/>
      <c r="MY57" s="39"/>
      <c r="MZ57" s="39"/>
      <c r="NA57" s="39"/>
      <c r="NB57" s="39"/>
      <c r="NC57" s="39"/>
      <c r="ND57" s="39"/>
      <c r="NE57" s="39"/>
      <c r="NF57" s="39"/>
      <c r="NG57" s="39"/>
      <c r="NH57" s="39"/>
      <c r="NI57" s="39"/>
      <c r="NJ57" s="39"/>
      <c r="NK57" s="39"/>
      <c r="NL57" s="39"/>
      <c r="NM57" s="39"/>
      <c r="NN57" s="39"/>
      <c r="NO57" s="39"/>
      <c r="NP57" s="39"/>
      <c r="NQ57" s="39"/>
      <c r="NR57" s="39"/>
      <c r="NS57" s="39"/>
      <c r="NT57" s="39"/>
      <c r="NU57" s="39"/>
      <c r="NV57" s="39"/>
      <c r="NW57" s="39"/>
      <c r="NX57" s="39"/>
      <c r="NY57" s="38"/>
    </row>
    <row r="58">
      <c r="A58" s="50" t="s">
        <v>448</v>
      </c>
      <c r="B58" s="26" t="str">
        <f>IFERROR(__xludf.DUMMYFUNCTION("VLOOKUP(A58, IMPORTRANGE(""https://docs.google.com/spreadsheets/d/1KpTMcNM9m1P7u9qCVzob8p1-RZoC1ejaYs5CdpAbWFY/edit?gid=260580969#gid=260580969"", ""2025 EMP PROFILE DATA!a1:W98""), 22, FALSE)"),"#REF!")</f>
        <v>#REF!</v>
      </c>
      <c r="C58" s="50">
        <f t="shared" si="1"/>
        <v>1</v>
      </c>
      <c r="D58" s="50">
        <f t="shared" si="2"/>
        <v>3</v>
      </c>
      <c r="E58" s="50">
        <f t="shared" si="3"/>
        <v>40</v>
      </c>
      <c r="F58" s="50">
        <f t="shared" si="4"/>
        <v>2</v>
      </c>
      <c r="G58" s="51">
        <f t="shared" si="5"/>
        <v>0.002525252525</v>
      </c>
      <c r="H58" s="51">
        <f t="shared" si="6"/>
        <v>0.101010101</v>
      </c>
      <c r="I58" s="28">
        <f t="shared" si="7"/>
        <v>44</v>
      </c>
      <c r="J58" s="26">
        <v>0.0</v>
      </c>
      <c r="K58" s="26">
        <v>0.0</v>
      </c>
      <c r="L58" s="52"/>
      <c r="M58" s="50"/>
      <c r="N58" s="50"/>
      <c r="O58" s="50"/>
      <c r="P58" s="50"/>
      <c r="Q58" s="50"/>
      <c r="R58" s="57" t="s">
        <v>21</v>
      </c>
      <c r="S58" s="57" t="s">
        <v>21</v>
      </c>
      <c r="T58" s="57" t="s">
        <v>21</v>
      </c>
      <c r="U58" s="57" t="s">
        <v>21</v>
      </c>
      <c r="V58" s="50"/>
      <c r="W58" s="50"/>
      <c r="X58" s="37" t="s">
        <v>21</v>
      </c>
      <c r="Y58" s="37" t="s">
        <v>19</v>
      </c>
      <c r="Z58" s="50"/>
      <c r="AA58" s="37" t="s">
        <v>21</v>
      </c>
      <c r="AB58" s="37" t="s">
        <v>21</v>
      </c>
      <c r="AC58" s="50"/>
      <c r="AD58" s="50"/>
      <c r="AE58" s="50"/>
      <c r="AF58" s="50"/>
      <c r="AG58" s="37" t="s">
        <v>21</v>
      </c>
      <c r="AH58" s="50"/>
      <c r="AI58" s="50"/>
      <c r="AJ58" s="50"/>
      <c r="AK58" s="50"/>
      <c r="AL58" s="50"/>
      <c r="AM58" s="50"/>
      <c r="AN58" s="50"/>
      <c r="AO58" s="57" t="s">
        <v>21</v>
      </c>
      <c r="AP58" s="50"/>
      <c r="AQ58" s="50"/>
      <c r="AR58" s="29"/>
      <c r="AS58" s="28"/>
      <c r="AT58" s="28"/>
      <c r="AU58" s="28"/>
      <c r="AV58" s="28"/>
      <c r="AW58" s="26"/>
      <c r="AX58" s="57" t="s">
        <v>21</v>
      </c>
      <c r="AY58" s="28"/>
      <c r="AZ58" s="26"/>
      <c r="BA58" s="28"/>
      <c r="BB58" s="26"/>
      <c r="BC58" s="37" t="s">
        <v>21</v>
      </c>
      <c r="BD58" s="28"/>
      <c r="BE58" s="26"/>
      <c r="BF58" s="28"/>
      <c r="BG58" s="28"/>
      <c r="BH58" s="37" t="s">
        <v>21</v>
      </c>
      <c r="BI58" s="26"/>
      <c r="BJ58" s="26"/>
      <c r="BK58" s="28"/>
      <c r="BL58" s="28"/>
      <c r="BM58" s="26"/>
      <c r="BN58" s="28"/>
      <c r="BO58" s="37" t="s">
        <v>21</v>
      </c>
      <c r="BP58" s="37" t="s">
        <v>21</v>
      </c>
      <c r="BQ58" s="37" t="s">
        <v>21</v>
      </c>
      <c r="BR58" s="37" t="s">
        <v>21</v>
      </c>
      <c r="BS58" s="31"/>
      <c r="BT58" s="26"/>
      <c r="BU58" s="32"/>
      <c r="BV58" s="33"/>
      <c r="BW58" s="33"/>
      <c r="BX58" s="33"/>
      <c r="BY58" s="37" t="s">
        <v>21</v>
      </c>
      <c r="BZ58" s="33"/>
      <c r="CA58" s="33"/>
      <c r="CB58" s="35"/>
      <c r="CC58" s="33"/>
      <c r="CD58" s="37" t="s">
        <v>21</v>
      </c>
      <c r="CE58" s="34"/>
      <c r="CF58" s="36"/>
      <c r="CG58" s="26"/>
      <c r="CH58" s="28"/>
      <c r="CI58" s="28"/>
      <c r="CJ58" s="28"/>
      <c r="CK58" s="28"/>
      <c r="CL58" s="26"/>
      <c r="CM58" s="37" t="s">
        <v>21</v>
      </c>
      <c r="CN58" s="37" t="s">
        <v>21</v>
      </c>
      <c r="CO58" s="28"/>
      <c r="CP58" s="26"/>
      <c r="CQ58" s="28"/>
      <c r="CR58" s="37" t="s">
        <v>21</v>
      </c>
      <c r="CS58" s="28"/>
      <c r="CT58" s="28"/>
      <c r="CU58" s="26"/>
      <c r="CV58" s="31"/>
      <c r="CW58" s="26"/>
      <c r="CX58" s="26"/>
      <c r="CY58" s="26"/>
      <c r="CZ58" s="31"/>
      <c r="DA58" s="32"/>
      <c r="DB58" s="28"/>
      <c r="DC58" s="37" t="s">
        <v>21</v>
      </c>
      <c r="DD58" s="37" t="s">
        <v>21</v>
      </c>
      <c r="DE58" s="26"/>
      <c r="DF58" s="26"/>
      <c r="DG58" s="26" t="s">
        <v>22</v>
      </c>
      <c r="DH58" s="26"/>
      <c r="DI58" s="37" t="s">
        <v>21</v>
      </c>
      <c r="DJ58" s="28"/>
      <c r="DK58" s="28"/>
      <c r="DL58" s="37" t="s">
        <v>21</v>
      </c>
      <c r="DM58" s="28"/>
      <c r="DN58" s="37" t="s">
        <v>21</v>
      </c>
      <c r="DO58" s="28"/>
      <c r="DP58" s="37" t="s">
        <v>21</v>
      </c>
      <c r="DQ58" s="28"/>
      <c r="DR58" s="28"/>
      <c r="DS58" s="28"/>
      <c r="DT58" s="28"/>
      <c r="DU58" s="26" t="s">
        <v>20</v>
      </c>
      <c r="DV58" s="28"/>
      <c r="DW58" s="37" t="s">
        <v>21</v>
      </c>
      <c r="DX58" s="26"/>
      <c r="DY58" s="28"/>
      <c r="DZ58" s="28"/>
      <c r="EA58" s="28"/>
      <c r="EB58" s="37" t="s">
        <v>21</v>
      </c>
      <c r="EC58" s="37" t="s">
        <v>21</v>
      </c>
      <c r="ED58" s="31"/>
      <c r="EE58" s="26"/>
      <c r="EF58" s="32"/>
      <c r="EG58" s="28"/>
      <c r="EH58" s="26" t="s">
        <v>20</v>
      </c>
      <c r="EI58" s="28"/>
      <c r="EJ58" s="37" t="s">
        <v>21</v>
      </c>
      <c r="EK58" s="37" t="s">
        <v>21</v>
      </c>
      <c r="EL58" s="37" t="s">
        <v>21</v>
      </c>
      <c r="EM58" s="28"/>
      <c r="EN58" s="26"/>
      <c r="EO58" s="26"/>
      <c r="EP58" s="28"/>
      <c r="EQ58" s="28"/>
      <c r="ER58" s="37" t="s">
        <v>21</v>
      </c>
      <c r="ES58" s="28"/>
      <c r="ET58" s="26"/>
      <c r="EU58" s="26"/>
      <c r="EV58" s="28"/>
      <c r="EW58" s="28"/>
      <c r="EX58" s="28"/>
      <c r="EY58" s="28"/>
      <c r="EZ58" s="37" t="s">
        <v>21</v>
      </c>
      <c r="FA58" s="37" t="s">
        <v>21</v>
      </c>
      <c r="FB58" s="28"/>
      <c r="FC58" s="28"/>
      <c r="FD58" s="28"/>
      <c r="FE58" s="28"/>
      <c r="FF58" s="28"/>
      <c r="FG58" s="26"/>
      <c r="FH58" s="26"/>
      <c r="FI58" s="31"/>
      <c r="FJ58" s="37" t="s">
        <v>21</v>
      </c>
      <c r="FK58" s="31"/>
      <c r="FL58" s="32"/>
      <c r="FM58" s="28"/>
      <c r="FN58" s="26"/>
      <c r="FO58" s="28"/>
      <c r="FP58" s="28"/>
      <c r="FQ58" s="26"/>
      <c r="FR58" s="28"/>
      <c r="FS58" s="28"/>
      <c r="FT58" s="37" t="s">
        <v>21</v>
      </c>
      <c r="FU58" s="26"/>
      <c r="FV58" s="28"/>
      <c r="FW58" s="28"/>
      <c r="FX58" s="26"/>
      <c r="FY58" s="28"/>
      <c r="FZ58" s="28"/>
      <c r="GA58" s="37" t="s">
        <v>21</v>
      </c>
      <c r="GB58" s="26" t="s">
        <v>22</v>
      </c>
      <c r="GC58" s="26"/>
      <c r="GD58" s="28"/>
      <c r="GE58" s="28"/>
      <c r="GF58" s="28"/>
      <c r="GG58" s="28"/>
      <c r="GH58" s="37" t="s">
        <v>21</v>
      </c>
      <c r="GI58" s="26"/>
      <c r="GJ58" s="28"/>
      <c r="GK58" s="28"/>
      <c r="GL58" s="28"/>
      <c r="GM58" s="31"/>
      <c r="GN58" s="26"/>
      <c r="GO58" s="31"/>
      <c r="GP58" s="31"/>
      <c r="GQ58" s="38"/>
      <c r="GR58" s="39"/>
      <c r="GS58" s="26" t="s">
        <v>20</v>
      </c>
      <c r="GT58" s="39"/>
      <c r="GU58" s="39"/>
      <c r="GV58" s="39"/>
      <c r="GW58" s="39"/>
      <c r="GX58" s="39"/>
      <c r="GY58" s="39"/>
      <c r="GZ58" s="40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40"/>
      <c r="HM58" s="40"/>
      <c r="HN58" s="39"/>
      <c r="HO58" s="39"/>
      <c r="HP58" s="39"/>
      <c r="HQ58" s="39"/>
      <c r="HR58" s="39"/>
      <c r="HS58" s="39"/>
      <c r="HT58" s="39"/>
      <c r="HU58" s="40"/>
      <c r="HV58" s="39"/>
      <c r="HW58" s="38"/>
      <c r="HX58" s="41"/>
      <c r="HY58" s="39"/>
      <c r="HZ58" s="39"/>
      <c r="IA58" s="39"/>
      <c r="IB58" s="39"/>
      <c r="IC58" s="39"/>
      <c r="ID58" s="40"/>
      <c r="IE58" s="39"/>
      <c r="IF58" s="39"/>
      <c r="IG58" s="39"/>
      <c r="IH58" s="40"/>
      <c r="II58" s="40"/>
      <c r="IJ58" s="42"/>
      <c r="IK58" s="42"/>
      <c r="IL58" s="39"/>
      <c r="IM58" s="39"/>
      <c r="IN58" s="39"/>
      <c r="IO58" s="42"/>
      <c r="IP58" s="40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8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8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40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8"/>
      <c r="LO58" s="39"/>
      <c r="LP58" s="39"/>
      <c r="LQ58" s="40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9"/>
      <c r="MM58" s="39"/>
      <c r="MN58" s="39"/>
      <c r="MO58" s="39"/>
      <c r="MP58" s="39"/>
      <c r="MQ58" s="39"/>
      <c r="MR58" s="39"/>
      <c r="MS58" s="38"/>
      <c r="MT58" s="39"/>
      <c r="MU58" s="39"/>
      <c r="MV58" s="39"/>
      <c r="MW58" s="39"/>
      <c r="MX58" s="39"/>
      <c r="MY58" s="39"/>
      <c r="MZ58" s="39"/>
      <c r="NA58" s="39"/>
      <c r="NB58" s="39"/>
      <c r="NC58" s="39"/>
      <c r="ND58" s="39"/>
      <c r="NE58" s="39"/>
      <c r="NF58" s="39"/>
      <c r="NG58" s="39"/>
      <c r="NH58" s="39"/>
      <c r="NI58" s="39"/>
      <c r="NJ58" s="39"/>
      <c r="NK58" s="39"/>
      <c r="NL58" s="39"/>
      <c r="NM58" s="39"/>
      <c r="NN58" s="39"/>
      <c r="NO58" s="39"/>
      <c r="NP58" s="39"/>
      <c r="NQ58" s="39"/>
      <c r="NR58" s="39"/>
      <c r="NS58" s="39"/>
      <c r="NT58" s="39"/>
      <c r="NU58" s="39"/>
      <c r="NV58" s="39"/>
      <c r="NW58" s="39"/>
      <c r="NX58" s="39"/>
      <c r="NY58" s="38"/>
    </row>
    <row r="59">
      <c r="A59" s="45" t="s">
        <v>449</v>
      </c>
      <c r="B59" s="26" t="str">
        <f>IFERROR(__xludf.DUMMYFUNCTION("VLOOKUP(A59, IMPORTRANGE(""https://docs.google.com/spreadsheets/d/1KpTMcNM9m1P7u9qCVzob8p1-RZoC1ejaYs5CdpAbWFY/edit?gid=260580969#gid=260580969"", ""2025 EMP PROFILE DATA!a1:W98""), 22, FALSE)"),"#REF!")</f>
        <v>#REF!</v>
      </c>
      <c r="C59" s="45">
        <f t="shared" si="1"/>
        <v>1</v>
      </c>
      <c r="D59" s="45">
        <f t="shared" si="2"/>
        <v>0</v>
      </c>
      <c r="E59" s="45">
        <f t="shared" si="3"/>
        <v>0</v>
      </c>
      <c r="F59" s="45">
        <f t="shared" si="4"/>
        <v>0</v>
      </c>
      <c r="G59" s="46">
        <f t="shared" si="5"/>
        <v>0.002525252525</v>
      </c>
      <c r="H59" s="46">
        <f t="shared" si="6"/>
        <v>0</v>
      </c>
      <c r="I59" s="28">
        <f t="shared" si="7"/>
        <v>4</v>
      </c>
      <c r="J59" s="26">
        <v>0.0</v>
      </c>
      <c r="K59" s="26">
        <v>0.0</v>
      </c>
      <c r="L59" s="49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29"/>
      <c r="AS59" s="28"/>
      <c r="AT59" s="28"/>
      <c r="AU59" s="28"/>
      <c r="AV59" s="28"/>
      <c r="AW59" s="26"/>
      <c r="AX59" s="28"/>
      <c r="AY59" s="28"/>
      <c r="AZ59" s="26"/>
      <c r="BA59" s="28"/>
      <c r="BB59" s="26"/>
      <c r="BC59" s="28"/>
      <c r="BD59" s="28"/>
      <c r="BE59" s="26"/>
      <c r="BF59" s="28"/>
      <c r="BG59" s="28"/>
      <c r="BH59" s="26"/>
      <c r="BI59" s="26"/>
      <c r="BJ59" s="26"/>
      <c r="BK59" s="28"/>
      <c r="BL59" s="28"/>
      <c r="BM59" s="26"/>
      <c r="BN59" s="28"/>
      <c r="BO59" s="28"/>
      <c r="BP59" s="28"/>
      <c r="BQ59" s="28"/>
      <c r="BR59" s="28"/>
      <c r="BS59" s="31"/>
      <c r="BT59" s="26"/>
      <c r="BU59" s="32"/>
      <c r="BV59" s="33"/>
      <c r="BW59" s="33"/>
      <c r="BX59" s="33"/>
      <c r="BY59" s="33"/>
      <c r="BZ59" s="33"/>
      <c r="CA59" s="33"/>
      <c r="CB59" s="35"/>
      <c r="CC59" s="33"/>
      <c r="CD59" s="33"/>
      <c r="CE59" s="34"/>
      <c r="CF59" s="36"/>
      <c r="CG59" s="26"/>
      <c r="CH59" s="28"/>
      <c r="CI59" s="28"/>
      <c r="CJ59" s="28"/>
      <c r="CK59" s="28"/>
      <c r="CL59" s="26"/>
      <c r="CM59" s="28"/>
      <c r="CN59" s="28"/>
      <c r="CO59" s="28"/>
      <c r="CP59" s="26"/>
      <c r="CQ59" s="28"/>
      <c r="CR59" s="28"/>
      <c r="CS59" s="28"/>
      <c r="CT59" s="28"/>
      <c r="CU59" s="26"/>
      <c r="CV59" s="31"/>
      <c r="CW59" s="26"/>
      <c r="CX59" s="26"/>
      <c r="CY59" s="26"/>
      <c r="CZ59" s="31"/>
      <c r="DA59" s="32"/>
      <c r="DB59" s="28"/>
      <c r="DC59" s="28"/>
      <c r="DD59" s="28"/>
      <c r="DE59" s="26"/>
      <c r="DF59" s="26"/>
      <c r="DG59" s="26"/>
      <c r="DH59" s="26"/>
      <c r="DI59" s="26"/>
      <c r="DJ59" s="28"/>
      <c r="DK59" s="37" t="s">
        <v>19</v>
      </c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6"/>
      <c r="DX59" s="26"/>
      <c r="DY59" s="28"/>
      <c r="DZ59" s="28"/>
      <c r="EA59" s="28"/>
      <c r="EB59" s="31"/>
      <c r="EC59" s="26"/>
      <c r="ED59" s="31"/>
      <c r="EE59" s="26"/>
      <c r="EF59" s="32"/>
      <c r="EG59" s="28"/>
      <c r="EH59" s="26"/>
      <c r="EI59" s="28"/>
      <c r="EJ59" s="28"/>
      <c r="EK59" s="26"/>
      <c r="EL59" s="28"/>
      <c r="EM59" s="28"/>
      <c r="EN59" s="26"/>
      <c r="EO59" s="26"/>
      <c r="EP59" s="28"/>
      <c r="EQ59" s="28"/>
      <c r="ER59" s="26"/>
      <c r="ES59" s="28"/>
      <c r="ET59" s="26"/>
      <c r="EU59" s="26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6"/>
      <c r="FH59" s="26"/>
      <c r="FI59" s="31"/>
      <c r="FJ59" s="31"/>
      <c r="FK59" s="31"/>
      <c r="FL59" s="32"/>
      <c r="FM59" s="28"/>
      <c r="FN59" s="26"/>
      <c r="FO59" s="28"/>
      <c r="FP59" s="28"/>
      <c r="FQ59" s="26"/>
      <c r="FR59" s="28"/>
      <c r="FS59" s="28"/>
      <c r="FT59" s="28"/>
      <c r="FU59" s="26"/>
      <c r="FV59" s="28"/>
      <c r="FW59" s="28"/>
      <c r="FX59" s="26"/>
      <c r="FY59" s="28"/>
      <c r="FZ59" s="28"/>
      <c r="GA59" s="28"/>
      <c r="GB59" s="26"/>
      <c r="GC59" s="26"/>
      <c r="GD59" s="28"/>
      <c r="GE59" s="28"/>
      <c r="GF59" s="28"/>
      <c r="GG59" s="28"/>
      <c r="GH59" s="28"/>
      <c r="GI59" s="26"/>
      <c r="GJ59" s="28"/>
      <c r="GK59" s="28"/>
      <c r="GL59" s="28"/>
      <c r="GM59" s="31"/>
      <c r="GN59" s="26"/>
      <c r="GO59" s="31"/>
      <c r="GP59" s="31"/>
      <c r="GQ59" s="38"/>
      <c r="GR59" s="39"/>
      <c r="GS59" s="39"/>
      <c r="GT59" s="39"/>
      <c r="GU59" s="39"/>
      <c r="GV59" s="39"/>
      <c r="GW59" s="39"/>
      <c r="GX59" s="39"/>
      <c r="GY59" s="39"/>
      <c r="GZ59" s="40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40"/>
      <c r="HM59" s="40"/>
      <c r="HN59" s="39"/>
      <c r="HO59" s="39"/>
      <c r="HP59" s="39"/>
      <c r="HQ59" s="39"/>
      <c r="HR59" s="39"/>
      <c r="HS59" s="39"/>
      <c r="HT59" s="39"/>
      <c r="HU59" s="40"/>
      <c r="HV59" s="39"/>
      <c r="HW59" s="38"/>
      <c r="HX59" s="41"/>
      <c r="HY59" s="39"/>
      <c r="HZ59" s="39"/>
      <c r="IA59" s="39"/>
      <c r="IB59" s="39"/>
      <c r="IC59" s="39"/>
      <c r="ID59" s="40"/>
      <c r="IE59" s="39"/>
      <c r="IF59" s="39"/>
      <c r="IG59" s="39"/>
      <c r="IH59" s="40"/>
      <c r="II59" s="40"/>
      <c r="IJ59" s="42"/>
      <c r="IK59" s="42"/>
      <c r="IL59" s="39"/>
      <c r="IM59" s="39"/>
      <c r="IN59" s="39"/>
      <c r="IO59" s="42"/>
      <c r="IP59" s="40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8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8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40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8"/>
      <c r="LO59" s="39"/>
      <c r="LP59" s="39"/>
      <c r="LQ59" s="40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9"/>
      <c r="MM59" s="39"/>
      <c r="MN59" s="39"/>
      <c r="MO59" s="39"/>
      <c r="MP59" s="39"/>
      <c r="MQ59" s="39"/>
      <c r="MR59" s="39"/>
      <c r="MS59" s="38"/>
      <c r="MT59" s="39"/>
      <c r="MU59" s="39"/>
      <c r="MV59" s="39"/>
      <c r="MW59" s="39"/>
      <c r="MX59" s="39"/>
      <c r="MY59" s="39"/>
      <c r="MZ59" s="39"/>
      <c r="NA59" s="39"/>
      <c r="NB59" s="39"/>
      <c r="NC59" s="39"/>
      <c r="ND59" s="39"/>
      <c r="NE59" s="39"/>
      <c r="NF59" s="39"/>
      <c r="NG59" s="39"/>
      <c r="NH59" s="39"/>
      <c r="NI59" s="39"/>
      <c r="NJ59" s="39"/>
      <c r="NK59" s="39"/>
      <c r="NL59" s="39"/>
      <c r="NM59" s="39"/>
      <c r="NN59" s="39"/>
      <c r="NO59" s="39"/>
      <c r="NP59" s="39"/>
      <c r="NQ59" s="39"/>
      <c r="NR59" s="39"/>
      <c r="NS59" s="39"/>
      <c r="NT59" s="39"/>
      <c r="NU59" s="39"/>
      <c r="NV59" s="39"/>
      <c r="NW59" s="39"/>
      <c r="NX59" s="39"/>
      <c r="NY59" s="38"/>
    </row>
    <row r="60">
      <c r="A60" s="50" t="s">
        <v>450</v>
      </c>
      <c r="B60" s="26" t="str">
        <f>IFERROR(__xludf.DUMMYFUNCTION("VLOOKUP(A60, IMPORTRANGE(""https://docs.google.com/spreadsheets/d/1KpTMcNM9m1P7u9qCVzob8p1-RZoC1ejaYs5CdpAbWFY/edit?gid=260580969#gid=260580969"", ""2025 EMP PROFILE DATA!a1:W98""), 22, FALSE)"),"#REF!")</f>
        <v>#REF!</v>
      </c>
      <c r="C60" s="50">
        <f t="shared" si="1"/>
        <v>1</v>
      </c>
      <c r="D60" s="50">
        <f t="shared" si="2"/>
        <v>3</v>
      </c>
      <c r="E60" s="50">
        <f t="shared" si="3"/>
        <v>28</v>
      </c>
      <c r="F60" s="50">
        <f t="shared" si="4"/>
        <v>2</v>
      </c>
      <c r="G60" s="51">
        <f t="shared" si="5"/>
        <v>0.002525252525</v>
      </c>
      <c r="H60" s="51">
        <f t="shared" si="6"/>
        <v>0.07070707071</v>
      </c>
      <c r="I60" s="28">
        <f t="shared" si="7"/>
        <v>32</v>
      </c>
      <c r="J60" s="26">
        <v>0.0</v>
      </c>
      <c r="K60" s="26">
        <v>0.0</v>
      </c>
      <c r="L60" s="52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37" t="s">
        <v>19</v>
      </c>
      <c r="AA60" s="50"/>
      <c r="AB60" s="50"/>
      <c r="AC60" s="37" t="s">
        <v>21</v>
      </c>
      <c r="AD60" s="50"/>
      <c r="AE60" s="50"/>
      <c r="AF60" s="50"/>
      <c r="AG60" s="37" t="s">
        <v>21</v>
      </c>
      <c r="AH60" s="50"/>
      <c r="AI60" s="50"/>
      <c r="AJ60" s="50"/>
      <c r="AK60" s="50"/>
      <c r="AL60" s="50"/>
      <c r="AM60" s="50"/>
      <c r="AN60" s="37" t="s">
        <v>21</v>
      </c>
      <c r="AO60" s="50"/>
      <c r="AP60" s="50"/>
      <c r="AQ60" s="50"/>
      <c r="AR60" s="29"/>
      <c r="AS60" s="28"/>
      <c r="AT60" s="28"/>
      <c r="AU60" s="28"/>
      <c r="AV60" s="26" t="s">
        <v>22</v>
      </c>
      <c r="AW60" s="26"/>
      <c r="AX60" s="28"/>
      <c r="AY60" s="28"/>
      <c r="AZ60" s="26"/>
      <c r="BA60" s="37" t="s">
        <v>21</v>
      </c>
      <c r="BB60" s="37" t="s">
        <v>21</v>
      </c>
      <c r="BC60" s="28"/>
      <c r="BD60" s="28"/>
      <c r="BE60" s="26"/>
      <c r="BF60" s="28"/>
      <c r="BG60" s="28"/>
      <c r="BH60" s="37" t="s">
        <v>21</v>
      </c>
      <c r="BI60" s="37" t="s">
        <v>21</v>
      </c>
      <c r="BJ60" s="37" t="s">
        <v>21</v>
      </c>
      <c r="BK60" s="37" t="s">
        <v>21</v>
      </c>
      <c r="BL60" s="28"/>
      <c r="BM60" s="26"/>
      <c r="BN60" s="28"/>
      <c r="BO60" s="28"/>
      <c r="BP60" s="28"/>
      <c r="BQ60" s="37" t="s">
        <v>21</v>
      </c>
      <c r="BR60" s="28"/>
      <c r="BS60" s="37" t="s">
        <v>21</v>
      </c>
      <c r="BT60" s="26"/>
      <c r="BU60" s="32"/>
      <c r="BV60" s="33"/>
      <c r="BW60" s="33"/>
      <c r="BX60" s="33"/>
      <c r="BY60" s="37" t="s">
        <v>21</v>
      </c>
      <c r="BZ60" s="37" t="s">
        <v>21</v>
      </c>
      <c r="CA60" s="33"/>
      <c r="CB60" s="35"/>
      <c r="CC60" s="33"/>
      <c r="CD60" s="33"/>
      <c r="CE60" s="37" t="s">
        <v>21</v>
      </c>
      <c r="CF60" s="37" t="s">
        <v>21</v>
      </c>
      <c r="CG60" s="37" t="s">
        <v>21</v>
      </c>
      <c r="CH60" s="28"/>
      <c r="CI60" s="28"/>
      <c r="CJ60" s="28"/>
      <c r="CK60" s="28"/>
      <c r="CL60" s="26"/>
      <c r="CM60" s="28"/>
      <c r="CN60" s="28"/>
      <c r="CO60" s="28"/>
      <c r="CP60" s="37" t="s">
        <v>21</v>
      </c>
      <c r="CQ60" s="28"/>
      <c r="CR60" s="28"/>
      <c r="CS60" s="37" t="s">
        <v>21</v>
      </c>
      <c r="CT60" s="37" t="s">
        <v>21</v>
      </c>
      <c r="CU60" s="26"/>
      <c r="CV60" s="31"/>
      <c r="CW60" s="26"/>
      <c r="CX60" s="26"/>
      <c r="CY60" s="26"/>
      <c r="CZ60" s="37" t="s">
        <v>21</v>
      </c>
      <c r="DA60" s="32"/>
      <c r="DB60" s="37" t="s">
        <v>21</v>
      </c>
      <c r="DC60" s="37" t="s">
        <v>21</v>
      </c>
      <c r="DD60" s="28"/>
      <c r="DE60" s="37" t="s">
        <v>21</v>
      </c>
      <c r="DF60" s="26"/>
      <c r="DG60" s="26"/>
      <c r="DH60" s="26"/>
      <c r="DI60" s="26"/>
      <c r="DJ60" s="28"/>
      <c r="DK60" s="28"/>
      <c r="DL60" s="28"/>
      <c r="DM60" s="28"/>
      <c r="DN60" s="37" t="s">
        <v>21</v>
      </c>
      <c r="DO60" s="28"/>
      <c r="DP60" s="28"/>
      <c r="DQ60" s="28"/>
      <c r="DR60" s="28"/>
      <c r="DS60" s="28"/>
      <c r="DT60" s="28"/>
      <c r="DU60" s="37" t="s">
        <v>21</v>
      </c>
      <c r="DV60" s="28"/>
      <c r="DW60" s="26"/>
      <c r="DX60" s="26"/>
      <c r="DY60" s="28"/>
      <c r="DZ60" s="28"/>
      <c r="EA60" s="28"/>
      <c r="EB60" s="31"/>
      <c r="EC60" s="26"/>
      <c r="ED60" s="31"/>
      <c r="EE60" s="26"/>
      <c r="EF60" s="32"/>
      <c r="EG60" s="28"/>
      <c r="EH60" s="26"/>
      <c r="EI60" s="28"/>
      <c r="EJ60" s="28"/>
      <c r="EK60" s="26"/>
      <c r="EL60" s="28"/>
      <c r="EM60" s="28"/>
      <c r="EN60" s="26"/>
      <c r="EO60" s="26"/>
      <c r="EP60" s="28"/>
      <c r="EQ60" s="28"/>
      <c r="ER60" s="37" t="s">
        <v>21</v>
      </c>
      <c r="ES60" s="28"/>
      <c r="ET60" s="26"/>
      <c r="EU60" s="26"/>
      <c r="EV60" s="28"/>
      <c r="EW60" s="28"/>
      <c r="EX60" s="63" t="s">
        <v>21</v>
      </c>
      <c r="EY60" s="28"/>
      <c r="EZ60" s="28"/>
      <c r="FA60" s="28"/>
      <c r="FB60" s="28"/>
      <c r="FC60" s="28"/>
      <c r="FD60" s="28"/>
      <c r="FE60" s="28"/>
      <c r="FF60" s="28"/>
      <c r="FG60" s="26"/>
      <c r="FH60" s="26"/>
      <c r="FI60" s="31"/>
      <c r="FJ60" s="31"/>
      <c r="FK60" s="31"/>
      <c r="FL60" s="32"/>
      <c r="FM60" s="28"/>
      <c r="FN60" s="26"/>
      <c r="FO60" s="28"/>
      <c r="FP60" s="37" t="s">
        <v>21</v>
      </c>
      <c r="FQ60" s="26"/>
      <c r="FR60" s="28"/>
      <c r="FS60" s="28"/>
      <c r="FT60" s="28"/>
      <c r="FU60" s="26"/>
      <c r="FV60" s="28"/>
      <c r="FW60" s="26" t="s">
        <v>20</v>
      </c>
      <c r="FX60" s="26"/>
      <c r="FY60" s="28"/>
      <c r="FZ60" s="28"/>
      <c r="GA60" s="26" t="s">
        <v>22</v>
      </c>
      <c r="GB60" s="26" t="s">
        <v>20</v>
      </c>
      <c r="GC60" s="26" t="s">
        <v>20</v>
      </c>
      <c r="GD60" s="28"/>
      <c r="GE60" s="28"/>
      <c r="GF60" s="28"/>
      <c r="GG60" s="28"/>
      <c r="GH60" s="28"/>
      <c r="GI60" s="26"/>
      <c r="GJ60" s="28"/>
      <c r="GK60" s="28"/>
      <c r="GL60" s="28"/>
      <c r="GM60" s="31"/>
      <c r="GN60" s="26"/>
      <c r="GO60" s="31"/>
      <c r="GP60" s="31"/>
      <c r="GQ60" s="38"/>
      <c r="GR60" s="39"/>
      <c r="GS60" s="39"/>
      <c r="GT60" s="39"/>
      <c r="GU60" s="39"/>
      <c r="GV60" s="39"/>
      <c r="GW60" s="39"/>
      <c r="GX60" s="39"/>
      <c r="GY60" s="39"/>
      <c r="GZ60" s="40"/>
      <c r="HA60" s="39"/>
      <c r="HB60" s="39"/>
      <c r="HC60" s="39"/>
      <c r="HD60" s="39"/>
      <c r="HE60" s="39"/>
      <c r="HF60" s="39"/>
      <c r="HG60" s="39"/>
      <c r="HH60" s="39"/>
      <c r="HI60" s="39"/>
      <c r="HJ60" s="39"/>
      <c r="HK60" s="39"/>
      <c r="HL60" s="40"/>
      <c r="HM60" s="40"/>
      <c r="HN60" s="39"/>
      <c r="HO60" s="39"/>
      <c r="HP60" s="39"/>
      <c r="HQ60" s="39"/>
      <c r="HR60" s="39"/>
      <c r="HS60" s="39"/>
      <c r="HT60" s="39"/>
      <c r="HU60" s="40"/>
      <c r="HV60" s="39"/>
      <c r="HW60" s="38"/>
      <c r="HX60" s="41"/>
      <c r="HY60" s="39"/>
      <c r="HZ60" s="39"/>
      <c r="IA60" s="39"/>
      <c r="IB60" s="39"/>
      <c r="IC60" s="39"/>
      <c r="ID60" s="40"/>
      <c r="IE60" s="39"/>
      <c r="IF60" s="39"/>
      <c r="IG60" s="39"/>
      <c r="IH60" s="40"/>
      <c r="II60" s="40"/>
      <c r="IJ60" s="42"/>
      <c r="IK60" s="42"/>
      <c r="IL60" s="39"/>
      <c r="IM60" s="39"/>
      <c r="IN60" s="39"/>
      <c r="IO60" s="42"/>
      <c r="IP60" s="40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8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8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40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8"/>
      <c r="LO60" s="39"/>
      <c r="LP60" s="39"/>
      <c r="LQ60" s="40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9"/>
      <c r="MM60" s="39"/>
      <c r="MN60" s="39"/>
      <c r="MO60" s="39"/>
      <c r="MP60" s="39"/>
      <c r="MQ60" s="39"/>
      <c r="MR60" s="39"/>
      <c r="MS60" s="38"/>
      <c r="MT60" s="39"/>
      <c r="MU60" s="39"/>
      <c r="MV60" s="39"/>
      <c r="MW60" s="39"/>
      <c r="MX60" s="39"/>
      <c r="MY60" s="39"/>
      <c r="MZ60" s="39"/>
      <c r="NA60" s="39"/>
      <c r="NB60" s="39"/>
      <c r="NC60" s="39"/>
      <c r="ND60" s="39"/>
      <c r="NE60" s="39"/>
      <c r="NF60" s="39"/>
      <c r="NG60" s="39"/>
      <c r="NH60" s="39"/>
      <c r="NI60" s="39"/>
      <c r="NJ60" s="39"/>
      <c r="NK60" s="39"/>
      <c r="NL60" s="39"/>
      <c r="NM60" s="39"/>
      <c r="NN60" s="39"/>
      <c r="NO60" s="39"/>
      <c r="NP60" s="39"/>
      <c r="NQ60" s="39"/>
      <c r="NR60" s="39"/>
      <c r="NS60" s="39"/>
      <c r="NT60" s="39"/>
      <c r="NU60" s="39"/>
      <c r="NV60" s="39"/>
      <c r="NW60" s="39"/>
      <c r="NX60" s="39"/>
      <c r="NY60" s="38"/>
    </row>
    <row r="61">
      <c r="A61" s="47" t="s">
        <v>451</v>
      </c>
      <c r="B61" s="26" t="str">
        <f>IFERROR(__xludf.DUMMYFUNCTION("VLOOKUP(A61, IMPORTRANGE(""https://docs.google.com/spreadsheets/d/1KpTMcNM9m1P7u9qCVzob8p1-RZoC1ejaYs5CdpAbWFY/edit?gid=260580969#gid=260580969"", ""2025 EMP PROFILE DATA!a1:W98""), 22, FALSE)"),"#REF!")</f>
        <v>#REF!</v>
      </c>
      <c r="C61" s="45">
        <f t="shared" si="1"/>
        <v>0</v>
      </c>
      <c r="D61" s="45">
        <f t="shared" si="2"/>
        <v>0</v>
      </c>
      <c r="E61" s="45">
        <f t="shared" si="3"/>
        <v>0</v>
      </c>
      <c r="F61" s="45">
        <f t="shared" si="4"/>
        <v>0</v>
      </c>
      <c r="G61" s="46">
        <f t="shared" si="5"/>
        <v>0</v>
      </c>
      <c r="H61" s="46">
        <f t="shared" si="6"/>
        <v>0</v>
      </c>
      <c r="I61" s="28">
        <f t="shared" si="7"/>
        <v>0</v>
      </c>
      <c r="J61" s="26">
        <v>0.0</v>
      </c>
      <c r="K61" s="26">
        <v>0.0</v>
      </c>
      <c r="L61" s="49"/>
      <c r="M61" s="45"/>
      <c r="N61" s="37"/>
      <c r="O61" s="45"/>
      <c r="P61" s="45"/>
      <c r="Q61" s="37"/>
      <c r="R61" s="37"/>
      <c r="S61" s="37"/>
      <c r="T61" s="37"/>
      <c r="U61" s="37"/>
      <c r="V61" s="45"/>
      <c r="W61" s="45"/>
      <c r="X61" s="45"/>
      <c r="Y61" s="45"/>
      <c r="Z61" s="45"/>
      <c r="AA61" s="45"/>
      <c r="AB61" s="37"/>
      <c r="AC61" s="37"/>
      <c r="AD61" s="37"/>
      <c r="AE61" s="37"/>
      <c r="AF61" s="45"/>
      <c r="AG61" s="45"/>
      <c r="AH61" s="45"/>
      <c r="AI61" s="45"/>
      <c r="AJ61" s="45"/>
      <c r="AK61" s="45"/>
      <c r="AL61" s="45"/>
      <c r="AM61" s="45"/>
      <c r="AN61" s="37"/>
      <c r="AO61" s="45"/>
      <c r="AP61" s="45"/>
      <c r="AQ61" s="45"/>
      <c r="AR61" s="29"/>
      <c r="AS61" s="28"/>
      <c r="AT61" s="37"/>
      <c r="AU61" s="28"/>
      <c r="AV61" s="28"/>
      <c r="AW61" s="26"/>
      <c r="AX61" s="28"/>
      <c r="AY61" s="28"/>
      <c r="AZ61" s="26"/>
      <c r="BA61" s="28"/>
      <c r="BB61" s="26"/>
      <c r="BC61" s="28"/>
      <c r="BD61" s="28"/>
      <c r="BE61" s="26"/>
      <c r="BF61" s="28"/>
      <c r="BG61" s="28"/>
      <c r="BH61" s="26"/>
      <c r="BI61" s="26"/>
      <c r="BJ61" s="26"/>
      <c r="BK61" s="28"/>
      <c r="BL61" s="28"/>
      <c r="BM61" s="26"/>
      <c r="BN61" s="28"/>
      <c r="BO61" s="28"/>
      <c r="BP61" s="28"/>
      <c r="BQ61" s="28"/>
      <c r="BR61" s="28"/>
      <c r="BS61" s="31"/>
      <c r="BT61" s="26"/>
      <c r="BU61" s="32"/>
      <c r="BV61" s="33"/>
      <c r="BW61" s="33"/>
      <c r="BX61" s="33"/>
      <c r="BY61" s="33"/>
      <c r="BZ61" s="33"/>
      <c r="CA61" s="33"/>
      <c r="CB61" s="35"/>
      <c r="CC61" s="33"/>
      <c r="CD61" s="33"/>
      <c r="CE61" s="34"/>
      <c r="CF61" s="36"/>
      <c r="CG61" s="26"/>
      <c r="CH61" s="28"/>
      <c r="CI61" s="28"/>
      <c r="CJ61" s="28"/>
      <c r="CK61" s="28"/>
      <c r="CL61" s="26"/>
      <c r="CM61" s="28"/>
      <c r="CN61" s="28"/>
      <c r="CO61" s="28"/>
      <c r="CP61" s="26"/>
      <c r="CQ61" s="28"/>
      <c r="CR61" s="28"/>
      <c r="CS61" s="28"/>
      <c r="CT61" s="37"/>
      <c r="CU61" s="26"/>
      <c r="CV61" s="31"/>
      <c r="CW61" s="37"/>
      <c r="CX61" s="26"/>
      <c r="CY61" s="37"/>
      <c r="CZ61" s="37"/>
      <c r="DA61" s="32"/>
      <c r="DB61" s="28"/>
      <c r="DC61" s="37"/>
      <c r="DD61" s="37"/>
      <c r="DE61" s="26"/>
      <c r="DF61" s="26"/>
      <c r="DG61" s="26"/>
      <c r="DH61" s="26"/>
      <c r="DI61" s="26"/>
      <c r="DJ61" s="26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6"/>
      <c r="DX61" s="26"/>
      <c r="DY61" s="28"/>
      <c r="DZ61" s="28"/>
      <c r="EA61" s="28"/>
      <c r="EB61" s="31"/>
      <c r="EC61" s="26"/>
      <c r="ED61" s="31"/>
      <c r="EE61" s="26"/>
      <c r="EF61" s="32"/>
      <c r="EG61" s="28"/>
      <c r="EH61" s="26"/>
      <c r="EI61" s="28"/>
      <c r="EJ61" s="28"/>
      <c r="EK61" s="26"/>
      <c r="EL61" s="28"/>
      <c r="EM61" s="28"/>
      <c r="EN61" s="26"/>
      <c r="EO61" s="26"/>
      <c r="EP61" s="28"/>
      <c r="EQ61" s="28"/>
      <c r="ER61" s="26"/>
      <c r="ES61" s="28"/>
      <c r="ET61" s="26"/>
      <c r="EU61" s="26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6"/>
      <c r="FH61" s="26"/>
      <c r="FI61" s="31"/>
      <c r="FJ61" s="31"/>
      <c r="FK61" s="31"/>
      <c r="FL61" s="32"/>
      <c r="FM61" s="28"/>
      <c r="FN61" s="26"/>
      <c r="FO61" s="28"/>
      <c r="FP61" s="28"/>
      <c r="FQ61" s="26"/>
      <c r="FR61" s="28"/>
      <c r="FS61" s="28"/>
      <c r="FT61" s="28"/>
      <c r="FU61" s="26"/>
      <c r="FV61" s="28"/>
      <c r="FW61" s="28"/>
      <c r="FX61" s="26"/>
      <c r="FY61" s="28"/>
      <c r="FZ61" s="28"/>
      <c r="GA61" s="28"/>
      <c r="GB61" s="26"/>
      <c r="GC61" s="26"/>
      <c r="GD61" s="28"/>
      <c r="GE61" s="28"/>
      <c r="GF61" s="28"/>
      <c r="GG61" s="28"/>
      <c r="GH61" s="28"/>
      <c r="GI61" s="26"/>
      <c r="GJ61" s="28"/>
      <c r="GK61" s="28"/>
      <c r="GL61" s="28"/>
      <c r="GM61" s="31"/>
      <c r="GN61" s="26"/>
      <c r="GO61" s="31"/>
      <c r="GP61" s="31"/>
      <c r="GQ61" s="38"/>
      <c r="GR61" s="39"/>
      <c r="GS61" s="39"/>
      <c r="GT61" s="39"/>
      <c r="GU61" s="39"/>
      <c r="GV61" s="39"/>
      <c r="GW61" s="39"/>
      <c r="GX61" s="39"/>
      <c r="GY61" s="39"/>
      <c r="GZ61" s="40"/>
      <c r="HA61" s="39"/>
      <c r="HB61" s="39"/>
      <c r="HC61" s="39"/>
      <c r="HD61" s="39"/>
      <c r="HE61" s="39"/>
      <c r="HF61" s="39"/>
      <c r="HG61" s="39"/>
      <c r="HH61" s="39"/>
      <c r="HI61" s="39"/>
      <c r="HJ61" s="39"/>
      <c r="HK61" s="39"/>
      <c r="HL61" s="40"/>
      <c r="HM61" s="40"/>
      <c r="HN61" s="39"/>
      <c r="HO61" s="39"/>
      <c r="HP61" s="39"/>
      <c r="HQ61" s="39"/>
      <c r="HR61" s="39"/>
      <c r="HS61" s="39"/>
      <c r="HT61" s="39"/>
      <c r="HU61" s="40"/>
      <c r="HV61" s="39"/>
      <c r="HW61" s="38"/>
      <c r="HX61" s="41"/>
      <c r="HY61" s="39"/>
      <c r="HZ61" s="39"/>
      <c r="IA61" s="39"/>
      <c r="IB61" s="39"/>
      <c r="IC61" s="39"/>
      <c r="ID61" s="40"/>
      <c r="IE61" s="39"/>
      <c r="IF61" s="39"/>
      <c r="IG61" s="39"/>
      <c r="IH61" s="40"/>
      <c r="II61" s="40"/>
      <c r="IJ61" s="42"/>
      <c r="IK61" s="42"/>
      <c r="IL61" s="39"/>
      <c r="IM61" s="39"/>
      <c r="IN61" s="39"/>
      <c r="IO61" s="42"/>
      <c r="IP61" s="40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8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8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40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8"/>
      <c r="LO61" s="39"/>
      <c r="LP61" s="39"/>
      <c r="LQ61" s="40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9"/>
      <c r="MM61" s="39"/>
      <c r="MN61" s="39"/>
      <c r="MO61" s="39"/>
      <c r="MP61" s="39"/>
      <c r="MQ61" s="39"/>
      <c r="MR61" s="39"/>
      <c r="MS61" s="38"/>
      <c r="MT61" s="39"/>
      <c r="MU61" s="39"/>
      <c r="MV61" s="39"/>
      <c r="MW61" s="39"/>
      <c r="MX61" s="39"/>
      <c r="MY61" s="39"/>
      <c r="MZ61" s="39"/>
      <c r="NA61" s="39"/>
      <c r="NB61" s="39"/>
      <c r="NC61" s="39"/>
      <c r="ND61" s="39"/>
      <c r="NE61" s="39"/>
      <c r="NF61" s="39"/>
      <c r="NG61" s="39"/>
      <c r="NH61" s="39"/>
      <c r="NI61" s="39"/>
      <c r="NJ61" s="39"/>
      <c r="NK61" s="39"/>
      <c r="NL61" s="39"/>
      <c r="NM61" s="39"/>
      <c r="NN61" s="39"/>
      <c r="NO61" s="39"/>
      <c r="NP61" s="39"/>
      <c r="NQ61" s="39"/>
      <c r="NR61" s="39"/>
      <c r="NS61" s="39"/>
      <c r="NT61" s="39"/>
      <c r="NU61" s="39"/>
      <c r="NV61" s="39"/>
      <c r="NW61" s="39"/>
      <c r="NX61" s="39"/>
      <c r="NY61" s="38"/>
    </row>
    <row r="62">
      <c r="A62" s="47" t="s">
        <v>452</v>
      </c>
      <c r="B62" s="26" t="str">
        <f>IFERROR(__xludf.DUMMYFUNCTION("VLOOKUP(A62, IMPORTRANGE(""https://docs.google.com/spreadsheets/d/1KpTMcNM9m1P7u9qCVzob8p1-RZoC1ejaYs5CdpAbWFY/edit?gid=260580969#gid=260580969"", ""2025 EMP PROFILE DATA!a1:W98""), 22, FALSE)"),"#REF!")</f>
        <v>#REF!</v>
      </c>
      <c r="C62" s="45">
        <f t="shared" si="1"/>
        <v>3</v>
      </c>
      <c r="D62" s="45">
        <f t="shared" si="2"/>
        <v>1</v>
      </c>
      <c r="E62" s="45">
        <f t="shared" si="3"/>
        <v>2</v>
      </c>
      <c r="F62" s="45">
        <f t="shared" si="4"/>
        <v>0</v>
      </c>
      <c r="G62" s="46">
        <f t="shared" si="5"/>
        <v>0.007575757576</v>
      </c>
      <c r="H62" s="46">
        <f t="shared" si="6"/>
        <v>0.005050505051</v>
      </c>
      <c r="I62" s="28">
        <f t="shared" si="7"/>
        <v>14</v>
      </c>
      <c r="J62" s="26">
        <v>0.0</v>
      </c>
      <c r="K62" s="26">
        <v>0.0</v>
      </c>
      <c r="L62" s="49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7" t="s">
        <v>19</v>
      </c>
      <c r="AM62" s="45"/>
      <c r="AN62" s="57" t="s">
        <v>21</v>
      </c>
      <c r="AO62" s="45"/>
      <c r="AP62" s="45"/>
      <c r="AQ62" s="45"/>
      <c r="AR62" s="29"/>
      <c r="AS62" s="28"/>
      <c r="AT62" s="28"/>
      <c r="AU62" s="28"/>
      <c r="AV62" s="28"/>
      <c r="AW62" s="26"/>
      <c r="AX62" s="28"/>
      <c r="AY62" s="28"/>
      <c r="AZ62" s="26"/>
      <c r="BA62" s="28"/>
      <c r="BB62" s="26"/>
      <c r="BC62" s="28"/>
      <c r="BD62" s="28"/>
      <c r="BE62" s="26"/>
      <c r="BF62" s="28"/>
      <c r="BG62" s="28"/>
      <c r="BH62" s="26"/>
      <c r="BI62" s="26"/>
      <c r="BJ62" s="26"/>
      <c r="BK62" s="28"/>
      <c r="BL62" s="28"/>
      <c r="BM62" s="26"/>
      <c r="BN62" s="28"/>
      <c r="BO62" s="28"/>
      <c r="BP62" s="28"/>
      <c r="BQ62" s="28"/>
      <c r="BR62" s="28"/>
      <c r="BS62" s="31"/>
      <c r="BT62" s="26"/>
      <c r="BU62" s="32"/>
      <c r="BV62" s="33"/>
      <c r="BW62" s="33"/>
      <c r="BX62" s="33"/>
      <c r="BY62" s="33"/>
      <c r="BZ62" s="33"/>
      <c r="CA62" s="33"/>
      <c r="CB62" s="35"/>
      <c r="CC62" s="33"/>
      <c r="CD62" s="33"/>
      <c r="CE62" s="34"/>
      <c r="CF62" s="36"/>
      <c r="CG62" s="26"/>
      <c r="CH62" s="28"/>
      <c r="CI62" s="28"/>
      <c r="CJ62" s="28"/>
      <c r="CK62" s="28"/>
      <c r="CL62" s="26"/>
      <c r="CM62" s="28"/>
      <c r="CN62" s="28"/>
      <c r="CO62" s="28"/>
      <c r="CP62" s="26"/>
      <c r="CQ62" s="28"/>
      <c r="CR62" s="28"/>
      <c r="CS62" s="28"/>
      <c r="CT62" s="28"/>
      <c r="CU62" s="26"/>
      <c r="CV62" s="31"/>
      <c r="CW62" s="26"/>
      <c r="CX62" s="26"/>
      <c r="CY62" s="26"/>
      <c r="CZ62" s="31"/>
      <c r="DA62" s="32"/>
      <c r="DB62" s="28"/>
      <c r="DC62" s="28"/>
      <c r="DD62" s="28"/>
      <c r="DE62" s="26"/>
      <c r="DF62" s="26"/>
      <c r="DG62" s="26"/>
      <c r="DH62" s="26"/>
      <c r="DI62" s="26" t="s">
        <v>19</v>
      </c>
      <c r="DJ62" s="28"/>
      <c r="DK62" s="28"/>
      <c r="DL62" s="28"/>
      <c r="DM62" s="28"/>
      <c r="DN62" s="28"/>
      <c r="DO62" s="37" t="s">
        <v>19</v>
      </c>
      <c r="DP62" s="37" t="s">
        <v>21</v>
      </c>
      <c r="DQ62" s="28"/>
      <c r="DR62" s="28"/>
      <c r="DS62" s="28"/>
      <c r="DT62" s="28"/>
      <c r="DU62" s="28"/>
      <c r="DV62" s="28"/>
      <c r="DW62" s="26"/>
      <c r="DX62" s="26"/>
      <c r="DY62" s="28"/>
      <c r="DZ62" s="28"/>
      <c r="EA62" s="28"/>
      <c r="EB62" s="31"/>
      <c r="EC62" s="26"/>
      <c r="ED62" s="31"/>
      <c r="EE62" s="26"/>
      <c r="EF62" s="32"/>
      <c r="EG62" s="28"/>
      <c r="EH62" s="26"/>
      <c r="EI62" s="28"/>
      <c r="EJ62" s="28"/>
      <c r="EK62" s="26"/>
      <c r="EL62" s="28"/>
      <c r="EM62" s="28"/>
      <c r="EN62" s="26"/>
      <c r="EO62" s="26"/>
      <c r="EP62" s="28"/>
      <c r="EQ62" s="28"/>
      <c r="ER62" s="26"/>
      <c r="ES62" s="28"/>
      <c r="ET62" s="26"/>
      <c r="EU62" s="26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6"/>
      <c r="FH62" s="26"/>
      <c r="FI62" s="31"/>
      <c r="FJ62" s="31"/>
      <c r="FK62" s="31"/>
      <c r="FL62" s="32"/>
      <c r="FM62" s="28"/>
      <c r="FN62" s="26"/>
      <c r="FO62" s="28"/>
      <c r="FP62" s="28"/>
      <c r="FQ62" s="26"/>
      <c r="FR62" s="28"/>
      <c r="FS62" s="28"/>
      <c r="FT62" s="28"/>
      <c r="FU62" s="26"/>
      <c r="FV62" s="28"/>
      <c r="FW62" s="28"/>
      <c r="FX62" s="26"/>
      <c r="FY62" s="28"/>
      <c r="FZ62" s="28"/>
      <c r="GA62" s="28"/>
      <c r="GB62" s="26"/>
      <c r="GC62" s="26"/>
      <c r="GD62" s="28"/>
      <c r="GE62" s="28"/>
      <c r="GF62" s="28"/>
      <c r="GG62" s="28"/>
      <c r="GH62" s="28"/>
      <c r="GI62" s="26"/>
      <c r="GJ62" s="26" t="s">
        <v>20</v>
      </c>
      <c r="GK62" s="28"/>
      <c r="GL62" s="28"/>
      <c r="GM62" s="31"/>
      <c r="GN62" s="26"/>
      <c r="GO62" s="31"/>
      <c r="GP62" s="31"/>
      <c r="GQ62" s="38"/>
      <c r="GR62" s="39"/>
      <c r="GS62" s="39"/>
      <c r="GT62" s="39"/>
      <c r="GU62" s="39"/>
      <c r="GV62" s="39"/>
      <c r="GW62" s="39"/>
      <c r="GX62" s="39"/>
      <c r="GY62" s="39"/>
      <c r="GZ62" s="40"/>
      <c r="HA62" s="39"/>
      <c r="HB62" s="39"/>
      <c r="HC62" s="39"/>
      <c r="HD62" s="39"/>
      <c r="HE62" s="39"/>
      <c r="HF62" s="39"/>
      <c r="HG62" s="39"/>
      <c r="HH62" s="39"/>
      <c r="HI62" s="39"/>
      <c r="HJ62" s="39"/>
      <c r="HK62" s="39"/>
      <c r="HL62" s="40"/>
      <c r="HM62" s="40"/>
      <c r="HN62" s="39"/>
      <c r="HO62" s="39"/>
      <c r="HP62" s="39"/>
      <c r="HQ62" s="39"/>
      <c r="HR62" s="39"/>
      <c r="HS62" s="39"/>
      <c r="HT62" s="39"/>
      <c r="HU62" s="40"/>
      <c r="HV62" s="39"/>
      <c r="HW62" s="38"/>
      <c r="HX62" s="41"/>
      <c r="HY62" s="39"/>
      <c r="HZ62" s="39"/>
      <c r="IA62" s="39"/>
      <c r="IB62" s="39"/>
      <c r="IC62" s="39"/>
      <c r="ID62" s="40"/>
      <c r="IE62" s="39"/>
      <c r="IF62" s="39"/>
      <c r="IG62" s="39"/>
      <c r="IH62" s="40"/>
      <c r="II62" s="40"/>
      <c r="IJ62" s="42"/>
      <c r="IK62" s="42"/>
      <c r="IL62" s="39"/>
      <c r="IM62" s="39"/>
      <c r="IN62" s="39"/>
      <c r="IO62" s="42"/>
      <c r="IP62" s="40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8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8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40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8"/>
      <c r="LO62" s="39"/>
      <c r="LP62" s="39"/>
      <c r="LQ62" s="40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9"/>
      <c r="MM62" s="39"/>
      <c r="MN62" s="39"/>
      <c r="MO62" s="39"/>
      <c r="MP62" s="39"/>
      <c r="MQ62" s="39"/>
      <c r="MR62" s="39"/>
      <c r="MS62" s="38"/>
      <c r="MT62" s="39"/>
      <c r="MU62" s="39"/>
      <c r="MV62" s="39"/>
      <c r="MW62" s="39"/>
      <c r="MX62" s="39"/>
      <c r="MY62" s="39"/>
      <c r="MZ62" s="39"/>
      <c r="NA62" s="39"/>
      <c r="NB62" s="39"/>
      <c r="NC62" s="39"/>
      <c r="ND62" s="39"/>
      <c r="NE62" s="39"/>
      <c r="NF62" s="39"/>
      <c r="NG62" s="39"/>
      <c r="NH62" s="39"/>
      <c r="NI62" s="39"/>
      <c r="NJ62" s="39"/>
      <c r="NK62" s="39"/>
      <c r="NL62" s="39"/>
      <c r="NM62" s="39"/>
      <c r="NN62" s="39"/>
      <c r="NO62" s="39"/>
      <c r="NP62" s="39"/>
      <c r="NQ62" s="39"/>
      <c r="NR62" s="39"/>
      <c r="NS62" s="39"/>
      <c r="NT62" s="39"/>
      <c r="NU62" s="39"/>
      <c r="NV62" s="39"/>
      <c r="NW62" s="39"/>
      <c r="NX62" s="39"/>
      <c r="NY62" s="38"/>
    </row>
    <row r="63">
      <c r="A63" s="45" t="s">
        <v>453</v>
      </c>
      <c r="B63" s="26" t="str">
        <f>IFERROR(__xludf.DUMMYFUNCTION("VLOOKUP(A63, IMPORTRANGE(""https://docs.google.com/spreadsheets/d/1KpTMcNM9m1P7u9qCVzob8p1-RZoC1ejaYs5CdpAbWFY/edit?gid=260580969#gid=260580969"", ""2025 EMP PROFILE DATA!a1:W98""), 22, FALSE)"),"#REF!")</f>
        <v>#REF!</v>
      </c>
      <c r="C63" s="45">
        <f t="shared" si="1"/>
        <v>2</v>
      </c>
      <c r="D63" s="45">
        <f t="shared" si="2"/>
        <v>1</v>
      </c>
      <c r="E63" s="45">
        <f t="shared" si="3"/>
        <v>34</v>
      </c>
      <c r="F63" s="45">
        <f t="shared" si="4"/>
        <v>0</v>
      </c>
      <c r="G63" s="46">
        <f t="shared" si="5"/>
        <v>0.005050505051</v>
      </c>
      <c r="H63" s="46">
        <f t="shared" si="6"/>
        <v>0.08585858586</v>
      </c>
      <c r="I63" s="28">
        <f t="shared" si="7"/>
        <v>42</v>
      </c>
      <c r="J63" s="26">
        <v>0.0</v>
      </c>
      <c r="K63" s="26">
        <v>0.0</v>
      </c>
      <c r="L63" s="49"/>
      <c r="M63" s="45"/>
      <c r="N63" s="45"/>
      <c r="O63" s="45"/>
      <c r="P63" s="45"/>
      <c r="Q63" s="45"/>
      <c r="R63" s="37" t="s">
        <v>21</v>
      </c>
      <c r="S63" s="45"/>
      <c r="T63" s="57"/>
      <c r="U63" s="45"/>
      <c r="V63" s="57" t="s">
        <v>21</v>
      </c>
      <c r="W63" s="45"/>
      <c r="X63" s="37" t="s">
        <v>21</v>
      </c>
      <c r="Y63" s="37" t="s">
        <v>21</v>
      </c>
      <c r="Z63" s="45"/>
      <c r="AA63" s="45"/>
      <c r="AB63" s="37" t="s">
        <v>21</v>
      </c>
      <c r="AC63" s="45"/>
      <c r="AD63" s="45"/>
      <c r="AE63" s="57" t="s">
        <v>21</v>
      </c>
      <c r="AF63" s="45"/>
      <c r="AG63" s="45"/>
      <c r="AH63" s="45"/>
      <c r="AI63" s="45"/>
      <c r="AJ63" s="45"/>
      <c r="AK63" s="45"/>
      <c r="AL63" s="45"/>
      <c r="AM63" s="45"/>
      <c r="AN63" s="57" t="s">
        <v>21</v>
      </c>
      <c r="AO63" s="57" t="s">
        <v>21</v>
      </c>
      <c r="AP63" s="57" t="s">
        <v>21</v>
      </c>
      <c r="AQ63" s="45"/>
      <c r="AR63" s="29"/>
      <c r="AS63" s="28"/>
      <c r="AT63" s="28"/>
      <c r="AU63" s="57" t="s">
        <v>21</v>
      </c>
      <c r="AV63" s="28"/>
      <c r="AW63" s="26"/>
      <c r="AX63" s="57" t="s">
        <v>21</v>
      </c>
      <c r="AY63" s="28"/>
      <c r="AZ63" s="26"/>
      <c r="BA63" s="28"/>
      <c r="BB63" s="37" t="s">
        <v>19</v>
      </c>
      <c r="BC63" s="28"/>
      <c r="BD63" s="28"/>
      <c r="BE63" s="26"/>
      <c r="BF63" s="28"/>
      <c r="BG63" s="28"/>
      <c r="BH63" s="26"/>
      <c r="BI63" s="26"/>
      <c r="BJ63" s="26"/>
      <c r="BK63" s="28"/>
      <c r="BL63" s="28"/>
      <c r="BM63" s="26"/>
      <c r="BN63" s="28"/>
      <c r="BO63" s="28"/>
      <c r="BP63" s="28"/>
      <c r="BQ63" s="28"/>
      <c r="BR63" s="28"/>
      <c r="BS63" s="31"/>
      <c r="BT63" s="26"/>
      <c r="BU63" s="32"/>
      <c r="BV63" s="33"/>
      <c r="BW63" s="33"/>
      <c r="BX63" s="33"/>
      <c r="BY63" s="37" t="s">
        <v>21</v>
      </c>
      <c r="BZ63" s="37" t="s">
        <v>21</v>
      </c>
      <c r="CA63" s="33"/>
      <c r="CB63" s="35"/>
      <c r="CC63" s="33"/>
      <c r="CD63" s="37" t="s">
        <v>21</v>
      </c>
      <c r="CE63" s="37" t="s">
        <v>21</v>
      </c>
      <c r="CF63" s="36"/>
      <c r="CG63" s="26"/>
      <c r="CH63" s="28"/>
      <c r="CI63" s="37" t="s">
        <v>21</v>
      </c>
      <c r="CJ63" s="28"/>
      <c r="CK63" s="37" t="s">
        <v>21</v>
      </c>
      <c r="CL63" s="26"/>
      <c r="CM63" s="28"/>
      <c r="CN63" s="28"/>
      <c r="CO63" s="28"/>
      <c r="CP63" s="37" t="s">
        <v>21</v>
      </c>
      <c r="CQ63" s="28"/>
      <c r="CR63" s="37" t="s">
        <v>21</v>
      </c>
      <c r="CS63" s="28"/>
      <c r="CT63" s="28"/>
      <c r="CU63" s="26" t="s">
        <v>20</v>
      </c>
      <c r="CV63" s="31"/>
      <c r="CW63" s="26"/>
      <c r="CX63" s="26"/>
      <c r="CY63" s="26"/>
      <c r="CZ63" s="37" t="s">
        <v>21</v>
      </c>
      <c r="DA63" s="32"/>
      <c r="DB63" s="28"/>
      <c r="DC63" s="28"/>
      <c r="DD63" s="28"/>
      <c r="DE63" s="26"/>
      <c r="DF63" s="26"/>
      <c r="DG63" s="26"/>
      <c r="DH63" s="26"/>
      <c r="DI63" s="26"/>
      <c r="DJ63" s="28"/>
      <c r="DK63" s="28"/>
      <c r="DL63" s="28"/>
      <c r="DM63" s="28"/>
      <c r="DN63" s="28"/>
      <c r="DO63" s="37" t="s">
        <v>21</v>
      </c>
      <c r="DP63" s="26" t="s">
        <v>19</v>
      </c>
      <c r="DQ63" s="28"/>
      <c r="DR63" s="28"/>
      <c r="DS63" s="28"/>
      <c r="DT63" s="28"/>
      <c r="DU63" s="28"/>
      <c r="DV63" s="28"/>
      <c r="DW63" s="26"/>
      <c r="DX63" s="26"/>
      <c r="DY63" s="28"/>
      <c r="DZ63" s="28"/>
      <c r="EA63" s="28"/>
      <c r="EB63" s="31"/>
      <c r="EC63" s="26"/>
      <c r="ED63" s="31"/>
      <c r="EE63" s="37" t="s">
        <v>21</v>
      </c>
      <c r="EF63" s="32"/>
      <c r="EG63" s="28"/>
      <c r="EH63" s="26"/>
      <c r="EI63" s="28"/>
      <c r="EJ63" s="28"/>
      <c r="EK63" s="26"/>
      <c r="EL63" s="37" t="s">
        <v>21</v>
      </c>
      <c r="EM63" s="28"/>
      <c r="EN63" s="37" t="s">
        <v>21</v>
      </c>
      <c r="EO63" s="26"/>
      <c r="EP63" s="28"/>
      <c r="EQ63" s="28"/>
      <c r="ER63" s="37" t="s">
        <v>21</v>
      </c>
      <c r="ES63" s="28"/>
      <c r="ET63" s="37" t="s">
        <v>21</v>
      </c>
      <c r="EU63" s="26"/>
      <c r="EV63" s="37" t="s">
        <v>21</v>
      </c>
      <c r="EW63" s="28"/>
      <c r="EX63" s="28"/>
      <c r="EY63" s="28"/>
      <c r="EZ63" s="28"/>
      <c r="FA63" s="63" t="s">
        <v>21</v>
      </c>
      <c r="FB63" s="28"/>
      <c r="FC63" s="28"/>
      <c r="FD63" s="28"/>
      <c r="FE63" s="28"/>
      <c r="FF63" s="63" t="s">
        <v>21</v>
      </c>
      <c r="FG63" s="63" t="s">
        <v>21</v>
      </c>
      <c r="FH63" s="26"/>
      <c r="FI63" s="31"/>
      <c r="FJ63" s="63" t="s">
        <v>21</v>
      </c>
      <c r="FK63" s="31"/>
      <c r="FL63" s="32"/>
      <c r="FM63" s="37" t="s">
        <v>21</v>
      </c>
      <c r="FN63" s="37" t="s">
        <v>21</v>
      </c>
      <c r="FO63" s="28"/>
      <c r="FP63" s="28"/>
      <c r="FQ63" s="26"/>
      <c r="FR63" s="28"/>
      <c r="FS63" s="28"/>
      <c r="FT63" s="28"/>
      <c r="FU63" s="26"/>
      <c r="FV63" s="28"/>
      <c r="FW63" s="28"/>
      <c r="FX63" s="26"/>
      <c r="FY63" s="28"/>
      <c r="FZ63" s="28"/>
      <c r="GA63" s="28"/>
      <c r="GB63" s="26"/>
      <c r="GC63" s="26"/>
      <c r="GD63" s="28"/>
      <c r="GE63" s="28"/>
      <c r="GF63" s="28"/>
      <c r="GG63" s="28"/>
      <c r="GH63" s="28"/>
      <c r="GI63" s="26"/>
      <c r="GJ63" s="28"/>
      <c r="GK63" s="28"/>
      <c r="GL63" s="37" t="s">
        <v>21</v>
      </c>
      <c r="GM63" s="31"/>
      <c r="GN63" s="26"/>
      <c r="GO63" s="31"/>
      <c r="GP63" s="31"/>
      <c r="GQ63" s="38"/>
      <c r="GR63" s="39"/>
      <c r="GS63" s="39"/>
      <c r="GT63" s="39"/>
      <c r="GU63" s="39"/>
      <c r="GV63" s="39"/>
      <c r="GW63" s="39"/>
      <c r="GX63" s="39"/>
      <c r="GY63" s="39"/>
      <c r="GZ63" s="40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40"/>
      <c r="HM63" s="40"/>
      <c r="HN63" s="39"/>
      <c r="HO63" s="39"/>
      <c r="HP63" s="39"/>
      <c r="HQ63" s="39"/>
      <c r="HR63" s="39"/>
      <c r="HS63" s="39"/>
      <c r="HT63" s="39"/>
      <c r="HU63" s="40"/>
      <c r="HV63" s="39"/>
      <c r="HW63" s="38"/>
      <c r="HX63" s="41"/>
      <c r="HY63" s="39"/>
      <c r="HZ63" s="39"/>
      <c r="IA63" s="39"/>
      <c r="IB63" s="39"/>
      <c r="IC63" s="39"/>
      <c r="ID63" s="40"/>
      <c r="IE63" s="39"/>
      <c r="IF63" s="39"/>
      <c r="IG63" s="39"/>
      <c r="IH63" s="40"/>
      <c r="II63" s="40"/>
      <c r="IJ63" s="42"/>
      <c r="IK63" s="42"/>
      <c r="IL63" s="39"/>
      <c r="IM63" s="39"/>
      <c r="IN63" s="39"/>
      <c r="IO63" s="42"/>
      <c r="IP63" s="40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8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8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40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8"/>
      <c r="LO63" s="39"/>
      <c r="LP63" s="39"/>
      <c r="LQ63" s="40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9"/>
      <c r="MM63" s="39"/>
      <c r="MN63" s="39"/>
      <c r="MO63" s="39"/>
      <c r="MP63" s="39"/>
      <c r="MQ63" s="39"/>
      <c r="MR63" s="39"/>
      <c r="MS63" s="38"/>
      <c r="MT63" s="39"/>
      <c r="MU63" s="39"/>
      <c r="MV63" s="39"/>
      <c r="MW63" s="39"/>
      <c r="MX63" s="39"/>
      <c r="MY63" s="39"/>
      <c r="MZ63" s="39"/>
      <c r="NA63" s="39"/>
      <c r="NB63" s="39"/>
      <c r="NC63" s="39"/>
      <c r="ND63" s="39"/>
      <c r="NE63" s="39"/>
      <c r="NF63" s="39"/>
      <c r="NG63" s="39"/>
      <c r="NH63" s="39"/>
      <c r="NI63" s="39"/>
      <c r="NJ63" s="39"/>
      <c r="NK63" s="39"/>
      <c r="NL63" s="39"/>
      <c r="NM63" s="39"/>
      <c r="NN63" s="39"/>
      <c r="NO63" s="39"/>
      <c r="NP63" s="39"/>
      <c r="NQ63" s="39"/>
      <c r="NR63" s="39"/>
      <c r="NS63" s="39"/>
      <c r="NT63" s="39"/>
      <c r="NU63" s="39"/>
      <c r="NV63" s="39"/>
      <c r="NW63" s="39"/>
      <c r="NX63" s="39"/>
      <c r="NY63" s="38"/>
    </row>
    <row r="64">
      <c r="A64" s="45" t="s">
        <v>454</v>
      </c>
      <c r="B64" s="26" t="str">
        <f>IFERROR(__xludf.DUMMYFUNCTION("VLOOKUP(A64, IMPORTRANGE(""https://docs.google.com/spreadsheets/d/1KpTMcNM9m1P7u9qCVzob8p1-RZoC1ejaYs5CdpAbWFY/edit?gid=260580969#gid=260580969"", ""2025 EMP PROFILE DATA!a1:W98""), 22, FALSE)"),"#REF!")</f>
        <v>#REF!</v>
      </c>
      <c r="C64" s="45">
        <f t="shared" si="1"/>
        <v>3</v>
      </c>
      <c r="D64" s="45">
        <f t="shared" si="2"/>
        <v>11</v>
      </c>
      <c r="E64" s="45">
        <f t="shared" si="3"/>
        <v>1</v>
      </c>
      <c r="F64" s="45">
        <f t="shared" si="4"/>
        <v>1</v>
      </c>
      <c r="G64" s="46">
        <f t="shared" si="5"/>
        <v>0.007575757576</v>
      </c>
      <c r="H64" s="46">
        <f t="shared" si="6"/>
        <v>0.002525252525</v>
      </c>
      <c r="I64" s="28">
        <f t="shared" si="7"/>
        <v>13</v>
      </c>
      <c r="J64" s="26">
        <v>0.0</v>
      </c>
      <c r="K64" s="26">
        <v>0.0</v>
      </c>
      <c r="L64" s="49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7" t="s">
        <v>20</v>
      </c>
      <c r="AF64" s="47" t="s">
        <v>20</v>
      </c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29"/>
      <c r="AS64" s="28"/>
      <c r="AT64" s="28"/>
      <c r="AU64" s="28"/>
      <c r="AV64" s="28"/>
      <c r="AW64" s="26"/>
      <c r="AX64" s="28"/>
      <c r="AY64" s="28"/>
      <c r="AZ64" s="26"/>
      <c r="BA64" s="28"/>
      <c r="BB64" s="26"/>
      <c r="BC64" s="28"/>
      <c r="BD64" s="28"/>
      <c r="BE64" s="26"/>
      <c r="BF64" s="28"/>
      <c r="BG64" s="28"/>
      <c r="BH64" s="26"/>
      <c r="BI64" s="26"/>
      <c r="BJ64" s="26"/>
      <c r="BK64" s="26" t="s">
        <v>20</v>
      </c>
      <c r="BL64" s="26" t="s">
        <v>20</v>
      </c>
      <c r="BM64" s="26"/>
      <c r="BN64" s="28"/>
      <c r="BO64" s="28"/>
      <c r="BP64" s="28"/>
      <c r="BQ64" s="28"/>
      <c r="BR64" s="28"/>
      <c r="BS64" s="31"/>
      <c r="BT64" s="26"/>
      <c r="BU64" s="32"/>
      <c r="BV64" s="33"/>
      <c r="BW64" s="33"/>
      <c r="BX64" s="33"/>
      <c r="BY64" s="33"/>
      <c r="BZ64" s="33"/>
      <c r="CA64" s="33"/>
      <c r="CB64" s="35"/>
      <c r="CC64" s="33"/>
      <c r="CD64" s="33"/>
      <c r="CE64" s="34" t="s">
        <v>20</v>
      </c>
      <c r="CF64" s="34" t="s">
        <v>20</v>
      </c>
      <c r="CG64" s="34" t="s">
        <v>20</v>
      </c>
      <c r="CH64" s="34" t="s">
        <v>20</v>
      </c>
      <c r="CI64" s="34"/>
      <c r="CJ64" s="28"/>
      <c r="CK64" s="28"/>
      <c r="CL64" s="26"/>
      <c r="CM64" s="28"/>
      <c r="CN64" s="28"/>
      <c r="CO64" s="28"/>
      <c r="CP64" s="26"/>
      <c r="CQ64" s="28"/>
      <c r="CR64" s="28"/>
      <c r="CS64" s="28"/>
      <c r="CT64" s="28"/>
      <c r="CU64" s="26"/>
      <c r="CV64" s="31"/>
      <c r="CW64" s="26"/>
      <c r="CX64" s="26"/>
      <c r="CY64" s="26" t="s">
        <v>20</v>
      </c>
      <c r="CZ64" s="31"/>
      <c r="DA64" s="32"/>
      <c r="DB64" s="28"/>
      <c r="DC64" s="28"/>
      <c r="DD64" s="28"/>
      <c r="DE64" s="26"/>
      <c r="DF64" s="26"/>
      <c r="DG64" s="26"/>
      <c r="DH64" s="26"/>
      <c r="DI64" s="26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6"/>
      <c r="DX64" s="26"/>
      <c r="DY64" s="28"/>
      <c r="DZ64" s="28"/>
      <c r="EA64" s="28"/>
      <c r="EB64" s="31"/>
      <c r="EC64" s="26" t="s">
        <v>22</v>
      </c>
      <c r="ED64" s="31"/>
      <c r="EE64" s="26"/>
      <c r="EF64" s="32"/>
      <c r="EG64" s="28"/>
      <c r="EH64" s="26"/>
      <c r="EI64" s="28"/>
      <c r="EJ64" s="28"/>
      <c r="EK64" s="26" t="s">
        <v>19</v>
      </c>
      <c r="EL64" s="28"/>
      <c r="EM64" s="37" t="s">
        <v>21</v>
      </c>
      <c r="EN64" s="26"/>
      <c r="EO64" s="26"/>
      <c r="EP64" s="28"/>
      <c r="EQ64" s="28"/>
      <c r="ER64" s="26"/>
      <c r="ES64" s="28"/>
      <c r="ET64" s="26"/>
      <c r="EU64" s="26"/>
      <c r="EV64" s="28"/>
      <c r="EW64" s="28"/>
      <c r="EX64" s="28"/>
      <c r="EY64" s="63" t="s">
        <v>19</v>
      </c>
      <c r="EZ64" s="28"/>
      <c r="FA64" s="28"/>
      <c r="FB64" s="28"/>
      <c r="FC64" s="28"/>
      <c r="FD64" s="28"/>
      <c r="FE64" s="28"/>
      <c r="FF64" s="28"/>
      <c r="FG64" s="26"/>
      <c r="FH64" s="26"/>
      <c r="FI64" s="31"/>
      <c r="FJ64" s="31"/>
      <c r="FK64" s="31"/>
      <c r="FL64" s="32"/>
      <c r="FM64" s="28"/>
      <c r="FN64" s="26"/>
      <c r="FO64" s="28"/>
      <c r="FP64" s="28"/>
      <c r="FQ64" s="26"/>
      <c r="FR64" s="28"/>
      <c r="FS64" s="28"/>
      <c r="FT64" s="37" t="s">
        <v>19</v>
      </c>
      <c r="FU64" s="26" t="s">
        <v>20</v>
      </c>
      <c r="FV64" s="28"/>
      <c r="FW64" s="28"/>
      <c r="FX64" s="26"/>
      <c r="FY64" s="28"/>
      <c r="FZ64" s="28"/>
      <c r="GA64" s="28"/>
      <c r="GB64" s="26"/>
      <c r="GC64" s="26"/>
      <c r="GD64" s="28"/>
      <c r="GE64" s="28"/>
      <c r="GF64" s="28"/>
      <c r="GG64" s="28"/>
      <c r="GH64" s="28"/>
      <c r="GI64" s="26"/>
      <c r="GJ64" s="28"/>
      <c r="GK64" s="28"/>
      <c r="GL64" s="28"/>
      <c r="GM64" s="31"/>
      <c r="GN64" s="26"/>
      <c r="GO64" s="31"/>
      <c r="GP64" s="26" t="s">
        <v>20</v>
      </c>
      <c r="GQ64" s="38"/>
      <c r="GR64" s="39"/>
      <c r="GS64" s="39"/>
      <c r="GT64" s="39"/>
      <c r="GU64" s="39"/>
      <c r="GV64" s="39"/>
      <c r="GW64" s="39"/>
      <c r="GX64" s="39"/>
      <c r="GY64" s="39"/>
      <c r="GZ64" s="40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40"/>
      <c r="HM64" s="40"/>
      <c r="HN64" s="39"/>
      <c r="HO64" s="39"/>
      <c r="HP64" s="39"/>
      <c r="HQ64" s="39"/>
      <c r="HR64" s="39"/>
      <c r="HS64" s="39"/>
      <c r="HT64" s="39"/>
      <c r="HU64" s="40"/>
      <c r="HV64" s="39"/>
      <c r="HW64" s="38"/>
      <c r="HX64" s="41"/>
      <c r="HY64" s="39"/>
      <c r="HZ64" s="39"/>
      <c r="IA64" s="39"/>
      <c r="IB64" s="39"/>
      <c r="IC64" s="39"/>
      <c r="ID64" s="40"/>
      <c r="IE64" s="39"/>
      <c r="IF64" s="39"/>
      <c r="IG64" s="39"/>
      <c r="IH64" s="40"/>
      <c r="II64" s="40"/>
      <c r="IJ64" s="42"/>
      <c r="IK64" s="42"/>
      <c r="IL64" s="39"/>
      <c r="IM64" s="39"/>
      <c r="IN64" s="39"/>
      <c r="IO64" s="42"/>
      <c r="IP64" s="40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8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8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40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8"/>
      <c r="LO64" s="39"/>
      <c r="LP64" s="39"/>
      <c r="LQ64" s="40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9"/>
      <c r="MM64" s="39"/>
      <c r="MN64" s="39"/>
      <c r="MO64" s="39"/>
      <c r="MP64" s="39"/>
      <c r="MQ64" s="39"/>
      <c r="MR64" s="39"/>
      <c r="MS64" s="38"/>
      <c r="MT64" s="39"/>
      <c r="MU64" s="39"/>
      <c r="MV64" s="39"/>
      <c r="MW64" s="39"/>
      <c r="MX64" s="39"/>
      <c r="MY64" s="39"/>
      <c r="MZ64" s="39"/>
      <c r="NA64" s="39"/>
      <c r="NB64" s="39"/>
      <c r="NC64" s="39"/>
      <c r="ND64" s="39"/>
      <c r="NE64" s="39"/>
      <c r="NF64" s="39"/>
      <c r="NG64" s="39"/>
      <c r="NH64" s="39"/>
      <c r="NI64" s="39"/>
      <c r="NJ64" s="39"/>
      <c r="NK64" s="39"/>
      <c r="NL64" s="39"/>
      <c r="NM64" s="39"/>
      <c r="NN64" s="39"/>
      <c r="NO64" s="39"/>
      <c r="NP64" s="39"/>
      <c r="NQ64" s="39"/>
      <c r="NR64" s="39"/>
      <c r="NS64" s="39"/>
      <c r="NT64" s="39"/>
      <c r="NU64" s="39"/>
      <c r="NV64" s="39"/>
      <c r="NW64" s="39"/>
      <c r="NX64" s="39"/>
      <c r="NY64" s="38"/>
    </row>
    <row r="65">
      <c r="A65" s="45" t="s">
        <v>455</v>
      </c>
      <c r="B65" s="26" t="str">
        <f>IFERROR(__xludf.DUMMYFUNCTION("VLOOKUP(A65, IMPORTRANGE(""https://docs.google.com/spreadsheets/d/1KpTMcNM9m1P7u9qCVzob8p1-RZoC1ejaYs5CdpAbWFY/edit?gid=260580969#gid=260580969"", ""2025 EMP PROFILE DATA!a1:W98""), 22, FALSE)"),"#REF!")</f>
        <v>#REF!</v>
      </c>
      <c r="C65" s="45">
        <f t="shared" si="1"/>
        <v>6</v>
      </c>
      <c r="D65" s="45">
        <f t="shared" si="2"/>
        <v>0</v>
      </c>
      <c r="E65" s="45">
        <f t="shared" si="3"/>
        <v>42</v>
      </c>
      <c r="F65" s="45">
        <f t="shared" si="4"/>
        <v>0</v>
      </c>
      <c r="G65" s="46">
        <f t="shared" si="5"/>
        <v>0.01515151515</v>
      </c>
      <c r="H65" s="46">
        <f t="shared" si="6"/>
        <v>0.1060606061</v>
      </c>
      <c r="I65" s="28">
        <f t="shared" si="7"/>
        <v>66</v>
      </c>
      <c r="J65" s="26">
        <v>0.0</v>
      </c>
      <c r="K65" s="26">
        <v>0.0</v>
      </c>
      <c r="L65" s="49"/>
      <c r="M65" s="45"/>
      <c r="N65" s="57" t="s">
        <v>21</v>
      </c>
      <c r="O65" s="57" t="s">
        <v>21</v>
      </c>
      <c r="P65" s="45"/>
      <c r="Q65" s="57" t="s">
        <v>21</v>
      </c>
      <c r="R65" s="57" t="s">
        <v>21</v>
      </c>
      <c r="S65" s="45"/>
      <c r="T65" s="57" t="s">
        <v>19</v>
      </c>
      <c r="U65" s="57" t="s">
        <v>21</v>
      </c>
      <c r="V65" s="45"/>
      <c r="W65" s="45"/>
      <c r="X65" s="45"/>
      <c r="Y65" s="45"/>
      <c r="Z65" s="37" t="s">
        <v>21</v>
      </c>
      <c r="AA65" s="37" t="s">
        <v>21</v>
      </c>
      <c r="AB65" s="45"/>
      <c r="AC65" s="45"/>
      <c r="AD65" s="45"/>
      <c r="AE65" s="45"/>
      <c r="AF65" s="45"/>
      <c r="AG65" s="45"/>
      <c r="AH65" s="37" t="s">
        <v>21</v>
      </c>
      <c r="AI65" s="45"/>
      <c r="AJ65" s="45"/>
      <c r="AK65" s="45"/>
      <c r="AL65" s="47" t="s">
        <v>19</v>
      </c>
      <c r="AM65" s="45"/>
      <c r="AN65" s="45"/>
      <c r="AO65" s="57" t="s">
        <v>21</v>
      </c>
      <c r="AP65" s="45"/>
      <c r="AQ65" s="45"/>
      <c r="AR65" s="29"/>
      <c r="AS65" s="28"/>
      <c r="AT65" s="28"/>
      <c r="AU65" s="28"/>
      <c r="AV65" s="28"/>
      <c r="AW65" s="57" t="s">
        <v>21</v>
      </c>
      <c r="AX65" s="28"/>
      <c r="AY65" s="28"/>
      <c r="AZ65" s="26"/>
      <c r="BA65" s="37" t="s">
        <v>21</v>
      </c>
      <c r="BB65" s="26"/>
      <c r="BC65" s="37" t="s">
        <v>21</v>
      </c>
      <c r="BD65" s="28"/>
      <c r="BE65" s="26"/>
      <c r="BF65" s="28"/>
      <c r="BG65" s="28"/>
      <c r="BH65" s="26"/>
      <c r="BI65" s="26" t="s">
        <v>19</v>
      </c>
      <c r="BJ65" s="26"/>
      <c r="BK65" s="28"/>
      <c r="BL65" s="28"/>
      <c r="BM65" s="26"/>
      <c r="BN65" s="28"/>
      <c r="BO65" s="28"/>
      <c r="BP65" s="28"/>
      <c r="BQ65" s="37" t="s">
        <v>21</v>
      </c>
      <c r="BR65" s="28"/>
      <c r="BS65" s="31"/>
      <c r="BT65" s="26"/>
      <c r="BU65" s="32"/>
      <c r="BV65" s="33"/>
      <c r="BW65" s="33"/>
      <c r="BX65" s="37" t="s">
        <v>21</v>
      </c>
      <c r="BY65" s="33"/>
      <c r="BZ65" s="33"/>
      <c r="CA65" s="33"/>
      <c r="CB65" s="35"/>
      <c r="CC65" s="33"/>
      <c r="CD65" s="33"/>
      <c r="CE65" s="34"/>
      <c r="CF65" s="37" t="s">
        <v>21</v>
      </c>
      <c r="CG65" s="37" t="s">
        <v>21</v>
      </c>
      <c r="CH65" s="37" t="s">
        <v>21</v>
      </c>
      <c r="CI65" s="28"/>
      <c r="CJ65" s="28"/>
      <c r="CK65" s="26" t="s">
        <v>19</v>
      </c>
      <c r="CL65" s="26"/>
      <c r="CM65" s="28"/>
      <c r="CN65" s="28"/>
      <c r="CO65" s="28"/>
      <c r="CP65" s="26"/>
      <c r="CQ65" s="28"/>
      <c r="CR65" s="37" t="s">
        <v>21</v>
      </c>
      <c r="CS65" s="28"/>
      <c r="CT65" s="26" t="s">
        <v>19</v>
      </c>
      <c r="CU65" s="37" t="s">
        <v>21</v>
      </c>
      <c r="CV65" s="31"/>
      <c r="CW65" s="26"/>
      <c r="CX65" s="26"/>
      <c r="CY65" s="26"/>
      <c r="CZ65" s="31"/>
      <c r="DA65" s="32"/>
      <c r="DB65" s="28"/>
      <c r="DC65" s="28"/>
      <c r="DD65" s="28"/>
      <c r="DE65" s="26"/>
      <c r="DF65" s="26"/>
      <c r="DG65" s="26"/>
      <c r="DH65" s="37" t="s">
        <v>21</v>
      </c>
      <c r="DI65" s="37" t="s">
        <v>21</v>
      </c>
      <c r="DJ65" s="28"/>
      <c r="DK65" s="28"/>
      <c r="DL65" s="28"/>
      <c r="DM65" s="28"/>
      <c r="DN65" s="28"/>
      <c r="DO65" s="28"/>
      <c r="DP65" s="28"/>
      <c r="DQ65" s="28"/>
      <c r="DR65" s="37" t="s">
        <v>21</v>
      </c>
      <c r="DS65" s="37" t="s">
        <v>21</v>
      </c>
      <c r="DT65" s="28"/>
      <c r="DU65" s="37" t="s">
        <v>21</v>
      </c>
      <c r="DV65" s="28"/>
      <c r="DW65" s="26"/>
      <c r="DX65" s="26"/>
      <c r="DY65" s="26" t="s">
        <v>21</v>
      </c>
      <c r="DZ65" s="28"/>
      <c r="EA65" s="28"/>
      <c r="EB65" s="31"/>
      <c r="EC65" s="26"/>
      <c r="ED65" s="31"/>
      <c r="EE65" s="37" t="s">
        <v>21</v>
      </c>
      <c r="EF65" s="32"/>
      <c r="EG65" s="37" t="s">
        <v>21</v>
      </c>
      <c r="EH65" s="26"/>
      <c r="EI65" s="28"/>
      <c r="EJ65" s="37" t="s">
        <v>21</v>
      </c>
      <c r="EK65" s="26"/>
      <c r="EL65" s="28"/>
      <c r="EM65" s="37" t="s">
        <v>21</v>
      </c>
      <c r="EN65" s="37" t="s">
        <v>21</v>
      </c>
      <c r="EO65" s="26"/>
      <c r="EP65" s="28"/>
      <c r="EQ65" s="37" t="s">
        <v>21</v>
      </c>
      <c r="ER65" s="26"/>
      <c r="ES65" s="37" t="s">
        <v>21</v>
      </c>
      <c r="ET65" s="37" t="s">
        <v>21</v>
      </c>
      <c r="EU65" s="26"/>
      <c r="EV65" s="28"/>
      <c r="EW65" s="28"/>
      <c r="EX65" s="37" t="s">
        <v>21</v>
      </c>
      <c r="EY65" s="28"/>
      <c r="EZ65" s="28"/>
      <c r="FA65" s="28"/>
      <c r="FB65" s="28"/>
      <c r="FC65" s="28"/>
      <c r="FD65" s="28"/>
      <c r="FE65" s="28"/>
      <c r="FF65" s="28"/>
      <c r="FG65" s="26"/>
      <c r="FH65" s="37" t="s">
        <v>21</v>
      </c>
      <c r="FI65" s="31"/>
      <c r="FJ65" s="37" t="s">
        <v>21</v>
      </c>
      <c r="FK65" s="31"/>
      <c r="FL65" s="32"/>
      <c r="FM65" s="37" t="s">
        <v>21</v>
      </c>
      <c r="FN65" s="26"/>
      <c r="FO65" s="28"/>
      <c r="FP65" s="28"/>
      <c r="FQ65" s="26"/>
      <c r="FR65" s="28"/>
      <c r="FS65" s="28"/>
      <c r="FT65" s="28"/>
      <c r="FU65" s="26"/>
      <c r="FV65" s="37" t="s">
        <v>21</v>
      </c>
      <c r="FW65" s="28"/>
      <c r="FX65" s="37" t="s">
        <v>21</v>
      </c>
      <c r="FY65" s="37" t="s">
        <v>21</v>
      </c>
      <c r="FZ65" s="28"/>
      <c r="GA65" s="26" t="s">
        <v>19</v>
      </c>
      <c r="GB65" s="26"/>
      <c r="GC65" s="26"/>
      <c r="GD65" s="28"/>
      <c r="GE65" s="28"/>
      <c r="GF65" s="28"/>
      <c r="GG65" s="28"/>
      <c r="GH65" s="37" t="s">
        <v>21</v>
      </c>
      <c r="GI65" s="26"/>
      <c r="GJ65" s="37" t="s">
        <v>21</v>
      </c>
      <c r="GK65" s="28"/>
      <c r="GL65" s="28"/>
      <c r="GM65" s="31"/>
      <c r="GN65" s="26"/>
      <c r="GO65" s="31"/>
      <c r="GP65" s="31"/>
      <c r="GQ65" s="38"/>
      <c r="GR65" s="39"/>
      <c r="GS65" s="39"/>
      <c r="GT65" s="39"/>
      <c r="GU65" s="39"/>
      <c r="GV65" s="39"/>
      <c r="GW65" s="39"/>
      <c r="GX65" s="39"/>
      <c r="GY65" s="39"/>
      <c r="GZ65" s="40"/>
      <c r="HA65" s="39"/>
      <c r="HB65" s="39"/>
      <c r="HC65" s="39"/>
      <c r="HD65" s="39"/>
      <c r="HE65" s="39"/>
      <c r="HF65" s="39"/>
      <c r="HG65" s="39"/>
      <c r="HH65" s="39"/>
      <c r="HI65" s="39"/>
      <c r="HJ65" s="39"/>
      <c r="HK65" s="39"/>
      <c r="HL65" s="40"/>
      <c r="HM65" s="40"/>
      <c r="HN65" s="39"/>
      <c r="HO65" s="39"/>
      <c r="HP65" s="39"/>
      <c r="HQ65" s="39"/>
      <c r="HR65" s="39"/>
      <c r="HS65" s="39"/>
      <c r="HT65" s="39"/>
      <c r="HU65" s="40"/>
      <c r="HV65" s="39"/>
      <c r="HW65" s="38"/>
      <c r="HX65" s="41"/>
      <c r="HY65" s="39"/>
      <c r="HZ65" s="39"/>
      <c r="IA65" s="39"/>
      <c r="IB65" s="39"/>
      <c r="IC65" s="39"/>
      <c r="ID65" s="40"/>
      <c r="IE65" s="39"/>
      <c r="IF65" s="39"/>
      <c r="IG65" s="39"/>
      <c r="IH65" s="40"/>
      <c r="II65" s="40"/>
      <c r="IJ65" s="42"/>
      <c r="IK65" s="42"/>
      <c r="IL65" s="39"/>
      <c r="IM65" s="39"/>
      <c r="IN65" s="39"/>
      <c r="IO65" s="42"/>
      <c r="IP65" s="40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8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8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40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8"/>
      <c r="LO65" s="39"/>
      <c r="LP65" s="39"/>
      <c r="LQ65" s="40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9"/>
      <c r="MM65" s="39"/>
      <c r="MN65" s="39"/>
      <c r="MO65" s="39"/>
      <c r="MP65" s="39"/>
      <c r="MQ65" s="39"/>
      <c r="MR65" s="39"/>
      <c r="MS65" s="38"/>
      <c r="MT65" s="39"/>
      <c r="MU65" s="39"/>
      <c r="MV65" s="39"/>
      <c r="MW65" s="39"/>
      <c r="MX65" s="39"/>
      <c r="MY65" s="39"/>
      <c r="MZ65" s="39"/>
      <c r="NA65" s="39"/>
      <c r="NB65" s="39"/>
      <c r="NC65" s="39"/>
      <c r="ND65" s="39"/>
      <c r="NE65" s="39"/>
      <c r="NF65" s="39"/>
      <c r="NG65" s="39"/>
      <c r="NH65" s="39"/>
      <c r="NI65" s="39"/>
      <c r="NJ65" s="39"/>
      <c r="NK65" s="39"/>
      <c r="NL65" s="39"/>
      <c r="NM65" s="39"/>
      <c r="NN65" s="39"/>
      <c r="NO65" s="39"/>
      <c r="NP65" s="39"/>
      <c r="NQ65" s="39"/>
      <c r="NR65" s="39"/>
      <c r="NS65" s="39"/>
      <c r="NT65" s="39"/>
      <c r="NU65" s="39"/>
      <c r="NV65" s="39"/>
      <c r="NW65" s="39"/>
      <c r="NX65" s="39"/>
      <c r="NY65" s="38"/>
    </row>
    <row r="66">
      <c r="A66" s="47" t="s">
        <v>456</v>
      </c>
      <c r="B66" s="26" t="str">
        <f>IFERROR(__xludf.DUMMYFUNCTION("VLOOKUP(A66, IMPORTRANGE(""https://docs.google.com/spreadsheets/d/1KpTMcNM9m1P7u9qCVzob8p1-RZoC1ejaYs5CdpAbWFY/edit?gid=260580969#gid=260580969"", ""2025 EMP PROFILE DATA!a1:W98""), 22, FALSE)"),"#REF!")</f>
        <v>#REF!</v>
      </c>
      <c r="C66" s="45">
        <f t="shared" si="1"/>
        <v>0</v>
      </c>
      <c r="D66" s="45">
        <f t="shared" si="2"/>
        <v>1</v>
      </c>
      <c r="E66" s="45">
        <f t="shared" si="3"/>
        <v>0</v>
      </c>
      <c r="F66" s="45">
        <f t="shared" si="4"/>
        <v>0</v>
      </c>
      <c r="G66" s="46">
        <f t="shared" si="5"/>
        <v>0</v>
      </c>
      <c r="H66" s="46">
        <f t="shared" si="6"/>
        <v>0</v>
      </c>
      <c r="I66" s="28">
        <f t="shared" si="7"/>
        <v>0</v>
      </c>
      <c r="J66" s="26">
        <v>0.0</v>
      </c>
      <c r="K66" s="26">
        <v>0.0</v>
      </c>
      <c r="L66" s="49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29"/>
      <c r="AS66" s="28"/>
      <c r="AT66" s="28"/>
      <c r="AU66" s="28"/>
      <c r="AV66" s="28"/>
      <c r="AW66" s="26"/>
      <c r="AX66" s="28"/>
      <c r="AY66" s="28"/>
      <c r="AZ66" s="26"/>
      <c r="BA66" s="28"/>
      <c r="BB66" s="26"/>
      <c r="BC66" s="28"/>
      <c r="BD66" s="28"/>
      <c r="BE66" s="26"/>
      <c r="BF66" s="28"/>
      <c r="BG66" s="28"/>
      <c r="BH66" s="26"/>
      <c r="BI66" s="26"/>
      <c r="BJ66" s="26"/>
      <c r="BK66" s="28"/>
      <c r="BL66" s="28"/>
      <c r="BM66" s="26"/>
      <c r="BN66" s="28"/>
      <c r="BO66" s="28"/>
      <c r="BP66" s="28"/>
      <c r="BQ66" s="28"/>
      <c r="BR66" s="28"/>
      <c r="BS66" s="31"/>
      <c r="BT66" s="26"/>
      <c r="BU66" s="32"/>
      <c r="BV66" s="33"/>
      <c r="BW66" s="33"/>
      <c r="BX66" s="33"/>
      <c r="BY66" s="33"/>
      <c r="BZ66" s="33"/>
      <c r="CA66" s="33"/>
      <c r="CB66" s="35"/>
      <c r="CC66" s="33"/>
      <c r="CD66" s="33"/>
      <c r="CE66" s="34"/>
      <c r="CF66" s="36"/>
      <c r="CG66" s="26"/>
      <c r="CH66" s="28"/>
      <c r="CI66" s="28"/>
      <c r="CJ66" s="28"/>
      <c r="CK66" s="28"/>
      <c r="CL66" s="26"/>
      <c r="CM66" s="28"/>
      <c r="CN66" s="28"/>
      <c r="CO66" s="28"/>
      <c r="CP66" s="26"/>
      <c r="CQ66" s="28"/>
      <c r="CR66" s="28"/>
      <c r="CS66" s="28"/>
      <c r="CT66" s="28"/>
      <c r="CU66" s="26"/>
      <c r="CV66" s="31"/>
      <c r="CW66" s="26"/>
      <c r="CX66" s="26"/>
      <c r="CY66" s="26"/>
      <c r="CZ66" s="31"/>
      <c r="DA66" s="32"/>
      <c r="DB66" s="28"/>
      <c r="DC66" s="28"/>
      <c r="DD66" s="28"/>
      <c r="DE66" s="26"/>
      <c r="DF66" s="26"/>
      <c r="DG66" s="26"/>
      <c r="DH66" s="26"/>
      <c r="DI66" s="26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6"/>
      <c r="DX66" s="26"/>
      <c r="DY66" s="28"/>
      <c r="DZ66" s="28"/>
      <c r="EA66" s="28"/>
      <c r="EB66" s="31"/>
      <c r="EC66" s="26"/>
      <c r="ED66" s="31"/>
      <c r="EE66" s="26"/>
      <c r="EF66" s="32"/>
      <c r="EG66" s="28"/>
      <c r="EH66" s="26"/>
      <c r="EI66" s="28"/>
      <c r="EJ66" s="28"/>
      <c r="EK66" s="26"/>
      <c r="EL66" s="28"/>
      <c r="EM66" s="28"/>
      <c r="EN66" s="26"/>
      <c r="EO66" s="26"/>
      <c r="EP66" s="28"/>
      <c r="EQ66" s="28"/>
      <c r="ER66" s="26"/>
      <c r="ES66" s="28"/>
      <c r="ET66" s="26"/>
      <c r="EU66" s="26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6"/>
      <c r="FH66" s="26"/>
      <c r="FI66" s="31"/>
      <c r="FJ66" s="31"/>
      <c r="FK66" s="31"/>
      <c r="FL66" s="32"/>
      <c r="FM66" s="28"/>
      <c r="FN66" s="26"/>
      <c r="FO66" s="28"/>
      <c r="FP66" s="28"/>
      <c r="FQ66" s="26"/>
      <c r="FR66" s="28"/>
      <c r="FS66" s="28"/>
      <c r="FT66" s="28"/>
      <c r="FU66" s="26"/>
      <c r="FV66" s="28"/>
      <c r="FW66" s="28"/>
      <c r="FX66" s="26"/>
      <c r="FY66" s="28"/>
      <c r="FZ66" s="28"/>
      <c r="GA66" s="26" t="s">
        <v>20</v>
      </c>
      <c r="GB66" s="26"/>
      <c r="GC66" s="26"/>
      <c r="GD66" s="28"/>
      <c r="GE66" s="28"/>
      <c r="GF66" s="28"/>
      <c r="GG66" s="28"/>
      <c r="GH66" s="28"/>
      <c r="GI66" s="26"/>
      <c r="GJ66" s="28"/>
      <c r="GK66" s="28"/>
      <c r="GL66" s="28"/>
      <c r="GM66" s="31"/>
      <c r="GN66" s="26"/>
      <c r="GO66" s="31"/>
      <c r="GP66" s="31"/>
      <c r="GQ66" s="38"/>
      <c r="GR66" s="39"/>
      <c r="GS66" s="39"/>
      <c r="GT66" s="39"/>
      <c r="GU66" s="39"/>
      <c r="GV66" s="39"/>
      <c r="GW66" s="39"/>
      <c r="GX66" s="39"/>
      <c r="GY66" s="39"/>
      <c r="GZ66" s="40"/>
      <c r="HA66" s="39"/>
      <c r="HB66" s="39"/>
      <c r="HC66" s="39"/>
      <c r="HD66" s="39"/>
      <c r="HE66" s="39"/>
      <c r="HF66" s="39"/>
      <c r="HG66" s="39"/>
      <c r="HH66" s="39"/>
      <c r="HI66" s="39"/>
      <c r="HJ66" s="39"/>
      <c r="HK66" s="39"/>
      <c r="HL66" s="40"/>
      <c r="HM66" s="40"/>
      <c r="HN66" s="39"/>
      <c r="HO66" s="39"/>
      <c r="HP66" s="39"/>
      <c r="HQ66" s="39"/>
      <c r="HR66" s="39"/>
      <c r="HS66" s="39"/>
      <c r="HT66" s="39"/>
      <c r="HU66" s="40"/>
      <c r="HV66" s="39"/>
      <c r="HW66" s="38"/>
      <c r="HX66" s="41"/>
      <c r="HY66" s="39"/>
      <c r="HZ66" s="39"/>
      <c r="IA66" s="39"/>
      <c r="IB66" s="39"/>
      <c r="IC66" s="39"/>
      <c r="ID66" s="40"/>
      <c r="IE66" s="39"/>
      <c r="IF66" s="39"/>
      <c r="IG66" s="39"/>
      <c r="IH66" s="40"/>
      <c r="II66" s="40"/>
      <c r="IJ66" s="42"/>
      <c r="IK66" s="42"/>
      <c r="IL66" s="39"/>
      <c r="IM66" s="39"/>
      <c r="IN66" s="39"/>
      <c r="IO66" s="42"/>
      <c r="IP66" s="40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8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8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40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8"/>
      <c r="LO66" s="39"/>
      <c r="LP66" s="39"/>
      <c r="LQ66" s="40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9"/>
      <c r="MM66" s="39"/>
      <c r="MN66" s="39"/>
      <c r="MO66" s="39"/>
      <c r="MP66" s="39"/>
      <c r="MQ66" s="39"/>
      <c r="MR66" s="39"/>
      <c r="MS66" s="38"/>
      <c r="MT66" s="39"/>
      <c r="MU66" s="39"/>
      <c r="MV66" s="39"/>
      <c r="MW66" s="39"/>
      <c r="MX66" s="39"/>
      <c r="MY66" s="39"/>
      <c r="MZ66" s="39"/>
      <c r="NA66" s="39"/>
      <c r="NB66" s="39"/>
      <c r="NC66" s="39"/>
      <c r="ND66" s="39"/>
      <c r="NE66" s="39"/>
      <c r="NF66" s="39"/>
      <c r="NG66" s="39"/>
      <c r="NH66" s="39"/>
      <c r="NI66" s="39"/>
      <c r="NJ66" s="39"/>
      <c r="NK66" s="39"/>
      <c r="NL66" s="39"/>
      <c r="NM66" s="39"/>
      <c r="NN66" s="39"/>
      <c r="NO66" s="39"/>
      <c r="NP66" s="39"/>
      <c r="NQ66" s="39"/>
      <c r="NR66" s="39"/>
      <c r="NS66" s="39"/>
      <c r="NT66" s="39"/>
      <c r="NU66" s="39"/>
      <c r="NV66" s="39"/>
      <c r="NW66" s="39"/>
      <c r="NX66" s="39"/>
      <c r="NY66" s="38"/>
    </row>
    <row r="67">
      <c r="A67" s="45" t="s">
        <v>457</v>
      </c>
      <c r="B67" s="26" t="str">
        <f>IFERROR(__xludf.DUMMYFUNCTION("VLOOKUP(A67, IMPORTRANGE(""https://docs.google.com/spreadsheets/d/1KpTMcNM9m1P7u9qCVzob8p1-RZoC1ejaYs5CdpAbWFY/edit?gid=260580969#gid=260580969"", ""2025 EMP PROFILE DATA!a1:W98""), 22, FALSE)"),"#REF!")</f>
        <v>#REF!</v>
      </c>
      <c r="C67" s="45">
        <f t="shared" si="1"/>
        <v>1</v>
      </c>
      <c r="D67" s="45">
        <f t="shared" si="2"/>
        <v>0</v>
      </c>
      <c r="E67" s="45">
        <f t="shared" si="3"/>
        <v>9</v>
      </c>
      <c r="F67" s="45">
        <f t="shared" si="4"/>
        <v>0</v>
      </c>
      <c r="G67" s="46">
        <f t="shared" si="5"/>
        <v>0.002525252525</v>
      </c>
      <c r="H67" s="46">
        <f t="shared" si="6"/>
        <v>0.02272727273</v>
      </c>
      <c r="I67" s="28">
        <f t="shared" si="7"/>
        <v>13</v>
      </c>
      <c r="J67" s="26">
        <v>0.0</v>
      </c>
      <c r="K67" s="26">
        <v>0.0</v>
      </c>
      <c r="L67" s="49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37" t="s">
        <v>21</v>
      </c>
      <c r="AR67" s="29"/>
      <c r="AS67" s="28"/>
      <c r="AT67" s="28"/>
      <c r="AU67" s="28"/>
      <c r="AV67" s="28"/>
      <c r="AW67" s="26"/>
      <c r="AX67" s="37" t="s">
        <v>21</v>
      </c>
      <c r="AY67" s="28"/>
      <c r="AZ67" s="26"/>
      <c r="BA67" s="28"/>
      <c r="BB67" s="26"/>
      <c r="BC67" s="28"/>
      <c r="BD67" s="28"/>
      <c r="BE67" s="37" t="s">
        <v>21</v>
      </c>
      <c r="BF67" s="28"/>
      <c r="BG67" s="28"/>
      <c r="BH67" s="26"/>
      <c r="BI67" s="26"/>
      <c r="BJ67" s="26"/>
      <c r="BK67" s="28"/>
      <c r="BL67" s="28"/>
      <c r="BM67" s="26"/>
      <c r="BN67" s="28"/>
      <c r="BO67" s="28"/>
      <c r="BP67" s="28"/>
      <c r="BQ67" s="28"/>
      <c r="BR67" s="37" t="s">
        <v>21</v>
      </c>
      <c r="BS67" s="31"/>
      <c r="BT67" s="37" t="s">
        <v>21</v>
      </c>
      <c r="BU67" s="32"/>
      <c r="BV67" s="33"/>
      <c r="BW67" s="33"/>
      <c r="BX67" s="33"/>
      <c r="BY67" s="33"/>
      <c r="BZ67" s="33"/>
      <c r="CA67" s="33"/>
      <c r="CB67" s="35"/>
      <c r="CC67" s="33"/>
      <c r="CD67" s="33"/>
      <c r="CE67" s="34"/>
      <c r="CF67" s="36"/>
      <c r="CG67" s="37" t="s">
        <v>21</v>
      </c>
      <c r="CH67" s="28"/>
      <c r="CI67" s="28"/>
      <c r="CJ67" s="28"/>
      <c r="CK67" s="28"/>
      <c r="CL67" s="26"/>
      <c r="CM67" s="28"/>
      <c r="CN67" s="28"/>
      <c r="CO67" s="28"/>
      <c r="CP67" s="37" t="s">
        <v>21</v>
      </c>
      <c r="CQ67" s="28"/>
      <c r="CR67" s="28"/>
      <c r="CS67" s="28"/>
      <c r="CT67" s="28"/>
      <c r="CU67" s="26"/>
      <c r="CV67" s="31"/>
      <c r="CW67" s="26"/>
      <c r="CX67" s="26"/>
      <c r="CY67" s="26"/>
      <c r="CZ67" s="31"/>
      <c r="DA67" s="32"/>
      <c r="DB67" s="28"/>
      <c r="DC67" s="28"/>
      <c r="DD67" s="28"/>
      <c r="DE67" s="26"/>
      <c r="DF67" s="26"/>
      <c r="DG67" s="26"/>
      <c r="DH67" s="26"/>
      <c r="DI67" s="26"/>
      <c r="DJ67" s="28"/>
      <c r="DK67" s="28"/>
      <c r="DL67" s="28"/>
      <c r="DM67" s="28"/>
      <c r="DN67" s="28"/>
      <c r="DO67" s="37" t="s">
        <v>19</v>
      </c>
      <c r="DP67" s="28"/>
      <c r="DQ67" s="28"/>
      <c r="DR67" s="28"/>
      <c r="DS67" s="28"/>
      <c r="DT67" s="28"/>
      <c r="DU67" s="28"/>
      <c r="DV67" s="28"/>
      <c r="DW67" s="26"/>
      <c r="DX67" s="26"/>
      <c r="DY67" s="28"/>
      <c r="DZ67" s="28"/>
      <c r="EA67" s="28"/>
      <c r="EB67" s="31"/>
      <c r="EC67" s="26"/>
      <c r="ED67" s="31"/>
      <c r="EE67" s="26"/>
      <c r="EF67" s="32"/>
      <c r="EG67" s="28"/>
      <c r="EH67" s="26"/>
      <c r="EI67" s="28"/>
      <c r="EJ67" s="28"/>
      <c r="EK67" s="26"/>
      <c r="EL67" s="28"/>
      <c r="EM67" s="28"/>
      <c r="EN67" s="26"/>
      <c r="EO67" s="26"/>
      <c r="EP67" s="28"/>
      <c r="EQ67" s="28"/>
      <c r="ER67" s="26"/>
      <c r="ES67" s="28"/>
      <c r="ET67" s="26"/>
      <c r="EU67" s="26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6"/>
      <c r="FH67" s="26"/>
      <c r="FI67" s="31"/>
      <c r="FJ67" s="31"/>
      <c r="FK67" s="31"/>
      <c r="FL67" s="32"/>
      <c r="FM67" s="28"/>
      <c r="FN67" s="26"/>
      <c r="FO67" s="28"/>
      <c r="FP67" s="28"/>
      <c r="FQ67" s="26"/>
      <c r="FR67" s="28"/>
      <c r="FS67" s="28"/>
      <c r="FT67" s="28"/>
      <c r="FU67" s="26"/>
      <c r="FV67" s="26" t="s">
        <v>21</v>
      </c>
      <c r="FW67" s="28"/>
      <c r="FX67" s="26"/>
      <c r="FY67" s="28"/>
      <c r="FZ67" s="28"/>
      <c r="GA67" s="28"/>
      <c r="GB67" s="26"/>
      <c r="GC67" s="26"/>
      <c r="GD67" s="28"/>
      <c r="GE67" s="37" t="s">
        <v>21</v>
      </c>
      <c r="GF67" s="28"/>
      <c r="GG67" s="28"/>
      <c r="GH67" s="28"/>
      <c r="GI67" s="26"/>
      <c r="GJ67" s="28"/>
      <c r="GK67" s="28"/>
      <c r="GL67" s="28"/>
      <c r="GM67" s="31"/>
      <c r="GN67" s="26"/>
      <c r="GO67" s="31"/>
      <c r="GP67" s="31"/>
      <c r="GQ67" s="38"/>
      <c r="GR67" s="39"/>
      <c r="GS67" s="39"/>
      <c r="GT67" s="39"/>
      <c r="GU67" s="39"/>
      <c r="GV67" s="39"/>
      <c r="GW67" s="39"/>
      <c r="GX67" s="39"/>
      <c r="GY67" s="39"/>
      <c r="GZ67" s="40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40"/>
      <c r="HM67" s="40"/>
      <c r="HN67" s="39"/>
      <c r="HO67" s="39"/>
      <c r="HP67" s="39"/>
      <c r="HQ67" s="39"/>
      <c r="HR67" s="39"/>
      <c r="HS67" s="39"/>
      <c r="HT67" s="39"/>
      <c r="HU67" s="40"/>
      <c r="HV67" s="39"/>
      <c r="HW67" s="38"/>
      <c r="HX67" s="41"/>
      <c r="HY67" s="39"/>
      <c r="HZ67" s="39"/>
      <c r="IA67" s="39"/>
      <c r="IB67" s="39"/>
      <c r="IC67" s="39"/>
      <c r="ID67" s="40"/>
      <c r="IE67" s="39"/>
      <c r="IF67" s="39"/>
      <c r="IG67" s="39"/>
      <c r="IH67" s="40"/>
      <c r="II67" s="40"/>
      <c r="IJ67" s="42"/>
      <c r="IK67" s="42"/>
      <c r="IL67" s="39"/>
      <c r="IM67" s="39"/>
      <c r="IN67" s="39"/>
      <c r="IO67" s="42"/>
      <c r="IP67" s="40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8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8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40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8"/>
      <c r="LO67" s="39"/>
      <c r="LP67" s="39"/>
      <c r="LQ67" s="40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9"/>
      <c r="MM67" s="39"/>
      <c r="MN67" s="39"/>
      <c r="MO67" s="39"/>
      <c r="MP67" s="39"/>
      <c r="MQ67" s="39"/>
      <c r="MR67" s="39"/>
      <c r="MS67" s="38"/>
      <c r="MT67" s="39"/>
      <c r="MU67" s="39"/>
      <c r="MV67" s="39"/>
      <c r="MW67" s="39"/>
      <c r="MX67" s="39"/>
      <c r="MY67" s="39"/>
      <c r="MZ67" s="39"/>
      <c r="NA67" s="39"/>
      <c r="NB67" s="39"/>
      <c r="NC67" s="39"/>
      <c r="ND67" s="39"/>
      <c r="NE67" s="39"/>
      <c r="NF67" s="39"/>
      <c r="NG67" s="39"/>
      <c r="NH67" s="39"/>
      <c r="NI67" s="39"/>
      <c r="NJ67" s="39"/>
      <c r="NK67" s="39"/>
      <c r="NL67" s="39"/>
      <c r="NM67" s="39"/>
      <c r="NN67" s="39"/>
      <c r="NO67" s="39"/>
      <c r="NP67" s="39"/>
      <c r="NQ67" s="39"/>
      <c r="NR67" s="39"/>
      <c r="NS67" s="39"/>
      <c r="NT67" s="39"/>
      <c r="NU67" s="39"/>
      <c r="NV67" s="39"/>
      <c r="NW67" s="39"/>
      <c r="NX67" s="39"/>
      <c r="NY67" s="38"/>
    </row>
    <row r="68">
      <c r="A68" s="45" t="s">
        <v>458</v>
      </c>
      <c r="B68" s="26" t="str">
        <f>IFERROR(__xludf.DUMMYFUNCTION("VLOOKUP(A68, IMPORTRANGE(""https://docs.google.com/spreadsheets/d/1KpTMcNM9m1P7u9qCVzob8p1-RZoC1ejaYs5CdpAbWFY/edit?gid=260580969#gid=260580969"", ""2025 EMP PROFILE DATA!a1:W98""), 22, FALSE)"),"#REF!")</f>
        <v>#REF!</v>
      </c>
      <c r="C68" s="45">
        <f t="shared" si="1"/>
        <v>8</v>
      </c>
      <c r="D68" s="45">
        <f t="shared" si="2"/>
        <v>2</v>
      </c>
      <c r="E68" s="45">
        <f t="shared" si="3"/>
        <v>39</v>
      </c>
      <c r="F68" s="45">
        <f t="shared" si="4"/>
        <v>1</v>
      </c>
      <c r="G68" s="46">
        <f t="shared" si="5"/>
        <v>0.0202020202</v>
      </c>
      <c r="H68" s="46">
        <f t="shared" si="6"/>
        <v>0.09848484848</v>
      </c>
      <c r="I68" s="28">
        <f t="shared" si="7"/>
        <v>71</v>
      </c>
      <c r="J68" s="26">
        <v>0.0</v>
      </c>
      <c r="K68" s="26">
        <v>0.0</v>
      </c>
      <c r="L68" s="49"/>
      <c r="M68" s="45"/>
      <c r="N68" s="45"/>
      <c r="O68" s="37" t="s">
        <v>19</v>
      </c>
      <c r="P68" s="45"/>
      <c r="Q68" s="45"/>
      <c r="R68" s="45"/>
      <c r="S68" s="37" t="s">
        <v>19</v>
      </c>
      <c r="T68" s="45"/>
      <c r="U68" s="45"/>
      <c r="V68" s="37" t="s">
        <v>21</v>
      </c>
      <c r="W68" s="45"/>
      <c r="X68" s="45"/>
      <c r="Y68" s="45"/>
      <c r="Z68" s="37" t="s">
        <v>21</v>
      </c>
      <c r="AA68" s="45"/>
      <c r="AB68" s="45"/>
      <c r="AC68" s="45"/>
      <c r="AD68" s="45"/>
      <c r="AE68" s="37" t="s">
        <v>21</v>
      </c>
      <c r="AF68" s="37" t="s">
        <v>21</v>
      </c>
      <c r="AG68" s="37" t="s">
        <v>21</v>
      </c>
      <c r="AH68" s="45"/>
      <c r="AI68" s="45"/>
      <c r="AJ68" s="45"/>
      <c r="AK68" s="45"/>
      <c r="AL68" s="37" t="s">
        <v>21</v>
      </c>
      <c r="AM68" s="45"/>
      <c r="AN68" s="45"/>
      <c r="AO68" s="37" t="s">
        <v>19</v>
      </c>
      <c r="AP68" s="45"/>
      <c r="AQ68" s="45"/>
      <c r="AR68" s="29"/>
      <c r="AS68" s="28"/>
      <c r="AT68" s="28"/>
      <c r="AU68" s="28"/>
      <c r="AV68" s="28"/>
      <c r="AW68" s="26"/>
      <c r="AX68" s="28"/>
      <c r="AY68" s="28"/>
      <c r="AZ68" s="26"/>
      <c r="BA68" s="28"/>
      <c r="BB68" s="37" t="s">
        <v>21</v>
      </c>
      <c r="BC68" s="28"/>
      <c r="BD68" s="28"/>
      <c r="BE68" s="26"/>
      <c r="BF68" s="26" t="s">
        <v>19</v>
      </c>
      <c r="BG68" s="28"/>
      <c r="BH68" s="26"/>
      <c r="BI68" s="26"/>
      <c r="BJ68" s="26"/>
      <c r="BK68" s="28"/>
      <c r="BL68" s="28"/>
      <c r="BM68" s="26"/>
      <c r="BN68" s="28"/>
      <c r="BO68" s="26" t="s">
        <v>21</v>
      </c>
      <c r="BP68" s="37" t="s">
        <v>21</v>
      </c>
      <c r="BQ68" s="37" t="s">
        <v>21</v>
      </c>
      <c r="BR68" s="28"/>
      <c r="BS68" s="31"/>
      <c r="BT68" s="26"/>
      <c r="BU68" s="32"/>
      <c r="BV68" s="33"/>
      <c r="BW68" s="37" t="s">
        <v>21</v>
      </c>
      <c r="BX68" s="33"/>
      <c r="BY68" s="33"/>
      <c r="BZ68" s="33"/>
      <c r="CA68" s="33"/>
      <c r="CB68" s="35"/>
      <c r="CC68" s="33"/>
      <c r="CD68" s="37" t="s">
        <v>21</v>
      </c>
      <c r="CE68" s="34"/>
      <c r="CF68" s="36"/>
      <c r="CG68" s="26"/>
      <c r="CH68" s="28"/>
      <c r="CI68" s="37" t="s">
        <v>21</v>
      </c>
      <c r="CJ68" s="28"/>
      <c r="CK68" s="28"/>
      <c r="CL68" s="37" t="s">
        <v>21</v>
      </c>
      <c r="CM68" s="37" t="s">
        <v>21</v>
      </c>
      <c r="CN68" s="28"/>
      <c r="CO68" s="28"/>
      <c r="CP68" s="26"/>
      <c r="CQ68" s="28"/>
      <c r="CR68" s="28"/>
      <c r="CS68" s="37" t="s">
        <v>21</v>
      </c>
      <c r="CT68" s="37" t="s">
        <v>21</v>
      </c>
      <c r="CU68" s="26"/>
      <c r="CV68" s="31"/>
      <c r="CW68" s="26"/>
      <c r="CX68" s="26"/>
      <c r="CY68" s="26"/>
      <c r="CZ68" s="31"/>
      <c r="DA68" s="32"/>
      <c r="DB68" s="37" t="s">
        <v>21</v>
      </c>
      <c r="DC68" s="28"/>
      <c r="DD68" s="28"/>
      <c r="DE68" s="26"/>
      <c r="DF68" s="26"/>
      <c r="DG68" s="26" t="s">
        <v>20</v>
      </c>
      <c r="DH68" s="26" t="s">
        <v>20</v>
      </c>
      <c r="DI68" s="26"/>
      <c r="DJ68" s="37" t="s">
        <v>21</v>
      </c>
      <c r="DK68" s="37" t="s">
        <v>19</v>
      </c>
      <c r="DL68" s="28"/>
      <c r="DM68" s="28"/>
      <c r="DN68" s="28"/>
      <c r="DO68" s="28"/>
      <c r="DP68" s="37" t="s">
        <v>21</v>
      </c>
      <c r="DQ68" s="37" t="s">
        <v>21</v>
      </c>
      <c r="DR68" s="28"/>
      <c r="DS68" s="28"/>
      <c r="DT68" s="28"/>
      <c r="DU68" s="37" t="s">
        <v>21</v>
      </c>
      <c r="DV68" s="37" t="s">
        <v>21</v>
      </c>
      <c r="DW68" s="26" t="s">
        <v>19</v>
      </c>
      <c r="DX68" s="26"/>
      <c r="DY68" s="28"/>
      <c r="DZ68" s="28"/>
      <c r="EA68" s="28"/>
      <c r="EB68" s="37" t="s">
        <v>21</v>
      </c>
      <c r="EC68" s="26"/>
      <c r="ED68" s="37" t="s">
        <v>21</v>
      </c>
      <c r="EE68" s="37" t="s">
        <v>21</v>
      </c>
      <c r="EF68" s="32"/>
      <c r="EG68" s="28"/>
      <c r="EH68" s="37" t="s">
        <v>21</v>
      </c>
      <c r="EI68" s="28"/>
      <c r="EJ68" s="28"/>
      <c r="EK68" s="37" t="s">
        <v>21</v>
      </c>
      <c r="EL68" s="37" t="s">
        <v>21</v>
      </c>
      <c r="EM68" s="28"/>
      <c r="EN68" s="26"/>
      <c r="EO68" s="26"/>
      <c r="EP68" s="28"/>
      <c r="EQ68" s="26" t="s">
        <v>22</v>
      </c>
      <c r="ER68" s="37" t="s">
        <v>21</v>
      </c>
      <c r="ES68" s="37" t="s">
        <v>21</v>
      </c>
      <c r="ET68" s="37" t="s">
        <v>21</v>
      </c>
      <c r="EU68" s="37" t="s">
        <v>19</v>
      </c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6"/>
      <c r="FH68" s="26"/>
      <c r="FI68" s="31"/>
      <c r="FJ68" s="31"/>
      <c r="FK68" s="31"/>
      <c r="FL68" s="32"/>
      <c r="FM68" s="28"/>
      <c r="FN68" s="37" t="s">
        <v>21</v>
      </c>
      <c r="FO68" s="37" t="s">
        <v>21</v>
      </c>
      <c r="FP68" s="37" t="s">
        <v>21</v>
      </c>
      <c r="FQ68" s="26"/>
      <c r="FR68" s="37" t="s">
        <v>21</v>
      </c>
      <c r="FS68" s="28"/>
      <c r="FT68" s="37" t="s">
        <v>21</v>
      </c>
      <c r="FU68" s="26"/>
      <c r="FV68" s="28"/>
      <c r="FW68" s="28"/>
      <c r="FX68" s="26"/>
      <c r="FY68" s="28"/>
      <c r="FZ68" s="28"/>
      <c r="GA68" s="37" t="s">
        <v>21</v>
      </c>
      <c r="GB68" s="26"/>
      <c r="GC68" s="26"/>
      <c r="GD68" s="28"/>
      <c r="GE68" s="28"/>
      <c r="GF68" s="37" t="s">
        <v>21</v>
      </c>
      <c r="GG68" s="28"/>
      <c r="GH68" s="28"/>
      <c r="GI68" s="26"/>
      <c r="GJ68" s="28"/>
      <c r="GK68" s="37" t="s">
        <v>19</v>
      </c>
      <c r="GL68" s="28"/>
      <c r="GM68" s="31"/>
      <c r="GN68" s="26"/>
      <c r="GO68" s="31"/>
      <c r="GP68" s="31"/>
      <c r="GQ68" s="38"/>
      <c r="GR68" s="39"/>
      <c r="GS68" s="39"/>
      <c r="GT68" s="39"/>
      <c r="GU68" s="39"/>
      <c r="GV68" s="39"/>
      <c r="GW68" s="39"/>
      <c r="GX68" s="39"/>
      <c r="GY68" s="39"/>
      <c r="GZ68" s="40"/>
      <c r="HA68" s="39"/>
      <c r="HB68" s="39"/>
      <c r="HC68" s="39"/>
      <c r="HD68" s="39"/>
      <c r="HE68" s="39"/>
      <c r="HF68" s="39"/>
      <c r="HG68" s="39"/>
      <c r="HH68" s="39"/>
      <c r="HI68" s="39"/>
      <c r="HJ68" s="39"/>
      <c r="HK68" s="39"/>
      <c r="HL68" s="40"/>
      <c r="HM68" s="40"/>
      <c r="HN68" s="39"/>
      <c r="HO68" s="39"/>
      <c r="HP68" s="39"/>
      <c r="HQ68" s="39"/>
      <c r="HR68" s="39"/>
      <c r="HS68" s="39"/>
      <c r="HT68" s="39"/>
      <c r="HU68" s="40"/>
      <c r="HV68" s="39"/>
      <c r="HW68" s="38"/>
      <c r="HX68" s="41"/>
      <c r="HY68" s="39"/>
      <c r="HZ68" s="39"/>
      <c r="IA68" s="39"/>
      <c r="IB68" s="39"/>
      <c r="IC68" s="39"/>
      <c r="ID68" s="40"/>
      <c r="IE68" s="39"/>
      <c r="IF68" s="39"/>
      <c r="IG68" s="39"/>
      <c r="IH68" s="40"/>
      <c r="II68" s="40"/>
      <c r="IJ68" s="42"/>
      <c r="IK68" s="42"/>
      <c r="IL68" s="39"/>
      <c r="IM68" s="39"/>
      <c r="IN68" s="39"/>
      <c r="IO68" s="42"/>
      <c r="IP68" s="40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8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8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40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8"/>
      <c r="LO68" s="39"/>
      <c r="LP68" s="39"/>
      <c r="LQ68" s="40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9"/>
      <c r="MM68" s="39"/>
      <c r="MN68" s="39"/>
      <c r="MO68" s="39"/>
      <c r="MP68" s="39"/>
      <c r="MQ68" s="39"/>
      <c r="MR68" s="39"/>
      <c r="MS68" s="38"/>
      <c r="MT68" s="39"/>
      <c r="MU68" s="39"/>
      <c r="MV68" s="39"/>
      <c r="MW68" s="39"/>
      <c r="MX68" s="39"/>
      <c r="MY68" s="39"/>
      <c r="MZ68" s="39"/>
      <c r="NA68" s="39"/>
      <c r="NB68" s="39"/>
      <c r="NC68" s="39"/>
      <c r="ND68" s="39"/>
      <c r="NE68" s="39"/>
      <c r="NF68" s="39"/>
      <c r="NG68" s="39"/>
      <c r="NH68" s="39"/>
      <c r="NI68" s="39"/>
      <c r="NJ68" s="39"/>
      <c r="NK68" s="39"/>
      <c r="NL68" s="39"/>
      <c r="NM68" s="39"/>
      <c r="NN68" s="39"/>
      <c r="NO68" s="39"/>
      <c r="NP68" s="39"/>
      <c r="NQ68" s="39"/>
      <c r="NR68" s="39"/>
      <c r="NS68" s="39"/>
      <c r="NT68" s="39"/>
      <c r="NU68" s="39"/>
      <c r="NV68" s="39"/>
      <c r="NW68" s="39"/>
      <c r="NX68" s="39"/>
      <c r="NY68" s="38"/>
    </row>
    <row r="69">
      <c r="A69" s="71" t="s">
        <v>459</v>
      </c>
      <c r="B69" s="26" t="str">
        <f>IFERROR(__xludf.DUMMYFUNCTION("VLOOKUP(A69, IMPORTRANGE(""https://docs.google.com/spreadsheets/d/1KpTMcNM9m1P7u9qCVzob8p1-RZoC1ejaYs5CdpAbWFY/edit?gid=260580969#gid=260580969"", ""2025 EMP PROFILE DATA!a1:W98""), 22, FALSE)"),"#REF!")</f>
        <v>#REF!</v>
      </c>
      <c r="C69" s="72">
        <f t="shared" si="1"/>
        <v>0</v>
      </c>
      <c r="D69" s="72">
        <f t="shared" si="2"/>
        <v>3</v>
      </c>
      <c r="E69" s="72">
        <f t="shared" si="3"/>
        <v>44</v>
      </c>
      <c r="F69" s="72">
        <f t="shared" si="4"/>
        <v>0</v>
      </c>
      <c r="G69" s="73">
        <f t="shared" si="5"/>
        <v>0</v>
      </c>
      <c r="H69" s="73">
        <f t="shared" si="6"/>
        <v>0.1111111111</v>
      </c>
      <c r="I69" s="28">
        <f t="shared" si="7"/>
        <v>44</v>
      </c>
      <c r="J69" s="26">
        <v>0.0</v>
      </c>
      <c r="K69" s="26">
        <v>0.0</v>
      </c>
      <c r="L69" s="49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37" t="s">
        <v>21</v>
      </c>
      <c r="Z69" s="72"/>
      <c r="AA69" s="72"/>
      <c r="AB69" s="72"/>
      <c r="AC69" s="72"/>
      <c r="AD69" s="72"/>
      <c r="AE69" s="72"/>
      <c r="AF69" s="37" t="s">
        <v>21</v>
      </c>
      <c r="AG69" s="72"/>
      <c r="AH69" s="72"/>
      <c r="AI69" s="72"/>
      <c r="AJ69" s="72"/>
      <c r="AK69" s="72"/>
      <c r="AL69" s="72"/>
      <c r="AM69" s="72"/>
      <c r="AN69" s="72"/>
      <c r="AO69" s="72"/>
      <c r="AP69" s="37" t="s">
        <v>21</v>
      </c>
      <c r="AQ69" s="72"/>
      <c r="AR69" s="38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37" t="s">
        <v>21</v>
      </c>
      <c r="BD69" s="72"/>
      <c r="BE69" s="72"/>
      <c r="BF69" s="72"/>
      <c r="BG69" s="72"/>
      <c r="BH69" s="72"/>
      <c r="BI69" s="72"/>
      <c r="BJ69" s="72"/>
      <c r="BK69" s="37" t="s">
        <v>21</v>
      </c>
      <c r="BL69" s="37"/>
      <c r="BM69" s="37" t="s">
        <v>21</v>
      </c>
      <c r="BN69" s="72"/>
      <c r="BO69" s="72"/>
      <c r="BP69" s="72"/>
      <c r="BQ69" s="72"/>
      <c r="BR69" s="72"/>
      <c r="BS69" s="37" t="s">
        <v>21</v>
      </c>
      <c r="BT69" s="71"/>
      <c r="BU69" s="38"/>
      <c r="BV69" s="72"/>
      <c r="BW69" s="72"/>
      <c r="BX69" s="72"/>
      <c r="BY69" s="37" t="s">
        <v>21</v>
      </c>
      <c r="BZ69" s="72"/>
      <c r="CA69" s="72"/>
      <c r="CB69" s="72"/>
      <c r="CC69" s="72"/>
      <c r="CD69" s="72"/>
      <c r="CE69" s="72"/>
      <c r="CF69" s="72"/>
      <c r="CG69" s="37" t="s">
        <v>21</v>
      </c>
      <c r="CH69" s="37"/>
      <c r="CI69" s="72"/>
      <c r="CJ69" s="72"/>
      <c r="CK69" s="72"/>
      <c r="CL69" s="37" t="s">
        <v>21</v>
      </c>
      <c r="CM69" s="37" t="s">
        <v>21</v>
      </c>
      <c r="CN69" s="74"/>
      <c r="CO69" s="71"/>
      <c r="CP69" s="72"/>
      <c r="CQ69" s="72"/>
      <c r="CR69" s="37" t="s">
        <v>21</v>
      </c>
      <c r="CS69" s="72"/>
      <c r="CT69" s="72"/>
      <c r="CU69" s="72"/>
      <c r="CV69" s="37" t="s">
        <v>21</v>
      </c>
      <c r="CW69" s="75"/>
      <c r="CX69" s="75"/>
      <c r="CY69" s="75"/>
      <c r="CZ69" s="75"/>
      <c r="DA69" s="38"/>
      <c r="DB69" s="37" t="s">
        <v>21</v>
      </c>
      <c r="DC69" s="37" t="s">
        <v>21</v>
      </c>
      <c r="DD69" s="72"/>
      <c r="DE69" s="72"/>
      <c r="DF69" s="72"/>
      <c r="DG69" s="72"/>
      <c r="DH69" s="72"/>
      <c r="DI69" s="37" t="s">
        <v>21</v>
      </c>
      <c r="DJ69" s="72"/>
      <c r="DK69" s="37" t="s">
        <v>21</v>
      </c>
      <c r="DL69" s="72"/>
      <c r="DM69" s="72"/>
      <c r="DN69" s="72"/>
      <c r="DO69" s="37" t="s">
        <v>21</v>
      </c>
      <c r="DP69" s="37" t="s">
        <v>21</v>
      </c>
      <c r="DQ69" s="37" t="s">
        <v>21</v>
      </c>
      <c r="DR69" s="72"/>
      <c r="DS69" s="37" t="s">
        <v>21</v>
      </c>
      <c r="DT69" s="72"/>
      <c r="DU69" s="37" t="s">
        <v>21</v>
      </c>
      <c r="DV69" s="72"/>
      <c r="DW69" s="37" t="s">
        <v>21</v>
      </c>
      <c r="DX69" s="72"/>
      <c r="DY69" s="37" t="s">
        <v>21</v>
      </c>
      <c r="DZ69" s="72"/>
      <c r="EA69" s="71"/>
      <c r="EB69" s="37" t="s">
        <v>21</v>
      </c>
      <c r="EC69" s="75"/>
      <c r="ED69" s="37" t="s">
        <v>21</v>
      </c>
      <c r="EE69" s="75"/>
      <c r="EF69" s="38"/>
      <c r="EG69" s="72"/>
      <c r="EH69" s="72"/>
      <c r="EI69" s="72"/>
      <c r="EJ69" s="37" t="s">
        <v>21</v>
      </c>
      <c r="EK69" s="72"/>
      <c r="EL69" s="72"/>
      <c r="EM69" s="72"/>
      <c r="EN69" s="37" t="s">
        <v>21</v>
      </c>
      <c r="EO69" s="37" t="s">
        <v>21</v>
      </c>
      <c r="EP69" s="72"/>
      <c r="EQ69" s="72"/>
      <c r="ER69" s="72"/>
      <c r="ES69" s="72"/>
      <c r="ET69" s="37" t="s">
        <v>21</v>
      </c>
      <c r="EU69" s="72"/>
      <c r="EV69" s="37" t="s">
        <v>21</v>
      </c>
      <c r="EW69" s="72"/>
      <c r="EX69" s="72"/>
      <c r="EY69" s="72"/>
      <c r="EZ69" s="72"/>
      <c r="FA69" s="72"/>
      <c r="FB69" s="72"/>
      <c r="FC69" s="37" t="s">
        <v>21</v>
      </c>
      <c r="FD69" s="72"/>
      <c r="FE69" s="72"/>
      <c r="FF69" s="72"/>
      <c r="FG69" s="37" t="s">
        <v>21</v>
      </c>
      <c r="FH69" s="37" t="s">
        <v>21</v>
      </c>
      <c r="FI69" s="37" t="s">
        <v>21</v>
      </c>
      <c r="FJ69" s="37" t="s">
        <v>21</v>
      </c>
      <c r="FK69" s="75"/>
      <c r="FL69" s="38"/>
      <c r="FM69" s="72"/>
      <c r="FN69" s="72"/>
      <c r="FO69" s="72"/>
      <c r="FP69" s="72"/>
      <c r="FQ69" s="37" t="s">
        <v>21</v>
      </c>
      <c r="FR69" s="72"/>
      <c r="FS69" s="72"/>
      <c r="FT69" s="37" t="s">
        <v>21</v>
      </c>
      <c r="FU69" s="72"/>
      <c r="FV69" s="72"/>
      <c r="FW69" s="72"/>
      <c r="FX69" s="72"/>
      <c r="FY69" s="72"/>
      <c r="FZ69" s="72"/>
      <c r="GA69" s="72"/>
      <c r="GB69" s="37" t="s">
        <v>21</v>
      </c>
      <c r="GC69" s="72"/>
      <c r="GD69" s="37" t="s">
        <v>21</v>
      </c>
      <c r="GE69" s="37" t="s">
        <v>21</v>
      </c>
      <c r="GF69" s="37" t="s">
        <v>21</v>
      </c>
      <c r="GG69" s="72"/>
      <c r="GH69" s="37" t="s">
        <v>21</v>
      </c>
      <c r="GI69" s="37"/>
      <c r="GJ69" s="37" t="s">
        <v>21</v>
      </c>
      <c r="GK69" s="26" t="s">
        <v>20</v>
      </c>
      <c r="GL69" s="71" t="s">
        <v>20</v>
      </c>
      <c r="GM69" s="26" t="s">
        <v>20</v>
      </c>
      <c r="GN69" s="75"/>
      <c r="GO69" s="75"/>
      <c r="GP69" s="75"/>
      <c r="GQ69" s="38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8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8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8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8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9"/>
      <c r="MM69" s="39"/>
      <c r="MN69" s="39"/>
      <c r="MO69" s="39"/>
      <c r="MP69" s="39"/>
      <c r="MQ69" s="39"/>
      <c r="MR69" s="39"/>
      <c r="MS69" s="38"/>
      <c r="MT69" s="39"/>
      <c r="MU69" s="39"/>
      <c r="MV69" s="39"/>
      <c r="MW69" s="39"/>
      <c r="MX69" s="39"/>
      <c r="MY69" s="39"/>
      <c r="MZ69" s="39"/>
      <c r="NA69" s="39"/>
      <c r="NB69" s="39"/>
      <c r="NC69" s="39"/>
      <c r="ND69" s="39"/>
      <c r="NE69" s="39"/>
      <c r="NF69" s="39"/>
      <c r="NG69" s="39"/>
      <c r="NH69" s="39"/>
      <c r="NI69" s="39"/>
      <c r="NJ69" s="39"/>
      <c r="NK69" s="39"/>
      <c r="NL69" s="39"/>
      <c r="NM69" s="39"/>
      <c r="NN69" s="39"/>
      <c r="NO69" s="39"/>
      <c r="NP69" s="39"/>
      <c r="NQ69" s="39"/>
      <c r="NR69" s="39"/>
      <c r="NS69" s="39"/>
      <c r="NT69" s="39"/>
      <c r="NU69" s="39"/>
      <c r="NV69" s="39"/>
      <c r="NW69" s="39"/>
      <c r="NX69" s="39"/>
      <c r="NY69" s="38"/>
    </row>
    <row r="70">
      <c r="A70" s="45" t="s">
        <v>460</v>
      </c>
      <c r="B70" s="26" t="str">
        <f>IFERROR(__xludf.DUMMYFUNCTION("VLOOKUP(A70, IMPORTRANGE(""https://docs.google.com/spreadsheets/d/1KpTMcNM9m1P7u9qCVzob8p1-RZoC1ejaYs5CdpAbWFY/edit?gid=260580969#gid=260580969"", ""2025 EMP PROFILE DATA!a1:W98""), 22, FALSE)"),"#REF!")</f>
        <v>#REF!</v>
      </c>
      <c r="C70" s="45">
        <f t="shared" si="1"/>
        <v>5</v>
      </c>
      <c r="D70" s="45">
        <f t="shared" si="2"/>
        <v>4</v>
      </c>
      <c r="E70" s="45">
        <f t="shared" si="3"/>
        <v>0</v>
      </c>
      <c r="F70" s="45">
        <f t="shared" si="4"/>
        <v>0</v>
      </c>
      <c r="G70" s="46">
        <f t="shared" si="5"/>
        <v>0.01262626263</v>
      </c>
      <c r="H70" s="46">
        <f t="shared" si="6"/>
        <v>0</v>
      </c>
      <c r="I70" s="28">
        <f t="shared" si="7"/>
        <v>20</v>
      </c>
      <c r="J70" s="26">
        <v>0.0</v>
      </c>
      <c r="K70" s="26">
        <v>0.0</v>
      </c>
      <c r="L70" s="49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57"/>
      <c r="AA70" s="57" t="s">
        <v>19</v>
      </c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29"/>
      <c r="AS70" s="28"/>
      <c r="AT70" s="28"/>
      <c r="AU70" s="28"/>
      <c r="AV70" s="28"/>
      <c r="AW70" s="26"/>
      <c r="AX70" s="28"/>
      <c r="AY70" s="28"/>
      <c r="AZ70" s="26"/>
      <c r="BA70" s="28"/>
      <c r="BB70" s="26"/>
      <c r="BC70" s="28"/>
      <c r="BD70" s="28"/>
      <c r="BE70" s="26"/>
      <c r="BF70" s="28"/>
      <c r="BG70" s="28"/>
      <c r="BH70" s="26"/>
      <c r="BI70" s="26"/>
      <c r="BJ70" s="26"/>
      <c r="BK70" s="28"/>
      <c r="BL70" s="28"/>
      <c r="BM70" s="26"/>
      <c r="BN70" s="28"/>
      <c r="BO70" s="28"/>
      <c r="BP70" s="28"/>
      <c r="BQ70" s="28"/>
      <c r="BR70" s="28"/>
      <c r="BS70" s="31"/>
      <c r="BT70" s="26"/>
      <c r="BU70" s="32"/>
      <c r="BV70" s="33"/>
      <c r="BW70" s="33"/>
      <c r="BX70" s="33"/>
      <c r="BY70" s="33"/>
      <c r="BZ70" s="33"/>
      <c r="CA70" s="33"/>
      <c r="CB70" s="35"/>
      <c r="CC70" s="33"/>
      <c r="CD70" s="34" t="s">
        <v>19</v>
      </c>
      <c r="CE70" s="37" t="s">
        <v>19</v>
      </c>
      <c r="CF70" s="36"/>
      <c r="CG70" s="26"/>
      <c r="CH70" s="28"/>
      <c r="CI70" s="28"/>
      <c r="CJ70" s="28"/>
      <c r="CK70" s="28"/>
      <c r="CL70" s="26"/>
      <c r="CM70" s="26" t="s">
        <v>19</v>
      </c>
      <c r="CN70" s="28"/>
      <c r="CO70" s="28"/>
      <c r="CP70" s="26"/>
      <c r="CQ70" s="28"/>
      <c r="CR70" s="28"/>
      <c r="CS70" s="28"/>
      <c r="CT70" s="28"/>
      <c r="CU70" s="26"/>
      <c r="CV70" s="31"/>
      <c r="CW70" s="26"/>
      <c r="CX70" s="26"/>
      <c r="CY70" s="26"/>
      <c r="CZ70" s="31"/>
      <c r="DA70" s="32"/>
      <c r="DB70" s="28"/>
      <c r="DC70" s="28"/>
      <c r="DD70" s="26" t="s">
        <v>20</v>
      </c>
      <c r="DE70" s="26"/>
      <c r="DF70" s="26"/>
      <c r="DG70" s="26"/>
      <c r="DH70" s="26"/>
      <c r="DI70" s="26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6"/>
      <c r="DX70" s="26"/>
      <c r="DY70" s="28"/>
      <c r="DZ70" s="28"/>
      <c r="EA70" s="28"/>
      <c r="EB70" s="31"/>
      <c r="EC70" s="59" t="s">
        <v>20</v>
      </c>
      <c r="ED70" s="31"/>
      <c r="EE70" s="26"/>
      <c r="EF70" s="32"/>
      <c r="EG70" s="28"/>
      <c r="EH70" s="26"/>
      <c r="EI70" s="28"/>
      <c r="EJ70" s="28"/>
      <c r="EK70" s="26"/>
      <c r="EL70" s="28"/>
      <c r="EM70" s="28"/>
      <c r="EN70" s="26"/>
      <c r="EO70" s="26"/>
      <c r="EP70" s="28"/>
      <c r="EQ70" s="28"/>
      <c r="ER70" s="37" t="s">
        <v>19</v>
      </c>
      <c r="ES70" s="28"/>
      <c r="ET70" s="26"/>
      <c r="EU70" s="26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6"/>
      <c r="FH70" s="26"/>
      <c r="FI70" s="31"/>
      <c r="FJ70" s="31"/>
      <c r="FK70" s="31"/>
      <c r="FL70" s="32"/>
      <c r="FM70" s="28"/>
      <c r="FN70" s="26"/>
      <c r="FO70" s="28"/>
      <c r="FP70" s="28"/>
      <c r="FQ70" s="26"/>
      <c r="FR70" s="28"/>
      <c r="FS70" s="28"/>
      <c r="FT70" s="28"/>
      <c r="FU70" s="26"/>
      <c r="FV70" s="26" t="s">
        <v>20</v>
      </c>
      <c r="FW70" s="26" t="s">
        <v>20</v>
      </c>
      <c r="FX70" s="26"/>
      <c r="FY70" s="28"/>
      <c r="FZ70" s="28"/>
      <c r="GA70" s="28"/>
      <c r="GB70" s="26"/>
      <c r="GC70" s="26"/>
      <c r="GD70" s="28"/>
      <c r="GE70" s="28"/>
      <c r="GF70" s="28"/>
      <c r="GG70" s="28"/>
      <c r="GH70" s="28"/>
      <c r="GI70" s="26"/>
      <c r="GJ70" s="28"/>
      <c r="GK70" s="28"/>
      <c r="GL70" s="28"/>
      <c r="GM70" s="31"/>
      <c r="GN70" s="26"/>
      <c r="GO70" s="31"/>
      <c r="GP70" s="31"/>
      <c r="GQ70" s="38"/>
      <c r="GR70" s="39"/>
      <c r="GS70" s="39"/>
      <c r="GT70" s="39"/>
      <c r="GU70" s="39"/>
      <c r="GV70" s="39"/>
      <c r="GW70" s="39"/>
      <c r="GX70" s="39"/>
      <c r="GY70" s="39"/>
      <c r="GZ70" s="40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40"/>
      <c r="HM70" s="40"/>
      <c r="HN70" s="39"/>
      <c r="HO70" s="39"/>
      <c r="HP70" s="39"/>
      <c r="HQ70" s="39"/>
      <c r="HR70" s="39"/>
      <c r="HS70" s="39"/>
      <c r="HT70" s="39"/>
      <c r="HU70" s="40"/>
      <c r="HV70" s="39"/>
      <c r="HW70" s="38"/>
      <c r="HX70" s="41"/>
      <c r="HY70" s="39"/>
      <c r="HZ70" s="39"/>
      <c r="IA70" s="39"/>
      <c r="IB70" s="39"/>
      <c r="IC70" s="39"/>
      <c r="ID70" s="40"/>
      <c r="IE70" s="39"/>
      <c r="IF70" s="39"/>
      <c r="IG70" s="39"/>
      <c r="IH70" s="40"/>
      <c r="II70" s="40"/>
      <c r="IJ70" s="42"/>
      <c r="IK70" s="42"/>
      <c r="IL70" s="39"/>
      <c r="IM70" s="39"/>
      <c r="IN70" s="39"/>
      <c r="IO70" s="42"/>
      <c r="IP70" s="40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8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8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40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8"/>
      <c r="LO70" s="39"/>
      <c r="LP70" s="39"/>
      <c r="LQ70" s="40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9"/>
      <c r="MM70" s="39"/>
      <c r="MN70" s="39"/>
      <c r="MO70" s="39"/>
      <c r="MP70" s="39"/>
      <c r="MQ70" s="39"/>
      <c r="MR70" s="39"/>
      <c r="MS70" s="38"/>
      <c r="MT70" s="39"/>
      <c r="MU70" s="39"/>
      <c r="MV70" s="39"/>
      <c r="MW70" s="39"/>
      <c r="MX70" s="39"/>
      <c r="MY70" s="39"/>
      <c r="MZ70" s="39"/>
      <c r="NA70" s="39"/>
      <c r="NB70" s="39"/>
      <c r="NC70" s="39"/>
      <c r="ND70" s="39"/>
      <c r="NE70" s="39"/>
      <c r="NF70" s="39"/>
      <c r="NG70" s="39"/>
      <c r="NH70" s="39"/>
      <c r="NI70" s="39"/>
      <c r="NJ70" s="39"/>
      <c r="NK70" s="39"/>
      <c r="NL70" s="39"/>
      <c r="NM70" s="39"/>
      <c r="NN70" s="39"/>
      <c r="NO70" s="39"/>
      <c r="NP70" s="39"/>
      <c r="NQ70" s="39"/>
      <c r="NR70" s="39"/>
      <c r="NS70" s="39"/>
      <c r="NT70" s="39"/>
      <c r="NU70" s="39"/>
      <c r="NV70" s="39"/>
      <c r="NW70" s="39"/>
      <c r="NX70" s="39"/>
      <c r="NY70" s="38"/>
    </row>
    <row r="71">
      <c r="A71" s="50" t="s">
        <v>461</v>
      </c>
      <c r="B71" s="26" t="str">
        <f>IFERROR(__xludf.DUMMYFUNCTION("VLOOKUP(A71, IMPORTRANGE(""https://docs.google.com/spreadsheets/d/1KpTMcNM9m1P7u9qCVzob8p1-RZoC1ejaYs5CdpAbWFY/edit?gid=260580969#gid=260580969"", ""2025 EMP PROFILE DATA!a1:W98""), 22, FALSE)"),"#REF!")</f>
        <v>#REF!</v>
      </c>
      <c r="C71" s="50">
        <f t="shared" si="1"/>
        <v>0</v>
      </c>
      <c r="D71" s="50">
        <f t="shared" si="2"/>
        <v>0</v>
      </c>
      <c r="E71" s="50">
        <f t="shared" si="3"/>
        <v>0</v>
      </c>
      <c r="F71" s="50">
        <f t="shared" si="4"/>
        <v>0</v>
      </c>
      <c r="G71" s="51">
        <f t="shared" si="5"/>
        <v>0</v>
      </c>
      <c r="H71" s="51">
        <f t="shared" si="6"/>
        <v>0</v>
      </c>
      <c r="I71" s="28">
        <f t="shared" si="7"/>
        <v>0</v>
      </c>
      <c r="J71" s="26">
        <v>0.0</v>
      </c>
      <c r="K71" s="26">
        <v>0.0</v>
      </c>
      <c r="L71" s="49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29"/>
      <c r="AS71" s="28"/>
      <c r="AT71" s="28"/>
      <c r="AU71" s="28"/>
      <c r="AV71" s="28"/>
      <c r="AW71" s="26"/>
      <c r="AX71" s="28"/>
      <c r="AY71" s="28"/>
      <c r="AZ71" s="26"/>
      <c r="BA71" s="28"/>
      <c r="BB71" s="26"/>
      <c r="BC71" s="28"/>
      <c r="BD71" s="28"/>
      <c r="BE71" s="26"/>
      <c r="BF71" s="28"/>
      <c r="BG71" s="28"/>
      <c r="BH71" s="26"/>
      <c r="BI71" s="26"/>
      <c r="BJ71" s="26"/>
      <c r="BK71" s="28"/>
      <c r="BL71" s="28"/>
      <c r="BM71" s="26"/>
      <c r="BN71" s="28"/>
      <c r="BO71" s="28"/>
      <c r="BP71" s="28"/>
      <c r="BQ71" s="28"/>
      <c r="BR71" s="28"/>
      <c r="BS71" s="31"/>
      <c r="BT71" s="26"/>
      <c r="BU71" s="32"/>
      <c r="BV71" s="33"/>
      <c r="BW71" s="33"/>
      <c r="BX71" s="33"/>
      <c r="BY71" s="33"/>
      <c r="BZ71" s="33"/>
      <c r="CA71" s="33"/>
      <c r="CB71" s="35"/>
      <c r="CC71" s="33"/>
      <c r="CD71" s="33"/>
      <c r="CE71" s="34"/>
      <c r="CF71" s="36"/>
      <c r="CG71" s="26"/>
      <c r="CH71" s="28"/>
      <c r="CI71" s="28"/>
      <c r="CJ71" s="28"/>
      <c r="CK71" s="28"/>
      <c r="CL71" s="26"/>
      <c r="CM71" s="28"/>
      <c r="CN71" s="28"/>
      <c r="CO71" s="28"/>
      <c r="CP71" s="26"/>
      <c r="CQ71" s="28"/>
      <c r="CR71" s="28"/>
      <c r="CS71" s="28"/>
      <c r="CT71" s="28"/>
      <c r="CU71" s="26"/>
      <c r="CV71" s="31"/>
      <c r="CW71" s="26"/>
      <c r="CX71" s="26"/>
      <c r="CY71" s="26"/>
      <c r="CZ71" s="31"/>
      <c r="DA71" s="32"/>
      <c r="DB71" s="28"/>
      <c r="DC71" s="28"/>
      <c r="DD71" s="28"/>
      <c r="DE71" s="26"/>
      <c r="DF71" s="26"/>
      <c r="DG71" s="26"/>
      <c r="DH71" s="26"/>
      <c r="DI71" s="26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6"/>
      <c r="DX71" s="26"/>
      <c r="DY71" s="28"/>
      <c r="DZ71" s="28"/>
      <c r="EA71" s="28"/>
      <c r="EB71" s="31"/>
      <c r="EC71" s="26"/>
      <c r="ED71" s="31"/>
      <c r="EE71" s="26"/>
      <c r="EF71" s="32"/>
      <c r="EG71" s="28"/>
      <c r="EH71" s="26"/>
      <c r="EI71" s="28"/>
      <c r="EJ71" s="28"/>
      <c r="EK71" s="26"/>
      <c r="EL71" s="28"/>
      <c r="EM71" s="28"/>
      <c r="EN71" s="26"/>
      <c r="EO71" s="26"/>
      <c r="EP71" s="28"/>
      <c r="EQ71" s="28"/>
      <c r="ER71" s="26"/>
      <c r="ES71" s="28"/>
      <c r="ET71" s="26"/>
      <c r="EU71" s="26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6"/>
      <c r="FH71" s="26"/>
      <c r="FI71" s="31"/>
      <c r="FJ71" s="31"/>
      <c r="FK71" s="31"/>
      <c r="FL71" s="32"/>
      <c r="FM71" s="28"/>
      <c r="FN71" s="26"/>
      <c r="FO71" s="28"/>
      <c r="FP71" s="28"/>
      <c r="FQ71" s="26"/>
      <c r="FR71" s="28"/>
      <c r="FS71" s="28"/>
      <c r="FT71" s="28"/>
      <c r="FU71" s="26"/>
      <c r="FV71" s="28"/>
      <c r="FW71" s="28"/>
      <c r="FX71" s="26"/>
      <c r="FY71" s="28"/>
      <c r="FZ71" s="28"/>
      <c r="GA71" s="28"/>
      <c r="GB71" s="26"/>
      <c r="GC71" s="26"/>
      <c r="GD71" s="28"/>
      <c r="GE71" s="28"/>
      <c r="GF71" s="28"/>
      <c r="GG71" s="28"/>
      <c r="GH71" s="28"/>
      <c r="GI71" s="26"/>
      <c r="GJ71" s="28"/>
      <c r="GK71" s="28"/>
      <c r="GL71" s="28"/>
      <c r="GM71" s="31"/>
      <c r="GN71" s="26"/>
      <c r="GO71" s="31"/>
      <c r="GP71" s="31"/>
      <c r="GQ71" s="38"/>
      <c r="GR71" s="39"/>
      <c r="GS71" s="39"/>
      <c r="GT71" s="39"/>
      <c r="GU71" s="39"/>
      <c r="GV71" s="39"/>
      <c r="GW71" s="39"/>
      <c r="GX71" s="39"/>
      <c r="GY71" s="39"/>
      <c r="GZ71" s="40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40"/>
      <c r="HM71" s="40"/>
      <c r="HN71" s="39"/>
      <c r="HO71" s="39"/>
      <c r="HP71" s="39"/>
      <c r="HQ71" s="39"/>
      <c r="HR71" s="39"/>
      <c r="HS71" s="39"/>
      <c r="HT71" s="39"/>
      <c r="HU71" s="40"/>
      <c r="HV71" s="39"/>
      <c r="HW71" s="38"/>
      <c r="HX71" s="41"/>
      <c r="HY71" s="39"/>
      <c r="HZ71" s="39"/>
      <c r="IA71" s="39"/>
      <c r="IB71" s="39"/>
      <c r="IC71" s="39"/>
      <c r="ID71" s="40"/>
      <c r="IE71" s="39"/>
      <c r="IF71" s="39"/>
      <c r="IG71" s="39"/>
      <c r="IH71" s="40"/>
      <c r="II71" s="40"/>
      <c r="IJ71" s="42"/>
      <c r="IK71" s="42"/>
      <c r="IL71" s="39"/>
      <c r="IM71" s="39"/>
      <c r="IN71" s="39"/>
      <c r="IO71" s="42"/>
      <c r="IP71" s="40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8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8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40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8"/>
      <c r="LO71" s="39"/>
      <c r="LP71" s="39"/>
      <c r="LQ71" s="40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9"/>
      <c r="MM71" s="39"/>
      <c r="MN71" s="39"/>
      <c r="MO71" s="39"/>
      <c r="MP71" s="39"/>
      <c r="MQ71" s="39"/>
      <c r="MR71" s="39"/>
      <c r="MS71" s="38"/>
      <c r="MT71" s="39"/>
      <c r="MU71" s="39"/>
      <c r="MV71" s="39"/>
      <c r="MW71" s="39"/>
      <c r="MX71" s="39"/>
      <c r="MY71" s="39"/>
      <c r="MZ71" s="39"/>
      <c r="NA71" s="39"/>
      <c r="NB71" s="39"/>
      <c r="NC71" s="39"/>
      <c r="ND71" s="39"/>
      <c r="NE71" s="39"/>
      <c r="NF71" s="39"/>
      <c r="NG71" s="39"/>
      <c r="NH71" s="39"/>
      <c r="NI71" s="39"/>
      <c r="NJ71" s="39"/>
      <c r="NK71" s="39"/>
      <c r="NL71" s="39"/>
      <c r="NM71" s="39"/>
      <c r="NN71" s="39"/>
      <c r="NO71" s="39"/>
      <c r="NP71" s="39"/>
      <c r="NQ71" s="39"/>
      <c r="NR71" s="39"/>
      <c r="NS71" s="39"/>
      <c r="NT71" s="39"/>
      <c r="NU71" s="39"/>
      <c r="NV71" s="39"/>
      <c r="NW71" s="39"/>
      <c r="NX71" s="39"/>
      <c r="NY71" s="38"/>
    </row>
    <row r="72">
      <c r="A72" s="45" t="s">
        <v>461</v>
      </c>
      <c r="B72" s="26" t="str">
        <f>IFERROR(__xludf.DUMMYFUNCTION("VLOOKUP(A72, IMPORTRANGE(""https://docs.google.com/spreadsheets/d/1KpTMcNM9m1P7u9qCVzob8p1-RZoC1ejaYs5CdpAbWFY/edit?gid=260580969#gid=260580969"", ""2025 EMP PROFILE DATA!a1:W98""), 22, FALSE)"),"#REF!")</f>
        <v>#REF!</v>
      </c>
      <c r="C72" s="45">
        <f t="shared" si="1"/>
        <v>0</v>
      </c>
      <c r="D72" s="45">
        <f t="shared" si="2"/>
        <v>0</v>
      </c>
      <c r="E72" s="45">
        <f t="shared" si="3"/>
        <v>0</v>
      </c>
      <c r="F72" s="45">
        <f t="shared" si="4"/>
        <v>0</v>
      </c>
      <c r="G72" s="46">
        <f t="shared" si="5"/>
        <v>0</v>
      </c>
      <c r="H72" s="46">
        <f t="shared" si="6"/>
        <v>0</v>
      </c>
      <c r="I72" s="28">
        <f t="shared" si="7"/>
        <v>0</v>
      </c>
      <c r="J72" s="26">
        <v>0.0</v>
      </c>
      <c r="K72" s="26">
        <v>0.0</v>
      </c>
      <c r="L72" s="49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29"/>
      <c r="AS72" s="28"/>
      <c r="AT72" s="28"/>
      <c r="AU72" s="28"/>
      <c r="AV72" s="28"/>
      <c r="AW72" s="26"/>
      <c r="AX72" s="28"/>
      <c r="AY72" s="28"/>
      <c r="AZ72" s="26"/>
      <c r="BA72" s="28"/>
      <c r="BB72" s="26"/>
      <c r="BC72" s="28"/>
      <c r="BD72" s="28"/>
      <c r="BE72" s="26"/>
      <c r="BF72" s="28"/>
      <c r="BG72" s="28"/>
      <c r="BH72" s="26"/>
      <c r="BI72" s="26"/>
      <c r="BJ72" s="26"/>
      <c r="BK72" s="28"/>
      <c r="BL72" s="28"/>
      <c r="BM72" s="26"/>
      <c r="BN72" s="28"/>
      <c r="BO72" s="28"/>
      <c r="BP72" s="28"/>
      <c r="BQ72" s="28"/>
      <c r="BR72" s="28"/>
      <c r="BS72" s="31"/>
      <c r="BT72" s="26"/>
      <c r="BU72" s="32"/>
      <c r="BV72" s="33"/>
      <c r="BW72" s="33"/>
      <c r="BX72" s="33"/>
      <c r="BY72" s="33"/>
      <c r="BZ72" s="33"/>
      <c r="CA72" s="33"/>
      <c r="CB72" s="35"/>
      <c r="CC72" s="33"/>
      <c r="CD72" s="33"/>
      <c r="CE72" s="34"/>
      <c r="CF72" s="36"/>
      <c r="CG72" s="26"/>
      <c r="CH72" s="28"/>
      <c r="CI72" s="28"/>
      <c r="CJ72" s="28"/>
      <c r="CK72" s="28"/>
      <c r="CL72" s="26"/>
      <c r="CM72" s="28"/>
      <c r="CN72" s="28"/>
      <c r="CO72" s="28"/>
      <c r="CP72" s="26"/>
      <c r="CQ72" s="28"/>
      <c r="CR72" s="28"/>
      <c r="CS72" s="28"/>
      <c r="CT72" s="28"/>
      <c r="CU72" s="26"/>
      <c r="CV72" s="31"/>
      <c r="CW72" s="26"/>
      <c r="CX72" s="26"/>
      <c r="CY72" s="26"/>
      <c r="CZ72" s="31"/>
      <c r="DA72" s="32"/>
      <c r="DB72" s="28"/>
      <c r="DC72" s="28"/>
      <c r="DD72" s="28"/>
      <c r="DE72" s="26"/>
      <c r="DF72" s="26"/>
      <c r="DG72" s="26"/>
      <c r="DH72" s="26"/>
      <c r="DI72" s="26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6"/>
      <c r="DX72" s="26"/>
      <c r="DY72" s="28"/>
      <c r="DZ72" s="28"/>
      <c r="EA72" s="28"/>
      <c r="EB72" s="31"/>
      <c r="EC72" s="26"/>
      <c r="ED72" s="31"/>
      <c r="EE72" s="26"/>
      <c r="EF72" s="32"/>
      <c r="EG72" s="28"/>
      <c r="EH72" s="26"/>
      <c r="EI72" s="28"/>
      <c r="EJ72" s="28"/>
      <c r="EK72" s="26"/>
      <c r="EL72" s="28"/>
      <c r="EM72" s="28"/>
      <c r="EN72" s="26"/>
      <c r="EO72" s="26"/>
      <c r="EP72" s="28"/>
      <c r="EQ72" s="28"/>
      <c r="ER72" s="26"/>
      <c r="ES72" s="28"/>
      <c r="ET72" s="26"/>
      <c r="EU72" s="26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6"/>
      <c r="FH72" s="26"/>
      <c r="FI72" s="31"/>
      <c r="FJ72" s="31"/>
      <c r="FK72" s="31"/>
      <c r="FL72" s="32"/>
      <c r="FM72" s="28"/>
      <c r="FN72" s="26"/>
      <c r="FO72" s="28"/>
      <c r="FP72" s="28"/>
      <c r="FQ72" s="26"/>
      <c r="FR72" s="28"/>
      <c r="FS72" s="28"/>
      <c r="FT72" s="28"/>
      <c r="FU72" s="26"/>
      <c r="FV72" s="28"/>
      <c r="FW72" s="28"/>
      <c r="FX72" s="26"/>
      <c r="FY72" s="28"/>
      <c r="FZ72" s="28"/>
      <c r="GA72" s="28"/>
      <c r="GB72" s="26"/>
      <c r="GC72" s="26"/>
      <c r="GD72" s="28"/>
      <c r="GE72" s="28"/>
      <c r="GF72" s="28"/>
      <c r="GG72" s="28"/>
      <c r="GH72" s="28"/>
      <c r="GI72" s="26"/>
      <c r="GJ72" s="28"/>
      <c r="GK72" s="28"/>
      <c r="GL72" s="28"/>
      <c r="GM72" s="31"/>
      <c r="GN72" s="26"/>
      <c r="GO72" s="31"/>
      <c r="GP72" s="31"/>
      <c r="GQ72" s="38"/>
      <c r="GR72" s="39"/>
      <c r="GS72" s="39"/>
      <c r="GT72" s="39"/>
      <c r="GU72" s="39"/>
      <c r="GV72" s="39"/>
      <c r="GW72" s="39"/>
      <c r="GX72" s="39"/>
      <c r="GY72" s="39"/>
      <c r="GZ72" s="40"/>
      <c r="HA72" s="39"/>
      <c r="HB72" s="39"/>
      <c r="HC72" s="39"/>
      <c r="HD72" s="39"/>
      <c r="HE72" s="39"/>
      <c r="HF72" s="39"/>
      <c r="HG72" s="39"/>
      <c r="HH72" s="39"/>
      <c r="HI72" s="39"/>
      <c r="HJ72" s="39"/>
      <c r="HK72" s="39"/>
      <c r="HL72" s="40"/>
      <c r="HM72" s="40"/>
      <c r="HN72" s="39"/>
      <c r="HO72" s="39"/>
      <c r="HP72" s="39"/>
      <c r="HQ72" s="39"/>
      <c r="HR72" s="39"/>
      <c r="HS72" s="39"/>
      <c r="HT72" s="39"/>
      <c r="HU72" s="40"/>
      <c r="HV72" s="39"/>
      <c r="HW72" s="38"/>
      <c r="HX72" s="41"/>
      <c r="HY72" s="39"/>
      <c r="HZ72" s="39"/>
      <c r="IA72" s="39"/>
      <c r="IB72" s="39"/>
      <c r="IC72" s="39"/>
      <c r="ID72" s="40"/>
      <c r="IE72" s="39"/>
      <c r="IF72" s="39"/>
      <c r="IG72" s="39"/>
      <c r="IH72" s="40"/>
      <c r="II72" s="40"/>
      <c r="IJ72" s="42"/>
      <c r="IK72" s="42"/>
      <c r="IL72" s="39"/>
      <c r="IM72" s="39"/>
      <c r="IN72" s="39"/>
      <c r="IO72" s="42"/>
      <c r="IP72" s="40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8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8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40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8"/>
      <c r="LO72" s="39"/>
      <c r="LP72" s="39"/>
      <c r="LQ72" s="40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9"/>
      <c r="MM72" s="39"/>
      <c r="MN72" s="39"/>
      <c r="MO72" s="39"/>
      <c r="MP72" s="39"/>
      <c r="MQ72" s="39"/>
      <c r="MR72" s="39"/>
      <c r="MS72" s="38"/>
      <c r="MT72" s="39"/>
      <c r="MU72" s="39"/>
      <c r="MV72" s="39"/>
      <c r="MW72" s="39"/>
      <c r="MX72" s="39"/>
      <c r="MY72" s="39"/>
      <c r="MZ72" s="39"/>
      <c r="NA72" s="39"/>
      <c r="NB72" s="39"/>
      <c r="NC72" s="39"/>
      <c r="ND72" s="39"/>
      <c r="NE72" s="39"/>
      <c r="NF72" s="39"/>
      <c r="NG72" s="39"/>
      <c r="NH72" s="39"/>
      <c r="NI72" s="39"/>
      <c r="NJ72" s="39"/>
      <c r="NK72" s="39"/>
      <c r="NL72" s="39"/>
      <c r="NM72" s="39"/>
      <c r="NN72" s="39"/>
      <c r="NO72" s="39"/>
      <c r="NP72" s="39"/>
      <c r="NQ72" s="39"/>
      <c r="NR72" s="39"/>
      <c r="NS72" s="39"/>
      <c r="NT72" s="39"/>
      <c r="NU72" s="39"/>
      <c r="NV72" s="39"/>
      <c r="NW72" s="39"/>
      <c r="NX72" s="39"/>
      <c r="NY72" s="38"/>
    </row>
    <row r="73">
      <c r="A73" s="45" t="s">
        <v>462</v>
      </c>
      <c r="B73" s="26" t="str">
        <f>IFERROR(__xludf.DUMMYFUNCTION("VLOOKUP(A73, IMPORTRANGE(""https://docs.google.com/spreadsheets/d/1KpTMcNM9m1P7u9qCVzob8p1-RZoC1ejaYs5CdpAbWFY/edit?gid=260580969#gid=260580969"", ""2025 EMP PROFILE DATA!a1:W98""), 22, FALSE)"),"#REF!")</f>
        <v>#REF!</v>
      </c>
      <c r="C73" s="45">
        <f t="shared" si="1"/>
        <v>1</v>
      </c>
      <c r="D73" s="45">
        <f t="shared" si="2"/>
        <v>0</v>
      </c>
      <c r="E73" s="45">
        <f t="shared" si="3"/>
        <v>1</v>
      </c>
      <c r="F73" s="45">
        <f t="shared" si="4"/>
        <v>0</v>
      </c>
      <c r="G73" s="46">
        <f t="shared" si="5"/>
        <v>0.002525252525</v>
      </c>
      <c r="H73" s="46">
        <f t="shared" si="6"/>
        <v>0.002525252525</v>
      </c>
      <c r="I73" s="28">
        <f t="shared" si="7"/>
        <v>5</v>
      </c>
      <c r="J73" s="26">
        <v>0.0</v>
      </c>
      <c r="K73" s="26">
        <v>0.0</v>
      </c>
      <c r="L73" s="49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29"/>
      <c r="AS73" s="28"/>
      <c r="AT73" s="28"/>
      <c r="AU73" s="28"/>
      <c r="AV73" s="28"/>
      <c r="AW73" s="26"/>
      <c r="AX73" s="28"/>
      <c r="AY73" s="28"/>
      <c r="AZ73" s="26"/>
      <c r="BA73" s="28"/>
      <c r="BB73" s="26"/>
      <c r="BC73" s="28"/>
      <c r="BD73" s="28"/>
      <c r="BE73" s="26"/>
      <c r="BF73" s="28"/>
      <c r="BG73" s="28"/>
      <c r="BH73" s="26"/>
      <c r="BI73" s="26"/>
      <c r="BJ73" s="26"/>
      <c r="BK73" s="28"/>
      <c r="BL73" s="28"/>
      <c r="BM73" s="26"/>
      <c r="BN73" s="28"/>
      <c r="BO73" s="28"/>
      <c r="BP73" s="28"/>
      <c r="BQ73" s="28"/>
      <c r="BR73" s="28"/>
      <c r="BS73" s="31"/>
      <c r="BT73" s="26"/>
      <c r="BU73" s="32"/>
      <c r="BV73" s="33"/>
      <c r="BW73" s="33"/>
      <c r="BX73" s="33"/>
      <c r="BY73" s="33"/>
      <c r="BZ73" s="33"/>
      <c r="CA73" s="33"/>
      <c r="CB73" s="35"/>
      <c r="CC73" s="33"/>
      <c r="CD73" s="33"/>
      <c r="CE73" s="34"/>
      <c r="CF73" s="36"/>
      <c r="CG73" s="26"/>
      <c r="CH73" s="28"/>
      <c r="CI73" s="28"/>
      <c r="CJ73" s="28"/>
      <c r="CK73" s="28"/>
      <c r="CL73" s="26"/>
      <c r="CM73" s="28"/>
      <c r="CN73" s="28"/>
      <c r="CO73" s="28"/>
      <c r="CP73" s="26"/>
      <c r="CQ73" s="28"/>
      <c r="CR73" s="37" t="s">
        <v>21</v>
      </c>
      <c r="CS73" s="28"/>
      <c r="CT73" s="28"/>
      <c r="CU73" s="26"/>
      <c r="CV73" s="31"/>
      <c r="CW73" s="26"/>
      <c r="CX73" s="26"/>
      <c r="CY73" s="26"/>
      <c r="CZ73" s="31"/>
      <c r="DA73" s="32"/>
      <c r="DB73" s="28"/>
      <c r="DC73" s="28"/>
      <c r="DD73" s="28"/>
      <c r="DE73" s="26"/>
      <c r="DF73" s="26"/>
      <c r="DG73" s="26"/>
      <c r="DH73" s="26"/>
      <c r="DI73" s="26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6"/>
      <c r="DX73" s="26"/>
      <c r="DY73" s="28"/>
      <c r="DZ73" s="28"/>
      <c r="EA73" s="28"/>
      <c r="EB73" s="31"/>
      <c r="EC73" s="26"/>
      <c r="ED73" s="31"/>
      <c r="EE73" s="26"/>
      <c r="EF73" s="32"/>
      <c r="EG73" s="28"/>
      <c r="EH73" s="26"/>
      <c r="EI73" s="28"/>
      <c r="EJ73" s="28"/>
      <c r="EK73" s="26"/>
      <c r="EL73" s="28"/>
      <c r="EM73" s="28"/>
      <c r="EN73" s="26"/>
      <c r="EO73" s="26"/>
      <c r="EP73" s="28"/>
      <c r="EQ73" s="28"/>
      <c r="ER73" s="26"/>
      <c r="ES73" s="28"/>
      <c r="ET73" s="26"/>
      <c r="EU73" s="26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6"/>
      <c r="FH73" s="26"/>
      <c r="FI73" s="31"/>
      <c r="FJ73" s="63" t="s">
        <v>19</v>
      </c>
      <c r="FK73" s="31"/>
      <c r="FL73" s="32"/>
      <c r="FM73" s="28"/>
      <c r="FN73" s="26"/>
      <c r="FO73" s="28"/>
      <c r="FP73" s="28"/>
      <c r="FQ73" s="26"/>
      <c r="FR73" s="28"/>
      <c r="FS73" s="28"/>
      <c r="FT73" s="28"/>
      <c r="FU73" s="26"/>
      <c r="FV73" s="28"/>
      <c r="FW73" s="28"/>
      <c r="FX73" s="26"/>
      <c r="FY73" s="28"/>
      <c r="FZ73" s="28"/>
      <c r="GA73" s="28"/>
      <c r="GB73" s="26"/>
      <c r="GC73" s="26"/>
      <c r="GD73" s="28"/>
      <c r="GE73" s="28"/>
      <c r="GF73" s="28"/>
      <c r="GG73" s="28"/>
      <c r="GH73" s="28"/>
      <c r="GI73" s="26"/>
      <c r="GJ73" s="28"/>
      <c r="GK73" s="28"/>
      <c r="GL73" s="28"/>
      <c r="GM73" s="31"/>
      <c r="GN73" s="26"/>
      <c r="GO73" s="31"/>
      <c r="GP73" s="31"/>
      <c r="GQ73" s="38"/>
      <c r="GR73" s="39"/>
      <c r="GS73" s="39"/>
      <c r="GT73" s="39"/>
      <c r="GU73" s="39"/>
      <c r="GV73" s="39"/>
      <c r="GW73" s="39"/>
      <c r="GX73" s="39"/>
      <c r="GY73" s="39"/>
      <c r="GZ73" s="40"/>
      <c r="HA73" s="39"/>
      <c r="HB73" s="39"/>
      <c r="HC73" s="39"/>
      <c r="HD73" s="39"/>
      <c r="HE73" s="39"/>
      <c r="HF73" s="39"/>
      <c r="HG73" s="39"/>
      <c r="HH73" s="39"/>
      <c r="HI73" s="39"/>
      <c r="HJ73" s="39"/>
      <c r="HK73" s="39"/>
      <c r="HL73" s="40"/>
      <c r="HM73" s="40"/>
      <c r="HN73" s="39"/>
      <c r="HO73" s="39"/>
      <c r="HP73" s="39"/>
      <c r="HQ73" s="39"/>
      <c r="HR73" s="39"/>
      <c r="HS73" s="39"/>
      <c r="HT73" s="39"/>
      <c r="HU73" s="40"/>
      <c r="HV73" s="39"/>
      <c r="HW73" s="38"/>
      <c r="HX73" s="41"/>
      <c r="HY73" s="39"/>
      <c r="HZ73" s="39"/>
      <c r="IA73" s="39"/>
      <c r="IB73" s="39"/>
      <c r="IC73" s="39"/>
      <c r="ID73" s="40"/>
      <c r="IE73" s="39"/>
      <c r="IF73" s="39"/>
      <c r="IG73" s="39"/>
      <c r="IH73" s="40"/>
      <c r="II73" s="40"/>
      <c r="IJ73" s="42"/>
      <c r="IK73" s="42"/>
      <c r="IL73" s="39"/>
      <c r="IM73" s="39"/>
      <c r="IN73" s="39"/>
      <c r="IO73" s="42"/>
      <c r="IP73" s="40"/>
      <c r="IQ73" s="39"/>
      <c r="IR73" s="39"/>
      <c r="IS73" s="39"/>
      <c r="IT73" s="39"/>
      <c r="IU73" s="39"/>
      <c r="IV73" s="39"/>
      <c r="IW73" s="39"/>
      <c r="IX73" s="39"/>
      <c r="IY73" s="39"/>
      <c r="IZ73" s="39"/>
      <c r="JA73" s="39"/>
      <c r="JB73" s="39"/>
      <c r="JC73" s="38"/>
      <c r="JD73" s="39"/>
      <c r="JE73" s="39"/>
      <c r="JF73" s="39"/>
      <c r="JG73" s="39"/>
      <c r="JH73" s="39"/>
      <c r="JI73" s="39"/>
      <c r="JJ73" s="39"/>
      <c r="JK73" s="39"/>
      <c r="JL73" s="39"/>
      <c r="JM73" s="39"/>
      <c r="JN73" s="39"/>
      <c r="JO73" s="39"/>
      <c r="JP73" s="39"/>
      <c r="JQ73" s="39"/>
      <c r="JR73" s="39"/>
      <c r="JS73" s="39"/>
      <c r="JT73" s="39"/>
      <c r="JU73" s="39"/>
      <c r="JV73" s="39"/>
      <c r="JW73" s="39"/>
      <c r="JX73" s="39"/>
      <c r="JY73" s="39"/>
      <c r="JZ73" s="39"/>
      <c r="KA73" s="39"/>
      <c r="KB73" s="39"/>
      <c r="KC73" s="39"/>
      <c r="KD73" s="39"/>
      <c r="KE73" s="39"/>
      <c r="KF73" s="39"/>
      <c r="KG73" s="39"/>
      <c r="KH73" s="38"/>
      <c r="KI73" s="39"/>
      <c r="KJ73" s="39"/>
      <c r="KK73" s="39"/>
      <c r="KL73" s="39"/>
      <c r="KM73" s="39"/>
      <c r="KN73" s="39"/>
      <c r="KO73" s="39"/>
      <c r="KP73" s="39"/>
      <c r="KQ73" s="39"/>
      <c r="KR73" s="39"/>
      <c r="KS73" s="39"/>
      <c r="KT73" s="39"/>
      <c r="KU73" s="40"/>
      <c r="KV73" s="39"/>
      <c r="KW73" s="39"/>
      <c r="KX73" s="39"/>
      <c r="KY73" s="39"/>
      <c r="KZ73" s="39"/>
      <c r="LA73" s="39"/>
      <c r="LB73" s="39"/>
      <c r="LC73" s="39"/>
      <c r="LD73" s="39"/>
      <c r="LE73" s="39"/>
      <c r="LF73" s="39"/>
      <c r="LG73" s="39"/>
      <c r="LH73" s="39"/>
      <c r="LI73" s="39"/>
      <c r="LJ73" s="39"/>
      <c r="LK73" s="39"/>
      <c r="LL73" s="39"/>
      <c r="LM73" s="39"/>
      <c r="LN73" s="38"/>
      <c r="LO73" s="39"/>
      <c r="LP73" s="39"/>
      <c r="LQ73" s="40"/>
      <c r="LR73" s="39"/>
      <c r="LS73" s="39"/>
      <c r="LT73" s="39"/>
      <c r="LU73" s="39"/>
      <c r="LV73" s="39"/>
      <c r="LW73" s="39"/>
      <c r="LX73" s="39"/>
      <c r="LY73" s="39"/>
      <c r="LZ73" s="39"/>
      <c r="MA73" s="39"/>
      <c r="MB73" s="39"/>
      <c r="MC73" s="39"/>
      <c r="MD73" s="39"/>
      <c r="ME73" s="39"/>
      <c r="MF73" s="39"/>
      <c r="MG73" s="39"/>
      <c r="MH73" s="39"/>
      <c r="MI73" s="39"/>
      <c r="MJ73" s="39"/>
      <c r="MK73" s="39"/>
      <c r="ML73" s="39"/>
      <c r="MM73" s="39"/>
      <c r="MN73" s="39"/>
      <c r="MO73" s="39"/>
      <c r="MP73" s="39"/>
      <c r="MQ73" s="39"/>
      <c r="MR73" s="39"/>
      <c r="MS73" s="38"/>
      <c r="MT73" s="39"/>
      <c r="MU73" s="39"/>
      <c r="MV73" s="39"/>
      <c r="MW73" s="39"/>
      <c r="MX73" s="39"/>
      <c r="MY73" s="39"/>
      <c r="MZ73" s="39"/>
      <c r="NA73" s="39"/>
      <c r="NB73" s="39"/>
      <c r="NC73" s="39"/>
      <c r="ND73" s="39"/>
      <c r="NE73" s="39"/>
      <c r="NF73" s="39"/>
      <c r="NG73" s="39"/>
      <c r="NH73" s="39"/>
      <c r="NI73" s="39"/>
      <c r="NJ73" s="39"/>
      <c r="NK73" s="39"/>
      <c r="NL73" s="39"/>
      <c r="NM73" s="39"/>
      <c r="NN73" s="39"/>
      <c r="NO73" s="39"/>
      <c r="NP73" s="39"/>
      <c r="NQ73" s="39"/>
      <c r="NR73" s="39"/>
      <c r="NS73" s="39"/>
      <c r="NT73" s="39"/>
      <c r="NU73" s="39"/>
      <c r="NV73" s="39"/>
      <c r="NW73" s="39"/>
      <c r="NX73" s="39"/>
      <c r="NY73" s="38"/>
    </row>
    <row r="74">
      <c r="A74" s="50" t="s">
        <v>463</v>
      </c>
      <c r="B74" s="26" t="str">
        <f>IFERROR(__xludf.DUMMYFUNCTION("VLOOKUP(A74, IMPORTRANGE(""https://docs.google.com/spreadsheets/d/1KpTMcNM9m1P7u9qCVzob8p1-RZoC1ejaYs5CdpAbWFY/edit?gid=260580969#gid=260580969"", ""2025 EMP PROFILE DATA!a1:W98""), 22, FALSE)"),"#REF!")</f>
        <v>#REF!</v>
      </c>
      <c r="C74" s="50">
        <f t="shared" si="1"/>
        <v>2</v>
      </c>
      <c r="D74" s="50">
        <f t="shared" si="2"/>
        <v>1</v>
      </c>
      <c r="E74" s="50">
        <f t="shared" si="3"/>
        <v>1</v>
      </c>
      <c r="F74" s="50">
        <f t="shared" si="4"/>
        <v>0</v>
      </c>
      <c r="G74" s="51">
        <f t="shared" si="5"/>
        <v>0.005050505051</v>
      </c>
      <c r="H74" s="51">
        <f t="shared" si="6"/>
        <v>0.002525252525</v>
      </c>
      <c r="I74" s="28">
        <f t="shared" si="7"/>
        <v>9</v>
      </c>
      <c r="J74" s="26">
        <v>0.0</v>
      </c>
      <c r="K74" s="26">
        <v>0.0</v>
      </c>
      <c r="L74" s="49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7" t="s">
        <v>19</v>
      </c>
      <c r="AP74" s="50"/>
      <c r="AQ74" s="50"/>
      <c r="AR74" s="29"/>
      <c r="AS74" s="28"/>
      <c r="AT74" s="28"/>
      <c r="AU74" s="28"/>
      <c r="AV74" s="28"/>
      <c r="AW74" s="26"/>
      <c r="AX74" s="28"/>
      <c r="AY74" s="28"/>
      <c r="AZ74" s="26"/>
      <c r="BA74" s="28"/>
      <c r="BB74" s="26"/>
      <c r="BC74" s="28"/>
      <c r="BD74" s="28"/>
      <c r="BE74" s="26"/>
      <c r="BF74" s="28"/>
      <c r="BG74" s="28"/>
      <c r="BH74" s="26"/>
      <c r="BI74" s="26"/>
      <c r="BJ74" s="26"/>
      <c r="BK74" s="28"/>
      <c r="BL74" s="28"/>
      <c r="BM74" s="26"/>
      <c r="BN74" s="28"/>
      <c r="BO74" s="28"/>
      <c r="BP74" s="28"/>
      <c r="BQ74" s="28"/>
      <c r="BR74" s="28"/>
      <c r="BS74" s="31"/>
      <c r="BT74" s="26"/>
      <c r="BU74" s="32"/>
      <c r="BV74" s="33"/>
      <c r="BW74" s="33"/>
      <c r="BX74" s="33"/>
      <c r="BY74" s="33"/>
      <c r="BZ74" s="33"/>
      <c r="CA74" s="33"/>
      <c r="CB74" s="35"/>
      <c r="CC74" s="33"/>
      <c r="CD74" s="33"/>
      <c r="CE74" s="34"/>
      <c r="CF74" s="36"/>
      <c r="CG74" s="26"/>
      <c r="CH74" s="28"/>
      <c r="CI74" s="28"/>
      <c r="CJ74" s="28"/>
      <c r="CK74" s="28"/>
      <c r="CL74" s="26"/>
      <c r="CM74" s="28"/>
      <c r="CN74" s="28"/>
      <c r="CO74" s="28"/>
      <c r="CP74" s="26"/>
      <c r="CQ74" s="28"/>
      <c r="CR74" s="28"/>
      <c r="CS74" s="28"/>
      <c r="CT74" s="28"/>
      <c r="CU74" s="26"/>
      <c r="CV74" s="31"/>
      <c r="CW74" s="26"/>
      <c r="CX74" s="26"/>
      <c r="CY74" s="26"/>
      <c r="CZ74" s="31"/>
      <c r="DA74" s="32"/>
      <c r="DB74" s="28"/>
      <c r="DC74" s="28"/>
      <c r="DD74" s="28"/>
      <c r="DE74" s="26"/>
      <c r="DF74" s="26"/>
      <c r="DG74" s="26"/>
      <c r="DH74" s="26"/>
      <c r="DI74" s="26"/>
      <c r="DJ74" s="28"/>
      <c r="DK74" s="28"/>
      <c r="DL74" s="28"/>
      <c r="DM74" s="28"/>
      <c r="DN74" s="28"/>
      <c r="DO74" s="28"/>
      <c r="DP74" s="26" t="s">
        <v>19</v>
      </c>
      <c r="DQ74" s="28"/>
      <c r="DR74" s="28"/>
      <c r="DS74" s="28"/>
      <c r="DT74" s="28"/>
      <c r="DU74" s="28"/>
      <c r="DV74" s="28"/>
      <c r="DW74" s="26"/>
      <c r="DX74" s="26"/>
      <c r="DY74" s="28"/>
      <c r="DZ74" s="28"/>
      <c r="EA74" s="28"/>
      <c r="EB74" s="31"/>
      <c r="EC74" s="26"/>
      <c r="ED74" s="31"/>
      <c r="EE74" s="26"/>
      <c r="EF74" s="32"/>
      <c r="EG74" s="28"/>
      <c r="EH74" s="26"/>
      <c r="EI74" s="28"/>
      <c r="EJ74" s="28"/>
      <c r="EK74" s="26"/>
      <c r="EL74" s="28"/>
      <c r="EM74" s="28"/>
      <c r="EN74" s="37" t="s">
        <v>21</v>
      </c>
      <c r="EO74" s="26"/>
      <c r="EP74" s="28"/>
      <c r="EQ74" s="28"/>
      <c r="ER74" s="26"/>
      <c r="ES74" s="28"/>
      <c r="ET74" s="26"/>
      <c r="EU74" s="26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6"/>
      <c r="FH74" s="26"/>
      <c r="FI74" s="31"/>
      <c r="FJ74" s="31"/>
      <c r="FK74" s="31"/>
      <c r="FL74" s="32"/>
      <c r="FM74" s="28"/>
      <c r="FN74" s="26"/>
      <c r="FO74" s="28"/>
      <c r="FP74" s="28"/>
      <c r="FQ74" s="26"/>
      <c r="FR74" s="28"/>
      <c r="FS74" s="28"/>
      <c r="FT74" s="28"/>
      <c r="FU74" s="26"/>
      <c r="FV74" s="28"/>
      <c r="FW74" s="28"/>
      <c r="FX74" s="26"/>
      <c r="FY74" s="26" t="s">
        <v>20</v>
      </c>
      <c r="FZ74" s="28"/>
      <c r="GA74" s="28"/>
      <c r="GB74" s="26"/>
      <c r="GC74" s="26"/>
      <c r="GD74" s="28"/>
      <c r="GE74" s="28"/>
      <c r="GF74" s="28"/>
      <c r="GG74" s="28"/>
      <c r="GH74" s="28"/>
      <c r="GI74" s="26"/>
      <c r="GJ74" s="28"/>
      <c r="GK74" s="28"/>
      <c r="GL74" s="28"/>
      <c r="GM74" s="31"/>
      <c r="GN74" s="26"/>
      <c r="GO74" s="31"/>
      <c r="GP74" s="31"/>
      <c r="GQ74" s="38"/>
      <c r="GR74" s="39"/>
      <c r="GS74" s="39"/>
      <c r="GT74" s="39"/>
      <c r="GU74" s="39"/>
      <c r="GV74" s="39"/>
      <c r="GW74" s="39"/>
      <c r="GX74" s="39"/>
      <c r="GY74" s="39"/>
      <c r="GZ74" s="40"/>
      <c r="HA74" s="39"/>
      <c r="HB74" s="39"/>
      <c r="HC74" s="39"/>
      <c r="HD74" s="39"/>
      <c r="HE74" s="39"/>
      <c r="HF74" s="39"/>
      <c r="HG74" s="39"/>
      <c r="HH74" s="39"/>
      <c r="HI74" s="39"/>
      <c r="HJ74" s="39"/>
      <c r="HK74" s="39"/>
      <c r="HL74" s="40"/>
      <c r="HM74" s="40"/>
      <c r="HN74" s="39"/>
      <c r="HO74" s="39"/>
      <c r="HP74" s="39"/>
      <c r="HQ74" s="39"/>
      <c r="HR74" s="39"/>
      <c r="HS74" s="39"/>
      <c r="HT74" s="39"/>
      <c r="HU74" s="40"/>
      <c r="HV74" s="39"/>
      <c r="HW74" s="38"/>
      <c r="HX74" s="41"/>
      <c r="HY74" s="39"/>
      <c r="HZ74" s="39"/>
      <c r="IA74" s="39"/>
      <c r="IB74" s="39"/>
      <c r="IC74" s="39"/>
      <c r="ID74" s="40"/>
      <c r="IE74" s="39"/>
      <c r="IF74" s="39"/>
      <c r="IG74" s="39"/>
      <c r="IH74" s="40"/>
      <c r="II74" s="40"/>
      <c r="IJ74" s="42"/>
      <c r="IK74" s="42"/>
      <c r="IL74" s="39"/>
      <c r="IM74" s="39"/>
      <c r="IN74" s="39"/>
      <c r="IO74" s="42"/>
      <c r="IP74" s="40"/>
      <c r="IQ74" s="39"/>
      <c r="IR74" s="39"/>
      <c r="IS74" s="39"/>
      <c r="IT74" s="39"/>
      <c r="IU74" s="39"/>
      <c r="IV74" s="39"/>
      <c r="IW74" s="39"/>
      <c r="IX74" s="39"/>
      <c r="IY74" s="39"/>
      <c r="IZ74" s="39"/>
      <c r="JA74" s="39"/>
      <c r="JB74" s="39"/>
      <c r="JC74" s="38"/>
      <c r="JD74" s="39"/>
      <c r="JE74" s="39"/>
      <c r="JF74" s="39"/>
      <c r="JG74" s="39"/>
      <c r="JH74" s="39"/>
      <c r="JI74" s="39"/>
      <c r="JJ74" s="39"/>
      <c r="JK74" s="39"/>
      <c r="JL74" s="39"/>
      <c r="JM74" s="39"/>
      <c r="JN74" s="39"/>
      <c r="JO74" s="39"/>
      <c r="JP74" s="39"/>
      <c r="JQ74" s="39"/>
      <c r="JR74" s="39"/>
      <c r="JS74" s="39"/>
      <c r="JT74" s="39"/>
      <c r="JU74" s="39"/>
      <c r="JV74" s="39"/>
      <c r="JW74" s="39"/>
      <c r="JX74" s="39"/>
      <c r="JY74" s="39"/>
      <c r="JZ74" s="39"/>
      <c r="KA74" s="39"/>
      <c r="KB74" s="39"/>
      <c r="KC74" s="39"/>
      <c r="KD74" s="39"/>
      <c r="KE74" s="39"/>
      <c r="KF74" s="39"/>
      <c r="KG74" s="39"/>
      <c r="KH74" s="38"/>
      <c r="KI74" s="39"/>
      <c r="KJ74" s="39"/>
      <c r="KK74" s="39"/>
      <c r="KL74" s="39"/>
      <c r="KM74" s="39"/>
      <c r="KN74" s="39"/>
      <c r="KO74" s="39"/>
      <c r="KP74" s="39"/>
      <c r="KQ74" s="39"/>
      <c r="KR74" s="39"/>
      <c r="KS74" s="39"/>
      <c r="KT74" s="39"/>
      <c r="KU74" s="40"/>
      <c r="KV74" s="39"/>
      <c r="KW74" s="39"/>
      <c r="KX74" s="39"/>
      <c r="KY74" s="39"/>
      <c r="KZ74" s="39"/>
      <c r="LA74" s="39"/>
      <c r="LB74" s="39"/>
      <c r="LC74" s="39"/>
      <c r="LD74" s="39"/>
      <c r="LE74" s="39"/>
      <c r="LF74" s="39"/>
      <c r="LG74" s="39"/>
      <c r="LH74" s="39"/>
      <c r="LI74" s="39"/>
      <c r="LJ74" s="39"/>
      <c r="LK74" s="39"/>
      <c r="LL74" s="39"/>
      <c r="LM74" s="39"/>
      <c r="LN74" s="38"/>
      <c r="LO74" s="39"/>
      <c r="LP74" s="39"/>
      <c r="LQ74" s="40"/>
      <c r="LR74" s="39"/>
      <c r="LS74" s="39"/>
      <c r="LT74" s="39"/>
      <c r="LU74" s="39"/>
      <c r="LV74" s="39"/>
      <c r="LW74" s="39"/>
      <c r="LX74" s="39"/>
      <c r="LY74" s="39"/>
      <c r="LZ74" s="39"/>
      <c r="MA74" s="39"/>
      <c r="MB74" s="39"/>
      <c r="MC74" s="39"/>
      <c r="MD74" s="39"/>
      <c r="ME74" s="39"/>
      <c r="MF74" s="39"/>
      <c r="MG74" s="39"/>
      <c r="MH74" s="39"/>
      <c r="MI74" s="39"/>
      <c r="MJ74" s="39"/>
      <c r="MK74" s="39"/>
      <c r="ML74" s="39"/>
      <c r="MM74" s="39"/>
      <c r="MN74" s="39"/>
      <c r="MO74" s="39"/>
      <c r="MP74" s="39"/>
      <c r="MQ74" s="39"/>
      <c r="MR74" s="39"/>
      <c r="MS74" s="38"/>
      <c r="MT74" s="39"/>
      <c r="MU74" s="39"/>
      <c r="MV74" s="39"/>
      <c r="MW74" s="39"/>
      <c r="MX74" s="39"/>
      <c r="MY74" s="39"/>
      <c r="MZ74" s="39"/>
      <c r="NA74" s="39"/>
      <c r="NB74" s="39"/>
      <c r="NC74" s="39"/>
      <c r="ND74" s="39"/>
      <c r="NE74" s="39"/>
      <c r="NF74" s="39"/>
      <c r="NG74" s="39"/>
      <c r="NH74" s="39"/>
      <c r="NI74" s="39"/>
      <c r="NJ74" s="39"/>
      <c r="NK74" s="39"/>
      <c r="NL74" s="39"/>
      <c r="NM74" s="39"/>
      <c r="NN74" s="39"/>
      <c r="NO74" s="39"/>
      <c r="NP74" s="39"/>
      <c r="NQ74" s="39"/>
      <c r="NR74" s="39"/>
      <c r="NS74" s="39"/>
      <c r="NT74" s="39"/>
      <c r="NU74" s="39"/>
      <c r="NV74" s="39"/>
      <c r="NW74" s="39"/>
      <c r="NX74" s="39"/>
      <c r="NY74" s="38"/>
    </row>
    <row r="75">
      <c r="A75" s="50" t="s">
        <v>464</v>
      </c>
      <c r="B75" s="26" t="str">
        <f>IFERROR(__xludf.DUMMYFUNCTION("VLOOKUP(A75, IMPORTRANGE(""https://docs.google.com/spreadsheets/d/1KpTMcNM9m1P7u9qCVzob8p1-RZoC1ejaYs5CdpAbWFY/edit?gid=260580969#gid=260580969"", ""2025 EMP PROFILE DATA!a1:W98""), 22, FALSE)"),"#REF!")</f>
        <v>#REF!</v>
      </c>
      <c r="C75" s="50">
        <f t="shared" si="1"/>
        <v>1</v>
      </c>
      <c r="D75" s="50">
        <f t="shared" si="2"/>
        <v>0</v>
      </c>
      <c r="E75" s="50">
        <f t="shared" si="3"/>
        <v>0</v>
      </c>
      <c r="F75" s="50">
        <f t="shared" si="4"/>
        <v>0</v>
      </c>
      <c r="G75" s="51">
        <f t="shared" si="5"/>
        <v>0.002525252525</v>
      </c>
      <c r="H75" s="51">
        <f t="shared" si="6"/>
        <v>0</v>
      </c>
      <c r="I75" s="28">
        <f t="shared" si="7"/>
        <v>4</v>
      </c>
      <c r="J75" s="26">
        <v>0.0</v>
      </c>
      <c r="K75" s="26">
        <v>0.0</v>
      </c>
      <c r="L75" s="49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29"/>
      <c r="AS75" s="28"/>
      <c r="AT75" s="28"/>
      <c r="AU75" s="28"/>
      <c r="AV75" s="28"/>
      <c r="AW75" s="26"/>
      <c r="AX75" s="28"/>
      <c r="AY75" s="28"/>
      <c r="AZ75" s="26"/>
      <c r="BA75" s="28"/>
      <c r="BB75" s="26"/>
      <c r="BC75" s="28"/>
      <c r="BD75" s="28"/>
      <c r="BE75" s="26"/>
      <c r="BF75" s="28"/>
      <c r="BG75" s="28"/>
      <c r="BH75" s="26"/>
      <c r="BI75" s="26"/>
      <c r="BJ75" s="26"/>
      <c r="BK75" s="28"/>
      <c r="BL75" s="28"/>
      <c r="BM75" s="26"/>
      <c r="BN75" s="28"/>
      <c r="BO75" s="28"/>
      <c r="BP75" s="28"/>
      <c r="BQ75" s="28"/>
      <c r="BR75" s="28"/>
      <c r="BS75" s="31"/>
      <c r="BT75" s="26"/>
      <c r="BU75" s="32"/>
      <c r="BV75" s="33"/>
      <c r="BW75" s="33"/>
      <c r="BX75" s="33"/>
      <c r="BY75" s="33"/>
      <c r="BZ75" s="33"/>
      <c r="CA75" s="33"/>
      <c r="CB75" s="35"/>
      <c r="CC75" s="33"/>
      <c r="CD75" s="33"/>
      <c r="CE75" s="34"/>
      <c r="CF75" s="36"/>
      <c r="CG75" s="26"/>
      <c r="CH75" s="28"/>
      <c r="CI75" s="28"/>
      <c r="CJ75" s="28"/>
      <c r="CK75" s="28"/>
      <c r="CL75" s="26"/>
      <c r="CM75" s="28"/>
      <c r="CN75" s="28"/>
      <c r="CO75" s="28"/>
      <c r="CP75" s="26"/>
      <c r="CQ75" s="28"/>
      <c r="CR75" s="28"/>
      <c r="CS75" s="28"/>
      <c r="CT75" s="28"/>
      <c r="CU75" s="26"/>
      <c r="CV75" s="31"/>
      <c r="CW75" s="26"/>
      <c r="CX75" s="26"/>
      <c r="CY75" s="26"/>
      <c r="CZ75" s="31"/>
      <c r="DA75" s="32"/>
      <c r="DB75" s="28"/>
      <c r="DC75" s="28"/>
      <c r="DD75" s="28"/>
      <c r="DE75" s="26"/>
      <c r="DF75" s="26"/>
      <c r="DG75" s="26"/>
      <c r="DH75" s="26"/>
      <c r="DI75" s="26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6"/>
      <c r="DX75" s="26"/>
      <c r="DY75" s="28"/>
      <c r="DZ75" s="28"/>
      <c r="EA75" s="28"/>
      <c r="EB75" s="31"/>
      <c r="EC75" s="26"/>
      <c r="ED75" s="31"/>
      <c r="EE75" s="26"/>
      <c r="EF75" s="32"/>
      <c r="EG75" s="28"/>
      <c r="EH75" s="26"/>
      <c r="EI75" s="28"/>
      <c r="EJ75" s="28"/>
      <c r="EK75" s="26"/>
      <c r="EL75" s="28"/>
      <c r="EM75" s="28"/>
      <c r="EN75" s="26"/>
      <c r="EO75" s="26"/>
      <c r="EP75" s="28"/>
      <c r="EQ75" s="28"/>
      <c r="ER75" s="26"/>
      <c r="ES75" s="28"/>
      <c r="ET75" s="26"/>
      <c r="EU75" s="26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6"/>
      <c r="FH75" s="26"/>
      <c r="FI75" s="31"/>
      <c r="FJ75" s="31"/>
      <c r="FK75" s="31"/>
      <c r="FL75" s="32"/>
      <c r="FM75" s="28"/>
      <c r="FN75" s="26"/>
      <c r="FO75" s="28"/>
      <c r="FP75" s="28"/>
      <c r="FQ75" s="26"/>
      <c r="FR75" s="37" t="s">
        <v>19</v>
      </c>
      <c r="FS75" s="28"/>
      <c r="FT75" s="28"/>
      <c r="FU75" s="26"/>
      <c r="FV75" s="28"/>
      <c r="FW75" s="28"/>
      <c r="FX75" s="26"/>
      <c r="FY75" s="28"/>
      <c r="FZ75" s="28"/>
      <c r="GA75" s="28"/>
      <c r="GB75" s="26"/>
      <c r="GC75" s="26"/>
      <c r="GD75" s="28"/>
      <c r="GE75" s="28"/>
      <c r="GF75" s="28"/>
      <c r="GG75" s="28"/>
      <c r="GH75" s="28"/>
      <c r="GI75" s="26"/>
      <c r="GJ75" s="28"/>
      <c r="GK75" s="28"/>
      <c r="GL75" s="28"/>
      <c r="GM75" s="31"/>
      <c r="GN75" s="26"/>
      <c r="GO75" s="31"/>
      <c r="GP75" s="31"/>
      <c r="GQ75" s="38"/>
      <c r="GR75" s="39"/>
      <c r="GS75" s="39"/>
      <c r="GT75" s="39"/>
      <c r="GU75" s="39"/>
      <c r="GV75" s="39"/>
      <c r="GW75" s="39"/>
      <c r="GX75" s="39"/>
      <c r="GY75" s="39"/>
      <c r="GZ75" s="40"/>
      <c r="HA75" s="39"/>
      <c r="HB75" s="39"/>
      <c r="HC75" s="39"/>
      <c r="HD75" s="39"/>
      <c r="HE75" s="39"/>
      <c r="HF75" s="39"/>
      <c r="HG75" s="39"/>
      <c r="HH75" s="39"/>
      <c r="HI75" s="39"/>
      <c r="HJ75" s="39"/>
      <c r="HK75" s="39"/>
      <c r="HL75" s="40"/>
      <c r="HM75" s="40"/>
      <c r="HN75" s="39"/>
      <c r="HO75" s="39"/>
      <c r="HP75" s="39"/>
      <c r="HQ75" s="39"/>
      <c r="HR75" s="39"/>
      <c r="HS75" s="39"/>
      <c r="HT75" s="39"/>
      <c r="HU75" s="40"/>
      <c r="HV75" s="39"/>
      <c r="HW75" s="38"/>
      <c r="HX75" s="41"/>
      <c r="HY75" s="39"/>
      <c r="HZ75" s="39"/>
      <c r="IA75" s="39"/>
      <c r="IB75" s="39"/>
      <c r="IC75" s="39"/>
      <c r="ID75" s="40"/>
      <c r="IE75" s="39"/>
      <c r="IF75" s="39"/>
      <c r="IG75" s="39"/>
      <c r="IH75" s="40"/>
      <c r="II75" s="40"/>
      <c r="IJ75" s="42"/>
      <c r="IK75" s="42"/>
      <c r="IL75" s="39"/>
      <c r="IM75" s="39"/>
      <c r="IN75" s="39"/>
      <c r="IO75" s="42"/>
      <c r="IP75" s="40"/>
      <c r="IQ75" s="39"/>
      <c r="IR75" s="39"/>
      <c r="IS75" s="39"/>
      <c r="IT75" s="39"/>
      <c r="IU75" s="39"/>
      <c r="IV75" s="39"/>
      <c r="IW75" s="39"/>
      <c r="IX75" s="39"/>
      <c r="IY75" s="39"/>
      <c r="IZ75" s="39"/>
      <c r="JA75" s="39"/>
      <c r="JB75" s="39"/>
      <c r="JC75" s="38"/>
      <c r="JD75" s="39"/>
      <c r="JE75" s="39"/>
      <c r="JF75" s="39"/>
      <c r="JG75" s="39"/>
      <c r="JH75" s="39"/>
      <c r="JI75" s="39"/>
      <c r="JJ75" s="39"/>
      <c r="JK75" s="39"/>
      <c r="JL75" s="39"/>
      <c r="JM75" s="39"/>
      <c r="JN75" s="39"/>
      <c r="JO75" s="39"/>
      <c r="JP75" s="39"/>
      <c r="JQ75" s="39"/>
      <c r="JR75" s="39"/>
      <c r="JS75" s="39"/>
      <c r="JT75" s="39"/>
      <c r="JU75" s="39"/>
      <c r="JV75" s="39"/>
      <c r="JW75" s="39"/>
      <c r="JX75" s="39"/>
      <c r="JY75" s="39"/>
      <c r="JZ75" s="39"/>
      <c r="KA75" s="39"/>
      <c r="KB75" s="39"/>
      <c r="KC75" s="39"/>
      <c r="KD75" s="39"/>
      <c r="KE75" s="39"/>
      <c r="KF75" s="39"/>
      <c r="KG75" s="39"/>
      <c r="KH75" s="38"/>
      <c r="KI75" s="39"/>
      <c r="KJ75" s="39"/>
      <c r="KK75" s="39"/>
      <c r="KL75" s="39"/>
      <c r="KM75" s="39"/>
      <c r="KN75" s="39"/>
      <c r="KO75" s="39"/>
      <c r="KP75" s="39"/>
      <c r="KQ75" s="39"/>
      <c r="KR75" s="39"/>
      <c r="KS75" s="39"/>
      <c r="KT75" s="39"/>
      <c r="KU75" s="40"/>
      <c r="KV75" s="39"/>
      <c r="KW75" s="39"/>
      <c r="KX75" s="39"/>
      <c r="KY75" s="39"/>
      <c r="KZ75" s="39"/>
      <c r="LA75" s="39"/>
      <c r="LB75" s="39"/>
      <c r="LC75" s="39"/>
      <c r="LD75" s="39"/>
      <c r="LE75" s="39"/>
      <c r="LF75" s="39"/>
      <c r="LG75" s="39"/>
      <c r="LH75" s="39"/>
      <c r="LI75" s="39"/>
      <c r="LJ75" s="39"/>
      <c r="LK75" s="39"/>
      <c r="LL75" s="39"/>
      <c r="LM75" s="39"/>
      <c r="LN75" s="38"/>
      <c r="LO75" s="39"/>
      <c r="LP75" s="39"/>
      <c r="LQ75" s="40"/>
      <c r="LR75" s="39"/>
      <c r="LS75" s="39"/>
      <c r="LT75" s="39"/>
      <c r="LU75" s="39"/>
      <c r="LV75" s="39"/>
      <c r="LW75" s="39"/>
      <c r="LX75" s="39"/>
      <c r="LY75" s="39"/>
      <c r="LZ75" s="39"/>
      <c r="MA75" s="39"/>
      <c r="MB75" s="39"/>
      <c r="MC75" s="39"/>
      <c r="MD75" s="39"/>
      <c r="ME75" s="39"/>
      <c r="MF75" s="39"/>
      <c r="MG75" s="39"/>
      <c r="MH75" s="39"/>
      <c r="MI75" s="39"/>
      <c r="MJ75" s="39"/>
      <c r="MK75" s="39"/>
      <c r="ML75" s="39"/>
      <c r="MM75" s="39"/>
      <c r="MN75" s="39"/>
      <c r="MO75" s="39"/>
      <c r="MP75" s="39"/>
      <c r="MQ75" s="39"/>
      <c r="MR75" s="39"/>
      <c r="MS75" s="38"/>
      <c r="MT75" s="39"/>
      <c r="MU75" s="39"/>
      <c r="MV75" s="39"/>
      <c r="MW75" s="39"/>
      <c r="MX75" s="39"/>
      <c r="MY75" s="39"/>
      <c r="MZ75" s="39"/>
      <c r="NA75" s="39"/>
      <c r="NB75" s="39"/>
      <c r="NC75" s="39"/>
      <c r="ND75" s="39"/>
      <c r="NE75" s="39"/>
      <c r="NF75" s="39"/>
      <c r="NG75" s="39"/>
      <c r="NH75" s="39"/>
      <c r="NI75" s="39"/>
      <c r="NJ75" s="39"/>
      <c r="NK75" s="39"/>
      <c r="NL75" s="39"/>
      <c r="NM75" s="39"/>
      <c r="NN75" s="39"/>
      <c r="NO75" s="39"/>
      <c r="NP75" s="39"/>
      <c r="NQ75" s="39"/>
      <c r="NR75" s="39"/>
      <c r="NS75" s="39"/>
      <c r="NT75" s="39"/>
      <c r="NU75" s="39"/>
      <c r="NV75" s="39"/>
      <c r="NW75" s="39"/>
      <c r="NX75" s="39"/>
      <c r="NY75" s="38"/>
    </row>
    <row r="76">
      <c r="A76" s="50" t="s">
        <v>464</v>
      </c>
      <c r="B76" s="26" t="str">
        <f>IFERROR(__xludf.DUMMYFUNCTION("VLOOKUP(A76, IMPORTRANGE(""https://docs.google.com/spreadsheets/d/1KpTMcNM9m1P7u9qCVzob8p1-RZoC1ejaYs5CdpAbWFY/edit?gid=260580969#gid=260580969"", ""2025 EMP PROFILE DATA!a1:W98""), 22, FALSE)"),"#REF!")</f>
        <v>#REF!</v>
      </c>
      <c r="C76" s="50">
        <f t="shared" si="1"/>
        <v>1</v>
      </c>
      <c r="D76" s="50">
        <f t="shared" si="2"/>
        <v>0</v>
      </c>
      <c r="E76" s="50">
        <f t="shared" si="3"/>
        <v>0</v>
      </c>
      <c r="F76" s="50">
        <f t="shared" si="4"/>
        <v>0</v>
      </c>
      <c r="G76" s="51">
        <f t="shared" si="5"/>
        <v>0.002525252525</v>
      </c>
      <c r="H76" s="51">
        <f t="shared" si="6"/>
        <v>0</v>
      </c>
      <c r="I76" s="28">
        <f t="shared" si="7"/>
        <v>4</v>
      </c>
      <c r="J76" s="26">
        <v>0.0</v>
      </c>
      <c r="K76" s="26">
        <v>0.0</v>
      </c>
      <c r="L76" s="49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29"/>
      <c r="AS76" s="28"/>
      <c r="AT76" s="28"/>
      <c r="AU76" s="28"/>
      <c r="AV76" s="28"/>
      <c r="AW76" s="26"/>
      <c r="AX76" s="28"/>
      <c r="AY76" s="28"/>
      <c r="AZ76" s="26"/>
      <c r="BA76" s="28"/>
      <c r="BB76" s="26"/>
      <c r="BC76" s="28"/>
      <c r="BD76" s="28"/>
      <c r="BE76" s="26"/>
      <c r="BF76" s="28"/>
      <c r="BG76" s="28"/>
      <c r="BH76" s="26"/>
      <c r="BI76" s="26"/>
      <c r="BJ76" s="26"/>
      <c r="BK76" s="28"/>
      <c r="BL76" s="28"/>
      <c r="BM76" s="26"/>
      <c r="BN76" s="28"/>
      <c r="BO76" s="28"/>
      <c r="BP76" s="28"/>
      <c r="BQ76" s="28"/>
      <c r="BR76" s="28"/>
      <c r="BS76" s="31"/>
      <c r="BT76" s="26"/>
      <c r="BU76" s="32"/>
      <c r="BV76" s="33"/>
      <c r="BW76" s="33"/>
      <c r="BX76" s="33"/>
      <c r="BY76" s="33"/>
      <c r="BZ76" s="33"/>
      <c r="CA76" s="33"/>
      <c r="CB76" s="35"/>
      <c r="CC76" s="33"/>
      <c r="CD76" s="33"/>
      <c r="CE76" s="34"/>
      <c r="CF76" s="36"/>
      <c r="CG76" s="26"/>
      <c r="CH76" s="28"/>
      <c r="CI76" s="28"/>
      <c r="CJ76" s="28"/>
      <c r="CK76" s="28"/>
      <c r="CL76" s="26"/>
      <c r="CM76" s="28"/>
      <c r="CN76" s="28"/>
      <c r="CO76" s="28"/>
      <c r="CP76" s="26"/>
      <c r="CQ76" s="28"/>
      <c r="CR76" s="28"/>
      <c r="CS76" s="28"/>
      <c r="CT76" s="28"/>
      <c r="CU76" s="26"/>
      <c r="CV76" s="31"/>
      <c r="CW76" s="26"/>
      <c r="CX76" s="26"/>
      <c r="CY76" s="26"/>
      <c r="CZ76" s="31"/>
      <c r="DA76" s="32"/>
      <c r="DB76" s="28"/>
      <c r="DC76" s="28"/>
      <c r="DD76" s="28"/>
      <c r="DE76" s="26"/>
      <c r="DF76" s="26"/>
      <c r="DG76" s="26"/>
      <c r="DH76" s="26"/>
      <c r="DI76" s="26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6"/>
      <c r="DX76" s="26"/>
      <c r="DY76" s="28"/>
      <c r="DZ76" s="28"/>
      <c r="EA76" s="28"/>
      <c r="EB76" s="31"/>
      <c r="EC76" s="26"/>
      <c r="ED76" s="31"/>
      <c r="EE76" s="26"/>
      <c r="EF76" s="32"/>
      <c r="EG76" s="28"/>
      <c r="EH76" s="26"/>
      <c r="EI76" s="28"/>
      <c r="EJ76" s="28"/>
      <c r="EK76" s="26"/>
      <c r="EL76" s="28"/>
      <c r="EM76" s="28"/>
      <c r="EN76" s="26"/>
      <c r="EO76" s="26"/>
      <c r="EP76" s="28"/>
      <c r="EQ76" s="28"/>
      <c r="ER76" s="26"/>
      <c r="ES76" s="28"/>
      <c r="ET76" s="26"/>
      <c r="EU76" s="26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6"/>
      <c r="FH76" s="26"/>
      <c r="FI76" s="31"/>
      <c r="FJ76" s="37" t="s">
        <v>19</v>
      </c>
      <c r="FK76" s="31"/>
      <c r="FL76" s="32"/>
      <c r="FM76" s="28"/>
      <c r="FN76" s="26"/>
      <c r="FO76" s="28"/>
      <c r="FP76" s="28"/>
      <c r="FQ76" s="26"/>
      <c r="FR76" s="28"/>
      <c r="FS76" s="28"/>
      <c r="FT76" s="28"/>
      <c r="FU76" s="26"/>
      <c r="FV76" s="28"/>
      <c r="FW76" s="28"/>
      <c r="FX76" s="26"/>
      <c r="FY76" s="28"/>
      <c r="FZ76" s="28"/>
      <c r="GA76" s="28"/>
      <c r="GB76" s="26"/>
      <c r="GC76" s="26"/>
      <c r="GD76" s="28"/>
      <c r="GE76" s="28"/>
      <c r="GF76" s="28"/>
      <c r="GG76" s="28"/>
      <c r="GH76" s="28"/>
      <c r="GI76" s="26"/>
      <c r="GJ76" s="28"/>
      <c r="GK76" s="28"/>
      <c r="GL76" s="28"/>
      <c r="GM76" s="31"/>
      <c r="GN76" s="26"/>
      <c r="GO76" s="31"/>
      <c r="GP76" s="31"/>
      <c r="GQ76" s="38"/>
      <c r="GR76" s="39"/>
      <c r="GS76" s="39"/>
      <c r="GT76" s="39"/>
      <c r="GU76" s="39"/>
      <c r="GV76" s="39"/>
      <c r="GW76" s="39"/>
      <c r="GX76" s="39"/>
      <c r="GY76" s="39"/>
      <c r="GZ76" s="40"/>
      <c r="HA76" s="39"/>
      <c r="HB76" s="39"/>
      <c r="HC76" s="39"/>
      <c r="HD76" s="39"/>
      <c r="HE76" s="39"/>
      <c r="HF76" s="39"/>
      <c r="HG76" s="39"/>
      <c r="HH76" s="39"/>
      <c r="HI76" s="39"/>
      <c r="HJ76" s="39"/>
      <c r="HK76" s="39"/>
      <c r="HL76" s="40"/>
      <c r="HM76" s="40"/>
      <c r="HN76" s="39"/>
      <c r="HO76" s="39"/>
      <c r="HP76" s="39"/>
      <c r="HQ76" s="39"/>
      <c r="HR76" s="39"/>
      <c r="HS76" s="39"/>
      <c r="HT76" s="39"/>
      <c r="HU76" s="40"/>
      <c r="HV76" s="39"/>
      <c r="HW76" s="38"/>
      <c r="HX76" s="41"/>
      <c r="HY76" s="39"/>
      <c r="HZ76" s="39"/>
      <c r="IA76" s="39"/>
      <c r="IB76" s="39"/>
      <c r="IC76" s="39"/>
      <c r="ID76" s="40"/>
      <c r="IE76" s="39"/>
      <c r="IF76" s="39"/>
      <c r="IG76" s="39"/>
      <c r="IH76" s="40"/>
      <c r="II76" s="40"/>
      <c r="IJ76" s="42"/>
      <c r="IK76" s="42"/>
      <c r="IL76" s="39"/>
      <c r="IM76" s="39"/>
      <c r="IN76" s="39"/>
      <c r="IO76" s="42"/>
      <c r="IP76" s="40"/>
      <c r="IQ76" s="39"/>
      <c r="IR76" s="39"/>
      <c r="IS76" s="39"/>
      <c r="IT76" s="39"/>
      <c r="IU76" s="39"/>
      <c r="IV76" s="39"/>
      <c r="IW76" s="39"/>
      <c r="IX76" s="39"/>
      <c r="IY76" s="39"/>
      <c r="IZ76" s="39"/>
      <c r="JA76" s="39"/>
      <c r="JB76" s="39"/>
      <c r="JC76" s="38"/>
      <c r="JD76" s="39"/>
      <c r="JE76" s="39"/>
      <c r="JF76" s="39"/>
      <c r="JG76" s="39"/>
      <c r="JH76" s="39"/>
      <c r="JI76" s="39"/>
      <c r="JJ76" s="39"/>
      <c r="JK76" s="39"/>
      <c r="JL76" s="39"/>
      <c r="JM76" s="39"/>
      <c r="JN76" s="39"/>
      <c r="JO76" s="39"/>
      <c r="JP76" s="39"/>
      <c r="JQ76" s="39"/>
      <c r="JR76" s="39"/>
      <c r="JS76" s="39"/>
      <c r="JT76" s="39"/>
      <c r="JU76" s="39"/>
      <c r="JV76" s="39"/>
      <c r="JW76" s="39"/>
      <c r="JX76" s="39"/>
      <c r="JY76" s="39"/>
      <c r="JZ76" s="39"/>
      <c r="KA76" s="39"/>
      <c r="KB76" s="39"/>
      <c r="KC76" s="39"/>
      <c r="KD76" s="39"/>
      <c r="KE76" s="39"/>
      <c r="KF76" s="39"/>
      <c r="KG76" s="39"/>
      <c r="KH76" s="38"/>
      <c r="KI76" s="39"/>
      <c r="KJ76" s="39"/>
      <c r="KK76" s="39"/>
      <c r="KL76" s="39"/>
      <c r="KM76" s="39"/>
      <c r="KN76" s="39"/>
      <c r="KO76" s="39"/>
      <c r="KP76" s="39"/>
      <c r="KQ76" s="39"/>
      <c r="KR76" s="39"/>
      <c r="KS76" s="39"/>
      <c r="KT76" s="39"/>
      <c r="KU76" s="40"/>
      <c r="KV76" s="39"/>
      <c r="KW76" s="39"/>
      <c r="KX76" s="39"/>
      <c r="KY76" s="39"/>
      <c r="KZ76" s="39"/>
      <c r="LA76" s="39"/>
      <c r="LB76" s="39"/>
      <c r="LC76" s="39"/>
      <c r="LD76" s="39"/>
      <c r="LE76" s="39"/>
      <c r="LF76" s="39"/>
      <c r="LG76" s="39"/>
      <c r="LH76" s="39"/>
      <c r="LI76" s="39"/>
      <c r="LJ76" s="39"/>
      <c r="LK76" s="39"/>
      <c r="LL76" s="39"/>
      <c r="LM76" s="39"/>
      <c r="LN76" s="38"/>
      <c r="LO76" s="39"/>
      <c r="LP76" s="39"/>
      <c r="LQ76" s="40"/>
      <c r="LR76" s="39"/>
      <c r="LS76" s="39"/>
      <c r="LT76" s="39"/>
      <c r="LU76" s="39"/>
      <c r="LV76" s="39"/>
      <c r="LW76" s="39"/>
      <c r="LX76" s="39"/>
      <c r="LY76" s="39"/>
      <c r="LZ76" s="39"/>
      <c r="MA76" s="39"/>
      <c r="MB76" s="39"/>
      <c r="MC76" s="39"/>
      <c r="MD76" s="39"/>
      <c r="ME76" s="39"/>
      <c r="MF76" s="39"/>
      <c r="MG76" s="39"/>
      <c r="MH76" s="39"/>
      <c r="MI76" s="39"/>
      <c r="MJ76" s="39"/>
      <c r="MK76" s="39"/>
      <c r="ML76" s="39"/>
      <c r="MM76" s="39"/>
      <c r="MN76" s="39"/>
      <c r="MO76" s="39"/>
      <c r="MP76" s="39"/>
      <c r="MQ76" s="39"/>
      <c r="MR76" s="39"/>
      <c r="MS76" s="38"/>
      <c r="MT76" s="39"/>
      <c r="MU76" s="39"/>
      <c r="MV76" s="39"/>
      <c r="MW76" s="39"/>
      <c r="MX76" s="39"/>
      <c r="MY76" s="39"/>
      <c r="MZ76" s="39"/>
      <c r="NA76" s="39"/>
      <c r="NB76" s="39"/>
      <c r="NC76" s="39"/>
      <c r="ND76" s="39"/>
      <c r="NE76" s="39"/>
      <c r="NF76" s="39"/>
      <c r="NG76" s="39"/>
      <c r="NH76" s="39"/>
      <c r="NI76" s="39"/>
      <c r="NJ76" s="39"/>
      <c r="NK76" s="39"/>
      <c r="NL76" s="39"/>
      <c r="NM76" s="39"/>
      <c r="NN76" s="39"/>
      <c r="NO76" s="39"/>
      <c r="NP76" s="39"/>
      <c r="NQ76" s="39"/>
      <c r="NR76" s="39"/>
      <c r="NS76" s="39"/>
      <c r="NT76" s="39"/>
      <c r="NU76" s="39"/>
      <c r="NV76" s="39"/>
      <c r="NW76" s="39"/>
      <c r="NX76" s="39"/>
      <c r="NY76" s="38"/>
    </row>
    <row r="77">
      <c r="A77" s="50" t="s">
        <v>465</v>
      </c>
      <c r="B77" s="26" t="str">
        <f>IFERROR(__xludf.DUMMYFUNCTION("VLOOKUP(A77, IMPORTRANGE(""https://docs.google.com/spreadsheets/d/1KpTMcNM9m1P7u9qCVzob8p1-RZoC1ejaYs5CdpAbWFY/edit?gid=260580969#gid=260580969"", ""2025 EMP PROFILE DATA!a1:W98""), 22, FALSE)"),"#REF!")</f>
        <v>#REF!</v>
      </c>
      <c r="C77" s="50">
        <f t="shared" si="1"/>
        <v>0</v>
      </c>
      <c r="D77" s="50">
        <f t="shared" si="2"/>
        <v>4</v>
      </c>
      <c r="E77" s="50">
        <f t="shared" si="3"/>
        <v>7</v>
      </c>
      <c r="F77" s="50">
        <f t="shared" si="4"/>
        <v>1</v>
      </c>
      <c r="G77" s="51">
        <f t="shared" si="5"/>
        <v>0</v>
      </c>
      <c r="H77" s="51">
        <f t="shared" si="6"/>
        <v>0.01767676768</v>
      </c>
      <c r="I77" s="28">
        <f t="shared" si="7"/>
        <v>7</v>
      </c>
      <c r="J77" s="26">
        <v>0.0</v>
      </c>
      <c r="K77" s="26">
        <v>0.0</v>
      </c>
      <c r="L77" s="49"/>
      <c r="M77" s="50"/>
      <c r="N77" s="57" t="s">
        <v>21</v>
      </c>
      <c r="O77" s="50"/>
      <c r="P77" s="50"/>
      <c r="Q77" s="50"/>
      <c r="R77" s="50"/>
      <c r="S77" s="50"/>
      <c r="T77" s="50"/>
      <c r="U77" s="50"/>
      <c r="V77" s="57" t="s">
        <v>21</v>
      </c>
      <c r="W77" s="50"/>
      <c r="X77" s="50"/>
      <c r="Y77" s="50"/>
      <c r="Z77" s="50"/>
      <c r="AA77" s="37" t="s">
        <v>20</v>
      </c>
      <c r="AB77" s="50"/>
      <c r="AC77" s="50"/>
      <c r="AD77" s="50"/>
      <c r="AE77" s="42" t="s">
        <v>20</v>
      </c>
      <c r="AF77" s="37" t="s">
        <v>22</v>
      </c>
      <c r="AG77" s="50"/>
      <c r="AH77" s="42" t="s">
        <v>20</v>
      </c>
      <c r="AI77" s="50"/>
      <c r="AJ77" s="50"/>
      <c r="AK77" s="50"/>
      <c r="AL77" s="50"/>
      <c r="AM77" s="50"/>
      <c r="AN77" s="50"/>
      <c r="AO77" s="50"/>
      <c r="AP77" s="50"/>
      <c r="AQ77" s="50"/>
      <c r="AR77" s="29"/>
      <c r="AS77" s="28"/>
      <c r="AT77" s="57" t="s">
        <v>21</v>
      </c>
      <c r="AU77" s="28"/>
      <c r="AV77" s="28"/>
      <c r="AW77" s="26"/>
      <c r="AX77" s="28"/>
      <c r="AY77" s="28"/>
      <c r="AZ77" s="26"/>
      <c r="BA77" s="28"/>
      <c r="BB77" s="26"/>
      <c r="BC77" s="28"/>
      <c r="BD77" s="28"/>
      <c r="BE77" s="26"/>
      <c r="BF77" s="28"/>
      <c r="BG77" s="28"/>
      <c r="BH77" s="26"/>
      <c r="BI77" s="37" t="s">
        <v>21</v>
      </c>
      <c r="BJ77" s="26"/>
      <c r="BK77" s="28"/>
      <c r="BL77" s="28"/>
      <c r="BM77" s="26"/>
      <c r="BN77" s="28"/>
      <c r="BO77" s="28"/>
      <c r="BP77" s="28"/>
      <c r="BQ77" s="28"/>
      <c r="BR77" s="28"/>
      <c r="BS77" s="31"/>
      <c r="BT77" s="26"/>
      <c r="BU77" s="32"/>
      <c r="BV77" s="33"/>
      <c r="BW77" s="33"/>
      <c r="BX77" s="33"/>
      <c r="BY77" s="33"/>
      <c r="BZ77" s="33"/>
      <c r="CA77" s="33"/>
      <c r="CB77" s="35"/>
      <c r="CC77" s="33"/>
      <c r="CD77" s="33"/>
      <c r="CE77" s="34"/>
      <c r="CF77" s="36"/>
      <c r="CG77" s="26"/>
      <c r="CH77" s="28"/>
      <c r="CI77" s="28"/>
      <c r="CJ77" s="28"/>
      <c r="CK77" s="28"/>
      <c r="CL77" s="26"/>
      <c r="CM77" s="28"/>
      <c r="CN77" s="37" t="s">
        <v>21</v>
      </c>
      <c r="CO77" s="28"/>
      <c r="CP77" s="26"/>
      <c r="CQ77" s="28"/>
      <c r="CR77" s="28"/>
      <c r="CS77" s="28"/>
      <c r="CT77" s="28"/>
      <c r="CU77" s="26"/>
      <c r="CV77" s="31"/>
      <c r="CW77" s="26"/>
      <c r="CX77" s="26"/>
      <c r="CY77" s="26"/>
      <c r="CZ77" s="31"/>
      <c r="DA77" s="32"/>
      <c r="DB77" s="28"/>
      <c r="DC77" s="28"/>
      <c r="DD77" s="28"/>
      <c r="DE77" s="26"/>
      <c r="DF77" s="26"/>
      <c r="DG77" s="26"/>
      <c r="DH77" s="26"/>
      <c r="DI77" s="26"/>
      <c r="DJ77" s="28"/>
      <c r="DK77" s="28"/>
      <c r="DL77" s="28"/>
      <c r="DM77" s="28"/>
      <c r="DN77" s="37" t="s">
        <v>21</v>
      </c>
      <c r="DO77" s="28"/>
      <c r="DP77" s="28"/>
      <c r="DQ77" s="28"/>
      <c r="DR77" s="28"/>
      <c r="DS77" s="28"/>
      <c r="DT77" s="28"/>
      <c r="DU77" s="28"/>
      <c r="DV77" s="28"/>
      <c r="DW77" s="26"/>
      <c r="DX77" s="26"/>
      <c r="DY77" s="28"/>
      <c r="DZ77" s="28"/>
      <c r="EA77" s="28"/>
      <c r="EB77" s="31"/>
      <c r="EC77" s="26"/>
      <c r="ED77" s="31"/>
      <c r="EE77" s="26"/>
      <c r="EF77" s="32"/>
      <c r="EG77" s="28"/>
      <c r="EH77" s="26"/>
      <c r="EI77" s="28"/>
      <c r="EJ77" s="28"/>
      <c r="EK77" s="26"/>
      <c r="EL77" s="37" t="s">
        <v>21</v>
      </c>
      <c r="EM77" s="28"/>
      <c r="EN77" s="26"/>
      <c r="EO77" s="26"/>
      <c r="EP77" s="28"/>
      <c r="EQ77" s="28"/>
      <c r="ER77" s="26"/>
      <c r="ES77" s="28"/>
      <c r="ET77" s="26"/>
      <c r="EU77" s="26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6"/>
      <c r="FH77" s="26"/>
      <c r="FI77" s="31"/>
      <c r="FJ77" s="37"/>
      <c r="FK77" s="31"/>
      <c r="FL77" s="32"/>
      <c r="FM77" s="28"/>
      <c r="FN77" s="26"/>
      <c r="FO77" s="28"/>
      <c r="FP77" s="28"/>
      <c r="FQ77" s="26"/>
      <c r="FR77" s="28"/>
      <c r="FS77" s="28"/>
      <c r="FT77" s="28"/>
      <c r="FU77" s="26"/>
      <c r="FV77" s="28"/>
      <c r="FW77" s="28"/>
      <c r="FX77" s="26"/>
      <c r="FY77" s="28"/>
      <c r="FZ77" s="28"/>
      <c r="GA77" s="28"/>
      <c r="GB77" s="26"/>
      <c r="GC77" s="26"/>
      <c r="GD77" s="28"/>
      <c r="GE77" s="28"/>
      <c r="GF77" s="28"/>
      <c r="GG77" s="28"/>
      <c r="GH77" s="28"/>
      <c r="GI77" s="26"/>
      <c r="GJ77" s="28"/>
      <c r="GK77" s="28"/>
      <c r="GL77" s="28"/>
      <c r="GM77" s="31"/>
      <c r="GN77" s="26"/>
      <c r="GO77" s="26" t="s">
        <v>20</v>
      </c>
      <c r="GP77" s="31"/>
      <c r="GQ77" s="38"/>
      <c r="GR77" s="39"/>
      <c r="GS77" s="39"/>
      <c r="GT77" s="39"/>
      <c r="GU77" s="39"/>
      <c r="GV77" s="39"/>
      <c r="GW77" s="39"/>
      <c r="GX77" s="39"/>
      <c r="GY77" s="39"/>
      <c r="GZ77" s="40"/>
      <c r="HA77" s="39"/>
      <c r="HB77" s="39"/>
      <c r="HC77" s="39"/>
      <c r="HD77" s="39"/>
      <c r="HE77" s="39"/>
      <c r="HF77" s="39"/>
      <c r="HG77" s="39"/>
      <c r="HH77" s="39"/>
      <c r="HI77" s="39"/>
      <c r="HJ77" s="39"/>
      <c r="HK77" s="39"/>
      <c r="HL77" s="40"/>
      <c r="HM77" s="40"/>
      <c r="HN77" s="39"/>
      <c r="HO77" s="39"/>
      <c r="HP77" s="39"/>
      <c r="HQ77" s="39"/>
      <c r="HR77" s="39"/>
      <c r="HS77" s="39"/>
      <c r="HT77" s="39"/>
      <c r="HU77" s="40"/>
      <c r="HV77" s="39"/>
      <c r="HW77" s="38"/>
      <c r="HX77" s="41"/>
      <c r="HY77" s="39"/>
      <c r="HZ77" s="39"/>
      <c r="IA77" s="39"/>
      <c r="IB77" s="39"/>
      <c r="IC77" s="39"/>
      <c r="ID77" s="40"/>
      <c r="IE77" s="39"/>
      <c r="IF77" s="39"/>
      <c r="IG77" s="39"/>
      <c r="IH77" s="40"/>
      <c r="II77" s="40"/>
      <c r="IJ77" s="42"/>
      <c r="IK77" s="42"/>
      <c r="IL77" s="39"/>
      <c r="IM77" s="39"/>
      <c r="IN77" s="39"/>
      <c r="IO77" s="42"/>
      <c r="IP77" s="40"/>
      <c r="IQ77" s="39"/>
      <c r="IR77" s="39"/>
      <c r="IS77" s="39"/>
      <c r="IT77" s="39"/>
      <c r="IU77" s="39"/>
      <c r="IV77" s="39"/>
      <c r="IW77" s="39"/>
      <c r="IX77" s="39"/>
      <c r="IY77" s="39"/>
      <c r="IZ77" s="39"/>
      <c r="JA77" s="39"/>
      <c r="JB77" s="39"/>
      <c r="JC77" s="38"/>
      <c r="JD77" s="39"/>
      <c r="JE77" s="39"/>
      <c r="JF77" s="39"/>
      <c r="JG77" s="39"/>
      <c r="JH77" s="39"/>
      <c r="JI77" s="39"/>
      <c r="JJ77" s="39"/>
      <c r="JK77" s="39"/>
      <c r="JL77" s="39"/>
      <c r="JM77" s="39"/>
      <c r="JN77" s="39"/>
      <c r="JO77" s="39"/>
      <c r="JP77" s="39"/>
      <c r="JQ77" s="39"/>
      <c r="JR77" s="39"/>
      <c r="JS77" s="39"/>
      <c r="JT77" s="39"/>
      <c r="JU77" s="39"/>
      <c r="JV77" s="39"/>
      <c r="JW77" s="39"/>
      <c r="JX77" s="39"/>
      <c r="JY77" s="39"/>
      <c r="JZ77" s="39"/>
      <c r="KA77" s="39"/>
      <c r="KB77" s="39"/>
      <c r="KC77" s="39"/>
      <c r="KD77" s="39"/>
      <c r="KE77" s="39"/>
      <c r="KF77" s="39"/>
      <c r="KG77" s="39"/>
      <c r="KH77" s="38"/>
      <c r="KI77" s="39"/>
      <c r="KJ77" s="39"/>
      <c r="KK77" s="39"/>
      <c r="KL77" s="39"/>
      <c r="KM77" s="39"/>
      <c r="KN77" s="39"/>
      <c r="KO77" s="39"/>
      <c r="KP77" s="39"/>
      <c r="KQ77" s="39"/>
      <c r="KR77" s="39"/>
      <c r="KS77" s="39"/>
      <c r="KT77" s="39"/>
      <c r="KU77" s="40"/>
      <c r="KV77" s="39"/>
      <c r="KW77" s="39"/>
      <c r="KX77" s="39"/>
      <c r="KY77" s="39"/>
      <c r="KZ77" s="39"/>
      <c r="LA77" s="39"/>
      <c r="LB77" s="39"/>
      <c r="LC77" s="39"/>
      <c r="LD77" s="39"/>
      <c r="LE77" s="39"/>
      <c r="LF77" s="39"/>
      <c r="LG77" s="39"/>
      <c r="LH77" s="39"/>
      <c r="LI77" s="39"/>
      <c r="LJ77" s="39"/>
      <c r="LK77" s="39"/>
      <c r="LL77" s="39"/>
      <c r="LM77" s="39"/>
      <c r="LN77" s="38"/>
      <c r="LO77" s="39"/>
      <c r="LP77" s="39"/>
      <c r="LQ77" s="40"/>
      <c r="LR77" s="39"/>
      <c r="LS77" s="39"/>
      <c r="LT77" s="39"/>
      <c r="LU77" s="39"/>
      <c r="LV77" s="39"/>
      <c r="LW77" s="39"/>
      <c r="LX77" s="39"/>
      <c r="LY77" s="39"/>
      <c r="LZ77" s="39"/>
      <c r="MA77" s="39"/>
      <c r="MB77" s="39"/>
      <c r="MC77" s="39"/>
      <c r="MD77" s="39"/>
      <c r="ME77" s="39"/>
      <c r="MF77" s="39"/>
      <c r="MG77" s="39"/>
      <c r="MH77" s="39"/>
      <c r="MI77" s="39"/>
      <c r="MJ77" s="39"/>
      <c r="MK77" s="39"/>
      <c r="ML77" s="39"/>
      <c r="MM77" s="39"/>
      <c r="MN77" s="39"/>
      <c r="MO77" s="39"/>
      <c r="MP77" s="39"/>
      <c r="MQ77" s="39"/>
      <c r="MR77" s="39"/>
      <c r="MS77" s="38"/>
      <c r="MT77" s="39"/>
      <c r="MU77" s="39"/>
      <c r="MV77" s="39"/>
      <c r="MW77" s="39"/>
      <c r="MX77" s="39"/>
      <c r="MY77" s="39"/>
      <c r="MZ77" s="39"/>
      <c r="NA77" s="39"/>
      <c r="NB77" s="39"/>
      <c r="NC77" s="39"/>
      <c r="ND77" s="39"/>
      <c r="NE77" s="39"/>
      <c r="NF77" s="39"/>
      <c r="NG77" s="39"/>
      <c r="NH77" s="39"/>
      <c r="NI77" s="39"/>
      <c r="NJ77" s="39"/>
      <c r="NK77" s="39"/>
      <c r="NL77" s="39"/>
      <c r="NM77" s="39"/>
      <c r="NN77" s="39"/>
      <c r="NO77" s="39"/>
      <c r="NP77" s="39"/>
      <c r="NQ77" s="39"/>
      <c r="NR77" s="39"/>
      <c r="NS77" s="39"/>
      <c r="NT77" s="39"/>
      <c r="NU77" s="39"/>
      <c r="NV77" s="39"/>
      <c r="NW77" s="39"/>
      <c r="NX77" s="39"/>
      <c r="NY77" s="38"/>
    </row>
    <row r="78">
      <c r="A78" s="45" t="s">
        <v>466</v>
      </c>
      <c r="B78" s="26" t="str">
        <f>IFERROR(__xludf.DUMMYFUNCTION("VLOOKUP(A78, IMPORTRANGE(""https://docs.google.com/spreadsheets/d/1KpTMcNM9m1P7u9qCVzob8p1-RZoC1ejaYs5CdpAbWFY/edit?gid=260580969#gid=260580969"", ""2025 EMP PROFILE DATA!a1:W98""), 22, FALSE)"),"#REF!")</f>
        <v>#REF!</v>
      </c>
      <c r="C78" s="45">
        <f t="shared" si="1"/>
        <v>5</v>
      </c>
      <c r="D78" s="45">
        <f t="shared" si="2"/>
        <v>6</v>
      </c>
      <c r="E78" s="45">
        <f t="shared" si="3"/>
        <v>20</v>
      </c>
      <c r="F78" s="45">
        <f t="shared" si="4"/>
        <v>1</v>
      </c>
      <c r="G78" s="46">
        <f t="shared" si="5"/>
        <v>0.01262626263</v>
      </c>
      <c r="H78" s="46">
        <f t="shared" si="6"/>
        <v>0.05050505051</v>
      </c>
      <c r="I78" s="28">
        <f t="shared" si="7"/>
        <v>40</v>
      </c>
      <c r="J78" s="26">
        <v>0.0</v>
      </c>
      <c r="K78" s="26">
        <v>0.0</v>
      </c>
      <c r="L78" s="49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57" t="s">
        <v>19</v>
      </c>
      <c r="Y78" s="45"/>
      <c r="Z78" s="37" t="s">
        <v>21</v>
      </c>
      <c r="AA78" s="37" t="s">
        <v>21</v>
      </c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37" t="s">
        <v>21</v>
      </c>
      <c r="AO78" s="37" t="s">
        <v>21</v>
      </c>
      <c r="AP78" s="45"/>
      <c r="AQ78" s="45"/>
      <c r="AR78" s="29"/>
      <c r="AS78" s="28"/>
      <c r="AT78" s="28"/>
      <c r="AU78" s="28"/>
      <c r="AV78" s="28"/>
      <c r="AW78" s="26"/>
      <c r="AX78" s="42" t="s">
        <v>19</v>
      </c>
      <c r="AY78" s="37" t="s">
        <v>21</v>
      </c>
      <c r="AZ78" s="26"/>
      <c r="BA78" s="28"/>
      <c r="BB78" s="26"/>
      <c r="BC78" s="28"/>
      <c r="BD78" s="28"/>
      <c r="BE78" s="26"/>
      <c r="BF78" s="28"/>
      <c r="BG78" s="28"/>
      <c r="BH78" s="26"/>
      <c r="BI78" s="26"/>
      <c r="BJ78" s="26"/>
      <c r="BK78" s="28"/>
      <c r="BL78" s="26" t="s">
        <v>19</v>
      </c>
      <c r="BM78" s="26"/>
      <c r="BN78" s="28"/>
      <c r="BO78" s="28"/>
      <c r="BP78" s="28"/>
      <c r="BQ78" s="28"/>
      <c r="BR78" s="37" t="s">
        <v>21</v>
      </c>
      <c r="BS78" s="31"/>
      <c r="BT78" s="26"/>
      <c r="BU78" s="32"/>
      <c r="BV78" s="33"/>
      <c r="BW78" s="33"/>
      <c r="BX78" s="33"/>
      <c r="BY78" s="33"/>
      <c r="BZ78" s="33"/>
      <c r="CA78" s="33"/>
      <c r="CB78" s="35"/>
      <c r="CC78" s="33"/>
      <c r="CD78" s="33"/>
      <c r="CE78" s="34"/>
      <c r="CF78" s="36"/>
      <c r="CG78" s="26" t="s">
        <v>20</v>
      </c>
      <c r="CH78" s="37" t="s">
        <v>21</v>
      </c>
      <c r="CI78" s="28"/>
      <c r="CJ78" s="28"/>
      <c r="CK78" s="28"/>
      <c r="CL78" s="37" t="s">
        <v>21</v>
      </c>
      <c r="CM78" s="28"/>
      <c r="CN78" s="28"/>
      <c r="CO78" s="28"/>
      <c r="CP78" s="26"/>
      <c r="CQ78" s="28"/>
      <c r="CR78" s="37" t="s">
        <v>21</v>
      </c>
      <c r="CS78" s="28"/>
      <c r="CT78" s="28"/>
      <c r="CU78" s="26"/>
      <c r="CV78" s="31"/>
      <c r="CW78" s="26"/>
      <c r="CX78" s="26"/>
      <c r="CY78" s="26"/>
      <c r="CZ78" s="31"/>
      <c r="DA78" s="32"/>
      <c r="DB78" s="28"/>
      <c r="DC78" s="28"/>
      <c r="DD78" s="37" t="s">
        <v>21</v>
      </c>
      <c r="DE78" s="37" t="s">
        <v>21</v>
      </c>
      <c r="DF78" s="26"/>
      <c r="DG78" s="26"/>
      <c r="DH78" s="26"/>
      <c r="DI78" s="26"/>
      <c r="DJ78" s="28"/>
      <c r="DK78" s="28"/>
      <c r="DL78" s="28"/>
      <c r="DM78" s="28"/>
      <c r="DN78" s="28"/>
      <c r="DO78" s="37" t="s">
        <v>21</v>
      </c>
      <c r="DP78" s="28"/>
      <c r="DQ78" s="28"/>
      <c r="DR78" s="28"/>
      <c r="DS78" s="28"/>
      <c r="DT78" s="28"/>
      <c r="DU78" s="37" t="s">
        <v>21</v>
      </c>
      <c r="DV78" s="28"/>
      <c r="DW78" s="26" t="s">
        <v>19</v>
      </c>
      <c r="DX78" s="26"/>
      <c r="DY78" s="28"/>
      <c r="DZ78" s="28"/>
      <c r="EA78" s="28"/>
      <c r="EB78" s="31"/>
      <c r="EC78" s="26"/>
      <c r="ED78" s="31"/>
      <c r="EE78" s="26"/>
      <c r="EF78" s="32"/>
      <c r="EG78" s="28"/>
      <c r="EH78" s="26"/>
      <c r="EI78" s="28"/>
      <c r="EJ78" s="28"/>
      <c r="EK78" s="26" t="s">
        <v>20</v>
      </c>
      <c r="EL78" s="28"/>
      <c r="EM78" s="37" t="s">
        <v>21</v>
      </c>
      <c r="EN78" s="26"/>
      <c r="EO78" s="26"/>
      <c r="EP78" s="28"/>
      <c r="EQ78" s="37" t="s">
        <v>21</v>
      </c>
      <c r="ER78" s="26"/>
      <c r="ES78" s="28"/>
      <c r="ET78" s="26"/>
      <c r="EU78" s="37" t="s">
        <v>21</v>
      </c>
      <c r="EV78" s="28"/>
      <c r="EW78" s="28"/>
      <c r="EX78" s="28"/>
      <c r="EY78" s="28"/>
      <c r="EZ78" s="28"/>
      <c r="FA78" s="26"/>
      <c r="FB78" s="26" t="s">
        <v>21</v>
      </c>
      <c r="FC78" s="28"/>
      <c r="FD78" s="28"/>
      <c r="FE78" s="28"/>
      <c r="FF78" s="28"/>
      <c r="FG78" s="26"/>
      <c r="FH78" s="26"/>
      <c r="FI78" s="31"/>
      <c r="FJ78" s="31"/>
      <c r="FK78" s="31"/>
      <c r="FL78" s="32"/>
      <c r="FM78" s="28"/>
      <c r="FN78" s="26"/>
      <c r="FO78" s="37" t="s">
        <v>21</v>
      </c>
      <c r="FP78" s="37" t="s">
        <v>21</v>
      </c>
      <c r="FQ78" s="26"/>
      <c r="FR78" s="28"/>
      <c r="FS78" s="28"/>
      <c r="FT78" s="28"/>
      <c r="FU78" s="37" t="s">
        <v>21</v>
      </c>
      <c r="FV78" s="26" t="s">
        <v>19</v>
      </c>
      <c r="FW78" s="26" t="s">
        <v>20</v>
      </c>
      <c r="FX78" s="26"/>
      <c r="FY78" s="26" t="s">
        <v>20</v>
      </c>
      <c r="FZ78" s="28"/>
      <c r="GA78" s="28"/>
      <c r="GB78" s="26"/>
      <c r="GC78" s="26"/>
      <c r="GD78" s="28"/>
      <c r="GE78" s="28"/>
      <c r="GF78" s="28"/>
      <c r="GG78" s="28"/>
      <c r="GH78" s="28"/>
      <c r="GI78" s="26"/>
      <c r="GJ78" s="26" t="s">
        <v>20</v>
      </c>
      <c r="GK78" s="37" t="s">
        <v>22</v>
      </c>
      <c r="GL78" s="28"/>
      <c r="GM78" s="31"/>
      <c r="GN78" s="26"/>
      <c r="GO78" s="31"/>
      <c r="GP78" s="26" t="s">
        <v>20</v>
      </c>
      <c r="GQ78" s="38"/>
      <c r="GR78" s="39"/>
      <c r="GS78" s="39"/>
      <c r="GT78" s="39"/>
      <c r="GU78" s="39"/>
      <c r="GV78" s="39"/>
      <c r="GW78" s="39"/>
      <c r="GX78" s="39"/>
      <c r="GY78" s="39"/>
      <c r="GZ78" s="40"/>
      <c r="HA78" s="39"/>
      <c r="HB78" s="39"/>
      <c r="HC78" s="39"/>
      <c r="HD78" s="39"/>
      <c r="HE78" s="39"/>
      <c r="HF78" s="39"/>
      <c r="HG78" s="39"/>
      <c r="HH78" s="39"/>
      <c r="HI78" s="39"/>
      <c r="HJ78" s="39"/>
      <c r="HK78" s="39"/>
      <c r="HL78" s="40"/>
      <c r="HM78" s="40"/>
      <c r="HN78" s="39"/>
      <c r="HO78" s="39"/>
      <c r="HP78" s="39"/>
      <c r="HQ78" s="39"/>
      <c r="HR78" s="39"/>
      <c r="HS78" s="39"/>
      <c r="HT78" s="39"/>
      <c r="HU78" s="40"/>
      <c r="HV78" s="39"/>
      <c r="HW78" s="38"/>
      <c r="HX78" s="41"/>
      <c r="HY78" s="39"/>
      <c r="HZ78" s="39"/>
      <c r="IA78" s="39"/>
      <c r="IB78" s="39"/>
      <c r="IC78" s="39"/>
      <c r="ID78" s="40"/>
      <c r="IE78" s="39"/>
      <c r="IF78" s="39"/>
      <c r="IG78" s="39"/>
      <c r="IH78" s="40"/>
      <c r="II78" s="40"/>
      <c r="IJ78" s="42"/>
      <c r="IK78" s="42"/>
      <c r="IL78" s="39"/>
      <c r="IM78" s="39"/>
      <c r="IN78" s="39"/>
      <c r="IO78" s="42"/>
      <c r="IP78" s="40"/>
      <c r="IQ78" s="39"/>
      <c r="IR78" s="39"/>
      <c r="IS78" s="39"/>
      <c r="IT78" s="39"/>
      <c r="IU78" s="39"/>
      <c r="IV78" s="39"/>
      <c r="IW78" s="39"/>
      <c r="IX78" s="39"/>
      <c r="IY78" s="39"/>
      <c r="IZ78" s="39"/>
      <c r="JA78" s="39"/>
      <c r="JB78" s="39"/>
      <c r="JC78" s="38"/>
      <c r="JD78" s="39"/>
      <c r="JE78" s="41"/>
      <c r="JF78" s="41"/>
      <c r="JG78" s="39"/>
      <c r="JH78" s="39"/>
      <c r="JI78" s="39"/>
      <c r="JJ78" s="39"/>
      <c r="JK78" s="39"/>
      <c r="JL78" s="39"/>
      <c r="JM78" s="39"/>
      <c r="JN78" s="39"/>
      <c r="JO78" s="39"/>
      <c r="JP78" s="39"/>
      <c r="JQ78" s="39"/>
      <c r="JR78" s="39"/>
      <c r="JS78" s="39"/>
      <c r="JT78" s="39"/>
      <c r="JU78" s="39"/>
      <c r="JV78" s="39"/>
      <c r="JW78" s="39"/>
      <c r="JX78" s="39"/>
      <c r="JY78" s="39"/>
      <c r="JZ78" s="39"/>
      <c r="KA78" s="39"/>
      <c r="KB78" s="39"/>
      <c r="KC78" s="39"/>
      <c r="KD78" s="39"/>
      <c r="KE78" s="39"/>
      <c r="KF78" s="39"/>
      <c r="KG78" s="39"/>
      <c r="KH78" s="38"/>
      <c r="KI78" s="39"/>
      <c r="KJ78" s="39"/>
      <c r="KK78" s="39"/>
      <c r="KL78" s="39"/>
      <c r="KM78" s="39"/>
      <c r="KN78" s="39"/>
      <c r="KO78" s="39"/>
      <c r="KP78" s="39"/>
      <c r="KQ78" s="39"/>
      <c r="KR78" s="39"/>
      <c r="KS78" s="39"/>
      <c r="KT78" s="39"/>
      <c r="KU78" s="40"/>
      <c r="KV78" s="39"/>
      <c r="KW78" s="39"/>
      <c r="KX78" s="39"/>
      <c r="KY78" s="39"/>
      <c r="KZ78" s="39"/>
      <c r="LA78" s="39"/>
      <c r="LB78" s="39"/>
      <c r="LC78" s="39"/>
      <c r="LD78" s="39"/>
      <c r="LE78" s="39"/>
      <c r="LF78" s="39"/>
      <c r="LG78" s="39"/>
      <c r="LH78" s="39"/>
      <c r="LI78" s="39"/>
      <c r="LJ78" s="39"/>
      <c r="LK78" s="39"/>
      <c r="LL78" s="39"/>
      <c r="LM78" s="39"/>
      <c r="LN78" s="38"/>
      <c r="LO78" s="39"/>
      <c r="LP78" s="39"/>
      <c r="LQ78" s="40"/>
      <c r="LR78" s="39"/>
      <c r="LS78" s="39"/>
      <c r="LT78" s="39"/>
      <c r="LU78" s="39"/>
      <c r="LV78" s="39"/>
      <c r="LW78" s="39"/>
      <c r="LX78" s="39"/>
      <c r="LY78" s="39"/>
      <c r="LZ78" s="39"/>
      <c r="MA78" s="39"/>
      <c r="MB78" s="39"/>
      <c r="MC78" s="39"/>
      <c r="MD78" s="39"/>
      <c r="ME78" s="39"/>
      <c r="MF78" s="39"/>
      <c r="MG78" s="39"/>
      <c r="MH78" s="39"/>
      <c r="MI78" s="39"/>
      <c r="MJ78" s="39"/>
      <c r="MK78" s="39"/>
      <c r="ML78" s="39"/>
      <c r="MM78" s="39"/>
      <c r="MN78" s="39"/>
      <c r="MO78" s="39"/>
      <c r="MP78" s="39"/>
      <c r="MQ78" s="39"/>
      <c r="MR78" s="39"/>
      <c r="MS78" s="38"/>
      <c r="MT78" s="39"/>
      <c r="MU78" s="39"/>
      <c r="MV78" s="39"/>
      <c r="MW78" s="39"/>
      <c r="MX78" s="39"/>
      <c r="MY78" s="39"/>
      <c r="MZ78" s="39"/>
      <c r="NA78" s="39"/>
      <c r="NB78" s="39"/>
      <c r="NC78" s="39"/>
      <c r="ND78" s="39"/>
      <c r="NE78" s="39"/>
      <c r="NF78" s="39"/>
      <c r="NG78" s="39"/>
      <c r="NH78" s="39"/>
      <c r="NI78" s="39"/>
      <c r="NJ78" s="39"/>
      <c r="NK78" s="39"/>
      <c r="NL78" s="39"/>
      <c r="NM78" s="39"/>
      <c r="NN78" s="39"/>
      <c r="NO78" s="39"/>
      <c r="NP78" s="39"/>
      <c r="NQ78" s="39"/>
      <c r="NR78" s="39"/>
      <c r="NS78" s="39"/>
      <c r="NT78" s="39"/>
      <c r="NU78" s="39"/>
      <c r="NV78" s="39"/>
      <c r="NW78" s="39"/>
      <c r="NX78" s="39"/>
      <c r="NY78" s="38"/>
    </row>
    <row r="79">
      <c r="A79" s="45" t="s">
        <v>467</v>
      </c>
      <c r="B79" s="26" t="str">
        <f>IFERROR(__xludf.DUMMYFUNCTION("VLOOKUP(A79, IMPORTRANGE(""https://docs.google.com/spreadsheets/d/1KpTMcNM9m1P7u9qCVzob8p1-RZoC1ejaYs5CdpAbWFY/edit?gid=260580969#gid=260580969"", ""2025 EMP PROFILE DATA!a1:W98""), 22, FALSE)"),"#REF!")</f>
        <v>#REF!</v>
      </c>
      <c r="C79" s="45">
        <f t="shared" si="1"/>
        <v>5</v>
      </c>
      <c r="D79" s="45">
        <f t="shared" si="2"/>
        <v>3</v>
      </c>
      <c r="E79" s="45">
        <f t="shared" si="3"/>
        <v>8</v>
      </c>
      <c r="F79" s="45">
        <f t="shared" si="4"/>
        <v>0</v>
      </c>
      <c r="G79" s="46">
        <f t="shared" si="5"/>
        <v>0.01262626263</v>
      </c>
      <c r="H79" s="46">
        <f t="shared" si="6"/>
        <v>0.0202020202</v>
      </c>
      <c r="I79" s="28">
        <f t="shared" si="7"/>
        <v>28</v>
      </c>
      <c r="J79" s="26">
        <v>0.0</v>
      </c>
      <c r="K79" s="26">
        <v>0.0</v>
      </c>
      <c r="L79" s="49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7" t="s">
        <v>20</v>
      </c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29"/>
      <c r="AS79" s="28"/>
      <c r="AT79" s="57" t="s">
        <v>21</v>
      </c>
      <c r="AU79" s="28"/>
      <c r="AV79" s="28"/>
      <c r="AW79" s="26"/>
      <c r="AX79" s="28"/>
      <c r="AY79" s="57" t="s">
        <v>21</v>
      </c>
      <c r="AZ79" s="26"/>
      <c r="BA79" s="28"/>
      <c r="BB79" s="26"/>
      <c r="BC79" s="28"/>
      <c r="BD79" s="28"/>
      <c r="BE79" s="26"/>
      <c r="BF79" s="28"/>
      <c r="BG79" s="28"/>
      <c r="BH79" s="26"/>
      <c r="BI79" s="26"/>
      <c r="BJ79" s="37" t="s">
        <v>21</v>
      </c>
      <c r="BK79" s="28"/>
      <c r="BL79" s="28"/>
      <c r="BM79" s="26"/>
      <c r="BN79" s="28"/>
      <c r="BO79" s="28"/>
      <c r="BP79" s="28"/>
      <c r="BQ79" s="28"/>
      <c r="BR79" s="28"/>
      <c r="BS79" s="31"/>
      <c r="BT79" s="26"/>
      <c r="BU79" s="32"/>
      <c r="BV79" s="33"/>
      <c r="BW79" s="33"/>
      <c r="BX79" s="33"/>
      <c r="BY79" s="33"/>
      <c r="BZ79" s="33"/>
      <c r="CA79" s="33"/>
      <c r="CB79" s="35"/>
      <c r="CC79" s="33"/>
      <c r="CD79" s="33"/>
      <c r="CE79" s="34"/>
      <c r="CF79" s="36"/>
      <c r="CG79" s="37" t="s">
        <v>21</v>
      </c>
      <c r="CH79" s="26" t="s">
        <v>20</v>
      </c>
      <c r="CI79" s="28"/>
      <c r="CJ79" s="28"/>
      <c r="CK79" s="28"/>
      <c r="CL79" s="26"/>
      <c r="CM79" s="28"/>
      <c r="CN79" s="28"/>
      <c r="CO79" s="28"/>
      <c r="CP79" s="26"/>
      <c r="CQ79" s="28"/>
      <c r="CR79" s="28"/>
      <c r="CS79" s="28"/>
      <c r="CT79" s="28"/>
      <c r="CU79" s="26" t="s">
        <v>19</v>
      </c>
      <c r="CV79" s="37" t="s">
        <v>19</v>
      </c>
      <c r="CW79" s="26"/>
      <c r="CX79" s="26"/>
      <c r="CY79" s="26"/>
      <c r="CZ79" s="31"/>
      <c r="DA79" s="32"/>
      <c r="DB79" s="28"/>
      <c r="DC79" s="28"/>
      <c r="DD79" s="28"/>
      <c r="DE79" s="26"/>
      <c r="DF79" s="26"/>
      <c r="DG79" s="26"/>
      <c r="DH79" s="26"/>
      <c r="DI79" s="26"/>
      <c r="DJ79" s="28"/>
      <c r="DK79" s="28"/>
      <c r="DL79" s="28"/>
      <c r="DM79" s="28"/>
      <c r="DN79" s="28"/>
      <c r="DO79" s="28"/>
      <c r="DP79" s="37" t="s">
        <v>21</v>
      </c>
      <c r="DQ79" s="28"/>
      <c r="DR79" s="28"/>
      <c r="DS79" s="28"/>
      <c r="DT79" s="28"/>
      <c r="DU79" s="28"/>
      <c r="DV79" s="28"/>
      <c r="DW79" s="26"/>
      <c r="DX79" s="26"/>
      <c r="DY79" s="28"/>
      <c r="DZ79" s="28"/>
      <c r="EA79" s="28"/>
      <c r="EB79" s="31"/>
      <c r="EC79" s="26"/>
      <c r="ED79" s="31"/>
      <c r="EE79" s="26"/>
      <c r="EF79" s="32"/>
      <c r="EG79" s="28"/>
      <c r="EH79" s="26"/>
      <c r="EI79" s="28"/>
      <c r="EJ79" s="28"/>
      <c r="EK79" s="26"/>
      <c r="EL79" s="28"/>
      <c r="EM79" s="28"/>
      <c r="EN79" s="26"/>
      <c r="EO79" s="37" t="s">
        <v>19</v>
      </c>
      <c r="EP79" s="28"/>
      <c r="EQ79" s="37" t="s">
        <v>21</v>
      </c>
      <c r="ER79" s="26"/>
      <c r="ES79" s="28"/>
      <c r="ET79" s="26"/>
      <c r="EU79" s="26"/>
      <c r="EV79" s="28"/>
      <c r="EW79" s="28"/>
      <c r="EX79" s="28"/>
      <c r="EY79" s="28"/>
      <c r="EZ79" s="26" t="s">
        <v>21</v>
      </c>
      <c r="FA79" s="28"/>
      <c r="FB79" s="26"/>
      <c r="FC79" s="28"/>
      <c r="FD79" s="28"/>
      <c r="FE79" s="28"/>
      <c r="FF79" s="28"/>
      <c r="FG79" s="26"/>
      <c r="FH79" s="26"/>
      <c r="FI79" s="31"/>
      <c r="FJ79" s="31"/>
      <c r="FK79" s="31"/>
      <c r="FL79" s="32"/>
      <c r="FM79" s="28"/>
      <c r="FN79" s="26"/>
      <c r="FO79" s="26" t="s">
        <v>19</v>
      </c>
      <c r="FP79" s="37" t="s">
        <v>21</v>
      </c>
      <c r="FQ79" s="26"/>
      <c r="FR79" s="28"/>
      <c r="FS79" s="28"/>
      <c r="FT79" s="28"/>
      <c r="FU79" s="37" t="s">
        <v>19</v>
      </c>
      <c r="FV79" s="28"/>
      <c r="FW79" s="26" t="s">
        <v>20</v>
      </c>
      <c r="FX79" s="26"/>
      <c r="FY79" s="28"/>
      <c r="FZ79" s="28"/>
      <c r="GA79" s="28"/>
      <c r="GB79" s="26"/>
      <c r="GC79" s="26"/>
      <c r="GD79" s="28"/>
      <c r="GE79" s="28"/>
      <c r="GF79" s="28"/>
      <c r="GG79" s="28"/>
      <c r="GH79" s="28"/>
      <c r="GI79" s="26"/>
      <c r="GJ79" s="28"/>
      <c r="GK79" s="28"/>
      <c r="GL79" s="28"/>
      <c r="GM79" s="31"/>
      <c r="GN79" s="26"/>
      <c r="GO79" s="31"/>
      <c r="GP79" s="31"/>
      <c r="GQ79" s="38"/>
      <c r="GR79" s="39"/>
      <c r="GS79" s="39"/>
      <c r="GT79" s="39"/>
      <c r="GU79" s="39"/>
      <c r="GV79" s="39"/>
      <c r="GW79" s="39"/>
      <c r="GX79" s="39"/>
      <c r="GY79" s="39"/>
      <c r="GZ79" s="40"/>
      <c r="HA79" s="39"/>
      <c r="HB79" s="39"/>
      <c r="HC79" s="39"/>
      <c r="HD79" s="39"/>
      <c r="HE79" s="39"/>
      <c r="HF79" s="39"/>
      <c r="HG79" s="39"/>
      <c r="HH79" s="39"/>
      <c r="HI79" s="39"/>
      <c r="HJ79" s="39"/>
      <c r="HK79" s="39"/>
      <c r="HL79" s="40"/>
      <c r="HM79" s="40"/>
      <c r="HN79" s="39"/>
      <c r="HO79" s="39"/>
      <c r="HP79" s="39"/>
      <c r="HQ79" s="39"/>
      <c r="HR79" s="39"/>
      <c r="HS79" s="39"/>
      <c r="HT79" s="39"/>
      <c r="HU79" s="40"/>
      <c r="HV79" s="39"/>
      <c r="HW79" s="38"/>
      <c r="HX79" s="41"/>
      <c r="HY79" s="39"/>
      <c r="HZ79" s="39"/>
      <c r="IA79" s="39"/>
      <c r="IB79" s="39"/>
      <c r="IC79" s="39"/>
      <c r="ID79" s="40"/>
      <c r="IE79" s="39"/>
      <c r="IF79" s="39"/>
      <c r="IG79" s="39"/>
      <c r="IH79" s="40"/>
      <c r="II79" s="40"/>
      <c r="IJ79" s="42"/>
      <c r="IK79" s="42"/>
      <c r="IL79" s="39"/>
      <c r="IM79" s="39"/>
      <c r="IN79" s="39"/>
      <c r="IO79" s="42"/>
      <c r="IP79" s="40"/>
      <c r="IQ79" s="39"/>
      <c r="IR79" s="39"/>
      <c r="IS79" s="39"/>
      <c r="IT79" s="39"/>
      <c r="IU79" s="39"/>
      <c r="IV79" s="39"/>
      <c r="IW79" s="39"/>
      <c r="IX79" s="39"/>
      <c r="IY79" s="39"/>
      <c r="IZ79" s="39"/>
      <c r="JA79" s="39"/>
      <c r="JB79" s="39"/>
      <c r="JC79" s="38"/>
      <c r="JD79" s="39"/>
      <c r="JE79" s="39"/>
      <c r="JF79" s="39"/>
      <c r="JG79" s="39"/>
      <c r="JH79" s="39"/>
      <c r="JI79" s="39"/>
      <c r="JJ79" s="39"/>
      <c r="JK79" s="39"/>
      <c r="JL79" s="39"/>
      <c r="JM79" s="39"/>
      <c r="JN79" s="39"/>
      <c r="JO79" s="39"/>
      <c r="JP79" s="39"/>
      <c r="JQ79" s="39"/>
      <c r="JR79" s="39"/>
      <c r="JS79" s="39"/>
      <c r="JT79" s="39"/>
      <c r="JU79" s="39"/>
      <c r="JV79" s="39"/>
      <c r="JW79" s="39"/>
      <c r="JX79" s="39"/>
      <c r="JY79" s="39"/>
      <c r="JZ79" s="39"/>
      <c r="KA79" s="39"/>
      <c r="KB79" s="39"/>
      <c r="KC79" s="39"/>
      <c r="KD79" s="39"/>
      <c r="KE79" s="39"/>
      <c r="KF79" s="39"/>
      <c r="KG79" s="39"/>
      <c r="KH79" s="38"/>
      <c r="KI79" s="39"/>
      <c r="KJ79" s="39"/>
      <c r="KK79" s="39"/>
      <c r="KL79" s="39"/>
      <c r="KM79" s="39"/>
      <c r="KN79" s="39"/>
      <c r="KO79" s="39"/>
      <c r="KP79" s="39"/>
      <c r="KQ79" s="39"/>
      <c r="KR79" s="39"/>
      <c r="KS79" s="39"/>
      <c r="KT79" s="39"/>
      <c r="KU79" s="40"/>
      <c r="KV79" s="39"/>
      <c r="KW79" s="39"/>
      <c r="KX79" s="39"/>
      <c r="KY79" s="39"/>
      <c r="KZ79" s="39"/>
      <c r="LA79" s="39"/>
      <c r="LB79" s="39"/>
      <c r="LC79" s="39"/>
      <c r="LD79" s="39"/>
      <c r="LE79" s="39"/>
      <c r="LF79" s="39"/>
      <c r="LG79" s="39"/>
      <c r="LH79" s="39"/>
      <c r="LI79" s="39"/>
      <c r="LJ79" s="39"/>
      <c r="LK79" s="39"/>
      <c r="LL79" s="39"/>
      <c r="LM79" s="39"/>
      <c r="LN79" s="38"/>
      <c r="LO79" s="39"/>
      <c r="LP79" s="39"/>
      <c r="LQ79" s="40"/>
      <c r="LR79" s="39"/>
      <c r="LS79" s="39"/>
      <c r="LT79" s="39"/>
      <c r="LU79" s="39"/>
      <c r="LV79" s="39"/>
      <c r="LW79" s="39"/>
      <c r="LX79" s="39"/>
      <c r="LY79" s="39"/>
      <c r="LZ79" s="39"/>
      <c r="MA79" s="39"/>
      <c r="MB79" s="39"/>
      <c r="MC79" s="39"/>
      <c r="MD79" s="39"/>
      <c r="ME79" s="39"/>
      <c r="MF79" s="39"/>
      <c r="MG79" s="39"/>
      <c r="MH79" s="39"/>
      <c r="MI79" s="39"/>
      <c r="MJ79" s="39"/>
      <c r="MK79" s="39"/>
      <c r="ML79" s="39"/>
      <c r="MM79" s="39"/>
      <c r="MN79" s="39"/>
      <c r="MO79" s="39"/>
      <c r="MP79" s="39"/>
      <c r="MQ79" s="39"/>
      <c r="MR79" s="39"/>
      <c r="MS79" s="38"/>
      <c r="MT79" s="39"/>
      <c r="MU79" s="39"/>
      <c r="MV79" s="39"/>
      <c r="MW79" s="39"/>
      <c r="MX79" s="39"/>
      <c r="MY79" s="39"/>
      <c r="MZ79" s="39"/>
      <c r="NA79" s="39"/>
      <c r="NB79" s="39"/>
      <c r="NC79" s="39"/>
      <c r="ND79" s="39"/>
      <c r="NE79" s="39"/>
      <c r="NF79" s="39"/>
      <c r="NG79" s="39"/>
      <c r="NH79" s="39"/>
      <c r="NI79" s="39"/>
      <c r="NJ79" s="39"/>
      <c r="NK79" s="39"/>
      <c r="NL79" s="39"/>
      <c r="NM79" s="39"/>
      <c r="NN79" s="39"/>
      <c r="NO79" s="39"/>
      <c r="NP79" s="39"/>
      <c r="NQ79" s="39"/>
      <c r="NR79" s="39"/>
      <c r="NS79" s="39"/>
      <c r="NT79" s="39"/>
      <c r="NU79" s="39"/>
      <c r="NV79" s="39"/>
      <c r="NW79" s="39"/>
      <c r="NX79" s="39"/>
      <c r="NY79" s="38"/>
    </row>
    <row r="80">
      <c r="A80" s="47" t="s">
        <v>468</v>
      </c>
      <c r="B80" s="26" t="str">
        <f>IFERROR(__xludf.DUMMYFUNCTION("VLOOKUP(A80, IMPORTRANGE(""https://docs.google.com/spreadsheets/d/1KpTMcNM9m1P7u9qCVzob8p1-RZoC1ejaYs5CdpAbWFY/edit?gid=260580969#gid=260580969"", ""2025 EMP PROFILE DATA!a1:W98""), 22, FALSE)"),"#REF!")</f>
        <v>#REF!</v>
      </c>
      <c r="C80" s="45">
        <f t="shared" si="1"/>
        <v>0</v>
      </c>
      <c r="D80" s="45">
        <f t="shared" si="2"/>
        <v>1</v>
      </c>
      <c r="E80" s="45">
        <f t="shared" si="3"/>
        <v>9</v>
      </c>
      <c r="F80" s="45">
        <f t="shared" si="4"/>
        <v>1</v>
      </c>
      <c r="G80" s="46">
        <f t="shared" si="5"/>
        <v>0</v>
      </c>
      <c r="H80" s="46">
        <f t="shared" si="6"/>
        <v>0.02272727273</v>
      </c>
      <c r="I80" s="28">
        <f t="shared" si="7"/>
        <v>9</v>
      </c>
      <c r="J80" s="26">
        <v>0.0</v>
      </c>
      <c r="K80" s="26">
        <v>0.0</v>
      </c>
      <c r="L80" s="49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37"/>
      <c r="Z80" s="45"/>
      <c r="AA80" s="37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29"/>
      <c r="AS80" s="28"/>
      <c r="AT80" s="28"/>
      <c r="AU80" s="28"/>
      <c r="AV80" s="28"/>
      <c r="AW80" s="26"/>
      <c r="AX80" s="28"/>
      <c r="AY80" s="28"/>
      <c r="AZ80" s="26"/>
      <c r="BA80" s="28"/>
      <c r="BB80" s="26"/>
      <c r="BC80" s="28"/>
      <c r="BD80" s="28"/>
      <c r="BE80" s="26"/>
      <c r="BF80" s="28"/>
      <c r="BG80" s="28"/>
      <c r="BH80" s="26"/>
      <c r="BI80" s="26"/>
      <c r="BJ80" s="26"/>
      <c r="BK80" s="28"/>
      <c r="BL80" s="28"/>
      <c r="BM80" s="26"/>
      <c r="BN80" s="28"/>
      <c r="BO80" s="28"/>
      <c r="BP80" s="28"/>
      <c r="BQ80" s="28"/>
      <c r="BR80" s="28"/>
      <c r="BS80" s="31"/>
      <c r="BT80" s="26"/>
      <c r="BU80" s="32"/>
      <c r="BV80" s="33"/>
      <c r="BW80" s="33"/>
      <c r="BX80" s="33"/>
      <c r="BY80" s="33"/>
      <c r="BZ80" s="33"/>
      <c r="CA80" s="33"/>
      <c r="CB80" s="35"/>
      <c r="CC80" s="33"/>
      <c r="CD80" s="33"/>
      <c r="CE80" s="34"/>
      <c r="CF80" s="36"/>
      <c r="CG80" s="26"/>
      <c r="CH80" s="28"/>
      <c r="CI80" s="28"/>
      <c r="CJ80" s="28"/>
      <c r="CK80" s="28"/>
      <c r="CL80" s="26"/>
      <c r="CM80" s="28"/>
      <c r="CN80" s="28"/>
      <c r="CO80" s="28"/>
      <c r="CP80" s="26"/>
      <c r="CQ80" s="28"/>
      <c r="CR80" s="28"/>
      <c r="CS80" s="28"/>
      <c r="CT80" s="28"/>
      <c r="CU80" s="37" t="s">
        <v>21</v>
      </c>
      <c r="CV80" s="31"/>
      <c r="CW80" s="26"/>
      <c r="CX80" s="26"/>
      <c r="CY80" s="26"/>
      <c r="CZ80" s="31"/>
      <c r="DA80" s="32"/>
      <c r="DB80" s="28"/>
      <c r="DC80" s="28"/>
      <c r="DD80" s="28"/>
      <c r="DE80" s="26"/>
      <c r="DF80" s="26"/>
      <c r="DG80" s="26" t="s">
        <v>22</v>
      </c>
      <c r="DH80" s="26"/>
      <c r="DI80" s="26"/>
      <c r="DJ80" s="28"/>
      <c r="DK80" s="28"/>
      <c r="DL80" s="28"/>
      <c r="DM80" s="28"/>
      <c r="DN80" s="28"/>
      <c r="DO80" s="28"/>
      <c r="DP80" s="37" t="s">
        <v>21</v>
      </c>
      <c r="DQ80" s="28"/>
      <c r="DR80" s="28"/>
      <c r="DS80" s="28"/>
      <c r="DT80" s="28"/>
      <c r="DU80" s="28"/>
      <c r="DV80" s="28"/>
      <c r="DW80" s="37" t="s">
        <v>21</v>
      </c>
      <c r="DX80" s="26"/>
      <c r="DY80" s="28"/>
      <c r="DZ80" s="28"/>
      <c r="EA80" s="28"/>
      <c r="EB80" s="37" t="s">
        <v>21</v>
      </c>
      <c r="EC80" s="37" t="s">
        <v>21</v>
      </c>
      <c r="ED80" s="31"/>
      <c r="EE80" s="26"/>
      <c r="EF80" s="32"/>
      <c r="EG80" s="28"/>
      <c r="EH80" s="26"/>
      <c r="EI80" s="28"/>
      <c r="EJ80" s="28"/>
      <c r="EK80" s="37" t="s">
        <v>21</v>
      </c>
      <c r="EL80" s="28"/>
      <c r="EM80" s="28"/>
      <c r="EN80" s="26"/>
      <c r="EO80" s="26"/>
      <c r="EP80" s="28"/>
      <c r="EQ80" s="28"/>
      <c r="ER80" s="37" t="s">
        <v>21</v>
      </c>
      <c r="ES80" s="28"/>
      <c r="ET80" s="26"/>
      <c r="EU80" s="26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6"/>
      <c r="FH80" s="26"/>
      <c r="FI80" s="31"/>
      <c r="FJ80" s="31"/>
      <c r="FK80" s="31"/>
      <c r="FL80" s="32"/>
      <c r="FM80" s="37" t="s">
        <v>21</v>
      </c>
      <c r="FN80" s="26"/>
      <c r="FO80" s="28"/>
      <c r="FP80" s="28"/>
      <c r="FQ80" s="26"/>
      <c r="FR80" s="28"/>
      <c r="FS80" s="28"/>
      <c r="FT80" s="28"/>
      <c r="FU80" s="37" t="s">
        <v>21</v>
      </c>
      <c r="FV80" s="28"/>
      <c r="FW80" s="28"/>
      <c r="FX80" s="26"/>
      <c r="FY80" s="28"/>
      <c r="FZ80" s="28"/>
      <c r="GA80" s="28"/>
      <c r="GB80" s="26"/>
      <c r="GC80" s="26"/>
      <c r="GD80" s="28"/>
      <c r="GE80" s="28"/>
      <c r="GF80" s="28"/>
      <c r="GG80" s="28"/>
      <c r="GH80" s="28"/>
      <c r="GI80" s="26"/>
      <c r="GJ80" s="28"/>
      <c r="GK80" s="28"/>
      <c r="GL80" s="28"/>
      <c r="GM80" s="31"/>
      <c r="GN80" s="26"/>
      <c r="GO80" s="31"/>
      <c r="GP80" s="31"/>
      <c r="GQ80" s="38"/>
      <c r="GR80" s="39"/>
      <c r="GS80" s="39"/>
      <c r="GT80" s="26" t="s">
        <v>20</v>
      </c>
      <c r="GU80" s="39"/>
      <c r="GV80" s="39"/>
      <c r="GW80" s="39"/>
      <c r="GX80" s="39"/>
      <c r="GY80" s="39"/>
      <c r="GZ80" s="40"/>
      <c r="HA80" s="39"/>
      <c r="HB80" s="39"/>
      <c r="HC80" s="39"/>
      <c r="HD80" s="39"/>
      <c r="HE80" s="39"/>
      <c r="HF80" s="39"/>
      <c r="HG80" s="39"/>
      <c r="HH80" s="39"/>
      <c r="HI80" s="39"/>
      <c r="HJ80" s="39"/>
      <c r="HK80" s="39"/>
      <c r="HL80" s="40"/>
      <c r="HM80" s="40"/>
      <c r="HN80" s="39"/>
      <c r="HO80" s="39"/>
      <c r="HP80" s="39"/>
      <c r="HQ80" s="39"/>
      <c r="HR80" s="39"/>
      <c r="HS80" s="39"/>
      <c r="HT80" s="39"/>
      <c r="HU80" s="40"/>
      <c r="HV80" s="39"/>
      <c r="HW80" s="38"/>
      <c r="HX80" s="41"/>
      <c r="HY80" s="39"/>
      <c r="HZ80" s="39"/>
      <c r="IA80" s="39"/>
      <c r="IB80" s="39"/>
      <c r="IC80" s="39"/>
      <c r="ID80" s="40"/>
      <c r="IE80" s="39"/>
      <c r="IF80" s="39"/>
      <c r="IG80" s="39"/>
      <c r="IH80" s="40"/>
      <c r="II80" s="40"/>
      <c r="IJ80" s="42"/>
      <c r="IK80" s="42"/>
      <c r="IL80" s="39"/>
      <c r="IM80" s="39"/>
      <c r="IN80" s="39"/>
      <c r="IO80" s="42"/>
      <c r="IP80" s="40"/>
      <c r="IQ80" s="39"/>
      <c r="IR80" s="39"/>
      <c r="IS80" s="39"/>
      <c r="IT80" s="39"/>
      <c r="IU80" s="39"/>
      <c r="IV80" s="39"/>
      <c r="IW80" s="39"/>
      <c r="IX80" s="39"/>
      <c r="IY80" s="39"/>
      <c r="IZ80" s="39"/>
      <c r="JA80" s="39"/>
      <c r="JB80" s="39"/>
      <c r="JC80" s="38"/>
      <c r="JD80" s="39"/>
      <c r="JE80" s="39"/>
      <c r="JF80" s="39"/>
      <c r="JG80" s="39"/>
      <c r="JH80" s="39"/>
      <c r="JI80" s="39"/>
      <c r="JJ80" s="39"/>
      <c r="JK80" s="39"/>
      <c r="JL80" s="39"/>
      <c r="JM80" s="39"/>
      <c r="JN80" s="39"/>
      <c r="JO80" s="39"/>
      <c r="JP80" s="39"/>
      <c r="JQ80" s="39"/>
      <c r="JR80" s="39"/>
      <c r="JS80" s="39"/>
      <c r="JT80" s="39"/>
      <c r="JU80" s="39"/>
      <c r="JV80" s="39"/>
      <c r="JW80" s="39"/>
      <c r="JX80" s="39"/>
      <c r="JY80" s="39"/>
      <c r="JZ80" s="39"/>
      <c r="KA80" s="39"/>
      <c r="KB80" s="39"/>
      <c r="KC80" s="39"/>
      <c r="KD80" s="39"/>
      <c r="KE80" s="39"/>
      <c r="KF80" s="39"/>
      <c r="KG80" s="39"/>
      <c r="KH80" s="38"/>
      <c r="KI80" s="39"/>
      <c r="KJ80" s="39"/>
      <c r="KK80" s="39"/>
      <c r="KL80" s="39"/>
      <c r="KM80" s="39"/>
      <c r="KN80" s="39"/>
      <c r="KO80" s="39"/>
      <c r="KP80" s="39"/>
      <c r="KQ80" s="39"/>
      <c r="KR80" s="39"/>
      <c r="KS80" s="39"/>
      <c r="KT80" s="39"/>
      <c r="KU80" s="40"/>
      <c r="KV80" s="39"/>
      <c r="KW80" s="39"/>
      <c r="KX80" s="39"/>
      <c r="KY80" s="39"/>
      <c r="KZ80" s="39"/>
      <c r="LA80" s="39"/>
      <c r="LB80" s="39"/>
      <c r="LC80" s="39"/>
      <c r="LD80" s="39"/>
      <c r="LE80" s="39"/>
      <c r="LF80" s="39"/>
      <c r="LG80" s="39"/>
      <c r="LH80" s="39"/>
      <c r="LI80" s="39"/>
      <c r="LJ80" s="39"/>
      <c r="LK80" s="39"/>
      <c r="LL80" s="39"/>
      <c r="LM80" s="39"/>
      <c r="LN80" s="38"/>
      <c r="LO80" s="39"/>
      <c r="LP80" s="39"/>
      <c r="LQ80" s="40"/>
      <c r="LR80" s="39"/>
      <c r="LS80" s="39"/>
      <c r="LT80" s="39"/>
      <c r="LU80" s="39"/>
      <c r="LV80" s="39"/>
      <c r="LW80" s="39"/>
      <c r="LX80" s="39"/>
      <c r="LY80" s="39"/>
      <c r="LZ80" s="39"/>
      <c r="MA80" s="39"/>
      <c r="MB80" s="39"/>
      <c r="MC80" s="39"/>
      <c r="MD80" s="39"/>
      <c r="ME80" s="39"/>
      <c r="MF80" s="39"/>
      <c r="MG80" s="39"/>
      <c r="MH80" s="39"/>
      <c r="MI80" s="39"/>
      <c r="MJ80" s="39"/>
      <c r="MK80" s="39"/>
      <c r="ML80" s="39"/>
      <c r="MM80" s="39"/>
      <c r="MN80" s="39"/>
      <c r="MO80" s="39"/>
      <c r="MP80" s="39"/>
      <c r="MQ80" s="39"/>
      <c r="MR80" s="39"/>
      <c r="MS80" s="38"/>
      <c r="MT80" s="39"/>
      <c r="MU80" s="39"/>
      <c r="MV80" s="39"/>
      <c r="MW80" s="39"/>
      <c r="MX80" s="39"/>
      <c r="MY80" s="39"/>
      <c r="MZ80" s="39"/>
      <c r="NA80" s="39"/>
      <c r="NB80" s="39"/>
      <c r="NC80" s="39"/>
      <c r="ND80" s="39"/>
      <c r="NE80" s="39"/>
      <c r="NF80" s="39"/>
      <c r="NG80" s="39"/>
      <c r="NH80" s="39"/>
      <c r="NI80" s="39"/>
      <c r="NJ80" s="39"/>
      <c r="NK80" s="39"/>
      <c r="NL80" s="39"/>
      <c r="NM80" s="39"/>
      <c r="NN80" s="39"/>
      <c r="NO80" s="39"/>
      <c r="NP80" s="39"/>
      <c r="NQ80" s="39"/>
      <c r="NR80" s="39"/>
      <c r="NS80" s="39"/>
      <c r="NT80" s="39"/>
      <c r="NU80" s="39"/>
      <c r="NV80" s="39"/>
      <c r="NW80" s="39"/>
      <c r="NX80" s="39"/>
      <c r="NY80" s="38"/>
    </row>
    <row r="81">
      <c r="A81" s="45" t="s">
        <v>469</v>
      </c>
      <c r="B81" s="26" t="str">
        <f>IFERROR(__xludf.DUMMYFUNCTION("VLOOKUP(A81, IMPORTRANGE(""https://docs.google.com/spreadsheets/d/1KpTMcNM9m1P7u9qCVzob8p1-RZoC1ejaYs5CdpAbWFY/edit?gid=260580969#gid=260580969"", ""2025 EMP PROFILE DATA!a1:W98""), 22, FALSE)"),"#REF!")</f>
        <v>#REF!</v>
      </c>
      <c r="C81" s="45">
        <f t="shared" si="1"/>
        <v>3</v>
      </c>
      <c r="D81" s="45">
        <f t="shared" si="2"/>
        <v>1</v>
      </c>
      <c r="E81" s="45">
        <f t="shared" si="3"/>
        <v>0</v>
      </c>
      <c r="F81" s="45">
        <f t="shared" si="4"/>
        <v>0</v>
      </c>
      <c r="G81" s="46">
        <f t="shared" si="5"/>
        <v>0.007575757576</v>
      </c>
      <c r="H81" s="46">
        <f t="shared" si="6"/>
        <v>0</v>
      </c>
      <c r="I81" s="28">
        <f t="shared" si="7"/>
        <v>12</v>
      </c>
      <c r="J81" s="26">
        <v>0.0</v>
      </c>
      <c r="K81" s="26">
        <v>0.0</v>
      </c>
      <c r="L81" s="49"/>
      <c r="M81" s="45"/>
      <c r="N81" s="57" t="s">
        <v>19</v>
      </c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37" t="s">
        <v>19</v>
      </c>
      <c r="AK81" s="37"/>
      <c r="AL81" s="45"/>
      <c r="AM81" s="45"/>
      <c r="AN81" s="45"/>
      <c r="AO81" s="45"/>
      <c r="AP81" s="45"/>
      <c r="AQ81" s="45"/>
      <c r="AR81" s="29"/>
      <c r="AS81" s="28"/>
      <c r="AT81" s="28"/>
      <c r="AU81" s="28"/>
      <c r="AV81" s="28"/>
      <c r="AW81" s="26"/>
      <c r="AX81" s="28"/>
      <c r="AY81" s="28"/>
      <c r="AZ81" s="26"/>
      <c r="BA81" s="28"/>
      <c r="BB81" s="26"/>
      <c r="BC81" s="28"/>
      <c r="BD81" s="28"/>
      <c r="BE81" s="26"/>
      <c r="BF81" s="28"/>
      <c r="BG81" s="28"/>
      <c r="BH81" s="26"/>
      <c r="BI81" s="26"/>
      <c r="BJ81" s="26"/>
      <c r="BK81" s="28"/>
      <c r="BL81" s="28"/>
      <c r="BM81" s="26"/>
      <c r="BN81" s="28"/>
      <c r="BO81" s="28"/>
      <c r="BP81" s="28"/>
      <c r="BQ81" s="28"/>
      <c r="BR81" s="28"/>
      <c r="BS81" s="31"/>
      <c r="BT81" s="26"/>
      <c r="BU81" s="32"/>
      <c r="BV81" s="33"/>
      <c r="BW81" s="33"/>
      <c r="BX81" s="33"/>
      <c r="BY81" s="26" t="s">
        <v>20</v>
      </c>
      <c r="BZ81" s="33"/>
      <c r="CA81" s="33"/>
      <c r="CB81" s="35"/>
      <c r="CC81" s="33"/>
      <c r="CD81" s="33"/>
      <c r="CE81" s="34"/>
      <c r="CF81" s="36"/>
      <c r="CG81" s="26"/>
      <c r="CH81" s="28"/>
      <c r="CI81" s="28"/>
      <c r="CJ81" s="28"/>
      <c r="CK81" s="28"/>
      <c r="CL81" s="26"/>
      <c r="CM81" s="28"/>
      <c r="CN81" s="76"/>
      <c r="CO81" s="28"/>
      <c r="CP81" s="37" t="s">
        <v>19</v>
      </c>
      <c r="CQ81" s="28"/>
      <c r="CR81" s="28"/>
      <c r="CS81" s="28"/>
      <c r="CT81" s="28"/>
      <c r="CU81" s="26"/>
      <c r="CV81" s="31"/>
      <c r="CW81" s="26"/>
      <c r="CX81" s="26"/>
      <c r="CY81" s="26"/>
      <c r="CZ81" s="31"/>
      <c r="DA81" s="32"/>
      <c r="DB81" s="28"/>
      <c r="DC81" s="28"/>
      <c r="DD81" s="28"/>
      <c r="DE81" s="26"/>
      <c r="DF81" s="26"/>
      <c r="DG81" s="26"/>
      <c r="DH81" s="26"/>
      <c r="DI81" s="26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6"/>
      <c r="DX81" s="26"/>
      <c r="DY81" s="28"/>
      <c r="DZ81" s="28"/>
      <c r="EA81" s="28"/>
      <c r="EB81" s="31"/>
      <c r="EC81" s="26"/>
      <c r="ED81" s="31"/>
      <c r="EE81" s="26"/>
      <c r="EF81" s="32"/>
      <c r="EG81" s="28"/>
      <c r="EH81" s="26"/>
      <c r="EI81" s="28"/>
      <c r="EJ81" s="28"/>
      <c r="EK81" s="26"/>
      <c r="EL81" s="28"/>
      <c r="EM81" s="28"/>
      <c r="EN81" s="26"/>
      <c r="EO81" s="26"/>
      <c r="EP81" s="28"/>
      <c r="EQ81" s="28"/>
      <c r="ER81" s="26"/>
      <c r="ES81" s="28"/>
      <c r="ET81" s="26"/>
      <c r="EU81" s="26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6"/>
      <c r="FH81" s="26"/>
      <c r="FI81" s="31"/>
      <c r="FJ81" s="31"/>
      <c r="FK81" s="31"/>
      <c r="FL81" s="32"/>
      <c r="FM81" s="28"/>
      <c r="FN81" s="26"/>
      <c r="FO81" s="28"/>
      <c r="FP81" s="28"/>
      <c r="FQ81" s="26"/>
      <c r="FR81" s="28"/>
      <c r="FS81" s="28"/>
      <c r="FT81" s="28"/>
      <c r="FU81" s="26"/>
      <c r="FV81" s="28"/>
      <c r="FW81" s="28"/>
      <c r="FX81" s="26"/>
      <c r="FY81" s="28"/>
      <c r="FZ81" s="28"/>
      <c r="GA81" s="28"/>
      <c r="GB81" s="26"/>
      <c r="GC81" s="26"/>
      <c r="GD81" s="28"/>
      <c r="GE81" s="28"/>
      <c r="GF81" s="28"/>
      <c r="GG81" s="28"/>
      <c r="GH81" s="28"/>
      <c r="GI81" s="26"/>
      <c r="GJ81" s="28"/>
      <c r="GK81" s="28"/>
      <c r="GL81" s="28"/>
      <c r="GM81" s="31"/>
      <c r="GN81" s="26"/>
      <c r="GO81" s="31"/>
      <c r="GP81" s="31"/>
      <c r="GQ81" s="38"/>
      <c r="GR81" s="39"/>
      <c r="GS81" s="39"/>
      <c r="GT81" s="39"/>
      <c r="GU81" s="39"/>
      <c r="GV81" s="39"/>
      <c r="GW81" s="39"/>
      <c r="GX81" s="39"/>
      <c r="GY81" s="39"/>
      <c r="GZ81" s="40"/>
      <c r="HA81" s="39"/>
      <c r="HB81" s="39"/>
      <c r="HC81" s="39"/>
      <c r="HD81" s="39"/>
      <c r="HE81" s="39"/>
      <c r="HF81" s="39"/>
      <c r="HG81" s="39"/>
      <c r="HH81" s="39"/>
      <c r="HI81" s="39"/>
      <c r="HJ81" s="39"/>
      <c r="HK81" s="39"/>
      <c r="HL81" s="40"/>
      <c r="HM81" s="40"/>
      <c r="HN81" s="39"/>
      <c r="HO81" s="39"/>
      <c r="HP81" s="39"/>
      <c r="HQ81" s="39"/>
      <c r="HR81" s="39"/>
      <c r="HS81" s="39"/>
      <c r="HT81" s="39"/>
      <c r="HU81" s="40"/>
      <c r="HV81" s="39"/>
      <c r="HW81" s="38"/>
      <c r="HX81" s="41"/>
      <c r="HY81" s="39"/>
      <c r="HZ81" s="39"/>
      <c r="IA81" s="39"/>
      <c r="IB81" s="39"/>
      <c r="IC81" s="39"/>
      <c r="ID81" s="40"/>
      <c r="IE81" s="39"/>
      <c r="IF81" s="39"/>
      <c r="IG81" s="39"/>
      <c r="IH81" s="40"/>
      <c r="II81" s="40"/>
      <c r="IJ81" s="42"/>
      <c r="IK81" s="42"/>
      <c r="IL81" s="39"/>
      <c r="IM81" s="39"/>
      <c r="IN81" s="39"/>
      <c r="IO81" s="42"/>
      <c r="IP81" s="40"/>
      <c r="IQ81" s="39"/>
      <c r="IR81" s="39"/>
      <c r="IS81" s="39"/>
      <c r="IT81" s="39"/>
      <c r="IU81" s="39"/>
      <c r="IV81" s="39"/>
      <c r="IW81" s="39"/>
      <c r="IX81" s="39"/>
      <c r="IY81" s="39"/>
      <c r="IZ81" s="39"/>
      <c r="JA81" s="39"/>
      <c r="JB81" s="39"/>
      <c r="JC81" s="38"/>
      <c r="JD81" s="39"/>
      <c r="JE81" s="39"/>
      <c r="JF81" s="39"/>
      <c r="JG81" s="39"/>
      <c r="JH81" s="39"/>
      <c r="JI81" s="39"/>
      <c r="JJ81" s="39"/>
      <c r="JK81" s="39"/>
      <c r="JL81" s="39"/>
      <c r="JM81" s="39"/>
      <c r="JN81" s="39"/>
      <c r="JO81" s="39"/>
      <c r="JP81" s="39"/>
      <c r="JQ81" s="39"/>
      <c r="JR81" s="39"/>
      <c r="JS81" s="39"/>
      <c r="JT81" s="39"/>
      <c r="JU81" s="39"/>
      <c r="JV81" s="39"/>
      <c r="JW81" s="39"/>
      <c r="JX81" s="39"/>
      <c r="JY81" s="39"/>
      <c r="JZ81" s="39"/>
      <c r="KA81" s="39"/>
      <c r="KB81" s="39"/>
      <c r="KC81" s="39"/>
      <c r="KD81" s="39"/>
      <c r="KE81" s="39"/>
      <c r="KF81" s="39"/>
      <c r="KG81" s="39"/>
      <c r="KH81" s="38"/>
      <c r="KI81" s="39"/>
      <c r="KJ81" s="39"/>
      <c r="KK81" s="39"/>
      <c r="KL81" s="39"/>
      <c r="KM81" s="39"/>
      <c r="KN81" s="39"/>
      <c r="KO81" s="39"/>
      <c r="KP81" s="39"/>
      <c r="KQ81" s="39"/>
      <c r="KR81" s="39"/>
      <c r="KS81" s="39"/>
      <c r="KT81" s="39"/>
      <c r="KU81" s="40"/>
      <c r="KV81" s="39"/>
      <c r="KW81" s="39"/>
      <c r="KX81" s="39"/>
      <c r="KY81" s="39"/>
      <c r="KZ81" s="39"/>
      <c r="LA81" s="39"/>
      <c r="LB81" s="39"/>
      <c r="LC81" s="39"/>
      <c r="LD81" s="39"/>
      <c r="LE81" s="39"/>
      <c r="LF81" s="39"/>
      <c r="LG81" s="39"/>
      <c r="LH81" s="39"/>
      <c r="LI81" s="39"/>
      <c r="LJ81" s="39"/>
      <c r="LK81" s="39"/>
      <c r="LL81" s="39"/>
      <c r="LM81" s="39"/>
      <c r="LN81" s="38"/>
      <c r="LO81" s="39"/>
      <c r="LP81" s="39"/>
      <c r="LQ81" s="40"/>
      <c r="LR81" s="39"/>
      <c r="LS81" s="39"/>
      <c r="LT81" s="39"/>
      <c r="LU81" s="39"/>
      <c r="LV81" s="39"/>
      <c r="LW81" s="39"/>
      <c r="LX81" s="39"/>
      <c r="LY81" s="39"/>
      <c r="LZ81" s="39"/>
      <c r="MA81" s="39"/>
      <c r="MB81" s="39"/>
      <c r="MC81" s="39"/>
      <c r="MD81" s="39"/>
      <c r="ME81" s="39"/>
      <c r="MF81" s="39"/>
      <c r="MG81" s="39"/>
      <c r="MH81" s="39"/>
      <c r="MI81" s="39"/>
      <c r="MJ81" s="39"/>
      <c r="MK81" s="39"/>
      <c r="ML81" s="39"/>
      <c r="MM81" s="39"/>
      <c r="MN81" s="39"/>
      <c r="MO81" s="39"/>
      <c r="MP81" s="39"/>
      <c r="MQ81" s="39"/>
      <c r="MR81" s="39"/>
      <c r="MS81" s="38"/>
      <c r="MT81" s="39"/>
      <c r="MU81" s="39"/>
      <c r="MV81" s="39"/>
      <c r="MW81" s="39"/>
      <c r="MX81" s="39"/>
      <c r="MY81" s="39"/>
      <c r="MZ81" s="39"/>
      <c r="NA81" s="39"/>
      <c r="NB81" s="39"/>
      <c r="NC81" s="39"/>
      <c r="ND81" s="39"/>
      <c r="NE81" s="39"/>
      <c r="NF81" s="39"/>
      <c r="NG81" s="39"/>
      <c r="NH81" s="39"/>
      <c r="NI81" s="39"/>
      <c r="NJ81" s="39"/>
      <c r="NK81" s="39"/>
      <c r="NL81" s="39"/>
      <c r="NM81" s="39"/>
      <c r="NN81" s="39"/>
      <c r="NO81" s="39"/>
      <c r="NP81" s="39"/>
      <c r="NQ81" s="39"/>
      <c r="NR81" s="39"/>
      <c r="NS81" s="39"/>
      <c r="NT81" s="39"/>
      <c r="NU81" s="39"/>
      <c r="NV81" s="39"/>
      <c r="NW81" s="39"/>
      <c r="NX81" s="39"/>
      <c r="NY81" s="38"/>
    </row>
    <row r="82">
      <c r="A82" s="45" t="s">
        <v>470</v>
      </c>
      <c r="B82" s="26" t="str">
        <f>IFERROR(__xludf.DUMMYFUNCTION("VLOOKUP(A82, IMPORTRANGE(""https://docs.google.com/spreadsheets/d/1KpTMcNM9m1P7u9qCVzob8p1-RZoC1ejaYs5CdpAbWFY/edit?gid=260580969#gid=260580969"", ""2025 EMP PROFILE DATA!a1:W98""), 22, FALSE)"),"#REF!")</f>
        <v>#REF!</v>
      </c>
      <c r="C82" s="45">
        <f t="shared" si="1"/>
        <v>2</v>
      </c>
      <c r="D82" s="45">
        <f t="shared" si="2"/>
        <v>5</v>
      </c>
      <c r="E82" s="45">
        <f t="shared" si="3"/>
        <v>16</v>
      </c>
      <c r="F82" s="45">
        <f t="shared" si="4"/>
        <v>2</v>
      </c>
      <c r="G82" s="46">
        <f t="shared" si="5"/>
        <v>0.005050505051</v>
      </c>
      <c r="H82" s="46">
        <f t="shared" si="6"/>
        <v>0.0404040404</v>
      </c>
      <c r="I82" s="28">
        <f t="shared" si="7"/>
        <v>24</v>
      </c>
      <c r="J82" s="26">
        <v>0.0</v>
      </c>
      <c r="K82" s="26">
        <v>0.0</v>
      </c>
      <c r="L82" s="49"/>
      <c r="M82" s="45"/>
      <c r="N82" s="57" t="s">
        <v>19</v>
      </c>
      <c r="O82" s="45"/>
      <c r="P82" s="45"/>
      <c r="Q82" s="45"/>
      <c r="R82" s="45"/>
      <c r="S82" s="45"/>
      <c r="T82" s="45"/>
      <c r="U82" s="57" t="s">
        <v>21</v>
      </c>
      <c r="V82" s="57" t="s">
        <v>22</v>
      </c>
      <c r="W82" s="45"/>
      <c r="X82" s="45"/>
      <c r="Y82" s="45"/>
      <c r="Z82" s="45"/>
      <c r="AA82" s="45"/>
      <c r="AB82" s="45"/>
      <c r="AC82" s="45"/>
      <c r="AD82" s="45"/>
      <c r="AE82" s="57" t="s">
        <v>21</v>
      </c>
      <c r="AF82" s="45"/>
      <c r="AG82" s="45"/>
      <c r="AH82" s="45"/>
      <c r="AI82" s="45"/>
      <c r="AJ82" s="45"/>
      <c r="AK82" s="45"/>
      <c r="AL82" s="45"/>
      <c r="AM82" s="45"/>
      <c r="AN82" s="57" t="s">
        <v>21</v>
      </c>
      <c r="AO82" s="57" t="s">
        <v>19</v>
      </c>
      <c r="AP82" s="45"/>
      <c r="AQ82" s="45"/>
      <c r="AR82" s="29"/>
      <c r="AS82" s="28"/>
      <c r="AT82" s="28"/>
      <c r="AU82" s="28"/>
      <c r="AV82" s="28"/>
      <c r="AW82" s="26"/>
      <c r="AX82" s="28"/>
      <c r="AY82" s="28"/>
      <c r="AZ82" s="26"/>
      <c r="BA82" s="28"/>
      <c r="BB82" s="37" t="s">
        <v>21</v>
      </c>
      <c r="BC82" s="28"/>
      <c r="BD82" s="26" t="s">
        <v>20</v>
      </c>
      <c r="BE82" s="26"/>
      <c r="BF82" s="28"/>
      <c r="BG82" s="28"/>
      <c r="BH82" s="26"/>
      <c r="BI82" s="26"/>
      <c r="BJ82" s="26"/>
      <c r="BK82" s="28"/>
      <c r="BL82" s="28"/>
      <c r="BM82" s="26"/>
      <c r="BN82" s="28"/>
      <c r="BO82" s="28"/>
      <c r="BP82" s="26" t="s">
        <v>21</v>
      </c>
      <c r="BQ82" s="28"/>
      <c r="BR82" s="37" t="s">
        <v>21</v>
      </c>
      <c r="BS82" s="31"/>
      <c r="BT82" s="26" t="s">
        <v>20</v>
      </c>
      <c r="BU82" s="32"/>
      <c r="BV82" s="33"/>
      <c r="BW82" s="33"/>
      <c r="BX82" s="33"/>
      <c r="BY82" s="33"/>
      <c r="BZ82" s="37" t="s">
        <v>21</v>
      </c>
      <c r="CA82" s="33"/>
      <c r="CB82" s="35"/>
      <c r="CC82" s="33"/>
      <c r="CD82" s="33"/>
      <c r="CE82" s="34" t="s">
        <v>20</v>
      </c>
      <c r="CF82" s="34" t="s">
        <v>20</v>
      </c>
      <c r="CG82" s="26"/>
      <c r="CH82" s="28"/>
      <c r="CI82" s="28"/>
      <c r="CJ82" s="28"/>
      <c r="CK82" s="26" t="s">
        <v>21</v>
      </c>
      <c r="CL82" s="26"/>
      <c r="CM82" s="28"/>
      <c r="CN82" s="28"/>
      <c r="CO82" s="28"/>
      <c r="CP82" s="26"/>
      <c r="CQ82" s="28"/>
      <c r="CR82" s="28"/>
      <c r="CS82" s="28"/>
      <c r="CT82" s="28"/>
      <c r="CU82" s="26"/>
      <c r="CV82" s="31"/>
      <c r="CW82" s="26"/>
      <c r="CX82" s="26"/>
      <c r="CY82" s="26"/>
      <c r="CZ82" s="31"/>
      <c r="DA82" s="32"/>
      <c r="DB82" s="28"/>
      <c r="DC82" s="28"/>
      <c r="DD82" s="26" t="s">
        <v>22</v>
      </c>
      <c r="DE82" s="26"/>
      <c r="DF82" s="26"/>
      <c r="DG82" s="26"/>
      <c r="DH82" s="26"/>
      <c r="DI82" s="26"/>
      <c r="DJ82" s="28"/>
      <c r="DK82" s="28"/>
      <c r="DL82" s="28"/>
      <c r="DM82" s="28"/>
      <c r="DN82" s="37" t="s">
        <v>21</v>
      </c>
      <c r="DO82" s="37" t="s">
        <v>21</v>
      </c>
      <c r="DP82" s="28"/>
      <c r="DQ82" s="28"/>
      <c r="DR82" s="28"/>
      <c r="DS82" s="28"/>
      <c r="DT82" s="28"/>
      <c r="DU82" s="28"/>
      <c r="DV82" s="28"/>
      <c r="DW82" s="26"/>
      <c r="DX82" s="26"/>
      <c r="DY82" s="28"/>
      <c r="DZ82" s="28"/>
      <c r="EA82" s="28"/>
      <c r="EB82" s="31"/>
      <c r="EC82" s="37" t="s">
        <v>21</v>
      </c>
      <c r="ED82" s="31"/>
      <c r="EE82" s="26"/>
      <c r="EF82" s="32"/>
      <c r="EG82" s="28"/>
      <c r="EH82" s="26"/>
      <c r="EI82" s="28"/>
      <c r="EJ82" s="28"/>
      <c r="EK82" s="26"/>
      <c r="EL82" s="28"/>
      <c r="EM82" s="28"/>
      <c r="EN82" s="26"/>
      <c r="EO82" s="37" t="s">
        <v>21</v>
      </c>
      <c r="EP82" s="28"/>
      <c r="EQ82" s="28"/>
      <c r="ER82" s="37" t="s">
        <v>21</v>
      </c>
      <c r="ES82" s="28"/>
      <c r="ET82" s="26"/>
      <c r="EU82" s="26"/>
      <c r="EV82" s="65" t="s">
        <v>20</v>
      </c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6"/>
      <c r="FH82" s="26"/>
      <c r="FI82" s="31"/>
      <c r="FJ82" s="31"/>
      <c r="FK82" s="31"/>
      <c r="FL82" s="32"/>
      <c r="FM82" s="28"/>
      <c r="FN82" s="26"/>
      <c r="FO82" s="28"/>
      <c r="FP82" s="28"/>
      <c r="FQ82" s="26"/>
      <c r="FR82" s="28"/>
      <c r="FS82" s="28"/>
      <c r="FT82" s="28"/>
      <c r="FU82" s="26"/>
      <c r="FV82" s="28"/>
      <c r="FW82" s="28"/>
      <c r="FX82" s="26"/>
      <c r="FY82" s="37" t="s">
        <v>21</v>
      </c>
      <c r="FZ82" s="28"/>
      <c r="GA82" s="28"/>
      <c r="GB82" s="26"/>
      <c r="GC82" s="26"/>
      <c r="GD82" s="28"/>
      <c r="GE82" s="37" t="s">
        <v>21</v>
      </c>
      <c r="GF82" s="28"/>
      <c r="GG82" s="28"/>
      <c r="GH82" s="28"/>
      <c r="GI82" s="26"/>
      <c r="GJ82" s="28"/>
      <c r="GK82" s="28"/>
      <c r="GL82" s="37" t="s">
        <v>21</v>
      </c>
      <c r="GM82" s="31"/>
      <c r="GN82" s="26"/>
      <c r="GO82" s="31"/>
      <c r="GP82" s="31"/>
      <c r="GQ82" s="38"/>
      <c r="GR82" s="39"/>
      <c r="GS82" s="39"/>
      <c r="GT82" s="39"/>
      <c r="GU82" s="39"/>
      <c r="GV82" s="39"/>
      <c r="GW82" s="39"/>
      <c r="GX82" s="39"/>
      <c r="GY82" s="39"/>
      <c r="GZ82" s="40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39"/>
      <c r="HL82" s="40"/>
      <c r="HM82" s="40"/>
      <c r="HN82" s="39"/>
      <c r="HO82" s="39"/>
      <c r="HP82" s="39"/>
      <c r="HQ82" s="39"/>
      <c r="HR82" s="39"/>
      <c r="HS82" s="39"/>
      <c r="HT82" s="39"/>
      <c r="HU82" s="40"/>
      <c r="HV82" s="39"/>
      <c r="HW82" s="38"/>
      <c r="HX82" s="41"/>
      <c r="HY82" s="39"/>
      <c r="HZ82" s="39"/>
      <c r="IA82" s="39"/>
      <c r="IB82" s="39"/>
      <c r="IC82" s="39"/>
      <c r="ID82" s="40"/>
      <c r="IE82" s="39"/>
      <c r="IF82" s="39"/>
      <c r="IG82" s="39"/>
      <c r="IH82" s="40"/>
      <c r="II82" s="40"/>
      <c r="IJ82" s="42"/>
      <c r="IK82" s="42"/>
      <c r="IL82" s="39"/>
      <c r="IM82" s="39"/>
      <c r="IN82" s="39"/>
      <c r="IO82" s="42"/>
      <c r="IP82" s="40"/>
      <c r="IQ82" s="39"/>
      <c r="IR82" s="39"/>
      <c r="IS82" s="39"/>
      <c r="IT82" s="39"/>
      <c r="IU82" s="39"/>
      <c r="IV82" s="39"/>
      <c r="IW82" s="39"/>
      <c r="IX82" s="39"/>
      <c r="IY82" s="39"/>
      <c r="IZ82" s="39"/>
      <c r="JA82" s="39"/>
      <c r="JB82" s="39"/>
      <c r="JC82" s="38"/>
      <c r="JD82" s="39"/>
      <c r="JE82" s="39"/>
      <c r="JF82" s="39"/>
      <c r="JG82" s="39"/>
      <c r="JH82" s="39"/>
      <c r="JI82" s="39"/>
      <c r="JJ82" s="39"/>
      <c r="JK82" s="39"/>
      <c r="JL82" s="39"/>
      <c r="JM82" s="39"/>
      <c r="JN82" s="39"/>
      <c r="JO82" s="39"/>
      <c r="JP82" s="39"/>
      <c r="JQ82" s="39"/>
      <c r="JR82" s="39"/>
      <c r="JS82" s="39"/>
      <c r="JT82" s="39"/>
      <c r="JU82" s="39"/>
      <c r="JV82" s="39"/>
      <c r="JW82" s="39"/>
      <c r="JX82" s="39"/>
      <c r="JY82" s="39"/>
      <c r="JZ82" s="39"/>
      <c r="KA82" s="39"/>
      <c r="KB82" s="39"/>
      <c r="KC82" s="39"/>
      <c r="KD82" s="39"/>
      <c r="KE82" s="39"/>
      <c r="KF82" s="39"/>
      <c r="KG82" s="39"/>
      <c r="KH82" s="38"/>
      <c r="KI82" s="39"/>
      <c r="KJ82" s="39"/>
      <c r="KK82" s="39"/>
      <c r="KL82" s="39"/>
      <c r="KM82" s="39"/>
      <c r="KN82" s="39"/>
      <c r="KO82" s="39"/>
      <c r="KP82" s="39"/>
      <c r="KQ82" s="39"/>
      <c r="KR82" s="39"/>
      <c r="KS82" s="39"/>
      <c r="KT82" s="39"/>
      <c r="KU82" s="40"/>
      <c r="KV82" s="39"/>
      <c r="KW82" s="39"/>
      <c r="KX82" s="39"/>
      <c r="KY82" s="39"/>
      <c r="KZ82" s="39"/>
      <c r="LA82" s="39"/>
      <c r="LB82" s="39"/>
      <c r="LC82" s="39"/>
      <c r="LD82" s="39"/>
      <c r="LE82" s="39"/>
      <c r="LF82" s="39"/>
      <c r="LG82" s="39"/>
      <c r="LH82" s="39"/>
      <c r="LI82" s="39"/>
      <c r="LJ82" s="39"/>
      <c r="LK82" s="39"/>
      <c r="LL82" s="39"/>
      <c r="LM82" s="39"/>
      <c r="LN82" s="38"/>
      <c r="LO82" s="39"/>
      <c r="LP82" s="39"/>
      <c r="LQ82" s="40"/>
      <c r="LR82" s="39"/>
      <c r="LS82" s="39"/>
      <c r="LT82" s="39"/>
      <c r="LU82" s="39"/>
      <c r="LV82" s="39"/>
      <c r="LW82" s="39"/>
      <c r="LX82" s="39"/>
      <c r="LY82" s="39"/>
      <c r="LZ82" s="39"/>
      <c r="MA82" s="39"/>
      <c r="MB82" s="39"/>
      <c r="MC82" s="39"/>
      <c r="MD82" s="39"/>
      <c r="ME82" s="39"/>
      <c r="MF82" s="39"/>
      <c r="MG82" s="39"/>
      <c r="MH82" s="39"/>
      <c r="MI82" s="39"/>
      <c r="MJ82" s="39"/>
      <c r="MK82" s="39"/>
      <c r="ML82" s="39"/>
      <c r="MM82" s="39"/>
      <c r="MN82" s="39"/>
      <c r="MO82" s="39"/>
      <c r="MP82" s="39"/>
      <c r="MQ82" s="39"/>
      <c r="MR82" s="39"/>
      <c r="MS82" s="38"/>
      <c r="MT82" s="39"/>
      <c r="MU82" s="39"/>
      <c r="MV82" s="39"/>
      <c r="MW82" s="39"/>
      <c r="MX82" s="39"/>
      <c r="MY82" s="39"/>
      <c r="MZ82" s="39"/>
      <c r="NA82" s="39"/>
      <c r="NB82" s="39"/>
      <c r="NC82" s="39"/>
      <c r="ND82" s="39"/>
      <c r="NE82" s="39"/>
      <c r="NF82" s="39"/>
      <c r="NG82" s="39"/>
      <c r="NH82" s="39"/>
      <c r="NI82" s="39"/>
      <c r="NJ82" s="39"/>
      <c r="NK82" s="39"/>
      <c r="NL82" s="39"/>
      <c r="NM82" s="39"/>
      <c r="NN82" s="39"/>
      <c r="NO82" s="39"/>
      <c r="NP82" s="39"/>
      <c r="NQ82" s="39"/>
      <c r="NR82" s="39"/>
      <c r="NS82" s="39"/>
      <c r="NT82" s="39"/>
      <c r="NU82" s="39"/>
      <c r="NV82" s="39"/>
      <c r="NW82" s="39"/>
      <c r="NX82" s="39"/>
      <c r="NY82" s="38"/>
    </row>
    <row r="83">
      <c r="A83" s="77"/>
      <c r="B83" s="78" t="str">
        <f>IFERROR(__xludf.DUMMYFUNCTION("VLOOKUP(A83, IMPORTRANGE(""https://docs.google.com/spreadsheets/d/1KpTMcNM9m1P7u9qCVzob8p1-RZoC1ejaYs5CdpAbWFY/edit?gid=260580969#gid=260580969"", ""2025 EMP PROFILE DATA!B1:W98""), 21, FALSE)"),"#REF!")</f>
        <v>#REF!</v>
      </c>
      <c r="C83" s="78">
        <f t="shared" si="1"/>
        <v>0</v>
      </c>
      <c r="D83" s="78">
        <f t="shared" si="2"/>
        <v>0</v>
      </c>
      <c r="E83" s="78">
        <f t="shared" si="3"/>
        <v>0</v>
      </c>
      <c r="F83" s="78">
        <f t="shared" si="4"/>
        <v>0</v>
      </c>
      <c r="G83" s="79">
        <f t="shared" si="5"/>
        <v>0</v>
      </c>
      <c r="H83" s="79">
        <f t="shared" si="6"/>
        <v>0</v>
      </c>
      <c r="I83" s="80">
        <f t="shared" si="7"/>
        <v>0</v>
      </c>
      <c r="J83" s="81">
        <v>0.0</v>
      </c>
      <c r="K83" s="81">
        <v>0.0</v>
      </c>
      <c r="L83" s="49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7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38"/>
      <c r="AS83" s="78"/>
      <c r="AT83" s="77"/>
      <c r="AU83" s="77"/>
      <c r="AV83" s="78"/>
      <c r="AW83" s="78"/>
      <c r="AX83" s="78"/>
      <c r="AY83" s="77"/>
      <c r="AZ83" s="77"/>
      <c r="BA83" s="77"/>
      <c r="BB83" s="77"/>
      <c r="BC83" s="78"/>
      <c r="BD83" s="77"/>
      <c r="BE83" s="77"/>
      <c r="BF83" s="77"/>
      <c r="BG83" s="77"/>
      <c r="BH83" s="78"/>
      <c r="BI83" s="77"/>
      <c r="BJ83" s="77"/>
      <c r="BK83" s="77"/>
      <c r="BL83" s="77"/>
      <c r="BM83" s="77"/>
      <c r="BN83" s="78"/>
      <c r="BO83" s="78"/>
      <c r="BP83" s="78"/>
      <c r="BQ83" s="78"/>
      <c r="BR83" s="78"/>
      <c r="BS83" s="77"/>
      <c r="BT83" s="82"/>
      <c r="BU83" s="38"/>
      <c r="BV83" s="78"/>
      <c r="BW83" s="78"/>
      <c r="BX83" s="77"/>
      <c r="BY83" s="78"/>
      <c r="BZ83" s="78"/>
      <c r="CA83" s="78"/>
      <c r="CB83" s="78"/>
      <c r="CC83" s="77"/>
      <c r="CD83" s="78"/>
      <c r="CE83" s="77"/>
      <c r="CF83" s="78"/>
      <c r="CG83" s="77"/>
      <c r="CH83" s="77"/>
      <c r="CI83" s="77"/>
      <c r="CJ83" s="78"/>
      <c r="CK83" s="78"/>
      <c r="CL83" s="77"/>
      <c r="CM83" s="78"/>
      <c r="CN83" s="77"/>
      <c r="CO83" s="77"/>
      <c r="CP83" s="77"/>
      <c r="CQ83" s="78"/>
      <c r="CR83" s="78"/>
      <c r="CS83" s="78"/>
      <c r="CT83" s="78"/>
      <c r="CU83" s="77"/>
      <c r="CV83" s="77"/>
      <c r="CW83" s="77"/>
      <c r="CX83" s="82"/>
      <c r="CY83" s="82"/>
      <c r="CZ83" s="77"/>
      <c r="DA83" s="38"/>
      <c r="DB83" s="78"/>
      <c r="DC83" s="77"/>
      <c r="DD83" s="77"/>
      <c r="DE83" s="78"/>
      <c r="DF83" s="78"/>
      <c r="DG83" s="78"/>
      <c r="DH83" s="78"/>
      <c r="DI83" s="78"/>
      <c r="DJ83" s="77"/>
      <c r="DK83" s="77"/>
      <c r="DL83" s="78"/>
      <c r="DM83" s="77"/>
      <c r="DN83" s="78"/>
      <c r="DO83" s="77"/>
      <c r="DP83" s="77"/>
      <c r="DQ83" s="78"/>
      <c r="DR83" s="78"/>
      <c r="DS83" s="78"/>
      <c r="DT83" s="77"/>
      <c r="DU83" s="78"/>
      <c r="DV83" s="78"/>
      <c r="DW83" s="78"/>
      <c r="DX83" s="78"/>
      <c r="DY83" s="78"/>
      <c r="DZ83" s="78"/>
      <c r="EA83" s="78"/>
      <c r="EB83" s="82"/>
      <c r="EC83" s="82"/>
      <c r="ED83" s="82"/>
      <c r="EE83" s="82"/>
      <c r="EF83" s="38"/>
      <c r="EG83" s="78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78"/>
      <c r="EY83" s="78"/>
      <c r="EZ83" s="78"/>
      <c r="FA83" s="78"/>
      <c r="FB83" s="78"/>
      <c r="FC83" s="78"/>
      <c r="FD83" s="78"/>
      <c r="FE83" s="78"/>
      <c r="FF83" s="78"/>
      <c r="FG83" s="82"/>
      <c r="FH83" s="82"/>
      <c r="FI83" s="82"/>
      <c r="FJ83" s="82"/>
      <c r="FK83" s="82"/>
      <c r="FL83" s="38"/>
      <c r="FM83" s="78"/>
      <c r="FN83" s="78"/>
      <c r="FO83" s="78"/>
      <c r="FP83" s="78"/>
      <c r="FQ83" s="78"/>
      <c r="FR83" s="78"/>
      <c r="FS83" s="78"/>
      <c r="FT83" s="78"/>
      <c r="FU83" s="78"/>
      <c r="FV83" s="78"/>
      <c r="FW83" s="78"/>
      <c r="FX83" s="78"/>
      <c r="FY83" s="78"/>
      <c r="FZ83" s="78"/>
      <c r="GA83" s="78"/>
      <c r="GB83" s="78"/>
      <c r="GC83" s="78"/>
      <c r="GD83" s="78"/>
      <c r="GE83" s="78"/>
      <c r="GF83" s="78"/>
      <c r="GG83" s="78"/>
      <c r="GH83" s="78"/>
      <c r="GI83" s="78"/>
      <c r="GJ83" s="78"/>
      <c r="GK83" s="78"/>
      <c r="GL83" s="78"/>
      <c r="GM83" s="82"/>
      <c r="GN83" s="82"/>
      <c r="GO83" s="82"/>
      <c r="GP83" s="82"/>
      <c r="GQ83" s="38"/>
      <c r="GR83" s="82"/>
      <c r="GS83" s="82"/>
      <c r="GT83" s="82"/>
      <c r="GU83" s="82"/>
      <c r="GV83" s="82"/>
      <c r="GW83" s="82"/>
      <c r="GX83" s="82"/>
      <c r="GY83" s="82"/>
      <c r="GZ83" s="82"/>
      <c r="HA83" s="82"/>
      <c r="HB83" s="82"/>
      <c r="HC83" s="82"/>
      <c r="HD83" s="82"/>
      <c r="HE83" s="82"/>
      <c r="HF83" s="82"/>
      <c r="HG83" s="82"/>
      <c r="HH83" s="82"/>
      <c r="HI83" s="82"/>
      <c r="HJ83" s="82"/>
      <c r="HK83" s="82"/>
      <c r="HL83" s="82"/>
      <c r="HM83" s="82"/>
      <c r="HN83" s="82"/>
      <c r="HO83" s="82"/>
      <c r="HP83" s="82"/>
      <c r="HQ83" s="82"/>
      <c r="HR83" s="82"/>
      <c r="HS83" s="82"/>
      <c r="HT83" s="82"/>
      <c r="HU83" s="82"/>
      <c r="HV83" s="82"/>
      <c r="HW83" s="38"/>
      <c r="HX83" s="82"/>
      <c r="HY83" s="82"/>
      <c r="HZ83" s="82"/>
      <c r="IA83" s="82"/>
      <c r="IB83" s="82"/>
      <c r="IC83" s="82"/>
      <c r="ID83" s="82"/>
      <c r="IE83" s="82"/>
      <c r="IF83" s="82"/>
      <c r="IG83" s="82"/>
      <c r="IH83" s="82"/>
      <c r="II83" s="82"/>
      <c r="IJ83" s="82"/>
      <c r="IK83" s="82"/>
      <c r="IL83" s="82"/>
      <c r="IM83" s="82"/>
      <c r="IN83" s="82"/>
      <c r="IO83" s="82"/>
      <c r="IP83" s="82"/>
      <c r="IQ83" s="82"/>
      <c r="IR83" s="82"/>
      <c r="IS83" s="82"/>
      <c r="IT83" s="82"/>
      <c r="IU83" s="82"/>
      <c r="IV83" s="82"/>
      <c r="IW83" s="82"/>
      <c r="IX83" s="82"/>
      <c r="IY83" s="82"/>
      <c r="IZ83" s="82"/>
      <c r="JA83" s="82"/>
      <c r="JB83" s="82"/>
      <c r="JC83" s="38"/>
      <c r="JD83" s="82"/>
      <c r="JE83" s="82"/>
      <c r="JF83" s="82"/>
      <c r="JG83" s="82"/>
      <c r="JH83" s="82"/>
      <c r="JI83" s="82"/>
      <c r="JJ83" s="82"/>
      <c r="JK83" s="82"/>
      <c r="JL83" s="82"/>
      <c r="JM83" s="82"/>
      <c r="JN83" s="82"/>
      <c r="JO83" s="82"/>
      <c r="JP83" s="82"/>
      <c r="JQ83" s="82"/>
      <c r="JR83" s="82"/>
      <c r="JS83" s="82"/>
      <c r="JT83" s="82"/>
      <c r="JU83" s="82"/>
      <c r="JV83" s="82"/>
      <c r="JW83" s="82"/>
      <c r="JX83" s="82"/>
      <c r="JY83" s="82"/>
      <c r="JZ83" s="82"/>
      <c r="KA83" s="82"/>
      <c r="KB83" s="82"/>
      <c r="KC83" s="82"/>
      <c r="KD83" s="82"/>
      <c r="KE83" s="82"/>
      <c r="KF83" s="82"/>
      <c r="KG83" s="82"/>
      <c r="KH83" s="38"/>
      <c r="KI83" s="82"/>
      <c r="KJ83" s="82"/>
      <c r="KK83" s="82"/>
      <c r="KL83" s="82"/>
      <c r="KM83" s="82"/>
      <c r="KN83" s="82"/>
      <c r="KO83" s="82"/>
      <c r="KP83" s="82"/>
      <c r="KQ83" s="82"/>
      <c r="KR83" s="82"/>
      <c r="KS83" s="82"/>
      <c r="KT83" s="82"/>
      <c r="KU83" s="82"/>
      <c r="KV83" s="82"/>
      <c r="KW83" s="82"/>
      <c r="KX83" s="82"/>
      <c r="KY83" s="82"/>
      <c r="KZ83" s="82"/>
      <c r="LA83" s="82"/>
      <c r="LB83" s="82"/>
      <c r="LC83" s="82"/>
      <c r="LD83" s="82"/>
      <c r="LE83" s="82"/>
      <c r="LF83" s="82"/>
      <c r="LG83" s="82"/>
      <c r="LH83" s="82"/>
      <c r="LI83" s="82"/>
      <c r="LJ83" s="82"/>
      <c r="LK83" s="82"/>
      <c r="LL83" s="82"/>
      <c r="LM83" s="82"/>
      <c r="LN83" s="38"/>
      <c r="LO83" s="82"/>
      <c r="LP83" s="82"/>
      <c r="LQ83" s="82"/>
      <c r="LR83" s="82"/>
      <c r="LS83" s="82"/>
      <c r="LT83" s="82"/>
      <c r="LU83" s="82"/>
      <c r="LV83" s="82"/>
      <c r="LW83" s="82"/>
      <c r="LX83" s="82"/>
      <c r="LY83" s="82"/>
      <c r="LZ83" s="82"/>
      <c r="MA83" s="82"/>
      <c r="MB83" s="82"/>
      <c r="MC83" s="82"/>
      <c r="MD83" s="82"/>
      <c r="ME83" s="82"/>
      <c r="MF83" s="82"/>
      <c r="MG83" s="82"/>
      <c r="MH83" s="82"/>
      <c r="MI83" s="82"/>
      <c r="MJ83" s="82"/>
      <c r="MK83" s="82"/>
      <c r="ML83" s="82"/>
      <c r="MM83" s="82"/>
      <c r="MN83" s="82"/>
      <c r="MO83" s="82"/>
      <c r="MP83" s="82"/>
      <c r="MQ83" s="82"/>
      <c r="MR83" s="82"/>
      <c r="MS83" s="38"/>
      <c r="MT83" s="82"/>
      <c r="MU83" s="82"/>
      <c r="MV83" s="82"/>
      <c r="MW83" s="82"/>
      <c r="MX83" s="82"/>
      <c r="MY83" s="82"/>
      <c r="MZ83" s="82"/>
      <c r="NA83" s="82"/>
      <c r="NB83" s="82"/>
      <c r="NC83" s="82"/>
      <c r="ND83" s="82"/>
      <c r="NE83" s="82"/>
      <c r="NF83" s="82"/>
      <c r="NG83" s="82"/>
      <c r="NH83" s="82"/>
      <c r="NI83" s="82"/>
      <c r="NJ83" s="82"/>
      <c r="NK83" s="82"/>
      <c r="NL83" s="82"/>
      <c r="NM83" s="82"/>
      <c r="NN83" s="82"/>
      <c r="NO83" s="82"/>
      <c r="NP83" s="82"/>
      <c r="NQ83" s="82"/>
      <c r="NR83" s="82"/>
      <c r="NS83" s="82"/>
      <c r="NT83" s="82"/>
      <c r="NU83" s="82"/>
      <c r="NV83" s="82"/>
      <c r="NW83" s="82"/>
      <c r="NX83" s="82"/>
      <c r="NY83" s="38"/>
    </row>
    <row r="84">
      <c r="A84" s="71" t="s">
        <v>471</v>
      </c>
      <c r="B84" s="72" t="str">
        <f>IFERROR(__xludf.DUMMYFUNCTION("VLOOKUP(A84, IMPORTRANGE(""https://docs.google.com/spreadsheets/d/1KpTMcNM9m1P7u9qCVzob8p1-RZoC1ejaYs5CdpAbWFY/edit?gid=260580969#gid=260580969"", ""2025 EMP PROFILE DATA!B1:W98""), 21, FALSE)"),"#REF!")</f>
        <v>#REF!</v>
      </c>
      <c r="C84" s="72">
        <f t="shared" si="1"/>
        <v>0</v>
      </c>
      <c r="D84" s="72">
        <f t="shared" si="2"/>
        <v>0</v>
      </c>
      <c r="E84" s="72">
        <f t="shared" si="3"/>
        <v>1</v>
      </c>
      <c r="F84" s="72">
        <f t="shared" si="4"/>
        <v>0</v>
      </c>
      <c r="G84" s="73">
        <f t="shared" si="5"/>
        <v>0</v>
      </c>
      <c r="H84" s="73">
        <f t="shared" si="6"/>
        <v>0.002525252525</v>
      </c>
      <c r="I84" s="28">
        <f t="shared" si="7"/>
        <v>1</v>
      </c>
      <c r="J84" s="26">
        <v>0.0</v>
      </c>
      <c r="K84" s="26">
        <v>0.0</v>
      </c>
      <c r="L84" s="49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1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38"/>
      <c r="AS84" s="72"/>
      <c r="AT84" s="71"/>
      <c r="AU84" s="71"/>
      <c r="AV84" s="72"/>
      <c r="AW84" s="72"/>
      <c r="AX84" s="72"/>
      <c r="AY84" s="71"/>
      <c r="AZ84" s="71"/>
      <c r="BA84" s="71"/>
      <c r="BB84" s="71"/>
      <c r="BC84" s="72"/>
      <c r="BD84" s="71"/>
      <c r="BE84" s="71"/>
      <c r="BF84" s="71"/>
      <c r="BG84" s="71"/>
      <c r="BH84" s="72"/>
      <c r="BI84" s="71"/>
      <c r="BJ84" s="71"/>
      <c r="BK84" s="71"/>
      <c r="BL84" s="71"/>
      <c r="BM84" s="71"/>
      <c r="BN84" s="72"/>
      <c r="BO84" s="72"/>
      <c r="BP84" s="72"/>
      <c r="BQ84" s="72"/>
      <c r="BR84" s="72"/>
      <c r="BS84" s="71"/>
      <c r="BT84" s="75"/>
      <c r="BU84" s="38"/>
      <c r="BV84" s="72"/>
      <c r="BW84" s="72"/>
      <c r="BX84" s="71"/>
      <c r="BY84" s="72"/>
      <c r="BZ84" s="72"/>
      <c r="CA84" s="72"/>
      <c r="CB84" s="72"/>
      <c r="CC84" s="71"/>
      <c r="CD84" s="72"/>
      <c r="CE84" s="71"/>
      <c r="CF84" s="72"/>
      <c r="CG84" s="71"/>
      <c r="CH84" s="71"/>
      <c r="CI84" s="71"/>
      <c r="CJ84" s="72"/>
      <c r="CK84" s="72"/>
      <c r="CL84" s="71"/>
      <c r="CM84" s="72"/>
      <c r="CN84" s="71"/>
      <c r="CO84" s="71"/>
      <c r="CP84" s="71"/>
      <c r="CQ84" s="72"/>
      <c r="CR84" s="72"/>
      <c r="CS84" s="72"/>
      <c r="CT84" s="72"/>
      <c r="CU84" s="83"/>
      <c r="CV84" s="83"/>
      <c r="CW84" s="83"/>
      <c r="CX84" s="75"/>
      <c r="CY84" s="75"/>
      <c r="CZ84" s="83"/>
      <c r="DA84" s="38"/>
      <c r="DB84" s="72"/>
      <c r="DC84" s="83"/>
      <c r="DD84" s="83"/>
      <c r="DE84" s="72"/>
      <c r="DF84" s="72"/>
      <c r="DG84" s="72"/>
      <c r="DH84" s="72"/>
      <c r="DI84" s="72"/>
      <c r="DJ84" s="71"/>
      <c r="DK84" s="71"/>
      <c r="DL84" s="72"/>
      <c r="DM84" s="84"/>
      <c r="DN84" s="72"/>
      <c r="DO84" s="84"/>
      <c r="DP84" s="84"/>
      <c r="DQ84" s="72"/>
      <c r="DR84" s="72"/>
      <c r="DS84" s="72"/>
      <c r="DT84" s="84"/>
      <c r="DU84" s="72"/>
      <c r="DV84" s="72"/>
      <c r="DW84" s="72"/>
      <c r="DX84" s="72"/>
      <c r="DY84" s="72"/>
      <c r="DZ84" s="72"/>
      <c r="EA84" s="72"/>
      <c r="EB84" s="75"/>
      <c r="EC84" s="75"/>
      <c r="ED84" s="75"/>
      <c r="EE84" s="75"/>
      <c r="EF84" s="38"/>
      <c r="EG84" s="72"/>
      <c r="EH84" s="72"/>
      <c r="EI84" s="72"/>
      <c r="EJ84" s="72"/>
      <c r="EK84" s="72"/>
      <c r="EL84" s="72"/>
      <c r="EM84" s="72"/>
      <c r="EN84" s="72"/>
      <c r="EO84" s="72"/>
      <c r="EP84" s="72"/>
      <c r="EQ84" s="72"/>
      <c r="ER84" s="72"/>
      <c r="ES84" s="72"/>
      <c r="ET84" s="72"/>
      <c r="EU84" s="72"/>
      <c r="EV84" s="72"/>
      <c r="EW84" s="72"/>
      <c r="EX84" s="72"/>
      <c r="EY84" s="72"/>
      <c r="EZ84" s="72"/>
      <c r="FA84" s="72"/>
      <c r="FB84" s="72"/>
      <c r="FC84" s="72"/>
      <c r="FD84" s="72"/>
      <c r="FE84" s="72"/>
      <c r="FF84" s="72"/>
      <c r="FG84" s="75"/>
      <c r="FH84" s="75"/>
      <c r="FI84" s="75"/>
      <c r="FJ84" s="75"/>
      <c r="FK84" s="75"/>
      <c r="FL84" s="38"/>
      <c r="FM84" s="37" t="s">
        <v>21</v>
      </c>
      <c r="FN84" s="72"/>
      <c r="FO84" s="72"/>
      <c r="FP84" s="72"/>
      <c r="FQ84" s="72"/>
      <c r="FR84" s="72"/>
      <c r="FS84" s="72"/>
      <c r="FT84" s="72"/>
      <c r="FU84" s="72"/>
      <c r="FV84" s="72"/>
      <c r="FW84" s="72"/>
      <c r="FX84" s="72"/>
      <c r="FY84" s="72"/>
      <c r="FZ84" s="72"/>
      <c r="GA84" s="72"/>
      <c r="GB84" s="72"/>
      <c r="GC84" s="72"/>
      <c r="GD84" s="72"/>
      <c r="GE84" s="72"/>
      <c r="GF84" s="72"/>
      <c r="GG84" s="72"/>
      <c r="GH84" s="72"/>
      <c r="GI84" s="72"/>
      <c r="GJ84" s="72"/>
      <c r="GK84" s="72"/>
      <c r="GL84" s="72"/>
      <c r="GM84" s="75"/>
      <c r="GN84" s="75"/>
      <c r="GO84" s="75"/>
      <c r="GP84" s="75"/>
      <c r="GQ84" s="38"/>
      <c r="GR84" s="39"/>
      <c r="GS84" s="39"/>
      <c r="GT84" s="39"/>
      <c r="GU84" s="39"/>
      <c r="GV84" s="39"/>
      <c r="GW84" s="39"/>
      <c r="GX84" s="39"/>
      <c r="GY84" s="39"/>
      <c r="GZ84" s="39"/>
      <c r="HA84" s="39"/>
      <c r="HB84" s="39"/>
      <c r="HC84" s="39"/>
      <c r="HD84" s="39"/>
      <c r="HE84" s="39"/>
      <c r="HF84" s="39"/>
      <c r="HG84" s="39"/>
      <c r="HH84" s="39"/>
      <c r="HI84" s="39"/>
      <c r="HJ84" s="39"/>
      <c r="HK84" s="39"/>
      <c r="HL84" s="39"/>
      <c r="HM84" s="39"/>
      <c r="HN84" s="39"/>
      <c r="HO84" s="39"/>
      <c r="HP84" s="39"/>
      <c r="HQ84" s="39"/>
      <c r="HR84" s="39"/>
      <c r="HS84" s="39"/>
      <c r="HT84" s="39"/>
      <c r="HU84" s="39"/>
      <c r="HV84" s="39"/>
      <c r="HW84" s="38"/>
      <c r="HX84" s="39"/>
      <c r="HY84" s="39"/>
      <c r="HZ84" s="39"/>
      <c r="IA84" s="39"/>
      <c r="IB84" s="39"/>
      <c r="IC84" s="39"/>
      <c r="ID84" s="39"/>
      <c r="IE84" s="39"/>
      <c r="IF84" s="39"/>
      <c r="IG84" s="39"/>
      <c r="IH84" s="39"/>
      <c r="II84" s="39"/>
      <c r="IJ84" s="39"/>
      <c r="IK84" s="39"/>
      <c r="IL84" s="39"/>
      <c r="IM84" s="39"/>
      <c r="IN84" s="39"/>
      <c r="IO84" s="39"/>
      <c r="IP84" s="39"/>
      <c r="IQ84" s="39"/>
      <c r="IR84" s="39"/>
      <c r="IS84" s="39"/>
      <c r="IT84" s="39"/>
      <c r="IU84" s="39"/>
      <c r="IV84" s="39"/>
      <c r="IW84" s="39"/>
      <c r="IX84" s="39"/>
      <c r="IY84" s="39"/>
      <c r="IZ84" s="39"/>
      <c r="JA84" s="39"/>
      <c r="JB84" s="39"/>
      <c r="JC84" s="38"/>
      <c r="JD84" s="39"/>
      <c r="JE84" s="39"/>
      <c r="JF84" s="39"/>
      <c r="JG84" s="39"/>
      <c r="JH84" s="39"/>
      <c r="JI84" s="39"/>
      <c r="JJ84" s="39"/>
      <c r="JK84" s="39"/>
      <c r="JL84" s="39"/>
      <c r="JM84" s="39"/>
      <c r="JN84" s="39"/>
      <c r="JO84" s="39"/>
      <c r="JP84" s="39"/>
      <c r="JQ84" s="39"/>
      <c r="JR84" s="39"/>
      <c r="JS84" s="39"/>
      <c r="JT84" s="39"/>
      <c r="JU84" s="39"/>
      <c r="JV84" s="39"/>
      <c r="JW84" s="39"/>
      <c r="JX84" s="39"/>
      <c r="JY84" s="39"/>
      <c r="JZ84" s="39"/>
      <c r="KA84" s="39"/>
      <c r="KB84" s="39"/>
      <c r="KC84" s="39"/>
      <c r="KD84" s="39"/>
      <c r="KE84" s="39"/>
      <c r="KF84" s="39"/>
      <c r="KG84" s="39"/>
      <c r="KH84" s="38"/>
      <c r="KI84" s="39"/>
      <c r="KJ84" s="39"/>
      <c r="KK84" s="39"/>
      <c r="KL84" s="39"/>
      <c r="KM84" s="39"/>
      <c r="KN84" s="39"/>
      <c r="KO84" s="39"/>
      <c r="KP84" s="39"/>
      <c r="KQ84" s="39"/>
      <c r="KR84" s="39"/>
      <c r="KS84" s="39"/>
      <c r="KT84" s="39"/>
      <c r="KU84" s="39"/>
      <c r="KV84" s="39"/>
      <c r="KW84" s="39"/>
      <c r="KX84" s="39"/>
      <c r="KY84" s="39"/>
      <c r="KZ84" s="39"/>
      <c r="LA84" s="39"/>
      <c r="LB84" s="39"/>
      <c r="LC84" s="39"/>
      <c r="LD84" s="39"/>
      <c r="LE84" s="39"/>
      <c r="LF84" s="39"/>
      <c r="LG84" s="39"/>
      <c r="LH84" s="39"/>
      <c r="LI84" s="39"/>
      <c r="LJ84" s="39"/>
      <c r="LK84" s="39"/>
      <c r="LL84" s="39"/>
      <c r="LM84" s="39"/>
      <c r="LN84" s="38"/>
      <c r="LO84" s="39"/>
      <c r="LP84" s="39"/>
      <c r="LQ84" s="39"/>
      <c r="LR84" s="39"/>
      <c r="LS84" s="39"/>
      <c r="LT84" s="39"/>
      <c r="LU84" s="39"/>
      <c r="LV84" s="39"/>
      <c r="LW84" s="39"/>
      <c r="LX84" s="39"/>
      <c r="LY84" s="39"/>
      <c r="LZ84" s="39"/>
      <c r="MA84" s="39"/>
      <c r="MB84" s="39"/>
      <c r="MC84" s="39"/>
      <c r="MD84" s="39"/>
      <c r="ME84" s="39"/>
      <c r="MF84" s="39"/>
      <c r="MG84" s="39"/>
      <c r="MH84" s="39"/>
      <c r="MI84" s="39"/>
      <c r="MJ84" s="39"/>
      <c r="MK84" s="39"/>
      <c r="ML84" s="39"/>
      <c r="MM84" s="39"/>
      <c r="MN84" s="39"/>
      <c r="MO84" s="39"/>
      <c r="MP84" s="39"/>
      <c r="MQ84" s="39"/>
      <c r="MR84" s="39"/>
      <c r="MS84" s="38"/>
      <c r="MT84" s="39"/>
      <c r="MU84" s="39"/>
      <c r="MV84" s="39"/>
      <c r="MW84" s="39"/>
      <c r="MX84" s="39"/>
      <c r="MY84" s="39"/>
      <c r="MZ84" s="39"/>
      <c r="NA84" s="39"/>
      <c r="NB84" s="39"/>
      <c r="NC84" s="39"/>
      <c r="ND84" s="39"/>
      <c r="NE84" s="39"/>
      <c r="NF84" s="39"/>
      <c r="NG84" s="39"/>
      <c r="NH84" s="39"/>
      <c r="NI84" s="39"/>
      <c r="NJ84" s="39"/>
      <c r="NK84" s="39"/>
      <c r="NL84" s="39"/>
      <c r="NM84" s="39"/>
      <c r="NN84" s="39"/>
      <c r="NO84" s="39"/>
      <c r="NP84" s="39"/>
      <c r="NQ84" s="39"/>
      <c r="NR84" s="39"/>
      <c r="NS84" s="39"/>
      <c r="NT84" s="39"/>
      <c r="NU84" s="39"/>
      <c r="NV84" s="39"/>
      <c r="NW84" s="39"/>
      <c r="NX84" s="39"/>
      <c r="NY84" s="38"/>
    </row>
    <row r="85">
      <c r="A85" s="71" t="s">
        <v>472</v>
      </c>
      <c r="B85" s="72" t="str">
        <f>IFERROR(__xludf.DUMMYFUNCTION("VLOOKUP(A85, IMPORTRANGE(""https://docs.google.com/spreadsheets/d/1KpTMcNM9m1P7u9qCVzob8p1-RZoC1ejaYs5CdpAbWFY/edit?gid=260580969#gid=260580969"", ""2025 EMP PROFILE DATA!B1:W98""), 21, FALSE)"),"#REF!")</f>
        <v>#REF!</v>
      </c>
      <c r="C85" s="72">
        <f t="shared" si="1"/>
        <v>0</v>
      </c>
      <c r="D85" s="72">
        <f t="shared" si="2"/>
        <v>1</v>
      </c>
      <c r="E85" s="72">
        <f t="shared" si="3"/>
        <v>0</v>
      </c>
      <c r="F85" s="72">
        <f t="shared" si="4"/>
        <v>0</v>
      </c>
      <c r="G85" s="73">
        <f t="shared" si="5"/>
        <v>0</v>
      </c>
      <c r="H85" s="73">
        <f t="shared" si="6"/>
        <v>0</v>
      </c>
      <c r="I85" s="28">
        <f t="shared" si="7"/>
        <v>0</v>
      </c>
      <c r="J85" s="26">
        <v>0.0</v>
      </c>
      <c r="K85" s="26">
        <v>0.0</v>
      </c>
      <c r="L85" s="49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1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38"/>
      <c r="AS85" s="72"/>
      <c r="AT85" s="71"/>
      <c r="AU85" s="71"/>
      <c r="AV85" s="72"/>
      <c r="AW85" s="72"/>
      <c r="AX85" s="72"/>
      <c r="AY85" s="71"/>
      <c r="AZ85" s="71"/>
      <c r="BA85" s="71"/>
      <c r="BB85" s="71"/>
      <c r="BC85" s="72"/>
      <c r="BD85" s="71"/>
      <c r="BE85" s="71"/>
      <c r="BF85" s="71"/>
      <c r="BG85" s="71"/>
      <c r="BH85" s="72"/>
      <c r="BI85" s="71"/>
      <c r="BJ85" s="71"/>
      <c r="BK85" s="71"/>
      <c r="BL85" s="71"/>
      <c r="BM85" s="71"/>
      <c r="BN85" s="72"/>
      <c r="BO85" s="72"/>
      <c r="BP85" s="72"/>
      <c r="BQ85" s="72"/>
      <c r="BR85" s="72"/>
      <c r="BS85" s="71"/>
      <c r="BT85" s="75"/>
      <c r="BU85" s="38"/>
      <c r="BV85" s="72"/>
      <c r="BW85" s="72"/>
      <c r="BX85" s="71"/>
      <c r="BY85" s="72"/>
      <c r="BZ85" s="72"/>
      <c r="CA85" s="72"/>
      <c r="CB85" s="72"/>
      <c r="CC85" s="71"/>
      <c r="CD85" s="72"/>
      <c r="CE85" s="71"/>
      <c r="CF85" s="72"/>
      <c r="CG85" s="71"/>
      <c r="CH85" s="71"/>
      <c r="CI85" s="71"/>
      <c r="CJ85" s="72"/>
      <c r="CK85" s="72"/>
      <c r="CL85" s="71"/>
      <c r="CM85" s="72"/>
      <c r="CN85" s="71"/>
      <c r="CO85" s="71"/>
      <c r="CP85" s="71"/>
      <c r="CQ85" s="72"/>
      <c r="CR85" s="72"/>
      <c r="CS85" s="72"/>
      <c r="CT85" s="72"/>
      <c r="CU85" s="83"/>
      <c r="CV85" s="83"/>
      <c r="CW85" s="83"/>
      <c r="CX85" s="75"/>
      <c r="CY85" s="75"/>
      <c r="CZ85" s="83"/>
      <c r="DA85" s="38"/>
      <c r="DB85" s="72"/>
      <c r="DC85" s="83"/>
      <c r="DD85" s="83"/>
      <c r="DE85" s="72"/>
      <c r="DF85" s="72"/>
      <c r="DG85" s="72"/>
      <c r="DH85" s="72"/>
      <c r="DI85" s="72"/>
      <c r="DJ85" s="71"/>
      <c r="DK85" s="71"/>
      <c r="DL85" s="72"/>
      <c r="DM85" s="84"/>
      <c r="DN85" s="72"/>
      <c r="DO85" s="84"/>
      <c r="DP85" s="84"/>
      <c r="DQ85" s="72"/>
      <c r="DR85" s="72"/>
      <c r="DS85" s="72"/>
      <c r="DT85" s="84"/>
      <c r="DU85" s="72"/>
      <c r="DV85" s="72"/>
      <c r="DW85" s="72"/>
      <c r="DX85" s="72"/>
      <c r="DY85" s="72"/>
      <c r="DZ85" s="72"/>
      <c r="EA85" s="72"/>
      <c r="EB85" s="75"/>
      <c r="EC85" s="75"/>
      <c r="ED85" s="75"/>
      <c r="EE85" s="75"/>
      <c r="EF85" s="38"/>
      <c r="EG85" s="72"/>
      <c r="EH85" s="72"/>
      <c r="EI85" s="72"/>
      <c r="EJ85" s="72"/>
      <c r="EK85" s="72"/>
      <c r="EL85" s="72"/>
      <c r="EM85" s="72"/>
      <c r="EN85" s="72"/>
      <c r="EO85" s="72"/>
      <c r="EP85" s="72"/>
      <c r="EQ85" s="72"/>
      <c r="ER85" s="72"/>
      <c r="ES85" s="72"/>
      <c r="ET85" s="72"/>
      <c r="EU85" s="72"/>
      <c r="EV85" s="72"/>
      <c r="EW85" s="72"/>
      <c r="EX85" s="72"/>
      <c r="EY85" s="72"/>
      <c r="EZ85" s="72"/>
      <c r="FA85" s="72"/>
      <c r="FB85" s="72"/>
      <c r="FC85" s="72"/>
      <c r="FD85" s="72"/>
      <c r="FE85" s="72"/>
      <c r="FF85" s="72"/>
      <c r="FG85" s="75"/>
      <c r="FH85" s="75"/>
      <c r="FI85" s="75"/>
      <c r="FJ85" s="75"/>
      <c r="FK85" s="75"/>
      <c r="FL85" s="38"/>
      <c r="FM85" s="72"/>
      <c r="FN85" s="72"/>
      <c r="FO85" s="72"/>
      <c r="FP85" s="72"/>
      <c r="FQ85" s="72"/>
      <c r="FR85" s="72"/>
      <c r="FS85" s="72"/>
      <c r="FT85" s="72"/>
      <c r="FU85" s="72"/>
      <c r="FV85" s="72"/>
      <c r="FW85" s="72"/>
      <c r="FX85" s="72"/>
      <c r="FY85" s="72"/>
      <c r="FZ85" s="72"/>
      <c r="GA85" s="72"/>
      <c r="GB85" s="72"/>
      <c r="GC85" s="72"/>
      <c r="GD85" s="72"/>
      <c r="GE85" s="72"/>
      <c r="GF85" s="72"/>
      <c r="GG85" s="72"/>
      <c r="GH85" s="72"/>
      <c r="GI85" s="72"/>
      <c r="GJ85" s="72"/>
      <c r="GK85" s="72"/>
      <c r="GL85" s="72"/>
      <c r="GM85" s="75"/>
      <c r="GN85" s="75"/>
      <c r="GO85" s="71" t="s">
        <v>20</v>
      </c>
      <c r="GP85" s="75"/>
      <c r="GQ85" s="38"/>
      <c r="GR85" s="39"/>
      <c r="GS85" s="39"/>
      <c r="GT85" s="39"/>
      <c r="GU85" s="39"/>
      <c r="GV85" s="39"/>
      <c r="GW85" s="39"/>
      <c r="GX85" s="39"/>
      <c r="GY85" s="39"/>
      <c r="GZ85" s="39"/>
      <c r="HA85" s="39"/>
      <c r="HB85" s="39"/>
      <c r="HC85" s="39"/>
      <c r="HD85" s="39"/>
      <c r="HE85" s="39"/>
      <c r="HF85" s="39"/>
      <c r="HG85" s="39"/>
      <c r="HH85" s="39"/>
      <c r="HI85" s="39"/>
      <c r="HJ85" s="39"/>
      <c r="HK85" s="39"/>
      <c r="HL85" s="39"/>
      <c r="HM85" s="39"/>
      <c r="HN85" s="39"/>
      <c r="HO85" s="39"/>
      <c r="HP85" s="39"/>
      <c r="HQ85" s="39"/>
      <c r="HR85" s="39"/>
      <c r="HS85" s="39"/>
      <c r="HT85" s="39"/>
      <c r="HU85" s="39"/>
      <c r="HV85" s="39"/>
      <c r="HW85" s="38"/>
      <c r="HX85" s="39"/>
      <c r="HY85" s="39"/>
      <c r="HZ85" s="39"/>
      <c r="IA85" s="39"/>
      <c r="IB85" s="39"/>
      <c r="IC85" s="39"/>
      <c r="ID85" s="39"/>
      <c r="IE85" s="39"/>
      <c r="IF85" s="39"/>
      <c r="IG85" s="39"/>
      <c r="IH85" s="39"/>
      <c r="II85" s="39"/>
      <c r="IJ85" s="39"/>
      <c r="IK85" s="39"/>
      <c r="IL85" s="39"/>
      <c r="IM85" s="39"/>
      <c r="IN85" s="39"/>
      <c r="IO85" s="39"/>
      <c r="IP85" s="39"/>
      <c r="IQ85" s="39"/>
      <c r="IR85" s="39"/>
      <c r="IS85" s="39"/>
      <c r="IT85" s="39"/>
      <c r="IU85" s="39"/>
      <c r="IV85" s="39"/>
      <c r="IW85" s="39"/>
      <c r="IX85" s="39"/>
      <c r="IY85" s="39"/>
      <c r="IZ85" s="39"/>
      <c r="JA85" s="39"/>
      <c r="JB85" s="39"/>
      <c r="JC85" s="38"/>
      <c r="JD85" s="39"/>
      <c r="JE85" s="39"/>
      <c r="JF85" s="39"/>
      <c r="JG85" s="39"/>
      <c r="JH85" s="39"/>
      <c r="JI85" s="39"/>
      <c r="JJ85" s="39"/>
      <c r="JK85" s="39"/>
      <c r="JL85" s="39"/>
      <c r="JM85" s="39"/>
      <c r="JN85" s="39"/>
      <c r="JO85" s="39"/>
      <c r="JP85" s="39"/>
      <c r="JQ85" s="39"/>
      <c r="JR85" s="39"/>
      <c r="JS85" s="39"/>
      <c r="JT85" s="39"/>
      <c r="JU85" s="39"/>
      <c r="JV85" s="39"/>
      <c r="JW85" s="39"/>
      <c r="JX85" s="39"/>
      <c r="JY85" s="39"/>
      <c r="JZ85" s="39"/>
      <c r="KA85" s="39"/>
      <c r="KB85" s="39"/>
      <c r="KC85" s="39"/>
      <c r="KD85" s="39"/>
      <c r="KE85" s="39"/>
      <c r="KF85" s="39"/>
      <c r="KG85" s="39"/>
      <c r="KH85" s="38"/>
      <c r="KI85" s="39"/>
      <c r="KJ85" s="39"/>
      <c r="KK85" s="39"/>
      <c r="KL85" s="39"/>
      <c r="KM85" s="39"/>
      <c r="KN85" s="39"/>
      <c r="KO85" s="39"/>
      <c r="KP85" s="39"/>
      <c r="KQ85" s="39"/>
      <c r="KR85" s="39"/>
      <c r="KS85" s="39"/>
      <c r="KT85" s="39"/>
      <c r="KU85" s="39"/>
      <c r="KV85" s="39"/>
      <c r="KW85" s="39"/>
      <c r="KX85" s="39"/>
      <c r="KY85" s="39"/>
      <c r="KZ85" s="39"/>
      <c r="LA85" s="39"/>
      <c r="LB85" s="39"/>
      <c r="LC85" s="39"/>
      <c r="LD85" s="39"/>
      <c r="LE85" s="39"/>
      <c r="LF85" s="39"/>
      <c r="LG85" s="39"/>
      <c r="LH85" s="39"/>
      <c r="LI85" s="39"/>
      <c r="LJ85" s="39"/>
      <c r="LK85" s="39"/>
      <c r="LL85" s="39"/>
      <c r="LM85" s="39"/>
      <c r="LN85" s="38"/>
      <c r="LO85" s="39"/>
      <c r="LP85" s="39"/>
      <c r="LQ85" s="39"/>
      <c r="LR85" s="39"/>
      <c r="LS85" s="39"/>
      <c r="LT85" s="39"/>
      <c r="LU85" s="39"/>
      <c r="LV85" s="39"/>
      <c r="LW85" s="39"/>
      <c r="LX85" s="39"/>
      <c r="LY85" s="39"/>
      <c r="LZ85" s="39"/>
      <c r="MA85" s="39"/>
      <c r="MB85" s="39"/>
      <c r="MC85" s="39"/>
      <c r="MD85" s="39"/>
      <c r="ME85" s="39"/>
      <c r="MF85" s="39"/>
      <c r="MG85" s="39"/>
      <c r="MH85" s="39"/>
      <c r="MI85" s="39"/>
      <c r="MJ85" s="39"/>
      <c r="MK85" s="39"/>
      <c r="ML85" s="39"/>
      <c r="MM85" s="39"/>
      <c r="MN85" s="39"/>
      <c r="MO85" s="39"/>
      <c r="MP85" s="39"/>
      <c r="MQ85" s="39"/>
      <c r="MR85" s="39"/>
      <c r="MS85" s="38"/>
      <c r="MT85" s="39"/>
      <c r="MU85" s="39"/>
      <c r="MV85" s="39"/>
      <c r="MW85" s="39"/>
      <c r="MX85" s="39"/>
      <c r="MY85" s="39"/>
      <c r="MZ85" s="39"/>
      <c r="NA85" s="39"/>
      <c r="NB85" s="39"/>
      <c r="NC85" s="39"/>
      <c r="ND85" s="39"/>
      <c r="NE85" s="39"/>
      <c r="NF85" s="39"/>
      <c r="NG85" s="39"/>
      <c r="NH85" s="39"/>
      <c r="NI85" s="39"/>
      <c r="NJ85" s="39"/>
      <c r="NK85" s="39"/>
      <c r="NL85" s="39"/>
      <c r="NM85" s="39"/>
      <c r="NN85" s="39"/>
      <c r="NO85" s="39"/>
      <c r="NP85" s="39"/>
      <c r="NQ85" s="39"/>
      <c r="NR85" s="39"/>
      <c r="NS85" s="39"/>
      <c r="NT85" s="39"/>
      <c r="NU85" s="39"/>
      <c r="NV85" s="39"/>
      <c r="NW85" s="39"/>
      <c r="NX85" s="39"/>
      <c r="NY85" s="38"/>
    </row>
    <row r="86">
      <c r="A86" s="71"/>
      <c r="B86" s="72" t="str">
        <f>IFERROR(__xludf.DUMMYFUNCTION("VLOOKUP(A86, IMPORTRANGE(""https://docs.google.com/spreadsheets/d/1KpTMcNM9m1P7u9qCVzob8p1-RZoC1ejaYs5CdpAbWFY/edit?gid=260580969#gid=260580969"", ""2025 EMP PROFILE DATA!B1:W98""), 21, FALSE)"),"#REF!")</f>
        <v>#REF!</v>
      </c>
      <c r="C86" s="72">
        <f t="shared" si="1"/>
        <v>0</v>
      </c>
      <c r="D86" s="72">
        <f t="shared" si="2"/>
        <v>0</v>
      </c>
      <c r="E86" s="72">
        <f t="shared" si="3"/>
        <v>0</v>
      </c>
      <c r="F86" s="72">
        <f t="shared" si="4"/>
        <v>0</v>
      </c>
      <c r="G86" s="73">
        <f t="shared" si="5"/>
        <v>0</v>
      </c>
      <c r="H86" s="73">
        <f t="shared" si="6"/>
        <v>0</v>
      </c>
      <c r="I86" s="28">
        <f t="shared" si="7"/>
        <v>0</v>
      </c>
      <c r="J86" s="26">
        <v>0.0</v>
      </c>
      <c r="K86" s="26">
        <v>0.0</v>
      </c>
      <c r="L86" s="49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1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38"/>
      <c r="AS86" s="72"/>
      <c r="AT86" s="71"/>
      <c r="AU86" s="71"/>
      <c r="AV86" s="72"/>
      <c r="AW86" s="72"/>
      <c r="AX86" s="72"/>
      <c r="AY86" s="71"/>
      <c r="AZ86" s="71"/>
      <c r="BA86" s="71"/>
      <c r="BB86" s="71"/>
      <c r="BC86" s="72"/>
      <c r="BD86" s="71"/>
      <c r="BE86" s="71"/>
      <c r="BF86" s="71"/>
      <c r="BG86" s="71"/>
      <c r="BH86" s="72"/>
      <c r="BI86" s="71"/>
      <c r="BJ86" s="71"/>
      <c r="BK86" s="71"/>
      <c r="BL86" s="71"/>
      <c r="BM86" s="71"/>
      <c r="BN86" s="72"/>
      <c r="BO86" s="72"/>
      <c r="BP86" s="72"/>
      <c r="BQ86" s="72"/>
      <c r="BR86" s="72"/>
      <c r="BS86" s="71"/>
      <c r="BT86" s="75"/>
      <c r="BU86" s="38"/>
      <c r="BV86" s="72"/>
      <c r="BW86" s="72"/>
      <c r="BX86" s="71"/>
      <c r="BY86" s="72"/>
      <c r="BZ86" s="72"/>
      <c r="CA86" s="72"/>
      <c r="CB86" s="72"/>
      <c r="CC86" s="71"/>
      <c r="CD86" s="72"/>
      <c r="CE86" s="71"/>
      <c r="CF86" s="72"/>
      <c r="CG86" s="71"/>
      <c r="CH86" s="71"/>
      <c r="CI86" s="71"/>
      <c r="CJ86" s="72"/>
      <c r="CK86" s="72"/>
      <c r="CL86" s="71"/>
      <c r="CM86" s="72"/>
      <c r="CN86" s="71"/>
      <c r="CO86" s="71"/>
      <c r="CP86" s="71"/>
      <c r="CQ86" s="72"/>
      <c r="CR86" s="72"/>
      <c r="CS86" s="72"/>
      <c r="CT86" s="72"/>
      <c r="CU86" s="83"/>
      <c r="CV86" s="83"/>
      <c r="CW86" s="83"/>
      <c r="CX86" s="75"/>
      <c r="CY86" s="75"/>
      <c r="CZ86" s="83"/>
      <c r="DA86" s="38"/>
      <c r="DB86" s="72"/>
      <c r="DC86" s="83"/>
      <c r="DD86" s="83"/>
      <c r="DE86" s="72"/>
      <c r="DF86" s="72"/>
      <c r="DG86" s="72"/>
      <c r="DH86" s="72"/>
      <c r="DI86" s="72"/>
      <c r="DJ86" s="71"/>
      <c r="DK86" s="71"/>
      <c r="DL86" s="72"/>
      <c r="DM86" s="84"/>
      <c r="DN86" s="72"/>
      <c r="DO86" s="84"/>
      <c r="DP86" s="84"/>
      <c r="DQ86" s="72"/>
      <c r="DR86" s="72"/>
      <c r="DS86" s="72"/>
      <c r="DT86" s="84"/>
      <c r="DU86" s="72"/>
      <c r="DV86" s="72"/>
      <c r="DW86" s="72"/>
      <c r="DX86" s="72"/>
      <c r="DY86" s="72"/>
      <c r="DZ86" s="72"/>
      <c r="EA86" s="72"/>
      <c r="EB86" s="75"/>
      <c r="EC86" s="75"/>
      <c r="ED86" s="75"/>
      <c r="EE86" s="75"/>
      <c r="EF86" s="38"/>
      <c r="EG86" s="72"/>
      <c r="EH86" s="72"/>
      <c r="EI86" s="72"/>
      <c r="EJ86" s="72"/>
      <c r="EK86" s="72"/>
      <c r="EL86" s="72"/>
      <c r="EM86" s="72"/>
      <c r="EN86" s="72"/>
      <c r="EO86" s="72"/>
      <c r="EP86" s="72"/>
      <c r="EQ86" s="72"/>
      <c r="ER86" s="72"/>
      <c r="ES86" s="72"/>
      <c r="ET86" s="72"/>
      <c r="EU86" s="72"/>
      <c r="EV86" s="72"/>
      <c r="EW86" s="72"/>
      <c r="EX86" s="72"/>
      <c r="EY86" s="72"/>
      <c r="EZ86" s="72"/>
      <c r="FA86" s="72"/>
      <c r="FB86" s="72"/>
      <c r="FC86" s="72"/>
      <c r="FD86" s="72"/>
      <c r="FE86" s="72"/>
      <c r="FF86" s="72"/>
      <c r="FG86" s="75"/>
      <c r="FH86" s="75"/>
      <c r="FI86" s="75"/>
      <c r="FJ86" s="75"/>
      <c r="FK86" s="75"/>
      <c r="FL86" s="38"/>
      <c r="FM86" s="72"/>
      <c r="FN86" s="72"/>
      <c r="FO86" s="72"/>
      <c r="FP86" s="72"/>
      <c r="FQ86" s="72"/>
      <c r="FR86" s="72"/>
      <c r="FS86" s="72"/>
      <c r="FT86" s="72"/>
      <c r="FU86" s="72"/>
      <c r="FV86" s="72"/>
      <c r="FW86" s="72"/>
      <c r="FX86" s="72"/>
      <c r="FY86" s="72"/>
      <c r="FZ86" s="72"/>
      <c r="GA86" s="72"/>
      <c r="GB86" s="72"/>
      <c r="GC86" s="72"/>
      <c r="GD86" s="72"/>
      <c r="GE86" s="72"/>
      <c r="GF86" s="72"/>
      <c r="GG86" s="72"/>
      <c r="GH86" s="72"/>
      <c r="GI86" s="72"/>
      <c r="GJ86" s="72"/>
      <c r="GK86" s="72"/>
      <c r="GL86" s="72"/>
      <c r="GM86" s="75"/>
      <c r="GN86" s="75"/>
      <c r="GO86" s="75"/>
      <c r="GP86" s="75"/>
      <c r="GQ86" s="38"/>
      <c r="GR86" s="39"/>
      <c r="GS86" s="39"/>
      <c r="GT86" s="39"/>
      <c r="GU86" s="39"/>
      <c r="GV86" s="39"/>
      <c r="GW86" s="39"/>
      <c r="GX86" s="39"/>
      <c r="GY86" s="39"/>
      <c r="GZ86" s="39"/>
      <c r="HA86" s="39"/>
      <c r="HB86" s="39"/>
      <c r="HC86" s="39"/>
      <c r="HD86" s="39"/>
      <c r="HE86" s="39"/>
      <c r="HF86" s="39"/>
      <c r="HG86" s="39"/>
      <c r="HH86" s="39"/>
      <c r="HI86" s="39"/>
      <c r="HJ86" s="39"/>
      <c r="HK86" s="39"/>
      <c r="HL86" s="39"/>
      <c r="HM86" s="39"/>
      <c r="HN86" s="39"/>
      <c r="HO86" s="39"/>
      <c r="HP86" s="39"/>
      <c r="HQ86" s="39"/>
      <c r="HR86" s="39"/>
      <c r="HS86" s="39"/>
      <c r="HT86" s="39"/>
      <c r="HU86" s="39"/>
      <c r="HV86" s="39"/>
      <c r="HW86" s="38"/>
      <c r="HX86" s="39"/>
      <c r="HY86" s="39"/>
      <c r="HZ86" s="39"/>
      <c r="IA86" s="39"/>
      <c r="IB86" s="39"/>
      <c r="IC86" s="39"/>
      <c r="ID86" s="39"/>
      <c r="IE86" s="39"/>
      <c r="IF86" s="39"/>
      <c r="IG86" s="39"/>
      <c r="IH86" s="39"/>
      <c r="II86" s="39"/>
      <c r="IJ86" s="39"/>
      <c r="IK86" s="39"/>
      <c r="IL86" s="39"/>
      <c r="IM86" s="39"/>
      <c r="IN86" s="39"/>
      <c r="IO86" s="39"/>
      <c r="IP86" s="39"/>
      <c r="IQ86" s="39"/>
      <c r="IR86" s="39"/>
      <c r="IS86" s="39"/>
      <c r="IT86" s="39"/>
      <c r="IU86" s="39"/>
      <c r="IV86" s="39"/>
      <c r="IW86" s="39"/>
      <c r="IX86" s="39"/>
      <c r="IY86" s="39"/>
      <c r="IZ86" s="39"/>
      <c r="JA86" s="39"/>
      <c r="JB86" s="39"/>
      <c r="JC86" s="38"/>
      <c r="JD86" s="39"/>
      <c r="JE86" s="39"/>
      <c r="JF86" s="39"/>
      <c r="JG86" s="39"/>
      <c r="JH86" s="39"/>
      <c r="JI86" s="39"/>
      <c r="JJ86" s="39"/>
      <c r="JK86" s="39"/>
      <c r="JL86" s="39"/>
      <c r="JM86" s="39"/>
      <c r="JN86" s="39"/>
      <c r="JO86" s="39"/>
      <c r="JP86" s="39"/>
      <c r="JQ86" s="39"/>
      <c r="JR86" s="39"/>
      <c r="JS86" s="39"/>
      <c r="JT86" s="39"/>
      <c r="JU86" s="39"/>
      <c r="JV86" s="39"/>
      <c r="JW86" s="39"/>
      <c r="JX86" s="39"/>
      <c r="JY86" s="39"/>
      <c r="JZ86" s="39"/>
      <c r="KA86" s="39"/>
      <c r="KB86" s="39"/>
      <c r="KC86" s="39"/>
      <c r="KD86" s="39"/>
      <c r="KE86" s="39"/>
      <c r="KF86" s="39"/>
      <c r="KG86" s="39"/>
      <c r="KH86" s="38"/>
      <c r="KI86" s="39"/>
      <c r="KJ86" s="39"/>
      <c r="KK86" s="39"/>
      <c r="KL86" s="39"/>
      <c r="KM86" s="39"/>
      <c r="KN86" s="39"/>
      <c r="KO86" s="39"/>
      <c r="KP86" s="39"/>
      <c r="KQ86" s="39"/>
      <c r="KR86" s="39"/>
      <c r="KS86" s="39"/>
      <c r="KT86" s="39"/>
      <c r="KU86" s="39"/>
      <c r="KV86" s="39"/>
      <c r="KW86" s="39"/>
      <c r="KX86" s="39"/>
      <c r="KY86" s="39"/>
      <c r="KZ86" s="39"/>
      <c r="LA86" s="39"/>
      <c r="LB86" s="39"/>
      <c r="LC86" s="39"/>
      <c r="LD86" s="39"/>
      <c r="LE86" s="39"/>
      <c r="LF86" s="39"/>
      <c r="LG86" s="39"/>
      <c r="LH86" s="39"/>
      <c r="LI86" s="39"/>
      <c r="LJ86" s="39"/>
      <c r="LK86" s="39"/>
      <c r="LL86" s="39"/>
      <c r="LM86" s="39"/>
      <c r="LN86" s="38"/>
      <c r="LO86" s="39"/>
      <c r="LP86" s="39"/>
      <c r="LQ86" s="39"/>
      <c r="LR86" s="39"/>
      <c r="LS86" s="39"/>
      <c r="LT86" s="39"/>
      <c r="LU86" s="39"/>
      <c r="LV86" s="39"/>
      <c r="LW86" s="39"/>
      <c r="LX86" s="39"/>
      <c r="LY86" s="39"/>
      <c r="LZ86" s="39"/>
      <c r="MA86" s="39"/>
      <c r="MB86" s="39"/>
      <c r="MC86" s="39"/>
      <c r="MD86" s="39"/>
      <c r="ME86" s="39"/>
      <c r="MF86" s="39"/>
      <c r="MG86" s="39"/>
      <c r="MH86" s="39"/>
      <c r="MI86" s="39"/>
      <c r="MJ86" s="39"/>
      <c r="MK86" s="39"/>
      <c r="ML86" s="39"/>
      <c r="MM86" s="39"/>
      <c r="MN86" s="39"/>
      <c r="MO86" s="39"/>
      <c r="MP86" s="39"/>
      <c r="MQ86" s="39"/>
      <c r="MR86" s="39"/>
      <c r="MS86" s="38"/>
      <c r="MT86" s="39"/>
      <c r="MU86" s="39"/>
      <c r="MV86" s="39"/>
      <c r="MW86" s="39"/>
      <c r="MX86" s="39"/>
      <c r="MY86" s="39"/>
      <c r="MZ86" s="39"/>
      <c r="NA86" s="39"/>
      <c r="NB86" s="39"/>
      <c r="NC86" s="39"/>
      <c r="ND86" s="39"/>
      <c r="NE86" s="39"/>
      <c r="NF86" s="39"/>
      <c r="NG86" s="39"/>
      <c r="NH86" s="39"/>
      <c r="NI86" s="39"/>
      <c r="NJ86" s="39"/>
      <c r="NK86" s="39"/>
      <c r="NL86" s="39"/>
      <c r="NM86" s="39"/>
      <c r="NN86" s="39"/>
      <c r="NO86" s="39"/>
      <c r="NP86" s="39"/>
      <c r="NQ86" s="39"/>
      <c r="NR86" s="39"/>
      <c r="NS86" s="39"/>
      <c r="NT86" s="39"/>
      <c r="NU86" s="39"/>
      <c r="NV86" s="39"/>
      <c r="NW86" s="39"/>
      <c r="NX86" s="39"/>
      <c r="NY86" s="38"/>
    </row>
    <row r="87">
      <c r="A87" s="71"/>
      <c r="B87" s="72" t="str">
        <f>IFERROR(__xludf.DUMMYFUNCTION("VLOOKUP(A87, IMPORTRANGE(""https://docs.google.com/spreadsheets/d/1KpTMcNM9m1P7u9qCVzob8p1-RZoC1ejaYs5CdpAbWFY/edit?gid=260580969#gid=260580969"", ""2025 EMP PROFILE DATA!B1:W98""), 21, FALSE)"),"#REF!")</f>
        <v>#REF!</v>
      </c>
      <c r="C87" s="72">
        <f t="shared" si="1"/>
        <v>0</v>
      </c>
      <c r="D87" s="72">
        <f t="shared" si="2"/>
        <v>0</v>
      </c>
      <c r="E87" s="72">
        <f t="shared" si="3"/>
        <v>0</v>
      </c>
      <c r="F87" s="72">
        <f t="shared" si="4"/>
        <v>0</v>
      </c>
      <c r="G87" s="73">
        <f t="shared" si="5"/>
        <v>0</v>
      </c>
      <c r="H87" s="73">
        <f t="shared" si="6"/>
        <v>0</v>
      </c>
      <c r="I87" s="28">
        <f t="shared" si="7"/>
        <v>0</v>
      </c>
      <c r="J87" s="26">
        <v>0.0</v>
      </c>
      <c r="K87" s="26">
        <v>0.0</v>
      </c>
      <c r="L87" s="49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1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38"/>
      <c r="AS87" s="72"/>
      <c r="AT87" s="71"/>
      <c r="AU87" s="71"/>
      <c r="AV87" s="72"/>
      <c r="AW87" s="72"/>
      <c r="AX87" s="72"/>
      <c r="AY87" s="71"/>
      <c r="AZ87" s="71"/>
      <c r="BA87" s="71"/>
      <c r="BB87" s="71"/>
      <c r="BC87" s="72"/>
      <c r="BD87" s="71"/>
      <c r="BE87" s="71"/>
      <c r="BF87" s="71"/>
      <c r="BG87" s="71"/>
      <c r="BH87" s="72"/>
      <c r="BI87" s="71"/>
      <c r="BJ87" s="71"/>
      <c r="BK87" s="71"/>
      <c r="BL87" s="71"/>
      <c r="BM87" s="71"/>
      <c r="BN87" s="72"/>
      <c r="BO87" s="72"/>
      <c r="BP87" s="72"/>
      <c r="BQ87" s="72"/>
      <c r="BR87" s="72"/>
      <c r="BS87" s="71"/>
      <c r="BT87" s="75"/>
      <c r="BU87" s="38"/>
      <c r="BV87" s="72"/>
      <c r="BW87" s="72"/>
      <c r="BX87" s="71"/>
      <c r="BY87" s="72"/>
      <c r="BZ87" s="72"/>
      <c r="CA87" s="72"/>
      <c r="CB87" s="72"/>
      <c r="CC87" s="71"/>
      <c r="CD87" s="72"/>
      <c r="CE87" s="71"/>
      <c r="CF87" s="72"/>
      <c r="CG87" s="71"/>
      <c r="CH87" s="71"/>
      <c r="CI87" s="71"/>
      <c r="CJ87" s="72"/>
      <c r="CK87" s="72"/>
      <c r="CL87" s="71"/>
      <c r="CM87" s="72"/>
      <c r="CN87" s="71"/>
      <c r="CO87" s="71"/>
      <c r="CP87" s="71"/>
      <c r="CQ87" s="72"/>
      <c r="CR87" s="72"/>
      <c r="CS87" s="72"/>
      <c r="CT87" s="72"/>
      <c r="CU87" s="83"/>
      <c r="CV87" s="83"/>
      <c r="CW87" s="83"/>
      <c r="CX87" s="75"/>
      <c r="CY87" s="75"/>
      <c r="CZ87" s="83"/>
      <c r="DA87" s="38"/>
      <c r="DB87" s="72"/>
      <c r="DC87" s="83"/>
      <c r="DD87" s="83"/>
      <c r="DE87" s="72"/>
      <c r="DF87" s="72"/>
      <c r="DG87" s="72"/>
      <c r="DH87" s="72"/>
      <c r="DI87" s="72"/>
      <c r="DJ87" s="71"/>
      <c r="DK87" s="71"/>
      <c r="DL87" s="72"/>
      <c r="DM87" s="84"/>
      <c r="DN87" s="72"/>
      <c r="DO87" s="84"/>
      <c r="DP87" s="84"/>
      <c r="DQ87" s="72"/>
      <c r="DR87" s="72"/>
      <c r="DS87" s="72"/>
      <c r="DT87" s="84"/>
      <c r="DU87" s="72"/>
      <c r="DV87" s="72"/>
      <c r="DW87" s="72"/>
      <c r="DX87" s="72"/>
      <c r="DY87" s="72"/>
      <c r="DZ87" s="72"/>
      <c r="EA87" s="72"/>
      <c r="EB87" s="75"/>
      <c r="EC87" s="75"/>
      <c r="ED87" s="75"/>
      <c r="EE87" s="75"/>
      <c r="EF87" s="38"/>
      <c r="EG87" s="72"/>
      <c r="EH87" s="72"/>
      <c r="EI87" s="72"/>
      <c r="EJ87" s="72"/>
      <c r="EK87" s="72"/>
      <c r="EL87" s="72"/>
      <c r="EM87" s="72"/>
      <c r="EN87" s="72"/>
      <c r="EO87" s="72"/>
      <c r="EP87" s="72"/>
      <c r="EQ87" s="72"/>
      <c r="ER87" s="72"/>
      <c r="ES87" s="72"/>
      <c r="ET87" s="72"/>
      <c r="EU87" s="72"/>
      <c r="EV87" s="72"/>
      <c r="EW87" s="72"/>
      <c r="EX87" s="72"/>
      <c r="EY87" s="72"/>
      <c r="EZ87" s="72"/>
      <c r="FA87" s="72"/>
      <c r="FB87" s="72"/>
      <c r="FC87" s="72"/>
      <c r="FD87" s="72"/>
      <c r="FE87" s="72"/>
      <c r="FF87" s="72"/>
      <c r="FG87" s="75"/>
      <c r="FH87" s="75"/>
      <c r="FI87" s="75"/>
      <c r="FJ87" s="75"/>
      <c r="FK87" s="75"/>
      <c r="FL87" s="38"/>
      <c r="FM87" s="72"/>
      <c r="FN87" s="72"/>
      <c r="FO87" s="72"/>
      <c r="FP87" s="72"/>
      <c r="FQ87" s="72"/>
      <c r="FR87" s="72"/>
      <c r="FS87" s="72"/>
      <c r="FT87" s="72"/>
      <c r="FU87" s="72"/>
      <c r="FV87" s="72"/>
      <c r="FW87" s="72"/>
      <c r="FX87" s="72"/>
      <c r="FY87" s="72"/>
      <c r="FZ87" s="72"/>
      <c r="GA87" s="72"/>
      <c r="GB87" s="72"/>
      <c r="GC87" s="72"/>
      <c r="GD87" s="72"/>
      <c r="GE87" s="72"/>
      <c r="GF87" s="72"/>
      <c r="GG87" s="72"/>
      <c r="GH87" s="72"/>
      <c r="GI87" s="72"/>
      <c r="GJ87" s="72"/>
      <c r="GK87" s="72"/>
      <c r="GL87" s="72"/>
      <c r="GM87" s="75"/>
      <c r="GN87" s="75"/>
      <c r="GO87" s="75"/>
      <c r="GP87" s="75"/>
      <c r="GQ87" s="38"/>
      <c r="GR87" s="39"/>
      <c r="GS87" s="39"/>
      <c r="GT87" s="39"/>
      <c r="GU87" s="39"/>
      <c r="GV87" s="39"/>
      <c r="GW87" s="39"/>
      <c r="GX87" s="39"/>
      <c r="GY87" s="39"/>
      <c r="GZ87" s="39"/>
      <c r="HA87" s="39"/>
      <c r="HB87" s="39"/>
      <c r="HC87" s="39"/>
      <c r="HD87" s="39"/>
      <c r="HE87" s="39"/>
      <c r="HF87" s="39"/>
      <c r="HG87" s="39"/>
      <c r="HH87" s="39"/>
      <c r="HI87" s="39"/>
      <c r="HJ87" s="39"/>
      <c r="HK87" s="39"/>
      <c r="HL87" s="39"/>
      <c r="HM87" s="39"/>
      <c r="HN87" s="39"/>
      <c r="HO87" s="39"/>
      <c r="HP87" s="39"/>
      <c r="HQ87" s="39"/>
      <c r="HR87" s="39"/>
      <c r="HS87" s="39"/>
      <c r="HT87" s="39"/>
      <c r="HU87" s="39"/>
      <c r="HV87" s="39"/>
      <c r="HW87" s="38"/>
      <c r="HX87" s="39"/>
      <c r="HY87" s="39"/>
      <c r="HZ87" s="39"/>
      <c r="IA87" s="39"/>
      <c r="IB87" s="39"/>
      <c r="IC87" s="39"/>
      <c r="ID87" s="39"/>
      <c r="IE87" s="39"/>
      <c r="IF87" s="39"/>
      <c r="IG87" s="39"/>
      <c r="IH87" s="39"/>
      <c r="II87" s="39"/>
      <c r="IJ87" s="39"/>
      <c r="IK87" s="39"/>
      <c r="IL87" s="39"/>
      <c r="IM87" s="39"/>
      <c r="IN87" s="39"/>
      <c r="IO87" s="39"/>
      <c r="IP87" s="39"/>
      <c r="IQ87" s="39"/>
      <c r="IR87" s="39"/>
      <c r="IS87" s="39"/>
      <c r="IT87" s="39"/>
      <c r="IU87" s="39"/>
      <c r="IV87" s="39"/>
      <c r="IW87" s="39"/>
      <c r="IX87" s="39"/>
      <c r="IY87" s="39"/>
      <c r="IZ87" s="39"/>
      <c r="JA87" s="39"/>
      <c r="JB87" s="39"/>
      <c r="JC87" s="38"/>
      <c r="JD87" s="39"/>
      <c r="JE87" s="39"/>
      <c r="JF87" s="39"/>
      <c r="JG87" s="39"/>
      <c r="JH87" s="39"/>
      <c r="JI87" s="39"/>
      <c r="JJ87" s="39"/>
      <c r="JK87" s="39"/>
      <c r="JL87" s="39"/>
      <c r="JM87" s="39"/>
      <c r="JN87" s="39"/>
      <c r="JO87" s="39"/>
      <c r="JP87" s="39"/>
      <c r="JQ87" s="39"/>
      <c r="JR87" s="39"/>
      <c r="JS87" s="39"/>
      <c r="JT87" s="39"/>
      <c r="JU87" s="39"/>
      <c r="JV87" s="39"/>
      <c r="JW87" s="39"/>
      <c r="JX87" s="39"/>
      <c r="JY87" s="39"/>
      <c r="JZ87" s="39"/>
      <c r="KA87" s="39"/>
      <c r="KB87" s="39"/>
      <c r="KC87" s="39"/>
      <c r="KD87" s="39"/>
      <c r="KE87" s="39"/>
      <c r="KF87" s="39"/>
      <c r="KG87" s="39"/>
      <c r="KH87" s="38"/>
      <c r="KI87" s="39"/>
      <c r="KJ87" s="39"/>
      <c r="KK87" s="39"/>
      <c r="KL87" s="39"/>
      <c r="KM87" s="39"/>
      <c r="KN87" s="39"/>
      <c r="KO87" s="39"/>
      <c r="KP87" s="39"/>
      <c r="KQ87" s="39"/>
      <c r="KR87" s="39"/>
      <c r="KS87" s="39"/>
      <c r="KT87" s="39"/>
      <c r="KU87" s="39"/>
      <c r="KV87" s="39"/>
      <c r="KW87" s="39"/>
      <c r="KX87" s="39"/>
      <c r="KY87" s="39"/>
      <c r="KZ87" s="39"/>
      <c r="LA87" s="39"/>
      <c r="LB87" s="39"/>
      <c r="LC87" s="39"/>
      <c r="LD87" s="39"/>
      <c r="LE87" s="39"/>
      <c r="LF87" s="39"/>
      <c r="LG87" s="39"/>
      <c r="LH87" s="39"/>
      <c r="LI87" s="39"/>
      <c r="LJ87" s="39"/>
      <c r="LK87" s="39"/>
      <c r="LL87" s="39"/>
      <c r="LM87" s="39"/>
      <c r="LN87" s="38"/>
      <c r="LO87" s="39"/>
      <c r="LP87" s="39"/>
      <c r="LQ87" s="39"/>
      <c r="LR87" s="39"/>
      <c r="LS87" s="39"/>
      <c r="LT87" s="39"/>
      <c r="LU87" s="39"/>
      <c r="LV87" s="39"/>
      <c r="LW87" s="39"/>
      <c r="LX87" s="39"/>
      <c r="LY87" s="39"/>
      <c r="LZ87" s="39"/>
      <c r="MA87" s="39"/>
      <c r="MB87" s="39"/>
      <c r="MC87" s="39"/>
      <c r="MD87" s="39"/>
      <c r="ME87" s="39"/>
      <c r="MF87" s="39"/>
      <c r="MG87" s="39"/>
      <c r="MH87" s="39"/>
      <c r="MI87" s="39"/>
      <c r="MJ87" s="39"/>
      <c r="MK87" s="39"/>
      <c r="ML87" s="39"/>
      <c r="MM87" s="39"/>
      <c r="MN87" s="39"/>
      <c r="MO87" s="39"/>
      <c r="MP87" s="39"/>
      <c r="MQ87" s="39"/>
      <c r="MR87" s="39"/>
      <c r="MS87" s="38"/>
      <c r="MT87" s="39"/>
      <c r="MU87" s="39"/>
      <c r="MV87" s="39"/>
      <c r="MW87" s="39"/>
      <c r="MX87" s="39"/>
      <c r="MY87" s="39"/>
      <c r="MZ87" s="39"/>
      <c r="NA87" s="39"/>
      <c r="NB87" s="39"/>
      <c r="NC87" s="39"/>
      <c r="ND87" s="39"/>
      <c r="NE87" s="39"/>
      <c r="NF87" s="39"/>
      <c r="NG87" s="39"/>
      <c r="NH87" s="39"/>
      <c r="NI87" s="39"/>
      <c r="NJ87" s="39"/>
      <c r="NK87" s="39"/>
      <c r="NL87" s="39"/>
      <c r="NM87" s="39"/>
      <c r="NN87" s="39"/>
      <c r="NO87" s="39"/>
      <c r="NP87" s="39"/>
      <c r="NQ87" s="39"/>
      <c r="NR87" s="39"/>
      <c r="NS87" s="39"/>
      <c r="NT87" s="39"/>
      <c r="NU87" s="39"/>
      <c r="NV87" s="39"/>
      <c r="NW87" s="39"/>
      <c r="NX87" s="39"/>
      <c r="NY87" s="38"/>
    </row>
    <row r="88">
      <c r="A88" s="71"/>
      <c r="B88" s="72" t="str">
        <f>IFERROR(__xludf.DUMMYFUNCTION("VLOOKUP(A88, IMPORTRANGE(""https://docs.google.com/spreadsheets/d/1KpTMcNM9m1P7u9qCVzob8p1-RZoC1ejaYs5CdpAbWFY/edit?gid=260580969#gid=260580969"", ""2025 EMP PROFILE DATA!B1:W98""), 21, FALSE)"),"#REF!")</f>
        <v>#REF!</v>
      </c>
      <c r="C88" s="72">
        <f t="shared" si="1"/>
        <v>0</v>
      </c>
      <c r="D88" s="72">
        <f t="shared" si="2"/>
        <v>0</v>
      </c>
      <c r="E88" s="72">
        <f t="shared" si="3"/>
        <v>0</v>
      </c>
      <c r="F88" s="72">
        <f t="shared" si="4"/>
        <v>0</v>
      </c>
      <c r="G88" s="73">
        <f t="shared" si="5"/>
        <v>0</v>
      </c>
      <c r="H88" s="73">
        <f t="shared" si="6"/>
        <v>0</v>
      </c>
      <c r="I88" s="28">
        <f t="shared" si="7"/>
        <v>0</v>
      </c>
      <c r="J88" s="26">
        <v>0.0</v>
      </c>
      <c r="K88" s="26">
        <v>0.0</v>
      </c>
      <c r="L88" s="49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1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38"/>
      <c r="AS88" s="72"/>
      <c r="AT88" s="71"/>
      <c r="AU88" s="71"/>
      <c r="AV88" s="72"/>
      <c r="AW88" s="72"/>
      <c r="AX88" s="72"/>
      <c r="AY88" s="71"/>
      <c r="AZ88" s="71"/>
      <c r="BA88" s="71"/>
      <c r="BB88" s="71"/>
      <c r="BC88" s="72"/>
      <c r="BD88" s="71"/>
      <c r="BE88" s="71"/>
      <c r="BF88" s="71"/>
      <c r="BG88" s="71"/>
      <c r="BH88" s="72"/>
      <c r="BI88" s="71"/>
      <c r="BJ88" s="71"/>
      <c r="BK88" s="71"/>
      <c r="BL88" s="71"/>
      <c r="BM88" s="71"/>
      <c r="BN88" s="72"/>
      <c r="BO88" s="72"/>
      <c r="BP88" s="72"/>
      <c r="BQ88" s="72"/>
      <c r="BR88" s="72"/>
      <c r="BS88" s="71"/>
      <c r="BT88" s="75"/>
      <c r="BU88" s="38"/>
      <c r="BV88" s="72"/>
      <c r="BW88" s="72"/>
      <c r="BX88" s="71"/>
      <c r="BY88" s="72"/>
      <c r="BZ88" s="72"/>
      <c r="CA88" s="72"/>
      <c r="CB88" s="72"/>
      <c r="CC88" s="71"/>
      <c r="CD88" s="72"/>
      <c r="CE88" s="71"/>
      <c r="CF88" s="72"/>
      <c r="CG88" s="71"/>
      <c r="CH88" s="71"/>
      <c r="CI88" s="71"/>
      <c r="CJ88" s="72"/>
      <c r="CK88" s="72"/>
      <c r="CL88" s="71"/>
      <c r="CM88" s="72"/>
      <c r="CN88" s="71"/>
      <c r="CO88" s="71"/>
      <c r="CP88" s="71"/>
      <c r="CQ88" s="72"/>
      <c r="CR88" s="72"/>
      <c r="CS88" s="72"/>
      <c r="CT88" s="72"/>
      <c r="CU88" s="83"/>
      <c r="CV88" s="83"/>
      <c r="CW88" s="83"/>
      <c r="CX88" s="75"/>
      <c r="CY88" s="75"/>
      <c r="CZ88" s="83"/>
      <c r="DA88" s="38"/>
      <c r="DB88" s="72"/>
      <c r="DC88" s="83"/>
      <c r="DD88" s="83"/>
      <c r="DE88" s="72"/>
      <c r="DF88" s="72"/>
      <c r="DG88" s="72"/>
      <c r="DH88" s="72"/>
      <c r="DI88" s="72"/>
      <c r="DJ88" s="71"/>
      <c r="DK88" s="71"/>
      <c r="DL88" s="72"/>
      <c r="DM88" s="84"/>
      <c r="DN88" s="72"/>
      <c r="DO88" s="84"/>
      <c r="DP88" s="84"/>
      <c r="DQ88" s="72"/>
      <c r="DR88" s="72"/>
      <c r="DS88" s="72"/>
      <c r="DT88" s="84"/>
      <c r="DU88" s="72"/>
      <c r="DV88" s="72"/>
      <c r="DW88" s="72"/>
      <c r="DX88" s="72"/>
      <c r="DY88" s="72"/>
      <c r="DZ88" s="72"/>
      <c r="EA88" s="72"/>
      <c r="EB88" s="75"/>
      <c r="EC88" s="75"/>
      <c r="ED88" s="75"/>
      <c r="EE88" s="75"/>
      <c r="EF88" s="38"/>
      <c r="EG88" s="72"/>
      <c r="EH88" s="72"/>
      <c r="EI88" s="72"/>
      <c r="EJ88" s="72"/>
      <c r="EK88" s="72"/>
      <c r="EL88" s="72"/>
      <c r="EM88" s="72"/>
      <c r="EN88" s="72"/>
      <c r="EO88" s="72"/>
      <c r="EP88" s="72"/>
      <c r="EQ88" s="72"/>
      <c r="ER88" s="72"/>
      <c r="ES88" s="72"/>
      <c r="ET88" s="72"/>
      <c r="EU88" s="72"/>
      <c r="EV88" s="72"/>
      <c r="EW88" s="72"/>
      <c r="EX88" s="72"/>
      <c r="EY88" s="72"/>
      <c r="EZ88" s="72"/>
      <c r="FA88" s="72"/>
      <c r="FB88" s="72"/>
      <c r="FC88" s="72"/>
      <c r="FD88" s="72"/>
      <c r="FE88" s="72"/>
      <c r="FF88" s="72"/>
      <c r="FG88" s="75"/>
      <c r="FH88" s="75"/>
      <c r="FI88" s="75"/>
      <c r="FJ88" s="75"/>
      <c r="FK88" s="75"/>
      <c r="FL88" s="38"/>
      <c r="FM88" s="72"/>
      <c r="FN88" s="72"/>
      <c r="FO88" s="72"/>
      <c r="FP88" s="72"/>
      <c r="FQ88" s="72"/>
      <c r="FR88" s="72"/>
      <c r="FS88" s="72"/>
      <c r="FT88" s="72"/>
      <c r="FU88" s="72"/>
      <c r="FV88" s="72"/>
      <c r="FW88" s="72"/>
      <c r="FX88" s="72"/>
      <c r="FY88" s="72"/>
      <c r="FZ88" s="72"/>
      <c r="GA88" s="72"/>
      <c r="GB88" s="72"/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5"/>
      <c r="GN88" s="75"/>
      <c r="GO88" s="75"/>
      <c r="GP88" s="75"/>
      <c r="GQ88" s="38"/>
      <c r="GR88" s="39"/>
      <c r="GS88" s="39"/>
      <c r="GT88" s="39"/>
      <c r="GU88" s="39"/>
      <c r="GV88" s="39"/>
      <c r="GW88" s="39"/>
      <c r="GX88" s="39"/>
      <c r="GY88" s="39"/>
      <c r="GZ88" s="39"/>
      <c r="HA88" s="39"/>
      <c r="HB88" s="39"/>
      <c r="HC88" s="39"/>
      <c r="HD88" s="39"/>
      <c r="HE88" s="39"/>
      <c r="HF88" s="39"/>
      <c r="HG88" s="39"/>
      <c r="HH88" s="39"/>
      <c r="HI88" s="39"/>
      <c r="HJ88" s="39"/>
      <c r="HK88" s="39"/>
      <c r="HL88" s="39"/>
      <c r="HM88" s="39"/>
      <c r="HN88" s="39"/>
      <c r="HO88" s="39"/>
      <c r="HP88" s="39"/>
      <c r="HQ88" s="39"/>
      <c r="HR88" s="39"/>
      <c r="HS88" s="39"/>
      <c r="HT88" s="39"/>
      <c r="HU88" s="39"/>
      <c r="HV88" s="39"/>
      <c r="HW88" s="38"/>
      <c r="HX88" s="39"/>
      <c r="HY88" s="39"/>
      <c r="HZ88" s="39"/>
      <c r="IA88" s="39"/>
      <c r="IB88" s="39"/>
      <c r="IC88" s="39"/>
      <c r="ID88" s="39"/>
      <c r="IE88" s="39"/>
      <c r="IF88" s="39"/>
      <c r="IG88" s="39"/>
      <c r="IH88" s="39"/>
      <c r="II88" s="39"/>
      <c r="IJ88" s="39"/>
      <c r="IK88" s="39"/>
      <c r="IL88" s="39"/>
      <c r="IM88" s="39"/>
      <c r="IN88" s="39"/>
      <c r="IO88" s="39"/>
      <c r="IP88" s="39"/>
      <c r="IQ88" s="39"/>
      <c r="IR88" s="39"/>
      <c r="IS88" s="39"/>
      <c r="IT88" s="39"/>
      <c r="IU88" s="39"/>
      <c r="IV88" s="39"/>
      <c r="IW88" s="39"/>
      <c r="IX88" s="39"/>
      <c r="IY88" s="39"/>
      <c r="IZ88" s="39"/>
      <c r="JA88" s="39"/>
      <c r="JB88" s="39"/>
      <c r="JC88" s="38"/>
      <c r="JD88" s="39"/>
      <c r="JE88" s="39"/>
      <c r="JF88" s="39"/>
      <c r="JG88" s="39"/>
      <c r="JH88" s="39"/>
      <c r="JI88" s="39"/>
      <c r="JJ88" s="39"/>
      <c r="JK88" s="39"/>
      <c r="JL88" s="39"/>
      <c r="JM88" s="39"/>
      <c r="JN88" s="39"/>
      <c r="JO88" s="39"/>
      <c r="JP88" s="39"/>
      <c r="JQ88" s="39"/>
      <c r="JR88" s="39"/>
      <c r="JS88" s="39"/>
      <c r="JT88" s="39"/>
      <c r="JU88" s="39"/>
      <c r="JV88" s="39"/>
      <c r="JW88" s="39"/>
      <c r="JX88" s="39"/>
      <c r="JY88" s="39"/>
      <c r="JZ88" s="39"/>
      <c r="KA88" s="39"/>
      <c r="KB88" s="39"/>
      <c r="KC88" s="39"/>
      <c r="KD88" s="39"/>
      <c r="KE88" s="39"/>
      <c r="KF88" s="39"/>
      <c r="KG88" s="39"/>
      <c r="KH88" s="38"/>
      <c r="KI88" s="39"/>
      <c r="KJ88" s="39"/>
      <c r="KK88" s="39"/>
      <c r="KL88" s="39"/>
      <c r="KM88" s="39"/>
      <c r="KN88" s="39"/>
      <c r="KO88" s="39"/>
      <c r="KP88" s="39"/>
      <c r="KQ88" s="39"/>
      <c r="KR88" s="39"/>
      <c r="KS88" s="39"/>
      <c r="KT88" s="39"/>
      <c r="KU88" s="39"/>
      <c r="KV88" s="39"/>
      <c r="KW88" s="39"/>
      <c r="KX88" s="39"/>
      <c r="KY88" s="39"/>
      <c r="KZ88" s="39"/>
      <c r="LA88" s="39"/>
      <c r="LB88" s="39"/>
      <c r="LC88" s="39"/>
      <c r="LD88" s="39"/>
      <c r="LE88" s="39"/>
      <c r="LF88" s="39"/>
      <c r="LG88" s="39"/>
      <c r="LH88" s="39"/>
      <c r="LI88" s="39"/>
      <c r="LJ88" s="39"/>
      <c r="LK88" s="39"/>
      <c r="LL88" s="39"/>
      <c r="LM88" s="39"/>
      <c r="LN88" s="38"/>
      <c r="LO88" s="39"/>
      <c r="LP88" s="39"/>
      <c r="LQ88" s="39"/>
      <c r="LR88" s="39"/>
      <c r="LS88" s="39"/>
      <c r="LT88" s="39"/>
      <c r="LU88" s="39"/>
      <c r="LV88" s="39"/>
      <c r="LW88" s="39"/>
      <c r="LX88" s="39"/>
      <c r="LY88" s="39"/>
      <c r="LZ88" s="39"/>
      <c r="MA88" s="39"/>
      <c r="MB88" s="39"/>
      <c r="MC88" s="39"/>
      <c r="MD88" s="39"/>
      <c r="ME88" s="39"/>
      <c r="MF88" s="39"/>
      <c r="MG88" s="39"/>
      <c r="MH88" s="39"/>
      <c r="MI88" s="39"/>
      <c r="MJ88" s="39"/>
      <c r="MK88" s="39"/>
      <c r="ML88" s="39"/>
      <c r="MM88" s="39"/>
      <c r="MN88" s="39"/>
      <c r="MO88" s="39"/>
      <c r="MP88" s="39"/>
      <c r="MQ88" s="39"/>
      <c r="MR88" s="39"/>
      <c r="MS88" s="38"/>
      <c r="MT88" s="39"/>
      <c r="MU88" s="39"/>
      <c r="MV88" s="39"/>
      <c r="MW88" s="39"/>
      <c r="MX88" s="39"/>
      <c r="MY88" s="39"/>
      <c r="MZ88" s="39"/>
      <c r="NA88" s="39"/>
      <c r="NB88" s="39"/>
      <c r="NC88" s="39"/>
      <c r="ND88" s="39"/>
      <c r="NE88" s="39"/>
      <c r="NF88" s="39"/>
      <c r="NG88" s="39"/>
      <c r="NH88" s="39"/>
      <c r="NI88" s="39"/>
      <c r="NJ88" s="39"/>
      <c r="NK88" s="39"/>
      <c r="NL88" s="39"/>
      <c r="NM88" s="39"/>
      <c r="NN88" s="39"/>
      <c r="NO88" s="39"/>
      <c r="NP88" s="39"/>
      <c r="NQ88" s="39"/>
      <c r="NR88" s="39"/>
      <c r="NS88" s="39"/>
      <c r="NT88" s="39"/>
      <c r="NU88" s="39"/>
      <c r="NV88" s="39"/>
      <c r="NW88" s="39"/>
      <c r="NX88" s="39"/>
      <c r="NY88" s="38"/>
    </row>
    <row r="89">
      <c r="A89" s="71"/>
      <c r="B89" s="72" t="str">
        <f>IFERROR(__xludf.DUMMYFUNCTION("VLOOKUP(A89, IMPORTRANGE(""https://docs.google.com/spreadsheets/d/1KpTMcNM9m1P7u9qCVzob8p1-RZoC1ejaYs5CdpAbWFY/edit?gid=260580969#gid=260580969"", ""2025 EMP PROFILE DATA!B1:W98""), 21, FALSE)"),"#REF!")</f>
        <v>#REF!</v>
      </c>
      <c r="C89" s="72">
        <f t="shared" si="1"/>
        <v>0</v>
      </c>
      <c r="D89" s="72">
        <f t="shared" si="2"/>
        <v>0</v>
      </c>
      <c r="E89" s="72">
        <f t="shared" si="3"/>
        <v>0</v>
      </c>
      <c r="F89" s="72">
        <f t="shared" si="4"/>
        <v>0</v>
      </c>
      <c r="G89" s="73">
        <f t="shared" si="5"/>
        <v>0</v>
      </c>
      <c r="H89" s="73">
        <f t="shared" si="6"/>
        <v>0</v>
      </c>
      <c r="I89" s="28">
        <f t="shared" si="7"/>
        <v>0</v>
      </c>
      <c r="J89" s="26">
        <v>0.0</v>
      </c>
      <c r="K89" s="26">
        <v>0.0</v>
      </c>
      <c r="L89" s="49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1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38"/>
      <c r="AS89" s="72"/>
      <c r="AT89" s="71"/>
      <c r="AU89" s="71"/>
      <c r="AV89" s="72"/>
      <c r="AW89" s="72"/>
      <c r="AX89" s="72"/>
      <c r="AY89" s="71"/>
      <c r="AZ89" s="71"/>
      <c r="BA89" s="71"/>
      <c r="BB89" s="71"/>
      <c r="BC89" s="72"/>
      <c r="BD89" s="71"/>
      <c r="BE89" s="71"/>
      <c r="BF89" s="71"/>
      <c r="BG89" s="71"/>
      <c r="BH89" s="72"/>
      <c r="BI89" s="71"/>
      <c r="BJ89" s="71"/>
      <c r="BK89" s="71"/>
      <c r="BL89" s="71"/>
      <c r="BM89" s="71"/>
      <c r="BN89" s="72"/>
      <c r="BO89" s="72"/>
      <c r="BP89" s="72"/>
      <c r="BQ89" s="72"/>
      <c r="BR89" s="72"/>
      <c r="BS89" s="71"/>
      <c r="BT89" s="75"/>
      <c r="BU89" s="38"/>
      <c r="BV89" s="72"/>
      <c r="BW89" s="72"/>
      <c r="BX89" s="71"/>
      <c r="BY89" s="72"/>
      <c r="BZ89" s="72"/>
      <c r="CA89" s="72"/>
      <c r="CB89" s="72"/>
      <c r="CC89" s="71"/>
      <c r="CD89" s="72"/>
      <c r="CE89" s="71"/>
      <c r="CF89" s="72"/>
      <c r="CG89" s="71"/>
      <c r="CH89" s="71"/>
      <c r="CI89" s="71"/>
      <c r="CJ89" s="72"/>
      <c r="CK89" s="72"/>
      <c r="CL89" s="71"/>
      <c r="CM89" s="72"/>
      <c r="CN89" s="71"/>
      <c r="CO89" s="71"/>
      <c r="CP89" s="71"/>
      <c r="CQ89" s="72"/>
      <c r="CR89" s="72"/>
      <c r="CS89" s="72"/>
      <c r="CT89" s="72"/>
      <c r="CU89" s="83"/>
      <c r="CV89" s="83"/>
      <c r="CW89" s="83"/>
      <c r="CX89" s="75"/>
      <c r="CY89" s="75"/>
      <c r="CZ89" s="83"/>
      <c r="DA89" s="38"/>
      <c r="DB89" s="72"/>
      <c r="DC89" s="83"/>
      <c r="DD89" s="83"/>
      <c r="DE89" s="72"/>
      <c r="DF89" s="72"/>
      <c r="DG89" s="72"/>
      <c r="DH89" s="72"/>
      <c r="DI89" s="72"/>
      <c r="DJ89" s="71"/>
      <c r="DK89" s="71"/>
      <c r="DL89" s="72"/>
      <c r="DM89" s="84"/>
      <c r="DN89" s="72"/>
      <c r="DO89" s="84"/>
      <c r="DP89" s="84"/>
      <c r="DQ89" s="72"/>
      <c r="DR89" s="72"/>
      <c r="DS89" s="72"/>
      <c r="DT89" s="84"/>
      <c r="DU89" s="72"/>
      <c r="DV89" s="72"/>
      <c r="DW89" s="72"/>
      <c r="DX89" s="72"/>
      <c r="DY89" s="72"/>
      <c r="DZ89" s="72"/>
      <c r="EA89" s="72"/>
      <c r="EB89" s="75"/>
      <c r="EC89" s="75"/>
      <c r="ED89" s="75"/>
      <c r="EE89" s="75"/>
      <c r="EF89" s="38"/>
      <c r="EG89" s="72"/>
      <c r="EH89" s="72"/>
      <c r="EI89" s="72"/>
      <c r="EJ89" s="72"/>
      <c r="EK89" s="72"/>
      <c r="EL89" s="72"/>
      <c r="EM89" s="72"/>
      <c r="EN89" s="72"/>
      <c r="EO89" s="72"/>
      <c r="EP89" s="72"/>
      <c r="EQ89" s="72"/>
      <c r="ER89" s="72"/>
      <c r="ES89" s="72"/>
      <c r="ET89" s="72"/>
      <c r="EU89" s="72"/>
      <c r="EV89" s="72"/>
      <c r="EW89" s="72"/>
      <c r="EX89" s="72"/>
      <c r="EY89" s="72"/>
      <c r="EZ89" s="72"/>
      <c r="FA89" s="72"/>
      <c r="FB89" s="72"/>
      <c r="FC89" s="72"/>
      <c r="FD89" s="72"/>
      <c r="FE89" s="72"/>
      <c r="FF89" s="72"/>
      <c r="FG89" s="75"/>
      <c r="FH89" s="75"/>
      <c r="FI89" s="75"/>
      <c r="FJ89" s="75"/>
      <c r="FK89" s="75"/>
      <c r="FL89" s="38"/>
      <c r="FM89" s="72"/>
      <c r="FN89" s="72"/>
      <c r="FO89" s="72"/>
      <c r="FP89" s="72"/>
      <c r="FQ89" s="72"/>
      <c r="FR89" s="72"/>
      <c r="FS89" s="72"/>
      <c r="FT89" s="72"/>
      <c r="FU89" s="72"/>
      <c r="FV89" s="72"/>
      <c r="FW89" s="72"/>
      <c r="FX89" s="72"/>
      <c r="FY89" s="72"/>
      <c r="FZ89" s="72"/>
      <c r="GA89" s="72"/>
      <c r="GB89" s="72"/>
      <c r="GC89" s="72"/>
      <c r="GD89" s="72"/>
      <c r="GE89" s="72"/>
      <c r="GF89" s="72"/>
      <c r="GG89" s="72"/>
      <c r="GH89" s="72"/>
      <c r="GI89" s="72"/>
      <c r="GJ89" s="72"/>
      <c r="GK89" s="72"/>
      <c r="GL89" s="72"/>
      <c r="GM89" s="75"/>
      <c r="GN89" s="75"/>
      <c r="GO89" s="75"/>
      <c r="GP89" s="75"/>
      <c r="GQ89" s="38"/>
      <c r="GR89" s="39"/>
      <c r="GS89" s="39"/>
      <c r="GT89" s="39"/>
      <c r="GU89" s="39"/>
      <c r="GV89" s="39"/>
      <c r="GW89" s="39"/>
      <c r="GX89" s="39"/>
      <c r="GY89" s="39"/>
      <c r="GZ89" s="39"/>
      <c r="HA89" s="39"/>
      <c r="HB89" s="39"/>
      <c r="HC89" s="39"/>
      <c r="HD89" s="39"/>
      <c r="HE89" s="39"/>
      <c r="HF89" s="39"/>
      <c r="HG89" s="39"/>
      <c r="HH89" s="39"/>
      <c r="HI89" s="39"/>
      <c r="HJ89" s="39"/>
      <c r="HK89" s="39"/>
      <c r="HL89" s="39"/>
      <c r="HM89" s="39"/>
      <c r="HN89" s="39"/>
      <c r="HO89" s="39"/>
      <c r="HP89" s="39"/>
      <c r="HQ89" s="39"/>
      <c r="HR89" s="39"/>
      <c r="HS89" s="39"/>
      <c r="HT89" s="39"/>
      <c r="HU89" s="39"/>
      <c r="HV89" s="39"/>
      <c r="HW89" s="38"/>
      <c r="HX89" s="39"/>
      <c r="HY89" s="39"/>
      <c r="HZ89" s="39"/>
      <c r="IA89" s="39"/>
      <c r="IB89" s="39"/>
      <c r="IC89" s="39"/>
      <c r="ID89" s="39"/>
      <c r="IE89" s="39"/>
      <c r="IF89" s="39"/>
      <c r="IG89" s="39"/>
      <c r="IH89" s="39"/>
      <c r="II89" s="39"/>
      <c r="IJ89" s="39"/>
      <c r="IK89" s="39"/>
      <c r="IL89" s="39"/>
      <c r="IM89" s="39"/>
      <c r="IN89" s="39"/>
      <c r="IO89" s="39"/>
      <c r="IP89" s="39"/>
      <c r="IQ89" s="39"/>
      <c r="IR89" s="39"/>
      <c r="IS89" s="39"/>
      <c r="IT89" s="39"/>
      <c r="IU89" s="39"/>
      <c r="IV89" s="39"/>
      <c r="IW89" s="39"/>
      <c r="IX89" s="39"/>
      <c r="IY89" s="39"/>
      <c r="IZ89" s="39"/>
      <c r="JA89" s="39"/>
      <c r="JB89" s="39"/>
      <c r="JC89" s="38"/>
      <c r="JD89" s="39"/>
      <c r="JE89" s="39"/>
      <c r="JF89" s="39"/>
      <c r="JG89" s="39"/>
      <c r="JH89" s="39"/>
      <c r="JI89" s="39"/>
      <c r="JJ89" s="39"/>
      <c r="JK89" s="39"/>
      <c r="JL89" s="39"/>
      <c r="JM89" s="39"/>
      <c r="JN89" s="39"/>
      <c r="JO89" s="39"/>
      <c r="JP89" s="39"/>
      <c r="JQ89" s="39"/>
      <c r="JR89" s="39"/>
      <c r="JS89" s="39"/>
      <c r="JT89" s="39"/>
      <c r="JU89" s="39"/>
      <c r="JV89" s="39"/>
      <c r="JW89" s="39"/>
      <c r="JX89" s="39"/>
      <c r="JY89" s="39"/>
      <c r="JZ89" s="39"/>
      <c r="KA89" s="39"/>
      <c r="KB89" s="39"/>
      <c r="KC89" s="39"/>
      <c r="KD89" s="39"/>
      <c r="KE89" s="39"/>
      <c r="KF89" s="39"/>
      <c r="KG89" s="39"/>
      <c r="KH89" s="38"/>
      <c r="KI89" s="39"/>
      <c r="KJ89" s="39"/>
      <c r="KK89" s="39"/>
      <c r="KL89" s="39"/>
      <c r="KM89" s="39"/>
      <c r="KN89" s="39"/>
      <c r="KO89" s="39"/>
      <c r="KP89" s="39"/>
      <c r="KQ89" s="39"/>
      <c r="KR89" s="39"/>
      <c r="KS89" s="39"/>
      <c r="KT89" s="39"/>
      <c r="KU89" s="39"/>
      <c r="KV89" s="39"/>
      <c r="KW89" s="39"/>
      <c r="KX89" s="39"/>
      <c r="KY89" s="39"/>
      <c r="KZ89" s="39"/>
      <c r="LA89" s="39"/>
      <c r="LB89" s="39"/>
      <c r="LC89" s="39"/>
      <c r="LD89" s="39"/>
      <c r="LE89" s="39"/>
      <c r="LF89" s="39"/>
      <c r="LG89" s="39"/>
      <c r="LH89" s="39"/>
      <c r="LI89" s="39"/>
      <c r="LJ89" s="39"/>
      <c r="LK89" s="39"/>
      <c r="LL89" s="39"/>
      <c r="LM89" s="39"/>
      <c r="LN89" s="38"/>
      <c r="LO89" s="39"/>
      <c r="LP89" s="39"/>
      <c r="LQ89" s="39"/>
      <c r="LR89" s="39"/>
      <c r="LS89" s="39"/>
      <c r="LT89" s="39"/>
      <c r="LU89" s="39"/>
      <c r="LV89" s="39"/>
      <c r="LW89" s="39"/>
      <c r="LX89" s="39"/>
      <c r="LY89" s="39"/>
      <c r="LZ89" s="39"/>
      <c r="MA89" s="39"/>
      <c r="MB89" s="39"/>
      <c r="MC89" s="39"/>
      <c r="MD89" s="39"/>
      <c r="ME89" s="39"/>
      <c r="MF89" s="39"/>
      <c r="MG89" s="39"/>
      <c r="MH89" s="39"/>
      <c r="MI89" s="39"/>
      <c r="MJ89" s="39"/>
      <c r="MK89" s="39"/>
      <c r="ML89" s="39"/>
      <c r="MM89" s="39"/>
      <c r="MN89" s="39"/>
      <c r="MO89" s="39"/>
      <c r="MP89" s="39"/>
      <c r="MQ89" s="39"/>
      <c r="MR89" s="39"/>
      <c r="MS89" s="38"/>
      <c r="MT89" s="39"/>
      <c r="MU89" s="39"/>
      <c r="MV89" s="39"/>
      <c r="MW89" s="39"/>
      <c r="MX89" s="39"/>
      <c r="MY89" s="39"/>
      <c r="MZ89" s="39"/>
      <c r="NA89" s="39"/>
      <c r="NB89" s="39"/>
      <c r="NC89" s="39"/>
      <c r="ND89" s="39"/>
      <c r="NE89" s="39"/>
      <c r="NF89" s="39"/>
      <c r="NG89" s="39"/>
      <c r="NH89" s="39"/>
      <c r="NI89" s="39"/>
      <c r="NJ89" s="39"/>
      <c r="NK89" s="39"/>
      <c r="NL89" s="39"/>
      <c r="NM89" s="39"/>
      <c r="NN89" s="39"/>
      <c r="NO89" s="39"/>
      <c r="NP89" s="39"/>
      <c r="NQ89" s="39"/>
      <c r="NR89" s="39"/>
      <c r="NS89" s="39"/>
      <c r="NT89" s="39"/>
      <c r="NU89" s="39"/>
      <c r="NV89" s="39"/>
      <c r="NW89" s="39"/>
      <c r="NX89" s="39"/>
      <c r="NY89" s="38"/>
    </row>
    <row r="90">
      <c r="A90" s="71"/>
      <c r="B90" s="72" t="str">
        <f>IFERROR(__xludf.DUMMYFUNCTION("VLOOKUP(A90, IMPORTRANGE(""https://docs.google.com/spreadsheets/d/1KpTMcNM9m1P7u9qCVzob8p1-RZoC1ejaYs5CdpAbWFY/edit?gid=260580969#gid=260580969"", ""2025 EMP PROFILE DATA!B1:W98""), 21, FALSE)"),"#REF!")</f>
        <v>#REF!</v>
      </c>
      <c r="C90" s="72">
        <f t="shared" si="1"/>
        <v>0</v>
      </c>
      <c r="D90" s="72">
        <f t="shared" si="2"/>
        <v>0</v>
      </c>
      <c r="E90" s="72">
        <f t="shared" si="3"/>
        <v>0</v>
      </c>
      <c r="F90" s="72">
        <f t="shared" si="4"/>
        <v>0</v>
      </c>
      <c r="G90" s="73">
        <f t="shared" si="5"/>
        <v>0</v>
      </c>
      <c r="H90" s="73">
        <f t="shared" si="6"/>
        <v>0</v>
      </c>
      <c r="I90" s="28">
        <f t="shared" si="7"/>
        <v>0</v>
      </c>
      <c r="J90" s="26">
        <v>0.0</v>
      </c>
      <c r="K90" s="26">
        <v>0.0</v>
      </c>
      <c r="L90" s="49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1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38"/>
      <c r="AS90" s="72"/>
      <c r="AT90" s="71"/>
      <c r="AU90" s="71"/>
      <c r="AV90" s="72"/>
      <c r="AW90" s="72"/>
      <c r="AX90" s="72"/>
      <c r="AY90" s="71"/>
      <c r="AZ90" s="71"/>
      <c r="BA90" s="71"/>
      <c r="BB90" s="71"/>
      <c r="BC90" s="72"/>
      <c r="BD90" s="71"/>
      <c r="BE90" s="71"/>
      <c r="BF90" s="71"/>
      <c r="BG90" s="71"/>
      <c r="BH90" s="72"/>
      <c r="BI90" s="71"/>
      <c r="BJ90" s="71"/>
      <c r="BK90" s="71"/>
      <c r="BL90" s="71"/>
      <c r="BM90" s="71"/>
      <c r="BN90" s="72"/>
      <c r="BO90" s="72"/>
      <c r="BP90" s="72"/>
      <c r="BQ90" s="72"/>
      <c r="BR90" s="72"/>
      <c r="BS90" s="71"/>
      <c r="BT90" s="75"/>
      <c r="BU90" s="38"/>
      <c r="BV90" s="72"/>
      <c r="BW90" s="72"/>
      <c r="BX90" s="71"/>
      <c r="BY90" s="72"/>
      <c r="BZ90" s="72"/>
      <c r="CA90" s="72"/>
      <c r="CB90" s="72"/>
      <c r="CC90" s="71"/>
      <c r="CD90" s="72"/>
      <c r="CE90" s="71"/>
      <c r="CF90" s="72"/>
      <c r="CG90" s="71"/>
      <c r="CH90" s="71"/>
      <c r="CI90" s="71"/>
      <c r="CJ90" s="72"/>
      <c r="CK90" s="72"/>
      <c r="CL90" s="71"/>
      <c r="CM90" s="72"/>
      <c r="CN90" s="71"/>
      <c r="CO90" s="71"/>
      <c r="CP90" s="71"/>
      <c r="CQ90" s="72"/>
      <c r="CR90" s="72"/>
      <c r="CS90" s="72"/>
      <c r="CT90" s="72"/>
      <c r="CU90" s="83"/>
      <c r="CV90" s="83"/>
      <c r="CW90" s="83"/>
      <c r="CX90" s="75"/>
      <c r="CY90" s="75"/>
      <c r="CZ90" s="83"/>
      <c r="DA90" s="38"/>
      <c r="DB90" s="72"/>
      <c r="DC90" s="83"/>
      <c r="DD90" s="83"/>
      <c r="DE90" s="72"/>
      <c r="DF90" s="72"/>
      <c r="DG90" s="72"/>
      <c r="DH90" s="72"/>
      <c r="DI90" s="72"/>
      <c r="DJ90" s="71"/>
      <c r="DK90" s="71"/>
      <c r="DL90" s="72"/>
      <c r="DM90" s="84"/>
      <c r="DN90" s="72"/>
      <c r="DO90" s="84"/>
      <c r="DP90" s="84"/>
      <c r="DQ90" s="72"/>
      <c r="DR90" s="72"/>
      <c r="DS90" s="72"/>
      <c r="DT90" s="84"/>
      <c r="DU90" s="72"/>
      <c r="DV90" s="72"/>
      <c r="DW90" s="72"/>
      <c r="DX90" s="72"/>
      <c r="DY90" s="72"/>
      <c r="DZ90" s="72"/>
      <c r="EA90" s="72"/>
      <c r="EB90" s="75"/>
      <c r="EC90" s="75"/>
      <c r="ED90" s="75"/>
      <c r="EE90" s="75"/>
      <c r="EF90" s="38"/>
      <c r="EG90" s="72"/>
      <c r="EH90" s="72"/>
      <c r="EI90" s="72"/>
      <c r="EJ90" s="72"/>
      <c r="EK90" s="72"/>
      <c r="EL90" s="72"/>
      <c r="EM90" s="72"/>
      <c r="EN90" s="72"/>
      <c r="EO90" s="72"/>
      <c r="EP90" s="72"/>
      <c r="EQ90" s="72"/>
      <c r="ER90" s="72"/>
      <c r="ES90" s="72"/>
      <c r="ET90" s="72"/>
      <c r="EU90" s="72"/>
      <c r="EV90" s="72"/>
      <c r="EW90" s="72"/>
      <c r="EX90" s="72"/>
      <c r="EY90" s="72"/>
      <c r="EZ90" s="72"/>
      <c r="FA90" s="72"/>
      <c r="FB90" s="72"/>
      <c r="FC90" s="72"/>
      <c r="FD90" s="72"/>
      <c r="FE90" s="72"/>
      <c r="FF90" s="72"/>
      <c r="FG90" s="75"/>
      <c r="FH90" s="75"/>
      <c r="FI90" s="75"/>
      <c r="FJ90" s="75"/>
      <c r="FK90" s="75"/>
      <c r="FL90" s="38"/>
      <c r="FM90" s="72"/>
      <c r="FN90" s="72"/>
      <c r="FO90" s="72"/>
      <c r="FP90" s="72"/>
      <c r="FQ90" s="72"/>
      <c r="FR90" s="72"/>
      <c r="FS90" s="72"/>
      <c r="FT90" s="72"/>
      <c r="FU90" s="72"/>
      <c r="FV90" s="72"/>
      <c r="FW90" s="72"/>
      <c r="FX90" s="72"/>
      <c r="FY90" s="72"/>
      <c r="FZ90" s="72"/>
      <c r="GA90" s="72"/>
      <c r="GB90" s="72"/>
      <c r="GC90" s="72"/>
      <c r="GD90" s="72"/>
      <c r="GE90" s="72"/>
      <c r="GF90" s="72"/>
      <c r="GG90" s="72"/>
      <c r="GH90" s="72"/>
      <c r="GI90" s="72"/>
      <c r="GJ90" s="72"/>
      <c r="GK90" s="72"/>
      <c r="GL90" s="72"/>
      <c r="GM90" s="75"/>
      <c r="GN90" s="75"/>
      <c r="GO90" s="75"/>
      <c r="GP90" s="75"/>
      <c r="GQ90" s="38"/>
      <c r="GR90" s="39"/>
      <c r="GS90" s="39"/>
      <c r="GT90" s="39"/>
      <c r="GU90" s="39"/>
      <c r="GV90" s="39"/>
      <c r="GW90" s="39"/>
      <c r="GX90" s="39"/>
      <c r="GY90" s="39"/>
      <c r="GZ90" s="39"/>
      <c r="HA90" s="39"/>
      <c r="HB90" s="39"/>
      <c r="HC90" s="39"/>
      <c r="HD90" s="39"/>
      <c r="HE90" s="39"/>
      <c r="HF90" s="39"/>
      <c r="HG90" s="39"/>
      <c r="HH90" s="39"/>
      <c r="HI90" s="39"/>
      <c r="HJ90" s="39"/>
      <c r="HK90" s="39"/>
      <c r="HL90" s="39"/>
      <c r="HM90" s="39"/>
      <c r="HN90" s="39"/>
      <c r="HO90" s="39"/>
      <c r="HP90" s="39"/>
      <c r="HQ90" s="39"/>
      <c r="HR90" s="39"/>
      <c r="HS90" s="39"/>
      <c r="HT90" s="39"/>
      <c r="HU90" s="39"/>
      <c r="HV90" s="39"/>
      <c r="HW90" s="38"/>
      <c r="HX90" s="39"/>
      <c r="HY90" s="39"/>
      <c r="HZ90" s="39"/>
      <c r="IA90" s="39"/>
      <c r="IB90" s="39"/>
      <c r="IC90" s="39"/>
      <c r="ID90" s="39"/>
      <c r="IE90" s="39"/>
      <c r="IF90" s="39"/>
      <c r="IG90" s="39"/>
      <c r="IH90" s="39"/>
      <c r="II90" s="39"/>
      <c r="IJ90" s="39"/>
      <c r="IK90" s="39"/>
      <c r="IL90" s="39"/>
      <c r="IM90" s="39"/>
      <c r="IN90" s="39"/>
      <c r="IO90" s="39"/>
      <c r="IP90" s="39"/>
      <c r="IQ90" s="39"/>
      <c r="IR90" s="39"/>
      <c r="IS90" s="39"/>
      <c r="IT90" s="39"/>
      <c r="IU90" s="39"/>
      <c r="IV90" s="39"/>
      <c r="IW90" s="39"/>
      <c r="IX90" s="39"/>
      <c r="IY90" s="39"/>
      <c r="IZ90" s="39"/>
      <c r="JA90" s="39"/>
      <c r="JB90" s="39"/>
      <c r="JC90" s="38"/>
      <c r="JD90" s="39"/>
      <c r="JE90" s="39"/>
      <c r="JF90" s="39"/>
      <c r="JG90" s="39"/>
      <c r="JH90" s="39"/>
      <c r="JI90" s="39"/>
      <c r="JJ90" s="39"/>
      <c r="JK90" s="39"/>
      <c r="JL90" s="39"/>
      <c r="JM90" s="39"/>
      <c r="JN90" s="39"/>
      <c r="JO90" s="39"/>
      <c r="JP90" s="39"/>
      <c r="JQ90" s="39"/>
      <c r="JR90" s="39"/>
      <c r="JS90" s="39"/>
      <c r="JT90" s="39"/>
      <c r="JU90" s="39"/>
      <c r="JV90" s="39"/>
      <c r="JW90" s="39"/>
      <c r="JX90" s="39"/>
      <c r="JY90" s="39"/>
      <c r="JZ90" s="39"/>
      <c r="KA90" s="39"/>
      <c r="KB90" s="39"/>
      <c r="KC90" s="39"/>
      <c r="KD90" s="39"/>
      <c r="KE90" s="39"/>
      <c r="KF90" s="39"/>
      <c r="KG90" s="39"/>
      <c r="KH90" s="38"/>
      <c r="KI90" s="39"/>
      <c r="KJ90" s="39"/>
      <c r="KK90" s="39"/>
      <c r="KL90" s="39"/>
      <c r="KM90" s="39"/>
      <c r="KN90" s="39"/>
      <c r="KO90" s="39"/>
      <c r="KP90" s="39"/>
      <c r="KQ90" s="39"/>
      <c r="KR90" s="39"/>
      <c r="KS90" s="39"/>
      <c r="KT90" s="39"/>
      <c r="KU90" s="39"/>
      <c r="KV90" s="39"/>
      <c r="KW90" s="39"/>
      <c r="KX90" s="39"/>
      <c r="KY90" s="39"/>
      <c r="KZ90" s="39"/>
      <c r="LA90" s="39"/>
      <c r="LB90" s="39"/>
      <c r="LC90" s="39"/>
      <c r="LD90" s="39"/>
      <c r="LE90" s="39"/>
      <c r="LF90" s="39"/>
      <c r="LG90" s="39"/>
      <c r="LH90" s="39"/>
      <c r="LI90" s="39"/>
      <c r="LJ90" s="39"/>
      <c r="LK90" s="39"/>
      <c r="LL90" s="39"/>
      <c r="LM90" s="39"/>
      <c r="LN90" s="38"/>
      <c r="LO90" s="39"/>
      <c r="LP90" s="39"/>
      <c r="LQ90" s="39"/>
      <c r="LR90" s="39"/>
      <c r="LS90" s="39"/>
      <c r="LT90" s="39"/>
      <c r="LU90" s="39"/>
      <c r="LV90" s="39"/>
      <c r="LW90" s="39"/>
      <c r="LX90" s="39"/>
      <c r="LY90" s="39"/>
      <c r="LZ90" s="39"/>
      <c r="MA90" s="39"/>
      <c r="MB90" s="39"/>
      <c r="MC90" s="39"/>
      <c r="MD90" s="39"/>
      <c r="ME90" s="39"/>
      <c r="MF90" s="39"/>
      <c r="MG90" s="39"/>
      <c r="MH90" s="39"/>
      <c r="MI90" s="39"/>
      <c r="MJ90" s="39"/>
      <c r="MK90" s="39"/>
      <c r="ML90" s="39"/>
      <c r="MM90" s="39"/>
      <c r="MN90" s="39"/>
      <c r="MO90" s="39"/>
      <c r="MP90" s="39"/>
      <c r="MQ90" s="39"/>
      <c r="MR90" s="39"/>
      <c r="MS90" s="38"/>
      <c r="MT90" s="39"/>
      <c r="MU90" s="39"/>
      <c r="MV90" s="39"/>
      <c r="MW90" s="39"/>
      <c r="MX90" s="39"/>
      <c r="MY90" s="39"/>
      <c r="MZ90" s="39"/>
      <c r="NA90" s="39"/>
      <c r="NB90" s="39"/>
      <c r="NC90" s="39"/>
      <c r="ND90" s="39"/>
      <c r="NE90" s="39"/>
      <c r="NF90" s="39"/>
      <c r="NG90" s="39"/>
      <c r="NH90" s="39"/>
      <c r="NI90" s="39"/>
      <c r="NJ90" s="39"/>
      <c r="NK90" s="39"/>
      <c r="NL90" s="39"/>
      <c r="NM90" s="39"/>
      <c r="NN90" s="39"/>
      <c r="NO90" s="39"/>
      <c r="NP90" s="39"/>
      <c r="NQ90" s="39"/>
      <c r="NR90" s="39"/>
      <c r="NS90" s="39"/>
      <c r="NT90" s="39"/>
      <c r="NU90" s="39"/>
      <c r="NV90" s="39"/>
      <c r="NW90" s="39"/>
      <c r="NX90" s="39"/>
      <c r="NY90" s="38"/>
    </row>
    <row r="91">
      <c r="A91" s="71"/>
      <c r="B91" s="72" t="str">
        <f>IFERROR(__xludf.DUMMYFUNCTION("VLOOKUP(A91, IMPORTRANGE(""https://docs.google.com/spreadsheets/d/1KpTMcNM9m1P7u9qCVzob8p1-RZoC1ejaYs5CdpAbWFY/edit?gid=260580969#gid=260580969"", ""2025 EMP PROFILE DATA!B1:W98""), 21, FALSE)"),"#REF!")</f>
        <v>#REF!</v>
      </c>
      <c r="C91" s="72">
        <f t="shared" si="1"/>
        <v>0</v>
      </c>
      <c r="D91" s="72">
        <f t="shared" si="2"/>
        <v>0</v>
      </c>
      <c r="E91" s="72">
        <f t="shared" si="3"/>
        <v>0</v>
      </c>
      <c r="F91" s="72">
        <f t="shared" si="4"/>
        <v>0</v>
      </c>
      <c r="G91" s="73">
        <f t="shared" si="5"/>
        <v>0</v>
      </c>
      <c r="H91" s="73">
        <f t="shared" si="6"/>
        <v>0</v>
      </c>
      <c r="I91" s="28">
        <f t="shared" si="7"/>
        <v>0</v>
      </c>
      <c r="J91" s="26">
        <v>0.0</v>
      </c>
      <c r="K91" s="26">
        <v>0.0</v>
      </c>
      <c r="L91" s="49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1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38"/>
      <c r="AS91" s="72"/>
      <c r="AT91" s="71"/>
      <c r="AU91" s="71"/>
      <c r="AV91" s="72"/>
      <c r="AW91" s="72"/>
      <c r="AX91" s="72"/>
      <c r="AY91" s="71"/>
      <c r="AZ91" s="71"/>
      <c r="BA91" s="71"/>
      <c r="BB91" s="71"/>
      <c r="BC91" s="72"/>
      <c r="BD91" s="71"/>
      <c r="BE91" s="71"/>
      <c r="BF91" s="71"/>
      <c r="BG91" s="71"/>
      <c r="BH91" s="72"/>
      <c r="BI91" s="71"/>
      <c r="BJ91" s="71"/>
      <c r="BK91" s="71"/>
      <c r="BL91" s="71"/>
      <c r="BM91" s="71"/>
      <c r="BN91" s="72"/>
      <c r="BO91" s="72"/>
      <c r="BP91" s="72"/>
      <c r="BQ91" s="72"/>
      <c r="BR91" s="72"/>
      <c r="BS91" s="71"/>
      <c r="BT91" s="75"/>
      <c r="BU91" s="38"/>
      <c r="BV91" s="72"/>
      <c r="BW91" s="72"/>
      <c r="BX91" s="71"/>
      <c r="BY91" s="72"/>
      <c r="BZ91" s="72"/>
      <c r="CA91" s="72"/>
      <c r="CB91" s="72"/>
      <c r="CC91" s="71"/>
      <c r="CD91" s="72"/>
      <c r="CE91" s="71"/>
      <c r="CF91" s="72"/>
      <c r="CG91" s="71"/>
      <c r="CH91" s="71"/>
      <c r="CI91" s="71"/>
      <c r="CJ91" s="72"/>
      <c r="CK91" s="72"/>
      <c r="CL91" s="71"/>
      <c r="CM91" s="72"/>
      <c r="CN91" s="71"/>
      <c r="CO91" s="71"/>
      <c r="CP91" s="71"/>
      <c r="CQ91" s="72"/>
      <c r="CR91" s="72"/>
      <c r="CS91" s="72"/>
      <c r="CT91" s="72"/>
      <c r="CU91" s="83"/>
      <c r="CV91" s="83"/>
      <c r="CW91" s="83"/>
      <c r="CX91" s="75"/>
      <c r="CY91" s="75"/>
      <c r="CZ91" s="83"/>
      <c r="DA91" s="38"/>
      <c r="DB91" s="72"/>
      <c r="DC91" s="83"/>
      <c r="DD91" s="83"/>
      <c r="DE91" s="72"/>
      <c r="DF91" s="72"/>
      <c r="DG91" s="72"/>
      <c r="DH91" s="72"/>
      <c r="DI91" s="72"/>
      <c r="DJ91" s="71"/>
      <c r="DK91" s="71"/>
      <c r="DL91" s="72"/>
      <c r="DM91" s="84"/>
      <c r="DN91" s="72"/>
      <c r="DO91" s="84"/>
      <c r="DP91" s="84"/>
      <c r="DQ91" s="72"/>
      <c r="DR91" s="72"/>
      <c r="DS91" s="72"/>
      <c r="DT91" s="84"/>
      <c r="DU91" s="72"/>
      <c r="DV91" s="72"/>
      <c r="DW91" s="72"/>
      <c r="DX91" s="72"/>
      <c r="DY91" s="72"/>
      <c r="DZ91" s="72"/>
      <c r="EA91" s="72"/>
      <c r="EB91" s="75"/>
      <c r="EC91" s="75"/>
      <c r="ED91" s="75"/>
      <c r="EE91" s="75"/>
      <c r="EF91" s="38"/>
      <c r="EG91" s="72"/>
      <c r="EH91" s="72"/>
      <c r="EI91" s="72"/>
      <c r="EJ91" s="72"/>
      <c r="EK91" s="72"/>
      <c r="EL91" s="72"/>
      <c r="EM91" s="72"/>
      <c r="EN91" s="72"/>
      <c r="EO91" s="72"/>
      <c r="EP91" s="72"/>
      <c r="EQ91" s="72"/>
      <c r="ER91" s="72"/>
      <c r="ES91" s="72"/>
      <c r="ET91" s="72"/>
      <c r="EU91" s="72"/>
      <c r="EV91" s="72"/>
      <c r="EW91" s="72"/>
      <c r="EX91" s="72"/>
      <c r="EY91" s="72"/>
      <c r="EZ91" s="72"/>
      <c r="FA91" s="72"/>
      <c r="FB91" s="72"/>
      <c r="FC91" s="72"/>
      <c r="FD91" s="72"/>
      <c r="FE91" s="72"/>
      <c r="FF91" s="72"/>
      <c r="FG91" s="75"/>
      <c r="FH91" s="75"/>
      <c r="FI91" s="75"/>
      <c r="FJ91" s="75"/>
      <c r="FK91" s="75"/>
      <c r="FL91" s="38"/>
      <c r="FM91" s="72"/>
      <c r="FN91" s="72"/>
      <c r="FO91" s="72"/>
      <c r="FP91" s="72"/>
      <c r="FQ91" s="72"/>
      <c r="FR91" s="72"/>
      <c r="FS91" s="72"/>
      <c r="FT91" s="72"/>
      <c r="FU91" s="72"/>
      <c r="FV91" s="72"/>
      <c r="FW91" s="72"/>
      <c r="FX91" s="72"/>
      <c r="FY91" s="72"/>
      <c r="FZ91" s="72"/>
      <c r="GA91" s="72"/>
      <c r="GB91" s="72"/>
      <c r="GC91" s="72"/>
      <c r="GD91" s="72"/>
      <c r="GE91" s="72"/>
      <c r="GF91" s="72"/>
      <c r="GG91" s="72"/>
      <c r="GH91" s="72"/>
      <c r="GI91" s="72"/>
      <c r="GJ91" s="72"/>
      <c r="GK91" s="72"/>
      <c r="GL91" s="72"/>
      <c r="GM91" s="75"/>
      <c r="GN91" s="75"/>
      <c r="GO91" s="75"/>
      <c r="GP91" s="75"/>
      <c r="GQ91" s="38"/>
      <c r="GR91" s="39"/>
      <c r="GS91" s="39"/>
      <c r="GT91" s="39"/>
      <c r="GU91" s="39"/>
      <c r="GV91" s="39"/>
      <c r="GW91" s="39"/>
      <c r="GX91" s="39"/>
      <c r="GY91" s="39"/>
      <c r="GZ91" s="39"/>
      <c r="HA91" s="39"/>
      <c r="HB91" s="39"/>
      <c r="HC91" s="39"/>
      <c r="HD91" s="39"/>
      <c r="HE91" s="39"/>
      <c r="HF91" s="39"/>
      <c r="HG91" s="39"/>
      <c r="HH91" s="39"/>
      <c r="HI91" s="39"/>
      <c r="HJ91" s="39"/>
      <c r="HK91" s="39"/>
      <c r="HL91" s="39"/>
      <c r="HM91" s="39"/>
      <c r="HN91" s="39"/>
      <c r="HO91" s="39"/>
      <c r="HP91" s="39"/>
      <c r="HQ91" s="39"/>
      <c r="HR91" s="39"/>
      <c r="HS91" s="39"/>
      <c r="HT91" s="39"/>
      <c r="HU91" s="39"/>
      <c r="HV91" s="39"/>
      <c r="HW91" s="38"/>
      <c r="HX91" s="39"/>
      <c r="HY91" s="39"/>
      <c r="HZ91" s="39"/>
      <c r="IA91" s="39"/>
      <c r="IB91" s="39"/>
      <c r="IC91" s="39"/>
      <c r="ID91" s="39"/>
      <c r="IE91" s="39"/>
      <c r="IF91" s="39"/>
      <c r="IG91" s="39"/>
      <c r="IH91" s="39"/>
      <c r="II91" s="39"/>
      <c r="IJ91" s="39"/>
      <c r="IK91" s="39"/>
      <c r="IL91" s="39"/>
      <c r="IM91" s="39"/>
      <c r="IN91" s="39"/>
      <c r="IO91" s="39"/>
      <c r="IP91" s="39"/>
      <c r="IQ91" s="39"/>
      <c r="IR91" s="39"/>
      <c r="IS91" s="39"/>
      <c r="IT91" s="39"/>
      <c r="IU91" s="39"/>
      <c r="IV91" s="39"/>
      <c r="IW91" s="39"/>
      <c r="IX91" s="39"/>
      <c r="IY91" s="39"/>
      <c r="IZ91" s="39"/>
      <c r="JA91" s="39"/>
      <c r="JB91" s="39"/>
      <c r="JC91" s="38"/>
      <c r="JD91" s="39"/>
      <c r="JE91" s="39"/>
      <c r="JF91" s="39"/>
      <c r="JG91" s="39"/>
      <c r="JH91" s="39"/>
      <c r="JI91" s="39"/>
      <c r="JJ91" s="39"/>
      <c r="JK91" s="39"/>
      <c r="JL91" s="39"/>
      <c r="JM91" s="39"/>
      <c r="JN91" s="39"/>
      <c r="JO91" s="39"/>
      <c r="JP91" s="39"/>
      <c r="JQ91" s="39"/>
      <c r="JR91" s="39"/>
      <c r="JS91" s="39"/>
      <c r="JT91" s="39"/>
      <c r="JU91" s="39"/>
      <c r="JV91" s="39"/>
      <c r="JW91" s="39"/>
      <c r="JX91" s="39"/>
      <c r="JY91" s="39"/>
      <c r="JZ91" s="39"/>
      <c r="KA91" s="39"/>
      <c r="KB91" s="39"/>
      <c r="KC91" s="39"/>
      <c r="KD91" s="39"/>
      <c r="KE91" s="39"/>
      <c r="KF91" s="39"/>
      <c r="KG91" s="39"/>
      <c r="KH91" s="38"/>
      <c r="KI91" s="39"/>
      <c r="KJ91" s="39"/>
      <c r="KK91" s="39"/>
      <c r="KL91" s="39"/>
      <c r="KM91" s="39"/>
      <c r="KN91" s="39"/>
      <c r="KO91" s="39"/>
      <c r="KP91" s="39"/>
      <c r="KQ91" s="39"/>
      <c r="KR91" s="39"/>
      <c r="KS91" s="39"/>
      <c r="KT91" s="39"/>
      <c r="KU91" s="39"/>
      <c r="KV91" s="39"/>
      <c r="KW91" s="39"/>
      <c r="KX91" s="39"/>
      <c r="KY91" s="39"/>
      <c r="KZ91" s="39"/>
      <c r="LA91" s="39"/>
      <c r="LB91" s="39"/>
      <c r="LC91" s="39"/>
      <c r="LD91" s="39"/>
      <c r="LE91" s="39"/>
      <c r="LF91" s="39"/>
      <c r="LG91" s="39"/>
      <c r="LH91" s="39"/>
      <c r="LI91" s="39"/>
      <c r="LJ91" s="39"/>
      <c r="LK91" s="39"/>
      <c r="LL91" s="39"/>
      <c r="LM91" s="39"/>
      <c r="LN91" s="38"/>
      <c r="LO91" s="39"/>
      <c r="LP91" s="39"/>
      <c r="LQ91" s="39"/>
      <c r="LR91" s="39"/>
      <c r="LS91" s="39"/>
      <c r="LT91" s="39"/>
      <c r="LU91" s="39"/>
      <c r="LV91" s="39"/>
      <c r="LW91" s="39"/>
      <c r="LX91" s="39"/>
      <c r="LY91" s="39"/>
      <c r="LZ91" s="39"/>
      <c r="MA91" s="39"/>
      <c r="MB91" s="39"/>
      <c r="MC91" s="39"/>
      <c r="MD91" s="39"/>
      <c r="ME91" s="39"/>
      <c r="MF91" s="39"/>
      <c r="MG91" s="39"/>
      <c r="MH91" s="39"/>
      <c r="MI91" s="39"/>
      <c r="MJ91" s="39"/>
      <c r="MK91" s="39"/>
      <c r="ML91" s="39"/>
      <c r="MM91" s="39"/>
      <c r="MN91" s="39"/>
      <c r="MO91" s="39"/>
      <c r="MP91" s="39"/>
      <c r="MQ91" s="39"/>
      <c r="MR91" s="39"/>
      <c r="MS91" s="38"/>
      <c r="MT91" s="39"/>
      <c r="MU91" s="39"/>
      <c r="MV91" s="39"/>
      <c r="MW91" s="39"/>
      <c r="MX91" s="39"/>
      <c r="MY91" s="39"/>
      <c r="MZ91" s="39"/>
      <c r="NA91" s="39"/>
      <c r="NB91" s="39"/>
      <c r="NC91" s="39"/>
      <c r="ND91" s="39"/>
      <c r="NE91" s="39"/>
      <c r="NF91" s="39"/>
      <c r="NG91" s="39"/>
      <c r="NH91" s="39"/>
      <c r="NI91" s="39"/>
      <c r="NJ91" s="39"/>
      <c r="NK91" s="39"/>
      <c r="NL91" s="39"/>
      <c r="NM91" s="39"/>
      <c r="NN91" s="39"/>
      <c r="NO91" s="39"/>
      <c r="NP91" s="39"/>
      <c r="NQ91" s="39"/>
      <c r="NR91" s="39"/>
      <c r="NS91" s="39"/>
      <c r="NT91" s="39"/>
      <c r="NU91" s="39"/>
      <c r="NV91" s="39"/>
      <c r="NW91" s="39"/>
      <c r="NX91" s="39"/>
      <c r="NY91" s="38"/>
    </row>
    <row r="92">
      <c r="A92" s="71"/>
      <c r="B92" s="72" t="str">
        <f>IFERROR(__xludf.DUMMYFUNCTION("VLOOKUP(A92, IMPORTRANGE(""https://docs.google.com/spreadsheets/d/1KpTMcNM9m1P7u9qCVzob8p1-RZoC1ejaYs5CdpAbWFY/edit?gid=260580969#gid=260580969"", ""2025 EMP PROFILE DATA!B1:W98""), 21, FALSE)"),"#REF!")</f>
        <v>#REF!</v>
      </c>
      <c r="C92" s="72">
        <f t="shared" si="1"/>
        <v>0</v>
      </c>
      <c r="D92" s="72">
        <f t="shared" si="2"/>
        <v>0</v>
      </c>
      <c r="E92" s="72">
        <f t="shared" si="3"/>
        <v>0</v>
      </c>
      <c r="F92" s="72">
        <f t="shared" si="4"/>
        <v>0</v>
      </c>
      <c r="G92" s="73">
        <f t="shared" si="5"/>
        <v>0</v>
      </c>
      <c r="H92" s="73">
        <f t="shared" si="6"/>
        <v>0</v>
      </c>
      <c r="I92" s="28">
        <f t="shared" si="7"/>
        <v>0</v>
      </c>
      <c r="J92" s="26">
        <v>0.0</v>
      </c>
      <c r="K92" s="26">
        <v>0.0</v>
      </c>
      <c r="L92" s="49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1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38"/>
      <c r="AS92" s="72"/>
      <c r="AT92" s="71"/>
      <c r="AU92" s="71"/>
      <c r="AV92" s="72"/>
      <c r="AW92" s="72"/>
      <c r="AX92" s="72"/>
      <c r="AY92" s="71"/>
      <c r="AZ92" s="71"/>
      <c r="BA92" s="71"/>
      <c r="BB92" s="71"/>
      <c r="BC92" s="72"/>
      <c r="BD92" s="71"/>
      <c r="BE92" s="71"/>
      <c r="BF92" s="71"/>
      <c r="BG92" s="71"/>
      <c r="BH92" s="72"/>
      <c r="BI92" s="71"/>
      <c r="BJ92" s="71"/>
      <c r="BK92" s="71"/>
      <c r="BL92" s="71"/>
      <c r="BM92" s="71"/>
      <c r="BN92" s="72"/>
      <c r="BO92" s="72"/>
      <c r="BP92" s="72"/>
      <c r="BQ92" s="72"/>
      <c r="BR92" s="72"/>
      <c r="BS92" s="71"/>
      <c r="BT92" s="75"/>
      <c r="BU92" s="38"/>
      <c r="BV92" s="72"/>
      <c r="BW92" s="72"/>
      <c r="BX92" s="71"/>
      <c r="BY92" s="72"/>
      <c r="BZ92" s="72"/>
      <c r="CA92" s="72"/>
      <c r="CB92" s="72"/>
      <c r="CC92" s="71"/>
      <c r="CD92" s="72"/>
      <c r="CE92" s="71"/>
      <c r="CF92" s="72"/>
      <c r="CG92" s="71"/>
      <c r="CH92" s="71"/>
      <c r="CI92" s="71"/>
      <c r="CJ92" s="72"/>
      <c r="CK92" s="72"/>
      <c r="CL92" s="71"/>
      <c r="CM92" s="72"/>
      <c r="CN92" s="71"/>
      <c r="CO92" s="71"/>
      <c r="CP92" s="71"/>
      <c r="CQ92" s="72"/>
      <c r="CR92" s="72"/>
      <c r="CS92" s="72"/>
      <c r="CT92" s="72"/>
      <c r="CU92" s="83"/>
      <c r="CV92" s="83"/>
      <c r="CW92" s="83"/>
      <c r="CX92" s="75"/>
      <c r="CY92" s="75"/>
      <c r="CZ92" s="83"/>
      <c r="DA92" s="38"/>
      <c r="DB92" s="72"/>
      <c r="DC92" s="83"/>
      <c r="DD92" s="83"/>
      <c r="DE92" s="72"/>
      <c r="DF92" s="72"/>
      <c r="DG92" s="72"/>
      <c r="DH92" s="72"/>
      <c r="DI92" s="72"/>
      <c r="DJ92" s="71"/>
      <c r="DK92" s="71"/>
      <c r="DL92" s="72"/>
      <c r="DM92" s="84"/>
      <c r="DN92" s="72"/>
      <c r="DO92" s="84"/>
      <c r="DP92" s="84"/>
      <c r="DQ92" s="72"/>
      <c r="DR92" s="72"/>
      <c r="DS92" s="72"/>
      <c r="DT92" s="84"/>
      <c r="DU92" s="72"/>
      <c r="DV92" s="72"/>
      <c r="DW92" s="72"/>
      <c r="DX92" s="72"/>
      <c r="DY92" s="72"/>
      <c r="DZ92" s="72"/>
      <c r="EA92" s="72"/>
      <c r="EB92" s="75"/>
      <c r="EC92" s="75"/>
      <c r="ED92" s="75"/>
      <c r="EE92" s="75"/>
      <c r="EF92" s="38"/>
      <c r="EG92" s="72"/>
      <c r="EH92" s="72"/>
      <c r="EI92" s="72"/>
      <c r="EJ92" s="72"/>
      <c r="EK92" s="72"/>
      <c r="EL92" s="72"/>
      <c r="EM92" s="72"/>
      <c r="EN92" s="72"/>
      <c r="EO92" s="72"/>
      <c r="EP92" s="72"/>
      <c r="EQ92" s="72"/>
      <c r="ER92" s="72"/>
      <c r="ES92" s="72"/>
      <c r="ET92" s="72"/>
      <c r="EU92" s="72"/>
      <c r="EV92" s="72"/>
      <c r="EW92" s="72"/>
      <c r="EX92" s="72"/>
      <c r="EY92" s="72"/>
      <c r="EZ92" s="72"/>
      <c r="FA92" s="72"/>
      <c r="FB92" s="72"/>
      <c r="FC92" s="72"/>
      <c r="FD92" s="72"/>
      <c r="FE92" s="72"/>
      <c r="FF92" s="72"/>
      <c r="FG92" s="75"/>
      <c r="FH92" s="75"/>
      <c r="FI92" s="75"/>
      <c r="FJ92" s="75"/>
      <c r="FK92" s="75"/>
      <c r="FL92" s="38"/>
      <c r="FM92" s="72"/>
      <c r="FN92" s="72"/>
      <c r="FO92" s="72"/>
      <c r="FP92" s="72"/>
      <c r="FQ92" s="72"/>
      <c r="FR92" s="72"/>
      <c r="FS92" s="72"/>
      <c r="FT92" s="72"/>
      <c r="FU92" s="72"/>
      <c r="FV92" s="72"/>
      <c r="FW92" s="72"/>
      <c r="FX92" s="72"/>
      <c r="FY92" s="72"/>
      <c r="FZ92" s="72"/>
      <c r="GA92" s="72"/>
      <c r="GB92" s="72"/>
      <c r="GC92" s="72"/>
      <c r="GD92" s="72"/>
      <c r="GE92" s="72"/>
      <c r="GF92" s="72"/>
      <c r="GG92" s="72"/>
      <c r="GH92" s="72"/>
      <c r="GI92" s="72"/>
      <c r="GJ92" s="72"/>
      <c r="GK92" s="72"/>
      <c r="GL92" s="72"/>
      <c r="GM92" s="75"/>
      <c r="GN92" s="75"/>
      <c r="GO92" s="75"/>
      <c r="GP92" s="75"/>
      <c r="GQ92" s="38"/>
      <c r="GR92" s="39"/>
      <c r="GS92" s="39"/>
      <c r="GT92" s="39"/>
      <c r="GU92" s="39"/>
      <c r="GV92" s="39"/>
      <c r="GW92" s="39"/>
      <c r="GX92" s="39"/>
      <c r="GY92" s="39"/>
      <c r="GZ92" s="39"/>
      <c r="HA92" s="39"/>
      <c r="HB92" s="39"/>
      <c r="HC92" s="39"/>
      <c r="HD92" s="39"/>
      <c r="HE92" s="39"/>
      <c r="HF92" s="39"/>
      <c r="HG92" s="39"/>
      <c r="HH92" s="39"/>
      <c r="HI92" s="39"/>
      <c r="HJ92" s="39"/>
      <c r="HK92" s="39"/>
      <c r="HL92" s="39"/>
      <c r="HM92" s="39"/>
      <c r="HN92" s="39"/>
      <c r="HO92" s="39"/>
      <c r="HP92" s="39"/>
      <c r="HQ92" s="39"/>
      <c r="HR92" s="39"/>
      <c r="HS92" s="39"/>
      <c r="HT92" s="39"/>
      <c r="HU92" s="39"/>
      <c r="HV92" s="39"/>
      <c r="HW92" s="38"/>
      <c r="HX92" s="39"/>
      <c r="HY92" s="39"/>
      <c r="HZ92" s="39"/>
      <c r="IA92" s="39"/>
      <c r="IB92" s="39"/>
      <c r="IC92" s="39"/>
      <c r="ID92" s="39"/>
      <c r="IE92" s="39"/>
      <c r="IF92" s="39"/>
      <c r="IG92" s="39"/>
      <c r="IH92" s="39"/>
      <c r="II92" s="39"/>
      <c r="IJ92" s="39"/>
      <c r="IK92" s="39"/>
      <c r="IL92" s="39"/>
      <c r="IM92" s="39"/>
      <c r="IN92" s="39"/>
      <c r="IO92" s="39"/>
      <c r="IP92" s="39"/>
      <c r="IQ92" s="39"/>
      <c r="IR92" s="39"/>
      <c r="IS92" s="39"/>
      <c r="IT92" s="39"/>
      <c r="IU92" s="39"/>
      <c r="IV92" s="39"/>
      <c r="IW92" s="39"/>
      <c r="IX92" s="39"/>
      <c r="IY92" s="39"/>
      <c r="IZ92" s="39"/>
      <c r="JA92" s="39"/>
      <c r="JB92" s="39"/>
      <c r="JC92" s="38"/>
      <c r="JD92" s="39"/>
      <c r="JE92" s="39"/>
      <c r="JF92" s="39"/>
      <c r="JG92" s="39"/>
      <c r="JH92" s="39"/>
      <c r="JI92" s="39"/>
      <c r="JJ92" s="39"/>
      <c r="JK92" s="39"/>
      <c r="JL92" s="39"/>
      <c r="JM92" s="39"/>
      <c r="JN92" s="39"/>
      <c r="JO92" s="39"/>
      <c r="JP92" s="39"/>
      <c r="JQ92" s="39"/>
      <c r="JR92" s="39"/>
      <c r="JS92" s="39"/>
      <c r="JT92" s="39"/>
      <c r="JU92" s="39"/>
      <c r="JV92" s="39"/>
      <c r="JW92" s="39"/>
      <c r="JX92" s="39"/>
      <c r="JY92" s="39"/>
      <c r="JZ92" s="39"/>
      <c r="KA92" s="39"/>
      <c r="KB92" s="39"/>
      <c r="KC92" s="39"/>
      <c r="KD92" s="39"/>
      <c r="KE92" s="39"/>
      <c r="KF92" s="39"/>
      <c r="KG92" s="39"/>
      <c r="KH92" s="38"/>
      <c r="KI92" s="39"/>
      <c r="KJ92" s="39"/>
      <c r="KK92" s="39"/>
      <c r="KL92" s="39"/>
      <c r="KM92" s="39"/>
      <c r="KN92" s="39"/>
      <c r="KO92" s="39"/>
      <c r="KP92" s="39"/>
      <c r="KQ92" s="39"/>
      <c r="KR92" s="39"/>
      <c r="KS92" s="39"/>
      <c r="KT92" s="39"/>
      <c r="KU92" s="39"/>
      <c r="KV92" s="39"/>
      <c r="KW92" s="39"/>
      <c r="KX92" s="39"/>
      <c r="KY92" s="39"/>
      <c r="KZ92" s="39"/>
      <c r="LA92" s="39"/>
      <c r="LB92" s="39"/>
      <c r="LC92" s="39"/>
      <c r="LD92" s="39"/>
      <c r="LE92" s="39"/>
      <c r="LF92" s="39"/>
      <c r="LG92" s="39"/>
      <c r="LH92" s="39"/>
      <c r="LI92" s="39"/>
      <c r="LJ92" s="39"/>
      <c r="LK92" s="39"/>
      <c r="LL92" s="39"/>
      <c r="LM92" s="39"/>
      <c r="LN92" s="38"/>
      <c r="LO92" s="39"/>
      <c r="LP92" s="39"/>
      <c r="LQ92" s="39"/>
      <c r="LR92" s="39"/>
      <c r="LS92" s="39"/>
      <c r="LT92" s="39"/>
      <c r="LU92" s="39"/>
      <c r="LV92" s="39"/>
      <c r="LW92" s="39"/>
      <c r="LX92" s="39"/>
      <c r="LY92" s="39"/>
      <c r="LZ92" s="39"/>
      <c r="MA92" s="39"/>
      <c r="MB92" s="39"/>
      <c r="MC92" s="39"/>
      <c r="MD92" s="39"/>
      <c r="ME92" s="39"/>
      <c r="MF92" s="39"/>
      <c r="MG92" s="39"/>
      <c r="MH92" s="39"/>
      <c r="MI92" s="39"/>
      <c r="MJ92" s="39"/>
      <c r="MK92" s="39"/>
      <c r="ML92" s="39"/>
      <c r="MM92" s="39"/>
      <c r="MN92" s="39"/>
      <c r="MO92" s="39"/>
      <c r="MP92" s="39"/>
      <c r="MQ92" s="39"/>
      <c r="MR92" s="39"/>
      <c r="MS92" s="38"/>
      <c r="MT92" s="39"/>
      <c r="MU92" s="39"/>
      <c r="MV92" s="39"/>
      <c r="MW92" s="39"/>
      <c r="MX92" s="39"/>
      <c r="MY92" s="39"/>
      <c r="MZ92" s="39"/>
      <c r="NA92" s="39"/>
      <c r="NB92" s="39"/>
      <c r="NC92" s="39"/>
      <c r="ND92" s="39"/>
      <c r="NE92" s="39"/>
      <c r="NF92" s="39"/>
      <c r="NG92" s="39"/>
      <c r="NH92" s="39"/>
      <c r="NI92" s="39"/>
      <c r="NJ92" s="39"/>
      <c r="NK92" s="39"/>
      <c r="NL92" s="39"/>
      <c r="NM92" s="39"/>
      <c r="NN92" s="39"/>
      <c r="NO92" s="39"/>
      <c r="NP92" s="39"/>
      <c r="NQ92" s="39"/>
      <c r="NR92" s="39"/>
      <c r="NS92" s="39"/>
      <c r="NT92" s="39"/>
      <c r="NU92" s="39"/>
      <c r="NV92" s="39"/>
      <c r="NW92" s="39"/>
      <c r="NX92" s="39"/>
      <c r="NY92" s="38"/>
    </row>
    <row r="93">
      <c r="A93" s="71"/>
      <c r="B93" s="72" t="str">
        <f>IFERROR(__xludf.DUMMYFUNCTION("VLOOKUP(A93, IMPORTRANGE(""https://docs.google.com/spreadsheets/d/1KpTMcNM9m1P7u9qCVzob8p1-RZoC1ejaYs5CdpAbWFY/edit?gid=260580969#gid=260580969"", ""2025 EMP PROFILE DATA!B1:W98""), 21, FALSE)"),"#REF!")</f>
        <v>#REF!</v>
      </c>
      <c r="C93" s="72">
        <f t="shared" si="1"/>
        <v>0</v>
      </c>
      <c r="D93" s="72">
        <f t="shared" si="2"/>
        <v>0</v>
      </c>
      <c r="E93" s="72">
        <f t="shared" si="3"/>
        <v>0</v>
      </c>
      <c r="F93" s="72">
        <f t="shared" si="4"/>
        <v>0</v>
      </c>
      <c r="G93" s="73">
        <f t="shared" si="5"/>
        <v>0</v>
      </c>
      <c r="H93" s="73">
        <f t="shared" si="6"/>
        <v>0</v>
      </c>
      <c r="I93" s="28">
        <f t="shared" si="7"/>
        <v>0</v>
      </c>
      <c r="J93" s="26">
        <v>0.0</v>
      </c>
      <c r="K93" s="26">
        <v>0.0</v>
      </c>
      <c r="L93" s="49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1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38"/>
      <c r="AS93" s="72"/>
      <c r="AT93" s="71"/>
      <c r="AU93" s="71"/>
      <c r="AV93" s="72"/>
      <c r="AW93" s="72"/>
      <c r="AX93" s="72"/>
      <c r="AY93" s="71"/>
      <c r="AZ93" s="71"/>
      <c r="BA93" s="71"/>
      <c r="BB93" s="71"/>
      <c r="BC93" s="72"/>
      <c r="BD93" s="71"/>
      <c r="BE93" s="71"/>
      <c r="BF93" s="71"/>
      <c r="BG93" s="71"/>
      <c r="BH93" s="72"/>
      <c r="BI93" s="71"/>
      <c r="BJ93" s="71"/>
      <c r="BK93" s="71"/>
      <c r="BL93" s="71"/>
      <c r="BM93" s="71"/>
      <c r="BN93" s="72"/>
      <c r="BO93" s="72"/>
      <c r="BP93" s="72"/>
      <c r="BQ93" s="72"/>
      <c r="BR93" s="72"/>
      <c r="BS93" s="71"/>
      <c r="BT93" s="75"/>
      <c r="BU93" s="38"/>
      <c r="BV93" s="72"/>
      <c r="BW93" s="72"/>
      <c r="BX93" s="71"/>
      <c r="BY93" s="72"/>
      <c r="BZ93" s="72"/>
      <c r="CA93" s="72"/>
      <c r="CB93" s="72"/>
      <c r="CC93" s="71"/>
      <c r="CD93" s="72"/>
      <c r="CE93" s="71"/>
      <c r="CF93" s="72"/>
      <c r="CG93" s="71"/>
      <c r="CH93" s="71"/>
      <c r="CI93" s="71"/>
      <c r="CJ93" s="72"/>
      <c r="CK93" s="72"/>
      <c r="CL93" s="71"/>
      <c r="CM93" s="72"/>
      <c r="CN93" s="71"/>
      <c r="CO93" s="71"/>
      <c r="CP93" s="71"/>
      <c r="CQ93" s="72"/>
      <c r="CR93" s="72"/>
      <c r="CS93" s="72"/>
      <c r="CT93" s="72"/>
      <c r="CU93" s="83"/>
      <c r="CV93" s="83"/>
      <c r="CW93" s="83"/>
      <c r="CX93" s="75"/>
      <c r="CY93" s="75"/>
      <c r="CZ93" s="83"/>
      <c r="DA93" s="38"/>
      <c r="DB93" s="72"/>
      <c r="DC93" s="83"/>
      <c r="DD93" s="83"/>
      <c r="DE93" s="72"/>
      <c r="DF93" s="72"/>
      <c r="DG93" s="72"/>
      <c r="DH93" s="72"/>
      <c r="DI93" s="72"/>
      <c r="DJ93" s="71"/>
      <c r="DK93" s="71"/>
      <c r="DL93" s="72"/>
      <c r="DM93" s="84"/>
      <c r="DN93" s="72"/>
      <c r="DO93" s="84"/>
      <c r="DP93" s="84"/>
      <c r="DQ93" s="72"/>
      <c r="DR93" s="72"/>
      <c r="DS93" s="72"/>
      <c r="DT93" s="84"/>
      <c r="DU93" s="72"/>
      <c r="DV93" s="72"/>
      <c r="DW93" s="72"/>
      <c r="DX93" s="72"/>
      <c r="DY93" s="72"/>
      <c r="DZ93" s="72"/>
      <c r="EA93" s="72"/>
      <c r="EB93" s="75"/>
      <c r="EC93" s="75"/>
      <c r="ED93" s="75"/>
      <c r="EE93" s="75"/>
      <c r="EF93" s="38"/>
      <c r="EG93" s="72"/>
      <c r="EH93" s="72"/>
      <c r="EI93" s="72"/>
      <c r="EJ93" s="72"/>
      <c r="EK93" s="72"/>
      <c r="EL93" s="72"/>
      <c r="EM93" s="72"/>
      <c r="EN93" s="72"/>
      <c r="EO93" s="72"/>
      <c r="EP93" s="72"/>
      <c r="EQ93" s="72"/>
      <c r="ER93" s="72"/>
      <c r="ES93" s="72"/>
      <c r="ET93" s="72"/>
      <c r="EU93" s="72"/>
      <c r="EV93" s="72"/>
      <c r="EW93" s="72"/>
      <c r="EX93" s="72"/>
      <c r="EY93" s="72"/>
      <c r="EZ93" s="72"/>
      <c r="FA93" s="72"/>
      <c r="FB93" s="72"/>
      <c r="FC93" s="72"/>
      <c r="FD93" s="72"/>
      <c r="FE93" s="72"/>
      <c r="FF93" s="72"/>
      <c r="FG93" s="75"/>
      <c r="FH93" s="75"/>
      <c r="FI93" s="75"/>
      <c r="FJ93" s="75"/>
      <c r="FK93" s="75"/>
      <c r="FL93" s="38"/>
      <c r="FM93" s="72"/>
      <c r="FN93" s="72"/>
      <c r="FO93" s="72"/>
      <c r="FP93" s="72"/>
      <c r="FQ93" s="72"/>
      <c r="FR93" s="72"/>
      <c r="FS93" s="72"/>
      <c r="FT93" s="72"/>
      <c r="FU93" s="72"/>
      <c r="FV93" s="72"/>
      <c r="FW93" s="72"/>
      <c r="FX93" s="72"/>
      <c r="FY93" s="72"/>
      <c r="FZ93" s="72"/>
      <c r="GA93" s="72"/>
      <c r="GB93" s="72"/>
      <c r="GC93" s="72"/>
      <c r="GD93" s="72"/>
      <c r="GE93" s="72"/>
      <c r="GF93" s="72"/>
      <c r="GG93" s="72"/>
      <c r="GH93" s="72"/>
      <c r="GI93" s="72"/>
      <c r="GJ93" s="72"/>
      <c r="GK93" s="72"/>
      <c r="GL93" s="72"/>
      <c r="GM93" s="75"/>
      <c r="GN93" s="75"/>
      <c r="GO93" s="75"/>
      <c r="GP93" s="75"/>
      <c r="GQ93" s="38"/>
      <c r="GR93" s="39"/>
      <c r="GS93" s="39"/>
      <c r="GT93" s="39"/>
      <c r="GU93" s="39"/>
      <c r="GV93" s="39"/>
      <c r="GW93" s="39"/>
      <c r="GX93" s="39"/>
      <c r="GY93" s="39"/>
      <c r="GZ93" s="39"/>
      <c r="HA93" s="39"/>
      <c r="HB93" s="39"/>
      <c r="HC93" s="39"/>
      <c r="HD93" s="39"/>
      <c r="HE93" s="39"/>
      <c r="HF93" s="39"/>
      <c r="HG93" s="39"/>
      <c r="HH93" s="39"/>
      <c r="HI93" s="39"/>
      <c r="HJ93" s="39"/>
      <c r="HK93" s="39"/>
      <c r="HL93" s="39"/>
      <c r="HM93" s="39"/>
      <c r="HN93" s="39"/>
      <c r="HO93" s="39"/>
      <c r="HP93" s="39"/>
      <c r="HQ93" s="39"/>
      <c r="HR93" s="39"/>
      <c r="HS93" s="39"/>
      <c r="HT93" s="39"/>
      <c r="HU93" s="39"/>
      <c r="HV93" s="39"/>
      <c r="HW93" s="38"/>
      <c r="HX93" s="39"/>
      <c r="HY93" s="39"/>
      <c r="HZ93" s="39"/>
      <c r="IA93" s="39"/>
      <c r="IB93" s="39"/>
      <c r="IC93" s="39"/>
      <c r="ID93" s="39"/>
      <c r="IE93" s="39"/>
      <c r="IF93" s="39"/>
      <c r="IG93" s="39"/>
      <c r="IH93" s="39"/>
      <c r="II93" s="39"/>
      <c r="IJ93" s="39"/>
      <c r="IK93" s="39"/>
      <c r="IL93" s="39"/>
      <c r="IM93" s="39"/>
      <c r="IN93" s="39"/>
      <c r="IO93" s="39"/>
      <c r="IP93" s="39"/>
      <c r="IQ93" s="39"/>
      <c r="IR93" s="39"/>
      <c r="IS93" s="39"/>
      <c r="IT93" s="39"/>
      <c r="IU93" s="39"/>
      <c r="IV93" s="39"/>
      <c r="IW93" s="39"/>
      <c r="IX93" s="39"/>
      <c r="IY93" s="39"/>
      <c r="IZ93" s="39"/>
      <c r="JA93" s="39"/>
      <c r="JB93" s="39"/>
      <c r="JC93" s="38"/>
      <c r="JD93" s="39"/>
      <c r="JE93" s="39"/>
      <c r="JF93" s="39"/>
      <c r="JG93" s="39"/>
      <c r="JH93" s="39"/>
      <c r="JI93" s="39"/>
      <c r="JJ93" s="39"/>
      <c r="JK93" s="39"/>
      <c r="JL93" s="39"/>
      <c r="JM93" s="39"/>
      <c r="JN93" s="39"/>
      <c r="JO93" s="39"/>
      <c r="JP93" s="39"/>
      <c r="JQ93" s="39"/>
      <c r="JR93" s="39"/>
      <c r="JS93" s="39"/>
      <c r="JT93" s="39"/>
      <c r="JU93" s="39"/>
      <c r="JV93" s="39"/>
      <c r="JW93" s="39"/>
      <c r="JX93" s="39"/>
      <c r="JY93" s="39"/>
      <c r="JZ93" s="39"/>
      <c r="KA93" s="39"/>
      <c r="KB93" s="39"/>
      <c r="KC93" s="39"/>
      <c r="KD93" s="39"/>
      <c r="KE93" s="39"/>
      <c r="KF93" s="39"/>
      <c r="KG93" s="39"/>
      <c r="KH93" s="38"/>
      <c r="KI93" s="39"/>
      <c r="KJ93" s="39"/>
      <c r="KK93" s="39"/>
      <c r="KL93" s="39"/>
      <c r="KM93" s="39"/>
      <c r="KN93" s="39"/>
      <c r="KO93" s="39"/>
      <c r="KP93" s="39"/>
      <c r="KQ93" s="39"/>
      <c r="KR93" s="39"/>
      <c r="KS93" s="39"/>
      <c r="KT93" s="39"/>
      <c r="KU93" s="39"/>
      <c r="KV93" s="39"/>
      <c r="KW93" s="39"/>
      <c r="KX93" s="39"/>
      <c r="KY93" s="39"/>
      <c r="KZ93" s="39"/>
      <c r="LA93" s="39"/>
      <c r="LB93" s="39"/>
      <c r="LC93" s="39"/>
      <c r="LD93" s="39"/>
      <c r="LE93" s="39"/>
      <c r="LF93" s="39"/>
      <c r="LG93" s="39"/>
      <c r="LH93" s="39"/>
      <c r="LI93" s="39"/>
      <c r="LJ93" s="39"/>
      <c r="LK93" s="39"/>
      <c r="LL93" s="39"/>
      <c r="LM93" s="39"/>
      <c r="LN93" s="38"/>
      <c r="LO93" s="39"/>
      <c r="LP93" s="39"/>
      <c r="LQ93" s="39"/>
      <c r="LR93" s="39"/>
      <c r="LS93" s="39"/>
      <c r="LT93" s="39"/>
      <c r="LU93" s="39"/>
      <c r="LV93" s="39"/>
      <c r="LW93" s="39"/>
      <c r="LX93" s="39"/>
      <c r="LY93" s="39"/>
      <c r="LZ93" s="39"/>
      <c r="MA93" s="39"/>
      <c r="MB93" s="39"/>
      <c r="MC93" s="39"/>
      <c r="MD93" s="39"/>
      <c r="ME93" s="39"/>
      <c r="MF93" s="39"/>
      <c r="MG93" s="39"/>
      <c r="MH93" s="39"/>
      <c r="MI93" s="39"/>
      <c r="MJ93" s="39"/>
      <c r="MK93" s="39"/>
      <c r="ML93" s="39"/>
      <c r="MM93" s="39"/>
      <c r="MN93" s="39"/>
      <c r="MO93" s="39"/>
      <c r="MP93" s="39"/>
      <c r="MQ93" s="39"/>
      <c r="MR93" s="39"/>
      <c r="MS93" s="38"/>
      <c r="MT93" s="39"/>
      <c r="MU93" s="39"/>
      <c r="MV93" s="39"/>
      <c r="MW93" s="39"/>
      <c r="MX93" s="39"/>
      <c r="MY93" s="39"/>
      <c r="MZ93" s="39"/>
      <c r="NA93" s="39"/>
      <c r="NB93" s="39"/>
      <c r="NC93" s="39"/>
      <c r="ND93" s="39"/>
      <c r="NE93" s="39"/>
      <c r="NF93" s="39"/>
      <c r="NG93" s="39"/>
      <c r="NH93" s="39"/>
      <c r="NI93" s="39"/>
      <c r="NJ93" s="39"/>
      <c r="NK93" s="39"/>
      <c r="NL93" s="39"/>
      <c r="NM93" s="39"/>
      <c r="NN93" s="39"/>
      <c r="NO93" s="39"/>
      <c r="NP93" s="39"/>
      <c r="NQ93" s="39"/>
      <c r="NR93" s="39"/>
      <c r="NS93" s="39"/>
      <c r="NT93" s="39"/>
      <c r="NU93" s="39"/>
      <c r="NV93" s="39"/>
      <c r="NW93" s="39"/>
      <c r="NX93" s="39"/>
      <c r="NY93" s="38"/>
    </row>
  </sheetData>
  <mergeCells count="15">
    <mergeCell ref="EG2:FJ2"/>
    <mergeCell ref="FM2:GP2"/>
    <mergeCell ref="GR2:HU2"/>
    <mergeCell ref="HX2:JA2"/>
    <mergeCell ref="JD2:KG2"/>
    <mergeCell ref="KI2:LL2"/>
    <mergeCell ref="LO2:MR2"/>
    <mergeCell ref="MT2:NW2"/>
    <mergeCell ref="C1:K1"/>
    <mergeCell ref="B2:B3"/>
    <mergeCell ref="C2:G2"/>
    <mergeCell ref="M2:AQ2"/>
    <mergeCell ref="AS2:BT2"/>
    <mergeCell ref="BV2:CY2"/>
    <mergeCell ref="DB2:EE2"/>
  </mergeCells>
  <conditionalFormatting sqref="I4:I93">
    <cfRule type="cellIs" dxfId="4" priority="1" operator="greaterThan">
      <formula>7</formula>
    </cfRule>
  </conditionalFormatting>
  <conditionalFormatting sqref="I4:I93">
    <cfRule type="cellIs" dxfId="5" priority="2" operator="greaterThan">
      <formula>4</formula>
    </cfRule>
  </conditionalFormatting>
  <conditionalFormatting sqref="I4:I93">
    <cfRule type="cellIs" dxfId="6" priority="3" operator="greaterThan">
      <formula>0</formula>
    </cfRule>
  </conditionalFormatting>
  <conditionalFormatting sqref="I4:I93">
    <cfRule type="cellIs" dxfId="7" priority="4" operator="lessThan">
      <formula>0</formula>
    </cfRule>
  </conditionalFormatting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63"/>
    <col customWidth="1" min="2" max="8" width="12.88"/>
    <col customWidth="1" min="9" max="9" width="2.63"/>
    <col customWidth="1" min="10" max="16" width="12.88"/>
    <col customWidth="1" min="17" max="17" width="2.63"/>
    <col customWidth="1" min="18" max="24" width="12.88"/>
    <col customWidth="1" min="25" max="25" width="2.63"/>
    <col customWidth="1" min="26" max="32" width="12.88"/>
    <col customWidth="1" min="33" max="33" width="2.63"/>
    <col customWidth="1" min="34" max="40" width="12.88"/>
    <col customWidth="1" min="41" max="41" width="2.63"/>
    <col customWidth="1" min="42" max="48" width="12.88"/>
    <col customWidth="1" min="49" max="49" width="1.88"/>
    <col customWidth="1" min="50" max="56" width="12.88"/>
    <col customWidth="1" min="57" max="57" width="1.88"/>
    <col customWidth="1" min="58" max="64" width="12.88"/>
    <col customWidth="1" min="65" max="65" width="1.88"/>
    <col customWidth="1" min="66" max="72" width="12.88"/>
    <col customWidth="1" min="73" max="73" width="1.63"/>
    <col customWidth="1" min="74" max="80" width="12.88"/>
    <col customWidth="1" min="81" max="81" width="1.63"/>
    <col customWidth="1" min="82" max="88" width="12.88"/>
    <col customWidth="1" min="89" max="89" width="1.63"/>
    <col customWidth="1" min="90" max="96" width="12.88"/>
    <col customWidth="1" min="97" max="97" width="1.63"/>
  </cols>
  <sheetData>
    <row r="1">
      <c r="A1" s="85" t="s">
        <v>473</v>
      </c>
      <c r="B1" s="86" t="s">
        <v>474</v>
      </c>
      <c r="C1" s="87"/>
      <c r="D1" s="87"/>
      <c r="E1" s="87"/>
      <c r="F1" s="87"/>
      <c r="G1" s="87"/>
      <c r="H1" s="88"/>
      <c r="I1" s="89"/>
      <c r="J1" s="86" t="s">
        <v>475</v>
      </c>
      <c r="K1" s="87"/>
      <c r="L1" s="87"/>
      <c r="M1" s="87"/>
      <c r="N1" s="87"/>
      <c r="O1" s="87"/>
      <c r="P1" s="88"/>
      <c r="Q1" s="89"/>
      <c r="R1" s="86" t="s">
        <v>476</v>
      </c>
      <c r="S1" s="87"/>
      <c r="T1" s="87"/>
      <c r="U1" s="87"/>
      <c r="V1" s="87"/>
      <c r="W1" s="87"/>
      <c r="X1" s="88"/>
      <c r="Y1" s="89"/>
      <c r="Z1" s="86" t="s">
        <v>477</v>
      </c>
      <c r="AA1" s="87"/>
      <c r="AB1" s="87"/>
      <c r="AC1" s="87"/>
      <c r="AD1" s="87"/>
      <c r="AE1" s="87"/>
      <c r="AF1" s="88"/>
      <c r="AG1" s="89"/>
      <c r="AH1" s="86" t="s">
        <v>478</v>
      </c>
      <c r="AI1" s="87"/>
      <c r="AJ1" s="87"/>
      <c r="AK1" s="87"/>
      <c r="AL1" s="87"/>
      <c r="AM1" s="87"/>
      <c r="AN1" s="88"/>
      <c r="AO1" s="90"/>
      <c r="AP1" s="86" t="s">
        <v>479</v>
      </c>
      <c r="AQ1" s="87"/>
      <c r="AR1" s="87"/>
      <c r="AS1" s="87"/>
      <c r="AT1" s="87"/>
      <c r="AU1" s="87"/>
      <c r="AV1" s="88"/>
      <c r="AW1" s="91"/>
      <c r="AX1" s="92" t="s">
        <v>480</v>
      </c>
      <c r="AY1" s="87"/>
      <c r="AZ1" s="87"/>
      <c r="BA1" s="87"/>
      <c r="BB1" s="87"/>
      <c r="BC1" s="87"/>
      <c r="BD1" s="88"/>
      <c r="BE1" s="93"/>
      <c r="BF1" s="92" t="s">
        <v>481</v>
      </c>
      <c r="BG1" s="87"/>
      <c r="BH1" s="87"/>
      <c r="BI1" s="87"/>
      <c r="BJ1" s="87"/>
      <c r="BK1" s="87"/>
      <c r="BL1" s="88"/>
      <c r="BM1" s="91"/>
      <c r="BN1" s="92" t="s">
        <v>482</v>
      </c>
      <c r="BO1" s="87"/>
      <c r="BP1" s="87"/>
      <c r="BQ1" s="87"/>
      <c r="BR1" s="87"/>
      <c r="BS1" s="87"/>
      <c r="BT1" s="88"/>
      <c r="BU1" s="94"/>
      <c r="BV1" s="95" t="s">
        <v>483</v>
      </c>
      <c r="BW1" s="87"/>
      <c r="BX1" s="87"/>
      <c r="BY1" s="87"/>
      <c r="BZ1" s="87"/>
      <c r="CA1" s="87"/>
      <c r="CB1" s="88"/>
      <c r="CC1" s="94"/>
      <c r="CD1" s="95" t="s">
        <v>484</v>
      </c>
      <c r="CE1" s="87"/>
      <c r="CF1" s="87"/>
      <c r="CG1" s="87"/>
      <c r="CH1" s="87"/>
      <c r="CI1" s="87"/>
      <c r="CJ1" s="88"/>
      <c r="CK1" s="94"/>
      <c r="CL1" s="95" t="s">
        <v>485</v>
      </c>
      <c r="CM1" s="87"/>
      <c r="CN1" s="87"/>
      <c r="CO1" s="87"/>
      <c r="CP1" s="87"/>
      <c r="CQ1" s="87"/>
      <c r="CR1" s="88"/>
      <c r="CS1" s="94"/>
    </row>
    <row r="2">
      <c r="A2" s="96"/>
      <c r="B2" s="97"/>
      <c r="C2" s="97"/>
      <c r="D2" s="97"/>
      <c r="E2" s="97"/>
      <c r="F2" s="97"/>
      <c r="G2" s="97"/>
      <c r="H2" s="98"/>
      <c r="I2" s="89"/>
      <c r="J2" s="97"/>
      <c r="K2" s="97"/>
      <c r="L2" s="97"/>
      <c r="M2" s="97"/>
      <c r="N2" s="97"/>
      <c r="O2" s="97"/>
      <c r="P2" s="98"/>
      <c r="Q2" s="89"/>
      <c r="R2" s="97"/>
      <c r="S2" s="97"/>
      <c r="T2" s="97"/>
      <c r="U2" s="97"/>
      <c r="V2" s="97"/>
      <c r="W2" s="97"/>
      <c r="X2" s="98"/>
      <c r="Y2" s="89"/>
      <c r="Z2" s="97"/>
      <c r="AA2" s="97"/>
      <c r="AB2" s="97"/>
      <c r="AC2" s="97"/>
      <c r="AD2" s="97"/>
      <c r="AE2" s="97"/>
      <c r="AF2" s="98"/>
      <c r="AG2" s="89"/>
      <c r="AH2" s="97"/>
      <c r="AI2" s="97"/>
      <c r="AJ2" s="97"/>
      <c r="AK2" s="97"/>
      <c r="AL2" s="97"/>
      <c r="AM2" s="97"/>
      <c r="AN2" s="98"/>
      <c r="AO2" s="99"/>
      <c r="AP2" s="97"/>
      <c r="AQ2" s="97"/>
      <c r="AR2" s="97"/>
      <c r="AS2" s="97"/>
      <c r="AT2" s="97"/>
      <c r="AU2" s="97"/>
      <c r="AV2" s="98"/>
      <c r="AW2" s="100"/>
      <c r="AX2" s="101"/>
      <c r="AY2" s="97"/>
      <c r="AZ2" s="97"/>
      <c r="BA2" s="97"/>
      <c r="BB2" s="97"/>
      <c r="BC2" s="97"/>
      <c r="BD2" s="98"/>
      <c r="BE2" s="93"/>
      <c r="BF2" s="101"/>
      <c r="BG2" s="97"/>
      <c r="BH2" s="97"/>
      <c r="BI2" s="97"/>
      <c r="BJ2" s="97"/>
      <c r="BK2" s="97"/>
      <c r="BL2" s="98"/>
      <c r="BM2" s="100"/>
      <c r="BN2" s="101"/>
      <c r="BO2" s="97"/>
      <c r="BP2" s="97"/>
      <c r="BQ2" s="97"/>
      <c r="BR2" s="97"/>
      <c r="BS2" s="97"/>
      <c r="BT2" s="98"/>
      <c r="BU2" s="94"/>
      <c r="BV2" s="97"/>
      <c r="BW2" s="97"/>
      <c r="BX2" s="97"/>
      <c r="BY2" s="97"/>
      <c r="BZ2" s="97"/>
      <c r="CA2" s="97"/>
      <c r="CB2" s="98"/>
      <c r="CC2" s="94"/>
      <c r="CD2" s="97"/>
      <c r="CE2" s="97"/>
      <c r="CF2" s="97"/>
      <c r="CG2" s="97"/>
      <c r="CH2" s="97"/>
      <c r="CI2" s="97"/>
      <c r="CJ2" s="98"/>
      <c r="CK2" s="94"/>
      <c r="CL2" s="97"/>
      <c r="CM2" s="97"/>
      <c r="CN2" s="97"/>
      <c r="CO2" s="97"/>
      <c r="CP2" s="97"/>
      <c r="CQ2" s="97"/>
      <c r="CR2" s="98"/>
      <c r="CS2" s="94"/>
    </row>
    <row r="3">
      <c r="A3" s="96"/>
      <c r="B3" s="102" t="s">
        <v>486</v>
      </c>
      <c r="C3" s="102" t="s">
        <v>487</v>
      </c>
      <c r="D3" s="102" t="s">
        <v>488</v>
      </c>
      <c r="E3" s="102" t="s">
        <v>489</v>
      </c>
      <c r="F3" s="102" t="s">
        <v>490</v>
      </c>
      <c r="G3" s="102" t="s">
        <v>491</v>
      </c>
      <c r="H3" s="102" t="s">
        <v>492</v>
      </c>
      <c r="I3" s="89"/>
      <c r="J3" s="102" t="s">
        <v>486</v>
      </c>
      <c r="K3" s="102" t="s">
        <v>487</v>
      </c>
      <c r="L3" s="102" t="s">
        <v>488</v>
      </c>
      <c r="M3" s="102" t="s">
        <v>489</v>
      </c>
      <c r="N3" s="102" t="s">
        <v>490</v>
      </c>
      <c r="O3" s="102" t="s">
        <v>491</v>
      </c>
      <c r="P3" s="102" t="s">
        <v>492</v>
      </c>
      <c r="Q3" s="89"/>
      <c r="R3" s="102" t="s">
        <v>486</v>
      </c>
      <c r="S3" s="102" t="s">
        <v>487</v>
      </c>
      <c r="T3" s="102" t="s">
        <v>488</v>
      </c>
      <c r="U3" s="102" t="s">
        <v>489</v>
      </c>
      <c r="V3" s="102" t="s">
        <v>490</v>
      </c>
      <c r="W3" s="102" t="s">
        <v>491</v>
      </c>
      <c r="X3" s="102" t="s">
        <v>492</v>
      </c>
      <c r="Y3" s="89"/>
      <c r="Z3" s="102" t="s">
        <v>486</v>
      </c>
      <c r="AA3" s="102" t="s">
        <v>487</v>
      </c>
      <c r="AB3" s="102" t="s">
        <v>488</v>
      </c>
      <c r="AC3" s="102" t="s">
        <v>489</v>
      </c>
      <c r="AD3" s="102" t="s">
        <v>490</v>
      </c>
      <c r="AE3" s="102" t="s">
        <v>491</v>
      </c>
      <c r="AF3" s="102" t="s">
        <v>492</v>
      </c>
      <c r="AG3" s="89"/>
      <c r="AH3" s="102" t="s">
        <v>486</v>
      </c>
      <c r="AI3" s="102" t="s">
        <v>487</v>
      </c>
      <c r="AJ3" s="102" t="s">
        <v>488</v>
      </c>
      <c r="AK3" s="102" t="s">
        <v>489</v>
      </c>
      <c r="AL3" s="102" t="s">
        <v>490</v>
      </c>
      <c r="AM3" s="102" t="s">
        <v>491</v>
      </c>
      <c r="AN3" s="102" t="s">
        <v>492</v>
      </c>
      <c r="AO3" s="99"/>
      <c r="AP3" s="102" t="s">
        <v>486</v>
      </c>
      <c r="AQ3" s="102" t="s">
        <v>487</v>
      </c>
      <c r="AR3" s="102" t="s">
        <v>488</v>
      </c>
      <c r="AS3" s="102" t="s">
        <v>489</v>
      </c>
      <c r="AT3" s="102" t="s">
        <v>490</v>
      </c>
      <c r="AU3" s="102" t="s">
        <v>491</v>
      </c>
      <c r="AV3" s="102" t="s">
        <v>492</v>
      </c>
      <c r="AW3" s="103"/>
      <c r="AX3" s="104" t="s">
        <v>486</v>
      </c>
      <c r="AY3" s="104" t="s">
        <v>487</v>
      </c>
      <c r="AZ3" s="104" t="s">
        <v>488</v>
      </c>
      <c r="BA3" s="104" t="s">
        <v>489</v>
      </c>
      <c r="BB3" s="104" t="s">
        <v>490</v>
      </c>
      <c r="BC3" s="104" t="s">
        <v>491</v>
      </c>
      <c r="BD3" s="104" t="s">
        <v>492</v>
      </c>
      <c r="BE3" s="105"/>
      <c r="BF3" s="104" t="s">
        <v>486</v>
      </c>
      <c r="BG3" s="104" t="s">
        <v>487</v>
      </c>
      <c r="BH3" s="104" t="s">
        <v>488</v>
      </c>
      <c r="BI3" s="104" t="s">
        <v>489</v>
      </c>
      <c r="BJ3" s="104" t="s">
        <v>490</v>
      </c>
      <c r="BK3" s="104" t="s">
        <v>491</v>
      </c>
      <c r="BL3" s="104" t="s">
        <v>492</v>
      </c>
      <c r="BM3" s="103"/>
      <c r="BN3" s="104" t="s">
        <v>486</v>
      </c>
      <c r="BO3" s="104" t="s">
        <v>487</v>
      </c>
      <c r="BP3" s="104" t="s">
        <v>488</v>
      </c>
      <c r="BQ3" s="104" t="s">
        <v>489</v>
      </c>
      <c r="BR3" s="104" t="s">
        <v>490</v>
      </c>
      <c r="BS3" s="104" t="s">
        <v>491</v>
      </c>
      <c r="BT3" s="104" t="s">
        <v>492</v>
      </c>
      <c r="BU3" s="106"/>
      <c r="BV3" s="107" t="s">
        <v>486</v>
      </c>
      <c r="BW3" s="107" t="s">
        <v>487</v>
      </c>
      <c r="BX3" s="107" t="s">
        <v>488</v>
      </c>
      <c r="BY3" s="107" t="s">
        <v>489</v>
      </c>
      <c r="BZ3" s="107" t="s">
        <v>490</v>
      </c>
      <c r="CA3" s="107" t="s">
        <v>491</v>
      </c>
      <c r="CB3" s="107" t="s">
        <v>492</v>
      </c>
      <c r="CC3" s="106"/>
      <c r="CD3" s="107" t="s">
        <v>486</v>
      </c>
      <c r="CE3" s="107" t="s">
        <v>487</v>
      </c>
      <c r="CF3" s="107" t="s">
        <v>488</v>
      </c>
      <c r="CG3" s="107" t="s">
        <v>489</v>
      </c>
      <c r="CH3" s="107" t="s">
        <v>490</v>
      </c>
      <c r="CI3" s="107" t="s">
        <v>491</v>
      </c>
      <c r="CJ3" s="107" t="s">
        <v>492</v>
      </c>
      <c r="CK3" s="106"/>
      <c r="CL3" s="107" t="s">
        <v>486</v>
      </c>
      <c r="CM3" s="107" t="s">
        <v>487</v>
      </c>
      <c r="CN3" s="107" t="s">
        <v>488</v>
      </c>
      <c r="CO3" s="107" t="s">
        <v>489</v>
      </c>
      <c r="CP3" s="107" t="s">
        <v>490</v>
      </c>
      <c r="CQ3" s="107" t="s">
        <v>491</v>
      </c>
      <c r="CR3" s="107" t="s">
        <v>492</v>
      </c>
      <c r="CS3" s="106"/>
    </row>
    <row r="4">
      <c r="A4" s="96"/>
      <c r="B4" s="108">
        <v>28.0</v>
      </c>
      <c r="C4" s="108">
        <v>29.0</v>
      </c>
      <c r="D4" s="108">
        <v>30.0</v>
      </c>
      <c r="E4" s="108">
        <v>31.0</v>
      </c>
      <c r="F4" s="109">
        <v>1.0</v>
      </c>
      <c r="G4" s="109">
        <v>2.0</v>
      </c>
      <c r="H4" s="109">
        <v>3.0</v>
      </c>
      <c r="I4" s="89"/>
      <c r="J4" s="109">
        <v>1.0</v>
      </c>
      <c r="K4" s="109">
        <v>2.0</v>
      </c>
      <c r="L4" s="109">
        <v>3.0</v>
      </c>
      <c r="M4" s="109">
        <v>4.0</v>
      </c>
      <c r="N4" s="109">
        <v>5.0</v>
      </c>
      <c r="O4" s="109">
        <v>6.0</v>
      </c>
      <c r="P4" s="109">
        <v>7.0</v>
      </c>
      <c r="Q4" s="89"/>
      <c r="R4" s="109">
        <v>1.0</v>
      </c>
      <c r="S4" s="109">
        <v>2.0</v>
      </c>
      <c r="T4" s="109">
        <v>3.0</v>
      </c>
      <c r="U4" s="109">
        <v>4.0</v>
      </c>
      <c r="V4" s="109">
        <v>5.0</v>
      </c>
      <c r="W4" s="109">
        <v>6.0</v>
      </c>
      <c r="X4" s="109">
        <v>7.0</v>
      </c>
      <c r="Y4" s="110">
        <v>5.0</v>
      </c>
      <c r="Z4" s="109">
        <v>5.0</v>
      </c>
      <c r="AA4" s="109">
        <v>6.0</v>
      </c>
      <c r="AB4" s="109">
        <v>7.0</v>
      </c>
      <c r="AC4" s="109">
        <v>8.0</v>
      </c>
      <c r="AD4" s="109">
        <v>9.0</v>
      </c>
      <c r="AE4" s="109">
        <v>10.0</v>
      </c>
      <c r="AF4" s="109">
        <v>11.0</v>
      </c>
      <c r="AG4" s="89"/>
      <c r="AH4" s="109">
        <v>3.0</v>
      </c>
      <c r="AI4" s="109">
        <v>4.0</v>
      </c>
      <c r="AJ4" s="109">
        <v>5.0</v>
      </c>
      <c r="AK4" s="109">
        <v>6.0</v>
      </c>
      <c r="AL4" s="109">
        <v>7.0</v>
      </c>
      <c r="AM4" s="109">
        <v>8.0</v>
      </c>
      <c r="AN4" s="109">
        <v>9.0</v>
      </c>
      <c r="AO4" s="99"/>
      <c r="AP4" s="109">
        <v>31.0</v>
      </c>
      <c r="AQ4" s="109">
        <v>1.0</v>
      </c>
      <c r="AR4" s="109">
        <v>2.0</v>
      </c>
      <c r="AS4" s="109">
        <v>3.0</v>
      </c>
      <c r="AT4" s="109">
        <v>4.0</v>
      </c>
      <c r="AU4" s="109">
        <v>5.0</v>
      </c>
      <c r="AV4" s="109">
        <v>6.0</v>
      </c>
      <c r="AW4" s="111"/>
      <c r="AX4" s="112">
        <v>5.0</v>
      </c>
      <c r="AY4" s="112">
        <v>6.0</v>
      </c>
      <c r="AZ4" s="112">
        <v>7.0</v>
      </c>
      <c r="BA4" s="112">
        <v>8.0</v>
      </c>
      <c r="BB4" s="112">
        <v>9.0</v>
      </c>
      <c r="BC4" s="112">
        <v>10.0</v>
      </c>
      <c r="BD4" s="112">
        <v>11.0</v>
      </c>
      <c r="BE4" s="113"/>
      <c r="BF4" s="112">
        <v>2.0</v>
      </c>
      <c r="BG4" s="112">
        <v>3.0</v>
      </c>
      <c r="BH4" s="112">
        <v>4.0</v>
      </c>
      <c r="BI4" s="112">
        <v>5.0</v>
      </c>
      <c r="BJ4" s="112">
        <v>6.0</v>
      </c>
      <c r="BK4" s="112">
        <v>7.0</v>
      </c>
      <c r="BL4" s="112">
        <v>8.0</v>
      </c>
      <c r="BM4" s="111"/>
      <c r="BN4" s="112">
        <v>30.0</v>
      </c>
      <c r="BO4" s="112">
        <v>31.0</v>
      </c>
      <c r="BP4" s="112">
        <v>1.0</v>
      </c>
      <c r="BQ4" s="112">
        <v>2.0</v>
      </c>
      <c r="BR4" s="112">
        <v>3.0</v>
      </c>
      <c r="BS4" s="112">
        <v>4.0</v>
      </c>
      <c r="BT4" s="112">
        <v>5.0</v>
      </c>
      <c r="BU4" s="94"/>
      <c r="BV4" s="112">
        <v>4.0</v>
      </c>
      <c r="BW4" s="112">
        <v>5.0</v>
      </c>
      <c r="BX4" s="112">
        <v>6.0</v>
      </c>
      <c r="BY4" s="112">
        <v>7.0</v>
      </c>
      <c r="BZ4" s="112">
        <v>8.0</v>
      </c>
      <c r="CA4" s="112">
        <v>9.0</v>
      </c>
      <c r="CB4" s="112">
        <v>10.0</v>
      </c>
      <c r="CC4" s="94"/>
      <c r="CD4" s="114">
        <v>1.0</v>
      </c>
      <c r="CE4" s="114">
        <v>2.0</v>
      </c>
      <c r="CF4" s="114">
        <v>3.0</v>
      </c>
      <c r="CG4" s="114">
        <v>4.0</v>
      </c>
      <c r="CH4" s="114">
        <v>5.0</v>
      </c>
      <c r="CI4" s="114">
        <v>6.0</v>
      </c>
      <c r="CJ4" s="114">
        <v>7.0</v>
      </c>
      <c r="CK4" s="94"/>
      <c r="CL4" s="114">
        <v>29.0</v>
      </c>
      <c r="CM4" s="114">
        <v>30.0</v>
      </c>
      <c r="CN4" s="114">
        <v>1.0</v>
      </c>
      <c r="CO4" s="114">
        <v>2.0</v>
      </c>
      <c r="CP4" s="114">
        <v>3.0</v>
      </c>
      <c r="CQ4" s="114">
        <v>4.0</v>
      </c>
      <c r="CR4" s="114">
        <v>5.0</v>
      </c>
      <c r="CS4" s="94"/>
    </row>
    <row r="5">
      <c r="A5" s="115"/>
      <c r="B5" s="116" t="s">
        <v>493</v>
      </c>
      <c r="C5" s="116" t="s">
        <v>493</v>
      </c>
      <c r="D5" s="116" t="s">
        <v>493</v>
      </c>
      <c r="E5" s="116" t="s">
        <v>493</v>
      </c>
      <c r="F5" s="116" t="s">
        <v>493</v>
      </c>
      <c r="G5" s="116" t="s">
        <v>493</v>
      </c>
      <c r="H5" s="116" t="s">
        <v>493</v>
      </c>
      <c r="I5" s="115"/>
      <c r="J5" s="117" t="s">
        <v>494</v>
      </c>
      <c r="K5" s="117" t="s">
        <v>494</v>
      </c>
      <c r="L5" s="117" t="s">
        <v>494</v>
      </c>
      <c r="M5" s="117" t="s">
        <v>494</v>
      </c>
      <c r="N5" s="117" t="s">
        <v>494</v>
      </c>
      <c r="O5" s="117" t="s">
        <v>494</v>
      </c>
      <c r="P5" s="117" t="s">
        <v>494</v>
      </c>
      <c r="Q5" s="115"/>
      <c r="R5" s="117"/>
      <c r="S5" s="117"/>
      <c r="T5" s="117"/>
      <c r="U5" s="117"/>
      <c r="V5" s="117"/>
      <c r="W5" s="117"/>
      <c r="X5" s="117" t="s">
        <v>495</v>
      </c>
      <c r="Y5" s="115"/>
      <c r="Z5" s="116"/>
      <c r="AA5" s="116"/>
      <c r="AB5" s="116"/>
      <c r="AC5" s="116"/>
      <c r="AD5" s="116"/>
      <c r="AE5" s="116"/>
      <c r="AF5" s="116" t="s">
        <v>495</v>
      </c>
      <c r="AG5" s="115"/>
      <c r="AH5" s="118" t="s">
        <v>496</v>
      </c>
      <c r="AI5" s="118" t="s">
        <v>496</v>
      </c>
      <c r="AJ5" s="118" t="s">
        <v>496</v>
      </c>
      <c r="AK5" s="118" t="s">
        <v>496</v>
      </c>
      <c r="AL5" s="118" t="s">
        <v>496</v>
      </c>
      <c r="AM5" s="118" t="s">
        <v>496</v>
      </c>
      <c r="AN5" s="118" t="s">
        <v>496</v>
      </c>
      <c r="AO5" s="115"/>
      <c r="AP5" s="116"/>
      <c r="AQ5" s="116" t="s">
        <v>496</v>
      </c>
      <c r="AR5" s="116" t="s">
        <v>496</v>
      </c>
      <c r="AS5" s="116" t="s">
        <v>496</v>
      </c>
      <c r="AT5" s="116"/>
      <c r="AU5" s="116" t="s">
        <v>496</v>
      </c>
      <c r="AV5" s="116"/>
      <c r="AW5" s="115"/>
      <c r="AX5" s="116"/>
      <c r="AY5" s="116"/>
      <c r="AZ5" s="116"/>
      <c r="BA5" s="116" t="s">
        <v>497</v>
      </c>
      <c r="BB5" s="116"/>
      <c r="BC5" s="116"/>
      <c r="BD5" s="116" t="s">
        <v>498</v>
      </c>
      <c r="BE5" s="115"/>
      <c r="BF5" s="117" t="s">
        <v>499</v>
      </c>
      <c r="BG5" s="117" t="s">
        <v>499</v>
      </c>
      <c r="BH5" s="117" t="s">
        <v>499</v>
      </c>
      <c r="BI5" s="117" t="s">
        <v>499</v>
      </c>
      <c r="BJ5" s="117" t="s">
        <v>499</v>
      </c>
      <c r="BK5" s="117" t="s">
        <v>499</v>
      </c>
      <c r="BL5" s="117" t="s">
        <v>499</v>
      </c>
      <c r="BM5" s="115"/>
      <c r="BN5" s="116"/>
      <c r="BO5" s="116"/>
      <c r="BP5" s="116" t="s">
        <v>500</v>
      </c>
      <c r="BQ5" s="116" t="s">
        <v>500</v>
      </c>
      <c r="BR5" s="116"/>
      <c r="BS5" s="116"/>
      <c r="BT5" s="117"/>
      <c r="BU5" s="115"/>
      <c r="BV5" s="117" t="s">
        <v>501</v>
      </c>
      <c r="BW5" s="116"/>
      <c r="BX5" s="116"/>
      <c r="BY5" s="116"/>
      <c r="BZ5" s="116"/>
      <c r="CA5" s="116" t="s">
        <v>502</v>
      </c>
      <c r="CB5" s="116" t="s">
        <v>502</v>
      </c>
      <c r="CC5" s="115"/>
      <c r="CD5" s="116"/>
      <c r="CE5" s="116"/>
      <c r="CF5" s="116" t="s">
        <v>496</v>
      </c>
      <c r="CG5" s="116"/>
      <c r="CH5" s="116"/>
      <c r="CI5" s="116"/>
      <c r="CJ5" s="116"/>
      <c r="CK5" s="115"/>
      <c r="CL5" s="116"/>
      <c r="CM5" s="116"/>
      <c r="CN5" s="116"/>
      <c r="CO5" s="116"/>
      <c r="CP5" s="116"/>
      <c r="CQ5" s="116"/>
      <c r="CR5" s="116"/>
      <c r="CS5" s="115"/>
    </row>
    <row r="6">
      <c r="A6" s="119"/>
      <c r="B6" s="117" t="s">
        <v>503</v>
      </c>
      <c r="C6" s="117" t="s">
        <v>503</v>
      </c>
      <c r="D6" s="117" t="s">
        <v>503</v>
      </c>
      <c r="E6" s="117" t="s">
        <v>503</v>
      </c>
      <c r="F6" s="117" t="s">
        <v>503</v>
      </c>
      <c r="G6" s="117" t="s">
        <v>503</v>
      </c>
      <c r="H6" s="117" t="s">
        <v>503</v>
      </c>
      <c r="I6" s="119"/>
      <c r="J6" s="117"/>
      <c r="K6" s="117" t="s">
        <v>499</v>
      </c>
      <c r="L6" s="117" t="s">
        <v>499</v>
      </c>
      <c r="M6" s="117" t="s">
        <v>499</v>
      </c>
      <c r="N6" s="117" t="s">
        <v>499</v>
      </c>
      <c r="O6" s="117" t="s">
        <v>499</v>
      </c>
      <c r="P6" s="117" t="s">
        <v>499</v>
      </c>
      <c r="Q6" s="119"/>
      <c r="R6" s="117" t="s">
        <v>504</v>
      </c>
      <c r="S6" s="117" t="s">
        <v>504</v>
      </c>
      <c r="T6" s="116"/>
      <c r="U6" s="116"/>
      <c r="V6" s="116"/>
      <c r="W6" s="116"/>
      <c r="X6" s="116"/>
      <c r="Y6" s="119"/>
      <c r="Z6" s="116" t="s">
        <v>505</v>
      </c>
      <c r="AA6" s="116" t="s">
        <v>505</v>
      </c>
      <c r="AB6" s="117"/>
      <c r="AC6" s="117"/>
      <c r="AD6" s="117"/>
      <c r="AE6" s="117"/>
      <c r="AF6" s="117"/>
      <c r="AG6" s="119"/>
      <c r="AH6" s="117" t="s">
        <v>506</v>
      </c>
      <c r="AI6" s="117" t="s">
        <v>506</v>
      </c>
      <c r="AJ6" s="117" t="s">
        <v>506</v>
      </c>
      <c r="AK6" s="117" t="s">
        <v>506</v>
      </c>
      <c r="AL6" s="117" t="s">
        <v>506</v>
      </c>
      <c r="AM6" s="116"/>
      <c r="AN6" s="116"/>
      <c r="AO6" s="119"/>
      <c r="AP6" s="118" t="s">
        <v>507</v>
      </c>
      <c r="AQ6" s="118" t="s">
        <v>507</v>
      </c>
      <c r="AR6" s="118" t="s">
        <v>507</v>
      </c>
      <c r="AS6" s="118" t="s">
        <v>507</v>
      </c>
      <c r="AT6" s="118" t="s">
        <v>507</v>
      </c>
      <c r="AU6" s="118" t="s">
        <v>507</v>
      </c>
      <c r="AV6" s="118" t="s">
        <v>507</v>
      </c>
      <c r="AW6" s="119"/>
      <c r="AX6" s="117" t="s">
        <v>508</v>
      </c>
      <c r="AY6" s="117" t="s">
        <v>508</v>
      </c>
      <c r="AZ6" s="117"/>
      <c r="BA6" s="117"/>
      <c r="BB6" s="117"/>
      <c r="BC6" s="117"/>
      <c r="BD6" s="117"/>
      <c r="BE6" s="119"/>
      <c r="BG6" s="117"/>
      <c r="BH6" s="117"/>
      <c r="BI6" s="117"/>
      <c r="BJ6" s="117"/>
      <c r="BK6" s="117"/>
      <c r="BL6" s="116" t="s">
        <v>494</v>
      </c>
      <c r="BM6" s="119"/>
      <c r="BN6" s="117"/>
      <c r="BO6" s="117"/>
      <c r="BP6" s="117"/>
      <c r="BQ6" s="117"/>
      <c r="BR6" s="117"/>
      <c r="BS6" s="117" t="s">
        <v>508</v>
      </c>
      <c r="BT6" s="117" t="s">
        <v>508</v>
      </c>
      <c r="BU6" s="119"/>
      <c r="BV6" s="117"/>
      <c r="BW6" s="117"/>
      <c r="BX6" s="117"/>
      <c r="BY6" s="117"/>
      <c r="BZ6" s="117"/>
      <c r="CA6" s="117"/>
      <c r="CB6" s="117" t="s">
        <v>501</v>
      </c>
      <c r="CC6" s="119"/>
      <c r="CD6" s="120"/>
      <c r="CE6" s="120"/>
      <c r="CF6" s="120"/>
      <c r="CG6" s="120"/>
      <c r="CH6" s="120"/>
      <c r="CI6" s="120"/>
      <c r="CJ6" s="120"/>
      <c r="CK6" s="119"/>
      <c r="CL6" s="117"/>
      <c r="CM6" s="117"/>
      <c r="CN6" s="117"/>
      <c r="CO6" s="117"/>
      <c r="CP6" s="117"/>
      <c r="CQ6" s="117"/>
      <c r="CR6" s="117"/>
      <c r="CS6" s="119"/>
    </row>
    <row r="7">
      <c r="A7" s="119"/>
      <c r="B7" s="117"/>
      <c r="C7" s="117"/>
      <c r="D7" s="121"/>
      <c r="E7" s="121"/>
      <c r="F7" s="121"/>
      <c r="G7" s="121" t="s">
        <v>509</v>
      </c>
      <c r="H7" s="121" t="s">
        <v>509</v>
      </c>
      <c r="I7" s="119"/>
      <c r="J7" s="117"/>
      <c r="K7" s="117"/>
      <c r="L7" s="117"/>
      <c r="M7" s="117"/>
      <c r="N7" s="117"/>
      <c r="O7" s="116"/>
      <c r="P7" s="116" t="s">
        <v>508</v>
      </c>
      <c r="Q7" s="119"/>
      <c r="R7" s="117" t="s">
        <v>510</v>
      </c>
      <c r="S7" s="117" t="s">
        <v>510</v>
      </c>
      <c r="T7" s="117" t="s">
        <v>510</v>
      </c>
      <c r="U7" s="116"/>
      <c r="V7" s="116"/>
      <c r="W7" s="116"/>
      <c r="X7" s="116"/>
      <c r="Y7" s="119"/>
      <c r="Z7" s="118" t="s">
        <v>499</v>
      </c>
      <c r="AA7" s="118" t="s">
        <v>499</v>
      </c>
      <c r="AB7" s="117"/>
      <c r="AC7" s="117"/>
      <c r="AD7" s="117"/>
      <c r="AE7" s="117"/>
      <c r="AF7" s="117"/>
      <c r="AG7" s="119"/>
      <c r="AH7" s="117" t="s">
        <v>505</v>
      </c>
      <c r="AI7" s="117" t="s">
        <v>505</v>
      </c>
      <c r="AJ7" s="117"/>
      <c r="AK7" s="117"/>
      <c r="AL7" s="117" t="s">
        <v>505</v>
      </c>
      <c r="AM7" s="117" t="s">
        <v>505</v>
      </c>
      <c r="AN7" s="117" t="s">
        <v>505</v>
      </c>
      <c r="AO7" s="119"/>
      <c r="AP7" s="116"/>
      <c r="AQ7" s="117"/>
      <c r="AR7" s="117"/>
      <c r="AS7" s="117"/>
      <c r="AT7" s="117"/>
      <c r="AU7" s="117"/>
      <c r="AV7" s="116" t="s">
        <v>511</v>
      </c>
      <c r="AW7" s="119"/>
      <c r="AX7" s="116" t="s">
        <v>495</v>
      </c>
      <c r="AY7" s="116" t="s">
        <v>495</v>
      </c>
      <c r="AZ7" s="116" t="s">
        <v>495</v>
      </c>
      <c r="BA7" s="116" t="s">
        <v>495</v>
      </c>
      <c r="BB7" s="116" t="s">
        <v>495</v>
      </c>
      <c r="BC7" s="116" t="s">
        <v>495</v>
      </c>
      <c r="BD7" s="122" t="s">
        <v>495</v>
      </c>
      <c r="BE7" s="119"/>
      <c r="BF7" s="117" t="s">
        <v>496</v>
      </c>
      <c r="BG7" s="117" t="s">
        <v>496</v>
      </c>
      <c r="BH7" s="117" t="s">
        <v>496</v>
      </c>
      <c r="BI7" s="117" t="s">
        <v>496</v>
      </c>
      <c r="BJ7" s="117" t="s">
        <v>496</v>
      </c>
      <c r="BK7" s="117" t="s">
        <v>496</v>
      </c>
      <c r="BL7" s="117" t="s">
        <v>496</v>
      </c>
      <c r="BM7" s="119"/>
      <c r="BN7" s="116" t="s">
        <v>512</v>
      </c>
      <c r="BO7" s="116" t="s">
        <v>512</v>
      </c>
      <c r="BP7" s="116" t="s">
        <v>512</v>
      </c>
      <c r="BQ7" s="116" t="s">
        <v>512</v>
      </c>
      <c r="BR7" s="116" t="s">
        <v>512</v>
      </c>
      <c r="BS7" s="116" t="s">
        <v>512</v>
      </c>
      <c r="BT7" s="116" t="s">
        <v>512</v>
      </c>
      <c r="BU7" s="119"/>
      <c r="BV7" s="116"/>
      <c r="BW7" s="116"/>
      <c r="BX7" s="116"/>
      <c r="BY7" s="116"/>
      <c r="BZ7" s="116"/>
      <c r="CA7" s="116"/>
      <c r="CB7" s="116"/>
      <c r="CC7" s="119"/>
      <c r="CD7" s="116"/>
      <c r="CE7" s="116"/>
      <c r="CF7" s="117"/>
      <c r="CG7" s="117"/>
      <c r="CH7" s="117"/>
      <c r="CI7" s="117"/>
      <c r="CJ7" s="117"/>
      <c r="CK7" s="119"/>
      <c r="CL7" s="118"/>
      <c r="CM7" s="118"/>
      <c r="CN7" s="117"/>
      <c r="CO7" s="117"/>
      <c r="CP7" s="117"/>
      <c r="CQ7" s="117"/>
      <c r="CR7" s="117"/>
      <c r="CS7" s="119"/>
    </row>
    <row r="8">
      <c r="A8" s="119"/>
      <c r="B8" s="117"/>
      <c r="C8" s="117" t="s">
        <v>513</v>
      </c>
      <c r="D8" s="121"/>
      <c r="E8" s="121"/>
      <c r="F8" s="121"/>
      <c r="G8" s="121"/>
      <c r="H8" s="117"/>
      <c r="I8" s="119"/>
      <c r="J8" s="117"/>
      <c r="K8" s="117"/>
      <c r="L8" s="117"/>
      <c r="M8" s="117"/>
      <c r="N8" s="117"/>
      <c r="O8" s="116"/>
      <c r="P8" s="117" t="s">
        <v>505</v>
      </c>
      <c r="Q8" s="119"/>
      <c r="R8" s="116"/>
      <c r="S8" s="116"/>
      <c r="T8" s="116"/>
      <c r="U8" s="116"/>
      <c r="V8" s="116"/>
      <c r="W8" s="116"/>
      <c r="X8" s="117" t="s">
        <v>505</v>
      </c>
      <c r="Y8" s="119"/>
      <c r="Z8" s="117"/>
      <c r="AA8" s="117"/>
      <c r="AB8" s="117" t="s">
        <v>514</v>
      </c>
      <c r="AC8" s="117" t="s">
        <v>514</v>
      </c>
      <c r="AD8" s="117" t="s">
        <v>514</v>
      </c>
      <c r="AE8" s="117" t="s">
        <v>514</v>
      </c>
      <c r="AF8" s="117" t="s">
        <v>514</v>
      </c>
      <c r="AG8" s="119"/>
      <c r="AH8" s="116" t="s">
        <v>509</v>
      </c>
      <c r="AI8" s="116" t="s">
        <v>509</v>
      </c>
      <c r="AJ8" s="116"/>
      <c r="AK8" s="116"/>
      <c r="AL8" s="116"/>
      <c r="AM8" s="116"/>
      <c r="AN8" s="116"/>
      <c r="AO8" s="119"/>
      <c r="AP8" s="117" t="s">
        <v>515</v>
      </c>
      <c r="AQ8" s="117" t="s">
        <v>515</v>
      </c>
      <c r="AR8" s="117"/>
      <c r="AS8" s="117"/>
      <c r="AT8" s="117"/>
      <c r="AU8" s="117"/>
      <c r="AV8" s="117" t="s">
        <v>505</v>
      </c>
      <c r="AW8" s="119"/>
      <c r="AX8" s="117" t="s">
        <v>499</v>
      </c>
      <c r="AY8" s="117" t="s">
        <v>499</v>
      </c>
      <c r="AZ8" s="117" t="s">
        <v>499</v>
      </c>
      <c r="BA8" s="117" t="s">
        <v>499</v>
      </c>
      <c r="BB8" s="117" t="s">
        <v>499</v>
      </c>
      <c r="BC8" s="117" t="s">
        <v>499</v>
      </c>
      <c r="BD8" s="117" t="s">
        <v>499</v>
      </c>
      <c r="BE8" s="119"/>
      <c r="BF8" s="117"/>
      <c r="BG8" s="117"/>
      <c r="BH8" s="117"/>
      <c r="BI8" s="117"/>
      <c r="BJ8" s="117"/>
      <c r="BK8" s="117"/>
      <c r="BL8" s="117" t="s">
        <v>516</v>
      </c>
      <c r="BM8" s="119"/>
      <c r="BN8" s="116"/>
      <c r="BO8" s="116" t="s">
        <v>517</v>
      </c>
      <c r="BP8" s="116"/>
      <c r="BQ8" s="116"/>
      <c r="BR8" s="116"/>
      <c r="BS8" s="116"/>
      <c r="BT8" s="117"/>
      <c r="BU8" s="119"/>
      <c r="BV8" s="117"/>
      <c r="BW8" s="117"/>
      <c r="BX8" s="117"/>
      <c r="BY8" s="117"/>
      <c r="BZ8" s="117"/>
      <c r="CA8" s="117"/>
      <c r="CB8" s="120"/>
      <c r="CC8" s="119"/>
      <c r="CD8" s="117"/>
      <c r="CE8" s="117"/>
      <c r="CF8" s="117"/>
      <c r="CG8" s="117"/>
      <c r="CH8" s="117"/>
      <c r="CI8" s="117"/>
      <c r="CJ8" s="117"/>
      <c r="CK8" s="119"/>
      <c r="CL8" s="117"/>
      <c r="CM8" s="117"/>
      <c r="CN8" s="117"/>
      <c r="CO8" s="117"/>
      <c r="CP8" s="117"/>
      <c r="CQ8" s="117"/>
      <c r="CR8" s="117"/>
      <c r="CS8" s="119"/>
    </row>
    <row r="9">
      <c r="A9" s="119"/>
      <c r="B9" s="117" t="s">
        <v>494</v>
      </c>
      <c r="C9" s="117" t="s">
        <v>494</v>
      </c>
      <c r="D9" s="117" t="s">
        <v>494</v>
      </c>
      <c r="E9" s="121"/>
      <c r="F9" s="121"/>
      <c r="G9" s="121"/>
      <c r="H9" s="117"/>
      <c r="I9" s="119"/>
      <c r="J9" s="117"/>
      <c r="K9" s="117"/>
      <c r="L9" s="117"/>
      <c r="M9" s="117"/>
      <c r="N9" s="117" t="s">
        <v>518</v>
      </c>
      <c r="O9" s="116"/>
      <c r="P9" s="116"/>
      <c r="Q9" s="119"/>
      <c r="R9" s="116"/>
      <c r="S9" s="116"/>
      <c r="T9" s="116"/>
      <c r="U9" s="116"/>
      <c r="V9" s="116"/>
      <c r="W9" s="117" t="s">
        <v>508</v>
      </c>
      <c r="X9" s="117" t="s">
        <v>508</v>
      </c>
      <c r="Y9" s="119"/>
      <c r="Z9" s="117"/>
      <c r="AA9" s="117"/>
      <c r="AB9" s="117"/>
      <c r="AC9" s="117"/>
      <c r="AD9" s="117"/>
      <c r="AE9" s="117" t="s">
        <v>519</v>
      </c>
      <c r="AF9" s="117" t="s">
        <v>519</v>
      </c>
      <c r="AG9" s="119"/>
      <c r="AH9" s="116" t="s">
        <v>520</v>
      </c>
      <c r="AI9" s="116" t="s">
        <v>520</v>
      </c>
      <c r="AJ9" s="116"/>
      <c r="AK9" s="116"/>
      <c r="AL9" s="117" t="s">
        <v>518</v>
      </c>
      <c r="AM9" s="116"/>
      <c r="AN9" s="116"/>
      <c r="AO9" s="119"/>
      <c r="AP9" s="120" t="s">
        <v>517</v>
      </c>
      <c r="AQ9" s="120" t="s">
        <v>517</v>
      </c>
      <c r="AR9" s="120" t="s">
        <v>517</v>
      </c>
      <c r="AS9" s="120" t="s">
        <v>517</v>
      </c>
      <c r="AT9" s="120" t="s">
        <v>517</v>
      </c>
      <c r="AU9" s="117"/>
      <c r="AV9" s="117"/>
      <c r="AW9" s="119"/>
      <c r="AX9" s="116" t="s">
        <v>504</v>
      </c>
      <c r="AY9" s="116" t="s">
        <v>504</v>
      </c>
      <c r="AZ9" s="117"/>
      <c r="BA9" s="117"/>
      <c r="BB9" s="117"/>
      <c r="BC9" s="117"/>
      <c r="BD9" s="117"/>
      <c r="BE9" s="119"/>
      <c r="BF9" s="117"/>
      <c r="BG9" s="117"/>
      <c r="BH9" s="117"/>
      <c r="BI9" s="117"/>
      <c r="BJ9" s="117"/>
      <c r="BK9" s="117"/>
      <c r="BL9" s="116" t="s">
        <v>521</v>
      </c>
      <c r="BM9" s="119"/>
      <c r="BN9" s="117"/>
      <c r="BO9" s="117"/>
      <c r="BP9" s="117" t="s">
        <v>522</v>
      </c>
      <c r="BQ9" s="117" t="s">
        <v>522</v>
      </c>
      <c r="BR9" s="117" t="s">
        <v>522</v>
      </c>
      <c r="BS9" s="117" t="s">
        <v>522</v>
      </c>
      <c r="BT9" s="117" t="s">
        <v>522</v>
      </c>
      <c r="BU9" s="119"/>
      <c r="BV9" s="117"/>
      <c r="BW9" s="117"/>
      <c r="BX9" s="117"/>
      <c r="BY9" s="117"/>
      <c r="BZ9" s="117"/>
      <c r="CA9" s="117"/>
      <c r="CB9" s="117"/>
      <c r="CC9" s="119"/>
      <c r="CD9" s="117"/>
      <c r="CE9" s="117"/>
      <c r="CF9" s="117"/>
      <c r="CG9" s="117"/>
      <c r="CH9" s="117"/>
      <c r="CI9" s="117"/>
      <c r="CJ9" s="117"/>
      <c r="CK9" s="119"/>
      <c r="CL9" s="117"/>
      <c r="CM9" s="117"/>
      <c r="CN9" s="117"/>
      <c r="CO9" s="117"/>
      <c r="CP9" s="117"/>
      <c r="CQ9" s="117"/>
      <c r="CR9" s="117"/>
      <c r="CS9" s="119"/>
    </row>
    <row r="10">
      <c r="A10" s="119"/>
      <c r="B10" s="117" t="s">
        <v>523</v>
      </c>
      <c r="C10" s="117" t="s">
        <v>523</v>
      </c>
      <c r="D10" s="121"/>
      <c r="E10" s="121"/>
      <c r="F10" s="121"/>
      <c r="G10" s="121"/>
      <c r="H10" s="117"/>
      <c r="I10" s="119"/>
      <c r="J10" s="117"/>
      <c r="K10" s="117"/>
      <c r="L10" s="117"/>
      <c r="M10" s="117"/>
      <c r="N10" s="117"/>
      <c r="O10" s="116"/>
      <c r="P10" s="117" t="s">
        <v>511</v>
      </c>
      <c r="Q10" s="119"/>
      <c r="R10" s="116"/>
      <c r="S10" s="116"/>
      <c r="T10" s="116"/>
      <c r="U10" s="116"/>
      <c r="V10" s="116"/>
      <c r="W10" s="116"/>
      <c r="X10" s="116" t="s">
        <v>517</v>
      </c>
      <c r="Y10" s="119"/>
      <c r="Z10" s="117"/>
      <c r="AA10" s="117"/>
      <c r="AB10" s="117"/>
      <c r="AC10" s="117"/>
      <c r="AD10" s="117"/>
      <c r="AE10" s="117"/>
      <c r="AF10" s="116" t="s">
        <v>511</v>
      </c>
      <c r="AG10" s="119"/>
      <c r="AH10" s="116"/>
      <c r="AI10" s="116"/>
      <c r="AJ10" s="116"/>
      <c r="AK10" s="116"/>
      <c r="AL10" s="116"/>
      <c r="AM10" s="116"/>
      <c r="AN10" s="116" t="s">
        <v>511</v>
      </c>
      <c r="AO10" s="119"/>
      <c r="AP10" s="120" t="s">
        <v>524</v>
      </c>
      <c r="AQ10" s="120" t="s">
        <v>524</v>
      </c>
      <c r="AR10" s="120" t="s">
        <v>524</v>
      </c>
      <c r="AS10" s="120" t="s">
        <v>524</v>
      </c>
      <c r="AT10" s="120" t="s">
        <v>524</v>
      </c>
      <c r="AU10" s="120" t="s">
        <v>524</v>
      </c>
      <c r="AV10" s="120" t="s">
        <v>524</v>
      </c>
      <c r="AW10" s="119"/>
      <c r="AX10" s="117"/>
      <c r="AY10" s="117" t="s">
        <v>525</v>
      </c>
      <c r="AZ10" s="117"/>
      <c r="BA10" s="117"/>
      <c r="BB10" s="117"/>
      <c r="BC10" s="117" t="s">
        <v>526</v>
      </c>
      <c r="BD10" s="117" t="s">
        <v>526</v>
      </c>
      <c r="BE10" s="119"/>
      <c r="BF10" s="117" t="s">
        <v>527</v>
      </c>
      <c r="BG10" s="117" t="s">
        <v>527</v>
      </c>
      <c r="BH10" s="117"/>
      <c r="BI10" s="117"/>
      <c r="BJ10" s="117"/>
      <c r="BK10" s="117" t="s">
        <v>527</v>
      </c>
      <c r="BL10" s="117" t="s">
        <v>527</v>
      </c>
      <c r="BM10" s="119"/>
      <c r="BN10" s="117"/>
      <c r="BO10" s="117"/>
      <c r="BP10" s="117"/>
      <c r="BQ10" s="117"/>
      <c r="BR10" s="117"/>
      <c r="BS10" s="117"/>
      <c r="BT10" s="116" t="s">
        <v>527</v>
      </c>
      <c r="BU10" s="119"/>
      <c r="BV10" s="117"/>
      <c r="BW10" s="117"/>
      <c r="BX10" s="117"/>
      <c r="BY10" s="117"/>
      <c r="BZ10" s="117"/>
      <c r="CA10" s="117"/>
      <c r="CB10" s="117"/>
      <c r="CC10" s="119"/>
      <c r="CD10" s="117"/>
      <c r="CE10" s="117"/>
      <c r="CF10" s="117"/>
      <c r="CG10" s="117"/>
      <c r="CH10" s="117"/>
      <c r="CI10" s="117"/>
      <c r="CJ10" s="117"/>
      <c r="CK10" s="119"/>
      <c r="CL10" s="117"/>
      <c r="CM10" s="117"/>
      <c r="CN10" s="117"/>
      <c r="CO10" s="117"/>
      <c r="CP10" s="117"/>
      <c r="CQ10" s="117"/>
      <c r="CR10" s="117"/>
      <c r="CS10" s="119"/>
    </row>
    <row r="11">
      <c r="A11" s="119"/>
      <c r="B11" s="117" t="s">
        <v>496</v>
      </c>
      <c r="C11" s="117" t="s">
        <v>496</v>
      </c>
      <c r="D11" s="117" t="s">
        <v>496</v>
      </c>
      <c r="E11" s="117" t="s">
        <v>496</v>
      </c>
      <c r="F11" s="117" t="s">
        <v>496</v>
      </c>
      <c r="G11" s="117" t="s">
        <v>496</v>
      </c>
      <c r="H11" s="117" t="s">
        <v>496</v>
      </c>
      <c r="I11" s="119"/>
      <c r="J11" s="117"/>
      <c r="K11" s="117"/>
      <c r="L11" s="117" t="s">
        <v>506</v>
      </c>
      <c r="M11" s="117" t="s">
        <v>506</v>
      </c>
      <c r="N11" s="117" t="s">
        <v>506</v>
      </c>
      <c r="O11" s="117" t="s">
        <v>506</v>
      </c>
      <c r="P11" s="117" t="s">
        <v>506</v>
      </c>
      <c r="Q11" s="119"/>
      <c r="R11" s="116"/>
      <c r="S11" s="116"/>
      <c r="T11" s="116"/>
      <c r="U11" s="116"/>
      <c r="V11" s="116"/>
      <c r="W11" s="116"/>
      <c r="X11" s="117" t="s">
        <v>511</v>
      </c>
      <c r="Y11" s="119"/>
      <c r="Z11" s="117"/>
      <c r="AA11" s="117"/>
      <c r="AB11" s="117"/>
      <c r="AC11" s="117"/>
      <c r="AD11" s="117" t="s">
        <v>528</v>
      </c>
      <c r="AE11" s="117" t="s">
        <v>528</v>
      </c>
      <c r="AF11" s="117" t="s">
        <v>528</v>
      </c>
      <c r="AG11" s="119"/>
      <c r="AH11" s="116"/>
      <c r="AI11" s="116"/>
      <c r="AJ11" s="116"/>
      <c r="AK11" s="116"/>
      <c r="AL11" s="116"/>
      <c r="AM11" s="116"/>
      <c r="AN11" s="116" t="s">
        <v>525</v>
      </c>
      <c r="AO11" s="119"/>
      <c r="AP11" s="116"/>
      <c r="AQ11" s="117" t="s">
        <v>529</v>
      </c>
      <c r="AR11" s="117" t="s">
        <v>529</v>
      </c>
      <c r="AS11" s="117"/>
      <c r="AT11" s="117"/>
      <c r="AU11" s="117"/>
      <c r="AV11" s="117"/>
      <c r="AW11" s="119"/>
      <c r="AX11" s="117"/>
      <c r="AY11" s="117"/>
      <c r="AZ11" s="117"/>
      <c r="BA11" s="117"/>
      <c r="BB11" s="117"/>
      <c r="BC11" s="117"/>
      <c r="BD11" s="117" t="s">
        <v>530</v>
      </c>
      <c r="BE11" s="119"/>
      <c r="BF11" s="117"/>
      <c r="BG11" s="117"/>
      <c r="BH11" s="117"/>
      <c r="BI11" s="117"/>
      <c r="BJ11" s="117"/>
      <c r="BK11" s="117"/>
      <c r="BL11" s="117" t="s">
        <v>525</v>
      </c>
      <c r="BM11" s="119"/>
      <c r="BN11" s="116" t="s">
        <v>512</v>
      </c>
      <c r="BO11" s="116" t="s">
        <v>512</v>
      </c>
      <c r="BP11" s="116" t="s">
        <v>512</v>
      </c>
      <c r="BQ11" s="116" t="s">
        <v>512</v>
      </c>
      <c r="BR11" s="116" t="s">
        <v>512</v>
      </c>
      <c r="BS11" s="116" t="s">
        <v>512</v>
      </c>
      <c r="BT11" s="116" t="s">
        <v>512</v>
      </c>
      <c r="BU11" s="119"/>
      <c r="BV11" s="117"/>
      <c r="BW11" s="117"/>
      <c r="BX11" s="117"/>
      <c r="BY11" s="117"/>
      <c r="BZ11" s="117"/>
      <c r="CA11" s="117"/>
      <c r="CB11" s="117"/>
      <c r="CC11" s="119"/>
      <c r="CD11" s="117"/>
      <c r="CE11" s="117"/>
      <c r="CF11" s="117"/>
      <c r="CG11" s="117"/>
      <c r="CH11" s="117"/>
      <c r="CI11" s="117"/>
      <c r="CJ11" s="117"/>
      <c r="CK11" s="119"/>
      <c r="CL11" s="117"/>
      <c r="CM11" s="117"/>
      <c r="CN11" s="117"/>
      <c r="CO11" s="117"/>
      <c r="CP11" s="117"/>
      <c r="CQ11" s="117"/>
      <c r="CR11" s="117"/>
      <c r="CS11" s="119"/>
    </row>
    <row r="12">
      <c r="A12" s="119"/>
      <c r="B12" s="116"/>
      <c r="C12" s="116"/>
      <c r="D12" s="116"/>
      <c r="E12" s="116"/>
      <c r="F12" s="116"/>
      <c r="G12" s="116" t="s">
        <v>531</v>
      </c>
      <c r="H12" s="116"/>
      <c r="I12" s="119"/>
      <c r="J12" s="117"/>
      <c r="K12" s="117"/>
      <c r="L12" s="116"/>
      <c r="M12" s="116" t="s">
        <v>532</v>
      </c>
      <c r="N12" s="116" t="s">
        <v>532</v>
      </c>
      <c r="O12" s="116" t="s">
        <v>532</v>
      </c>
      <c r="P12" s="116" t="s">
        <v>532</v>
      </c>
      <c r="Q12" s="119"/>
      <c r="R12" s="116"/>
      <c r="S12" s="116"/>
      <c r="T12" s="116"/>
      <c r="U12" s="116"/>
      <c r="V12" s="116"/>
      <c r="W12" s="116" t="s">
        <v>531</v>
      </c>
      <c r="X12" s="116"/>
      <c r="Y12" s="119"/>
      <c r="Z12" s="116"/>
      <c r="AA12" s="116"/>
      <c r="AB12" s="116"/>
      <c r="AC12" s="116"/>
      <c r="AD12" s="116"/>
      <c r="AE12" s="116"/>
      <c r="AF12" s="116" t="s">
        <v>533</v>
      </c>
      <c r="AG12" s="119"/>
      <c r="AH12" s="116"/>
      <c r="AI12" s="116"/>
      <c r="AJ12" s="116"/>
      <c r="AK12" s="116"/>
      <c r="AL12" s="116"/>
      <c r="AM12" s="116" t="s">
        <v>534</v>
      </c>
      <c r="AN12" s="116"/>
      <c r="AO12" s="119"/>
      <c r="AP12" s="116"/>
      <c r="AQ12" s="116"/>
      <c r="AR12" s="116"/>
      <c r="AS12" s="116"/>
      <c r="AT12" s="116"/>
      <c r="AU12" s="116" t="s">
        <v>535</v>
      </c>
      <c r="AV12" s="116" t="s">
        <v>535</v>
      </c>
      <c r="AW12" s="119"/>
      <c r="AX12" s="116"/>
      <c r="AY12" s="116"/>
      <c r="AZ12" s="116"/>
      <c r="BA12" s="116"/>
      <c r="BB12" s="117" t="s">
        <v>518</v>
      </c>
      <c r="BC12" s="117" t="s">
        <v>518</v>
      </c>
      <c r="BD12" s="117" t="s">
        <v>518</v>
      </c>
      <c r="BE12" s="119"/>
      <c r="BF12" s="117"/>
      <c r="BG12" s="117"/>
      <c r="BH12" s="116"/>
      <c r="BI12" s="116"/>
      <c r="BJ12" s="116"/>
      <c r="BK12" s="116" t="s">
        <v>536</v>
      </c>
      <c r="BL12" s="116" t="s">
        <v>536</v>
      </c>
      <c r="BM12" s="119"/>
      <c r="BN12" s="117"/>
      <c r="BO12" s="117"/>
      <c r="BP12" s="117"/>
      <c r="BQ12" s="116"/>
      <c r="BR12" s="116" t="s">
        <v>508</v>
      </c>
      <c r="BS12" s="116"/>
      <c r="BT12" s="116"/>
      <c r="BU12" s="119"/>
      <c r="BV12" s="116"/>
      <c r="BW12" s="116"/>
      <c r="BX12" s="116"/>
      <c r="BY12" s="116"/>
      <c r="BZ12" s="116"/>
      <c r="CA12" s="116"/>
      <c r="CB12" s="116"/>
      <c r="CC12" s="119"/>
      <c r="CD12" s="116"/>
      <c r="CE12" s="116"/>
      <c r="CF12" s="116"/>
      <c r="CG12" s="116"/>
      <c r="CH12" s="116"/>
      <c r="CI12" s="116"/>
      <c r="CJ12" s="116"/>
      <c r="CK12" s="119"/>
      <c r="CL12" s="116"/>
      <c r="CM12" s="116"/>
      <c r="CN12" s="116"/>
      <c r="CO12" s="116"/>
      <c r="CP12" s="116"/>
      <c r="CQ12" s="116"/>
      <c r="CR12" s="116"/>
      <c r="CS12" s="119"/>
    </row>
    <row r="13">
      <c r="A13" s="119"/>
      <c r="B13" s="116"/>
      <c r="C13" s="116"/>
      <c r="D13" s="116"/>
      <c r="E13" s="116"/>
      <c r="F13" s="116"/>
      <c r="G13" s="116" t="s">
        <v>495</v>
      </c>
      <c r="H13" s="116" t="s">
        <v>495</v>
      </c>
      <c r="I13" s="119"/>
      <c r="J13" s="117"/>
      <c r="K13" s="118" t="s">
        <v>496</v>
      </c>
      <c r="L13" s="118" t="s">
        <v>496</v>
      </c>
      <c r="M13" s="118" t="s">
        <v>496</v>
      </c>
      <c r="N13" s="118" t="s">
        <v>496</v>
      </c>
      <c r="O13" s="118" t="s">
        <v>496</v>
      </c>
      <c r="P13" s="118" t="s">
        <v>496</v>
      </c>
      <c r="Q13" s="119"/>
      <c r="R13" s="117"/>
      <c r="S13" s="117"/>
      <c r="T13" s="116"/>
      <c r="U13" s="116"/>
      <c r="V13" s="116"/>
      <c r="W13" s="116"/>
      <c r="X13" s="116"/>
      <c r="Y13" s="119"/>
      <c r="Z13" s="116"/>
      <c r="AA13" s="116"/>
      <c r="AB13" s="116"/>
      <c r="AC13" s="116"/>
      <c r="AD13" s="116"/>
      <c r="AE13" s="116"/>
      <c r="AF13" s="116"/>
      <c r="AG13" s="119"/>
      <c r="AH13" s="117"/>
      <c r="AI13" s="117"/>
      <c r="AJ13" s="117"/>
      <c r="AK13" s="117"/>
      <c r="AL13" s="117"/>
      <c r="AM13" s="117"/>
      <c r="AN13" s="117"/>
      <c r="AO13" s="119"/>
      <c r="AP13" s="116"/>
      <c r="AQ13" s="116" t="s">
        <v>518</v>
      </c>
      <c r="AR13" s="116" t="s">
        <v>518</v>
      </c>
      <c r="AS13" s="116" t="s">
        <v>518</v>
      </c>
      <c r="AT13" s="116" t="s">
        <v>518</v>
      </c>
      <c r="AU13" s="116" t="s">
        <v>518</v>
      </c>
      <c r="AV13" s="116" t="s">
        <v>518</v>
      </c>
      <c r="AW13" s="119"/>
      <c r="AX13" s="117"/>
      <c r="AY13" s="117"/>
      <c r="AZ13" s="117" t="s">
        <v>496</v>
      </c>
      <c r="BA13" s="117"/>
      <c r="BB13" s="117" t="s">
        <v>521</v>
      </c>
      <c r="BC13" s="117" t="s">
        <v>521</v>
      </c>
      <c r="BD13" s="117" t="s">
        <v>521</v>
      </c>
      <c r="BE13" s="119"/>
      <c r="BF13" s="116" t="s">
        <v>537</v>
      </c>
      <c r="BG13" s="116" t="s">
        <v>537</v>
      </c>
      <c r="BH13" s="116" t="s">
        <v>537</v>
      </c>
      <c r="BI13" s="116"/>
      <c r="BJ13" s="116"/>
      <c r="BK13" s="116"/>
      <c r="BL13" s="116"/>
      <c r="BM13" s="119"/>
      <c r="BN13" s="116"/>
      <c r="BO13" s="116"/>
      <c r="BP13" s="116"/>
      <c r="BQ13" s="116"/>
      <c r="BR13" s="116" t="s">
        <v>502</v>
      </c>
      <c r="BS13" s="116" t="s">
        <v>502</v>
      </c>
      <c r="BT13" s="116" t="s">
        <v>502</v>
      </c>
      <c r="BU13" s="119"/>
      <c r="BV13" s="116"/>
      <c r="BW13" s="116"/>
      <c r="BX13" s="116"/>
      <c r="BY13" s="116"/>
      <c r="BZ13" s="116"/>
      <c r="CA13" s="116"/>
      <c r="CB13" s="117"/>
      <c r="CC13" s="119"/>
      <c r="CD13" s="116"/>
      <c r="CE13" s="116"/>
      <c r="CF13" s="116"/>
      <c r="CG13" s="116"/>
      <c r="CH13" s="116"/>
      <c r="CI13" s="116"/>
      <c r="CJ13" s="116"/>
      <c r="CK13" s="119"/>
      <c r="CL13" s="116"/>
      <c r="CM13" s="116"/>
      <c r="CN13" s="116"/>
      <c r="CO13" s="116"/>
      <c r="CP13" s="116"/>
      <c r="CQ13" s="116"/>
      <c r="CR13" s="116"/>
      <c r="CS13" s="119"/>
    </row>
    <row r="14">
      <c r="A14" s="119"/>
      <c r="B14" s="117"/>
      <c r="C14" s="117"/>
      <c r="D14" s="117"/>
      <c r="E14" s="117"/>
      <c r="F14" s="117"/>
      <c r="G14" s="117"/>
      <c r="H14" s="117"/>
      <c r="I14" s="119"/>
      <c r="J14" s="117"/>
      <c r="K14" s="117"/>
      <c r="L14" s="117"/>
      <c r="M14" s="117"/>
      <c r="N14" s="117"/>
      <c r="O14" s="117"/>
      <c r="P14" s="117"/>
      <c r="Q14" s="119"/>
      <c r="R14" s="117"/>
      <c r="S14" s="117"/>
      <c r="T14" s="117"/>
      <c r="U14" s="117"/>
      <c r="V14" s="117"/>
      <c r="W14" s="117"/>
      <c r="X14" s="117"/>
      <c r="Y14" s="119"/>
      <c r="Z14" s="117"/>
      <c r="AA14" s="117"/>
      <c r="AB14" s="117"/>
      <c r="AC14" s="117"/>
      <c r="AD14" s="117"/>
      <c r="AE14" s="117"/>
      <c r="AF14" s="117"/>
      <c r="AG14" s="119"/>
      <c r="AH14" s="117"/>
      <c r="AI14" s="117"/>
      <c r="AJ14" s="117"/>
      <c r="AK14" s="117"/>
      <c r="AL14" s="117"/>
      <c r="AM14" s="117"/>
      <c r="AN14" s="117"/>
      <c r="AO14" s="119"/>
      <c r="AP14" s="117"/>
      <c r="AQ14" s="117"/>
      <c r="AR14" s="117"/>
      <c r="AS14" s="117"/>
      <c r="AT14" s="117" t="s">
        <v>538</v>
      </c>
      <c r="AU14" s="117"/>
      <c r="AV14" s="117"/>
      <c r="AW14" s="119"/>
      <c r="AX14" s="123"/>
      <c r="AY14" s="123"/>
      <c r="AZ14" s="117"/>
      <c r="BA14" s="117"/>
      <c r="BB14" s="117" t="s">
        <v>496</v>
      </c>
      <c r="BC14" s="116" t="s">
        <v>512</v>
      </c>
      <c r="BD14" s="116" t="s">
        <v>512</v>
      </c>
      <c r="BE14" s="119"/>
      <c r="BF14" s="117"/>
      <c r="BG14" s="117" t="s">
        <v>498</v>
      </c>
      <c r="BH14" s="117"/>
      <c r="BI14" s="117"/>
      <c r="BJ14" s="117"/>
      <c r="BK14" s="117"/>
      <c r="BL14" s="117"/>
      <c r="BM14" s="119"/>
      <c r="BN14" s="117"/>
      <c r="BO14" s="117"/>
      <c r="BP14" s="117"/>
      <c r="BQ14" s="117"/>
      <c r="BR14" s="117"/>
      <c r="BS14" s="117"/>
      <c r="BT14" s="117"/>
      <c r="BU14" s="119"/>
      <c r="BV14" s="117"/>
      <c r="BW14" s="124"/>
      <c r="BX14" s="117"/>
      <c r="BY14" s="117"/>
      <c r="BZ14" s="117"/>
      <c r="CA14" s="117"/>
      <c r="CB14" s="117"/>
      <c r="CC14" s="119"/>
      <c r="CD14" s="117"/>
      <c r="CE14" s="117"/>
      <c r="CF14" s="117"/>
      <c r="CG14" s="117"/>
      <c r="CH14" s="117"/>
      <c r="CI14" s="117"/>
      <c r="CJ14" s="117"/>
      <c r="CK14" s="119"/>
      <c r="CL14" s="117"/>
      <c r="CM14" s="117"/>
      <c r="CN14" s="117"/>
      <c r="CO14" s="117"/>
      <c r="CP14" s="117"/>
      <c r="CQ14" s="117"/>
      <c r="CR14" s="117"/>
      <c r="CS14" s="119"/>
    </row>
    <row r="15">
      <c r="A15" s="119"/>
      <c r="B15" s="117"/>
      <c r="C15" s="117"/>
      <c r="D15" s="117"/>
      <c r="E15" s="117"/>
      <c r="F15" s="117"/>
      <c r="G15" s="117"/>
      <c r="H15" s="117"/>
      <c r="I15" s="119"/>
      <c r="J15" s="117"/>
      <c r="K15" s="117"/>
      <c r="L15" s="117"/>
      <c r="M15" s="117"/>
      <c r="N15" s="117"/>
      <c r="O15" s="117"/>
      <c r="P15" s="117"/>
      <c r="Q15" s="119"/>
      <c r="R15" s="117"/>
      <c r="S15" s="117"/>
      <c r="T15" s="117"/>
      <c r="U15" s="117"/>
      <c r="V15" s="117"/>
      <c r="W15" s="117"/>
      <c r="X15" s="117"/>
      <c r="Y15" s="119"/>
      <c r="Z15" s="117"/>
      <c r="AA15" s="117"/>
      <c r="AB15" s="117"/>
      <c r="AC15" s="117"/>
      <c r="AD15" s="117"/>
      <c r="AE15" s="117"/>
      <c r="AF15" s="117"/>
      <c r="AG15" s="119"/>
      <c r="AH15" s="117"/>
      <c r="AI15" s="117"/>
      <c r="AJ15" s="117"/>
      <c r="AK15" s="117"/>
      <c r="AL15" s="117"/>
      <c r="AM15" s="117"/>
      <c r="AN15" s="117"/>
      <c r="AO15" s="119"/>
      <c r="AP15" s="117"/>
      <c r="AQ15" s="117" t="s">
        <v>525</v>
      </c>
      <c r="AR15" s="117"/>
      <c r="AS15" s="117"/>
      <c r="AT15" s="117"/>
      <c r="AU15" s="117" t="s">
        <v>539</v>
      </c>
      <c r="AV15" s="117" t="s">
        <v>539</v>
      </c>
      <c r="AW15" s="119"/>
      <c r="AX15" s="117" t="s">
        <v>505</v>
      </c>
      <c r="AY15" s="117"/>
      <c r="AZ15" s="117"/>
      <c r="BA15" s="117"/>
      <c r="BB15" s="117"/>
      <c r="BC15" s="117"/>
      <c r="BD15" s="117" t="s">
        <v>516</v>
      </c>
      <c r="BE15" s="119"/>
      <c r="BF15" s="117"/>
      <c r="BG15" s="117"/>
      <c r="BH15" s="117"/>
      <c r="BI15" s="117"/>
      <c r="BJ15" s="117"/>
      <c r="BK15" s="117" t="s">
        <v>503</v>
      </c>
      <c r="BL15" s="117" t="s">
        <v>503</v>
      </c>
      <c r="BM15" s="119"/>
      <c r="BN15" s="117"/>
      <c r="BO15" s="117" t="s">
        <v>498</v>
      </c>
      <c r="BP15" s="117"/>
      <c r="BQ15" s="117"/>
      <c r="BR15" s="117"/>
      <c r="BS15" s="117"/>
      <c r="BT15" s="116" t="s">
        <v>494</v>
      </c>
      <c r="BU15" s="119"/>
      <c r="BV15" s="117"/>
      <c r="BW15" s="117"/>
      <c r="BX15" s="117"/>
      <c r="BY15" s="117"/>
      <c r="BZ15" s="117"/>
      <c r="CA15" s="117"/>
      <c r="CB15" s="117"/>
      <c r="CC15" s="119"/>
      <c r="CD15" s="117"/>
      <c r="CE15" s="117"/>
      <c r="CF15" s="117"/>
      <c r="CG15" s="117"/>
      <c r="CH15" s="117"/>
      <c r="CI15" s="117"/>
      <c r="CJ15" s="117"/>
      <c r="CK15" s="119"/>
      <c r="CL15" s="117"/>
      <c r="CM15" s="117"/>
      <c r="CN15" s="117"/>
      <c r="CO15" s="117"/>
      <c r="CP15" s="117"/>
      <c r="CQ15" s="117"/>
      <c r="CR15" s="117"/>
      <c r="CS15" s="119"/>
    </row>
    <row r="16">
      <c r="A16" s="119"/>
      <c r="B16" s="117"/>
      <c r="C16" s="117"/>
      <c r="D16" s="117"/>
      <c r="E16" s="117"/>
      <c r="F16" s="117"/>
      <c r="G16" s="117"/>
      <c r="H16" s="117"/>
      <c r="I16" s="119"/>
      <c r="J16" s="117"/>
      <c r="K16" s="117"/>
      <c r="L16" s="117"/>
      <c r="M16" s="117"/>
      <c r="N16" s="117"/>
      <c r="O16" s="117"/>
      <c r="P16" s="117"/>
      <c r="Q16" s="119"/>
      <c r="R16" s="117"/>
      <c r="S16" s="117"/>
      <c r="T16" s="117"/>
      <c r="U16" s="117"/>
      <c r="V16" s="117"/>
      <c r="W16" s="117"/>
      <c r="X16" s="117"/>
      <c r="Y16" s="119"/>
      <c r="Z16" s="117"/>
      <c r="AA16" s="117"/>
      <c r="AB16" s="117"/>
      <c r="AC16" s="117"/>
      <c r="AD16" s="117"/>
      <c r="AE16" s="117"/>
      <c r="AF16" s="117"/>
      <c r="AG16" s="119"/>
      <c r="AH16" s="117"/>
      <c r="AI16" s="117"/>
      <c r="AJ16" s="117"/>
      <c r="AK16" s="117"/>
      <c r="AL16" s="117"/>
      <c r="AM16" s="117"/>
      <c r="AN16" s="117"/>
      <c r="AO16" s="119"/>
      <c r="AP16" s="117"/>
      <c r="AQ16" s="117"/>
      <c r="AR16" s="117"/>
      <c r="AS16" s="117" t="s">
        <v>513</v>
      </c>
      <c r="AT16" s="117"/>
      <c r="AU16" s="117"/>
      <c r="AV16" s="117"/>
      <c r="AW16" s="119"/>
      <c r="AX16" s="117"/>
      <c r="AZ16" s="117"/>
      <c r="BA16" s="116" t="s">
        <v>527</v>
      </c>
      <c r="BB16" s="117"/>
      <c r="BC16" s="117"/>
      <c r="BD16" s="117" t="s">
        <v>527</v>
      </c>
      <c r="BE16" s="119"/>
      <c r="BF16" s="117"/>
      <c r="BG16" s="117" t="s">
        <v>502</v>
      </c>
      <c r="BH16" s="117" t="s">
        <v>502</v>
      </c>
      <c r="BI16" s="117" t="s">
        <v>502</v>
      </c>
      <c r="BJ16" s="117" t="s">
        <v>502</v>
      </c>
      <c r="BK16" s="117" t="s">
        <v>502</v>
      </c>
      <c r="BL16" s="117" t="s">
        <v>502</v>
      </c>
      <c r="BM16" s="119"/>
      <c r="BN16" s="117"/>
      <c r="BO16" s="117"/>
      <c r="BP16" s="117"/>
      <c r="BQ16" s="117"/>
      <c r="BR16" s="117"/>
      <c r="BS16" s="117"/>
      <c r="BT16" s="117"/>
      <c r="BU16" s="119"/>
      <c r="BV16" s="117"/>
      <c r="BW16" s="117"/>
      <c r="BX16" s="117"/>
      <c r="BY16" s="117"/>
      <c r="BZ16" s="117"/>
      <c r="CA16" s="117"/>
      <c r="CB16" s="117"/>
      <c r="CC16" s="119"/>
      <c r="CD16" s="117"/>
      <c r="CE16" s="117"/>
      <c r="CF16" s="117"/>
      <c r="CG16" s="117"/>
      <c r="CH16" s="117"/>
      <c r="CI16" s="117"/>
      <c r="CJ16" s="117"/>
      <c r="CK16" s="119"/>
      <c r="CL16" s="117"/>
      <c r="CM16" s="117"/>
      <c r="CN16" s="117"/>
      <c r="CO16" s="117"/>
      <c r="CP16" s="117"/>
      <c r="CQ16" s="117"/>
      <c r="CR16" s="117"/>
      <c r="CS16" s="119"/>
    </row>
    <row r="17">
      <c r="A17" s="119"/>
      <c r="B17" s="117"/>
      <c r="C17" s="117"/>
      <c r="D17" s="117"/>
      <c r="E17" s="117"/>
      <c r="F17" s="117"/>
      <c r="G17" s="117"/>
      <c r="H17" s="117"/>
      <c r="I17" s="119"/>
      <c r="J17" s="117"/>
      <c r="K17" s="117"/>
      <c r="L17" s="117"/>
      <c r="M17" s="117"/>
      <c r="N17" s="117"/>
      <c r="O17" s="117"/>
      <c r="P17" s="117"/>
      <c r="Q17" s="119"/>
      <c r="R17" s="117"/>
      <c r="S17" s="116"/>
      <c r="T17" s="116"/>
      <c r="U17" s="116"/>
      <c r="V17" s="116"/>
      <c r="W17" s="117"/>
      <c r="X17" s="117"/>
      <c r="Y17" s="119"/>
      <c r="Z17" s="117"/>
      <c r="AA17" s="117"/>
      <c r="AB17" s="117"/>
      <c r="AC17" s="117"/>
      <c r="AD17" s="117"/>
      <c r="AE17" s="117"/>
      <c r="AF17" s="117"/>
      <c r="AG17" s="119"/>
      <c r="AH17" s="117"/>
      <c r="AI17" s="117"/>
      <c r="AJ17" s="117"/>
      <c r="AK17" s="117"/>
      <c r="AL17" s="117"/>
      <c r="AM17" s="117"/>
      <c r="AN17" s="117"/>
      <c r="AO17" s="119"/>
      <c r="AP17" s="117"/>
      <c r="AQ17" s="117"/>
      <c r="AR17" s="117"/>
      <c r="AS17" s="117"/>
      <c r="AT17" s="117"/>
      <c r="AU17" s="117"/>
      <c r="AV17" s="117" t="s">
        <v>530</v>
      </c>
      <c r="AW17" s="119"/>
      <c r="AX17" s="117"/>
      <c r="AY17" s="117"/>
      <c r="AZ17" s="117"/>
      <c r="BA17" s="117"/>
      <c r="BB17" s="117"/>
      <c r="BC17" s="117" t="s">
        <v>539</v>
      </c>
      <c r="BD17" s="117" t="s">
        <v>539</v>
      </c>
      <c r="BE17" s="119"/>
      <c r="BF17" s="117"/>
      <c r="BG17" s="117"/>
      <c r="BH17" s="117"/>
      <c r="BI17" s="117"/>
      <c r="BJ17" s="117"/>
      <c r="BK17" s="117"/>
      <c r="BL17" s="118" t="s">
        <v>511</v>
      </c>
      <c r="BM17" s="119"/>
      <c r="BN17" s="117"/>
      <c r="BO17" s="117"/>
      <c r="BP17" s="117"/>
      <c r="BQ17" s="117"/>
      <c r="BR17" s="117"/>
      <c r="BS17" s="117"/>
      <c r="BT17" s="117"/>
      <c r="BU17" s="119"/>
      <c r="BV17" s="117"/>
      <c r="BW17" s="117"/>
      <c r="BX17" s="117"/>
      <c r="BY17" s="117"/>
      <c r="BZ17" s="117"/>
      <c r="CA17" s="117"/>
      <c r="CB17" s="117"/>
      <c r="CC17" s="119"/>
      <c r="CD17" s="117"/>
      <c r="CE17" s="117"/>
      <c r="CF17" s="117"/>
      <c r="CG17" s="117"/>
      <c r="CH17" s="117"/>
      <c r="CI17" s="117"/>
      <c r="CJ17" s="117"/>
      <c r="CK17" s="119"/>
      <c r="CL17" s="117"/>
      <c r="CM17" s="117"/>
      <c r="CN17" s="117"/>
      <c r="CO17" s="117"/>
      <c r="CP17" s="117"/>
      <c r="CQ17" s="117"/>
      <c r="CR17" s="117"/>
      <c r="CS17" s="119"/>
    </row>
    <row r="18">
      <c r="A18" s="119"/>
      <c r="B18" s="117"/>
      <c r="C18" s="117"/>
      <c r="D18" s="117"/>
      <c r="E18" s="117"/>
      <c r="F18" s="117"/>
      <c r="G18" s="117"/>
      <c r="H18" s="117"/>
      <c r="I18" s="119"/>
      <c r="J18" s="117"/>
      <c r="K18" s="117"/>
      <c r="L18" s="117"/>
      <c r="M18" s="117"/>
      <c r="N18" s="117"/>
      <c r="O18" s="117"/>
      <c r="P18" s="117"/>
      <c r="Q18" s="119"/>
      <c r="R18" s="117"/>
      <c r="S18" s="117"/>
      <c r="T18" s="117"/>
      <c r="U18" s="117"/>
      <c r="V18" s="117"/>
      <c r="W18" s="117"/>
      <c r="X18" s="117"/>
      <c r="Y18" s="119"/>
      <c r="Z18" s="117"/>
      <c r="AA18" s="117"/>
      <c r="AB18" s="117"/>
      <c r="AC18" s="117"/>
      <c r="AD18" s="117"/>
      <c r="AE18" s="116"/>
      <c r="AF18" s="116"/>
      <c r="AG18" s="119"/>
      <c r="AH18" s="117"/>
      <c r="AI18" s="117"/>
      <c r="AJ18" s="117"/>
      <c r="AK18" s="117"/>
      <c r="AL18" s="117"/>
      <c r="AM18" s="117"/>
      <c r="AN18" s="117"/>
      <c r="AO18" s="119"/>
      <c r="AP18" s="117"/>
      <c r="AQ18" s="117"/>
      <c r="AR18" s="117"/>
      <c r="AS18" s="117"/>
      <c r="AT18" s="117"/>
      <c r="AU18" s="117"/>
      <c r="AV18" s="117"/>
      <c r="AW18" s="119"/>
      <c r="AX18" s="117"/>
      <c r="AY18" s="117" t="s">
        <v>540</v>
      </c>
      <c r="AZ18" s="117"/>
      <c r="BA18" s="117"/>
      <c r="BB18" s="117" t="s">
        <v>541</v>
      </c>
      <c r="BC18" s="117" t="s">
        <v>541</v>
      </c>
      <c r="BD18" s="117" t="s">
        <v>541</v>
      </c>
      <c r="BE18" s="119"/>
      <c r="BF18" s="117"/>
      <c r="BG18" s="117"/>
      <c r="BH18" s="117"/>
      <c r="BI18" s="117"/>
      <c r="BJ18" s="117"/>
      <c r="BK18" s="117"/>
      <c r="BL18" s="117"/>
      <c r="BM18" s="119"/>
      <c r="BN18" s="117"/>
      <c r="BO18" s="117"/>
      <c r="BP18" s="117"/>
      <c r="BQ18" s="117"/>
      <c r="BR18" s="117"/>
      <c r="BS18" s="117"/>
      <c r="BT18" s="117"/>
      <c r="BU18" s="119"/>
      <c r="BV18" s="117"/>
      <c r="BW18" s="117"/>
      <c r="BX18" s="117"/>
      <c r="BY18" s="117"/>
      <c r="BZ18" s="117"/>
      <c r="CA18" s="117"/>
      <c r="CB18" s="117"/>
      <c r="CC18" s="119"/>
      <c r="CD18" s="117"/>
      <c r="CE18" s="117"/>
      <c r="CF18" s="117"/>
      <c r="CG18" s="117"/>
      <c r="CH18" s="117"/>
      <c r="CI18" s="117"/>
      <c r="CJ18" s="117"/>
      <c r="CK18" s="119"/>
      <c r="CL18" s="117"/>
      <c r="CM18" s="117"/>
      <c r="CN18" s="117"/>
      <c r="CO18" s="117"/>
      <c r="CP18" s="117"/>
      <c r="CQ18" s="117"/>
      <c r="CR18" s="117"/>
      <c r="CS18" s="119"/>
    </row>
    <row r="19">
      <c r="A19" s="96"/>
      <c r="B19" s="102" t="s">
        <v>486</v>
      </c>
      <c r="C19" s="102" t="s">
        <v>487</v>
      </c>
      <c r="D19" s="102" t="s">
        <v>488</v>
      </c>
      <c r="E19" s="102" t="s">
        <v>489</v>
      </c>
      <c r="F19" s="102" t="s">
        <v>490</v>
      </c>
      <c r="G19" s="102" t="s">
        <v>491</v>
      </c>
      <c r="H19" s="102" t="s">
        <v>492</v>
      </c>
      <c r="I19" s="89"/>
      <c r="J19" s="102" t="s">
        <v>486</v>
      </c>
      <c r="K19" s="102" t="s">
        <v>487</v>
      </c>
      <c r="L19" s="102" t="s">
        <v>488</v>
      </c>
      <c r="M19" s="102" t="s">
        <v>489</v>
      </c>
      <c r="N19" s="102" t="s">
        <v>490</v>
      </c>
      <c r="O19" s="102" t="s">
        <v>491</v>
      </c>
      <c r="P19" s="102" t="s">
        <v>492</v>
      </c>
      <c r="Q19" s="89"/>
      <c r="R19" s="102" t="s">
        <v>486</v>
      </c>
      <c r="S19" s="102" t="s">
        <v>487</v>
      </c>
      <c r="T19" s="102" t="s">
        <v>488</v>
      </c>
      <c r="U19" s="102" t="s">
        <v>489</v>
      </c>
      <c r="V19" s="102" t="s">
        <v>490</v>
      </c>
      <c r="W19" s="102" t="s">
        <v>491</v>
      </c>
      <c r="X19" s="102" t="s">
        <v>492</v>
      </c>
      <c r="Y19" s="89"/>
      <c r="Z19" s="102" t="s">
        <v>486</v>
      </c>
      <c r="AA19" s="102" t="s">
        <v>487</v>
      </c>
      <c r="AB19" s="102" t="s">
        <v>488</v>
      </c>
      <c r="AC19" s="102" t="s">
        <v>489</v>
      </c>
      <c r="AD19" s="102" t="s">
        <v>490</v>
      </c>
      <c r="AE19" s="102" t="s">
        <v>491</v>
      </c>
      <c r="AF19" s="102" t="s">
        <v>492</v>
      </c>
      <c r="AG19" s="89"/>
      <c r="AH19" s="102" t="s">
        <v>486</v>
      </c>
      <c r="AI19" s="102" t="s">
        <v>487</v>
      </c>
      <c r="AJ19" s="102" t="s">
        <v>488</v>
      </c>
      <c r="AK19" s="102" t="s">
        <v>489</v>
      </c>
      <c r="AL19" s="102" t="s">
        <v>490</v>
      </c>
      <c r="AM19" s="102" t="s">
        <v>491</v>
      </c>
      <c r="AN19" s="102" t="s">
        <v>492</v>
      </c>
      <c r="AO19" s="99"/>
      <c r="AP19" s="102" t="s">
        <v>486</v>
      </c>
      <c r="AQ19" s="102" t="s">
        <v>487</v>
      </c>
      <c r="AR19" s="102" t="s">
        <v>488</v>
      </c>
      <c r="AS19" s="102" t="s">
        <v>489</v>
      </c>
      <c r="AT19" s="102" t="s">
        <v>490</v>
      </c>
      <c r="AU19" s="102" t="s">
        <v>491</v>
      </c>
      <c r="AV19" s="102" t="s">
        <v>492</v>
      </c>
      <c r="AW19" s="103"/>
      <c r="AX19" s="102" t="s">
        <v>486</v>
      </c>
      <c r="AY19" s="102" t="s">
        <v>487</v>
      </c>
      <c r="AZ19" s="102" t="s">
        <v>488</v>
      </c>
      <c r="BA19" s="102" t="s">
        <v>489</v>
      </c>
      <c r="BB19" s="102" t="s">
        <v>490</v>
      </c>
      <c r="BC19" s="102" t="s">
        <v>491</v>
      </c>
      <c r="BD19" s="102" t="s">
        <v>492</v>
      </c>
      <c r="BE19" s="105"/>
      <c r="BF19" s="102" t="s">
        <v>486</v>
      </c>
      <c r="BG19" s="102" t="s">
        <v>487</v>
      </c>
      <c r="BH19" s="102" t="s">
        <v>488</v>
      </c>
      <c r="BI19" s="102" t="s">
        <v>489</v>
      </c>
      <c r="BJ19" s="102" t="s">
        <v>490</v>
      </c>
      <c r="BK19" s="102" t="s">
        <v>491</v>
      </c>
      <c r="BL19" s="102" t="s">
        <v>492</v>
      </c>
      <c r="BM19" s="103"/>
      <c r="BN19" s="102" t="s">
        <v>486</v>
      </c>
      <c r="BO19" s="102" t="s">
        <v>487</v>
      </c>
      <c r="BP19" s="102" t="s">
        <v>488</v>
      </c>
      <c r="BQ19" s="102" t="s">
        <v>489</v>
      </c>
      <c r="BR19" s="102" t="s">
        <v>490</v>
      </c>
      <c r="BS19" s="102" t="s">
        <v>491</v>
      </c>
      <c r="BT19" s="102" t="s">
        <v>492</v>
      </c>
      <c r="BU19" s="106"/>
      <c r="BV19" s="102" t="s">
        <v>486</v>
      </c>
      <c r="BW19" s="102" t="s">
        <v>487</v>
      </c>
      <c r="BX19" s="102" t="s">
        <v>488</v>
      </c>
      <c r="BY19" s="102" t="s">
        <v>489</v>
      </c>
      <c r="BZ19" s="102" t="s">
        <v>490</v>
      </c>
      <c r="CA19" s="102" t="s">
        <v>491</v>
      </c>
      <c r="CB19" s="102" t="s">
        <v>492</v>
      </c>
      <c r="CC19" s="106"/>
      <c r="CD19" s="102" t="s">
        <v>486</v>
      </c>
      <c r="CE19" s="102" t="s">
        <v>487</v>
      </c>
      <c r="CF19" s="102" t="s">
        <v>488</v>
      </c>
      <c r="CG19" s="102" t="s">
        <v>489</v>
      </c>
      <c r="CH19" s="102" t="s">
        <v>490</v>
      </c>
      <c r="CI19" s="102" t="s">
        <v>491</v>
      </c>
      <c r="CJ19" s="102" t="s">
        <v>492</v>
      </c>
      <c r="CK19" s="106"/>
      <c r="CL19" s="102" t="s">
        <v>486</v>
      </c>
      <c r="CM19" s="102" t="s">
        <v>487</v>
      </c>
      <c r="CN19" s="102" t="s">
        <v>488</v>
      </c>
      <c r="CO19" s="102" t="s">
        <v>489</v>
      </c>
      <c r="CP19" s="102" t="s">
        <v>490</v>
      </c>
      <c r="CQ19" s="102" t="s">
        <v>491</v>
      </c>
      <c r="CR19" s="102" t="s">
        <v>492</v>
      </c>
      <c r="CS19" s="106"/>
    </row>
    <row r="20">
      <c r="A20" s="96"/>
      <c r="B20" s="109">
        <f>H4+1</f>
        <v>4</v>
      </c>
      <c r="C20" s="109">
        <f t="shared" ref="C20:H20" si="1">B20+1</f>
        <v>5</v>
      </c>
      <c r="D20" s="109">
        <f t="shared" si="1"/>
        <v>6</v>
      </c>
      <c r="E20" s="109">
        <f t="shared" si="1"/>
        <v>7</v>
      </c>
      <c r="F20" s="109">
        <f t="shared" si="1"/>
        <v>8</v>
      </c>
      <c r="G20" s="109">
        <f t="shared" si="1"/>
        <v>9</v>
      </c>
      <c r="H20" s="109">
        <f t="shared" si="1"/>
        <v>10</v>
      </c>
      <c r="I20" s="89"/>
      <c r="J20" s="109">
        <f>P4+1</f>
        <v>8</v>
      </c>
      <c r="K20" s="109">
        <f t="shared" ref="K20:P20" si="2">J20+1</f>
        <v>9</v>
      </c>
      <c r="L20" s="109">
        <f t="shared" si="2"/>
        <v>10</v>
      </c>
      <c r="M20" s="109">
        <f t="shared" si="2"/>
        <v>11</v>
      </c>
      <c r="N20" s="109">
        <f t="shared" si="2"/>
        <v>12</v>
      </c>
      <c r="O20" s="109">
        <f t="shared" si="2"/>
        <v>13</v>
      </c>
      <c r="P20" s="109">
        <f t="shared" si="2"/>
        <v>14</v>
      </c>
      <c r="Q20" s="89"/>
      <c r="R20" s="109">
        <f>X4+1</f>
        <v>8</v>
      </c>
      <c r="S20" s="109">
        <f t="shared" ref="S20:X20" si="3">R20+1</f>
        <v>9</v>
      </c>
      <c r="T20" s="109">
        <f t="shared" si="3"/>
        <v>10</v>
      </c>
      <c r="U20" s="109">
        <f t="shared" si="3"/>
        <v>11</v>
      </c>
      <c r="V20" s="109">
        <f t="shared" si="3"/>
        <v>12</v>
      </c>
      <c r="W20" s="109">
        <f t="shared" si="3"/>
        <v>13</v>
      </c>
      <c r="X20" s="109">
        <f t="shared" si="3"/>
        <v>14</v>
      </c>
      <c r="Y20" s="89"/>
      <c r="Z20" s="109">
        <f>AF4+1</f>
        <v>12</v>
      </c>
      <c r="AA20" s="109">
        <f t="shared" ref="AA20:AF20" si="4">Z20+1</f>
        <v>13</v>
      </c>
      <c r="AB20" s="109">
        <f t="shared" si="4"/>
        <v>14</v>
      </c>
      <c r="AC20" s="109">
        <f t="shared" si="4"/>
        <v>15</v>
      </c>
      <c r="AD20" s="109">
        <f t="shared" si="4"/>
        <v>16</v>
      </c>
      <c r="AE20" s="109">
        <f t="shared" si="4"/>
        <v>17</v>
      </c>
      <c r="AF20" s="109">
        <f t="shared" si="4"/>
        <v>18</v>
      </c>
      <c r="AG20" s="89"/>
      <c r="AH20" s="109">
        <f>AN4+1</f>
        <v>10</v>
      </c>
      <c r="AI20" s="109">
        <f t="shared" ref="AI20:AN20" si="5">AH20+1</f>
        <v>11</v>
      </c>
      <c r="AJ20" s="109">
        <f t="shared" si="5"/>
        <v>12</v>
      </c>
      <c r="AK20" s="109">
        <f t="shared" si="5"/>
        <v>13</v>
      </c>
      <c r="AL20" s="109">
        <f t="shared" si="5"/>
        <v>14</v>
      </c>
      <c r="AM20" s="109">
        <f t="shared" si="5"/>
        <v>15</v>
      </c>
      <c r="AN20" s="109">
        <f t="shared" si="5"/>
        <v>16</v>
      </c>
      <c r="AO20" s="99"/>
      <c r="AP20" s="109">
        <f>AV4+1</f>
        <v>7</v>
      </c>
      <c r="AQ20" s="109">
        <f t="shared" ref="AQ20:AV20" si="6">AP20+1</f>
        <v>8</v>
      </c>
      <c r="AR20" s="109">
        <f t="shared" si="6"/>
        <v>9</v>
      </c>
      <c r="AS20" s="109">
        <f t="shared" si="6"/>
        <v>10</v>
      </c>
      <c r="AT20" s="109">
        <f t="shared" si="6"/>
        <v>11</v>
      </c>
      <c r="AU20" s="109">
        <f t="shared" si="6"/>
        <v>12</v>
      </c>
      <c r="AV20" s="109">
        <f t="shared" si="6"/>
        <v>13</v>
      </c>
      <c r="AW20" s="111"/>
      <c r="AX20" s="109">
        <f>BD4+1</f>
        <v>12</v>
      </c>
      <c r="AY20" s="109">
        <f t="shared" ref="AY20:BD20" si="7">AX20+1</f>
        <v>13</v>
      </c>
      <c r="AZ20" s="109">
        <f t="shared" si="7"/>
        <v>14</v>
      </c>
      <c r="BA20" s="109">
        <f t="shared" si="7"/>
        <v>15</v>
      </c>
      <c r="BB20" s="109">
        <f t="shared" si="7"/>
        <v>16</v>
      </c>
      <c r="BC20" s="109">
        <f t="shared" si="7"/>
        <v>17</v>
      </c>
      <c r="BD20" s="109">
        <f t="shared" si="7"/>
        <v>18</v>
      </c>
      <c r="BE20" s="113"/>
      <c r="BF20" s="109">
        <f>BL4+1</f>
        <v>9</v>
      </c>
      <c r="BG20" s="109">
        <f t="shared" ref="BG20:BL20" si="8">BF20+1</f>
        <v>10</v>
      </c>
      <c r="BH20" s="109">
        <f t="shared" si="8"/>
        <v>11</v>
      </c>
      <c r="BI20" s="109">
        <f t="shared" si="8"/>
        <v>12</v>
      </c>
      <c r="BJ20" s="109">
        <f t="shared" si="8"/>
        <v>13</v>
      </c>
      <c r="BK20" s="109">
        <f t="shared" si="8"/>
        <v>14</v>
      </c>
      <c r="BL20" s="109">
        <f t="shared" si="8"/>
        <v>15</v>
      </c>
      <c r="BM20" s="111"/>
      <c r="BN20" s="109">
        <f>BT4+1</f>
        <v>6</v>
      </c>
      <c r="BO20" s="109">
        <f t="shared" ref="BO20:BT20" si="9">BN20+1</f>
        <v>7</v>
      </c>
      <c r="BP20" s="109">
        <f t="shared" si="9"/>
        <v>8</v>
      </c>
      <c r="BQ20" s="109">
        <f t="shared" si="9"/>
        <v>9</v>
      </c>
      <c r="BR20" s="109">
        <f t="shared" si="9"/>
        <v>10</v>
      </c>
      <c r="BS20" s="109">
        <f t="shared" si="9"/>
        <v>11</v>
      </c>
      <c r="BT20" s="109">
        <f t="shared" si="9"/>
        <v>12</v>
      </c>
      <c r="BU20" s="94"/>
      <c r="BV20" s="109">
        <f>CB4+1</f>
        <v>11</v>
      </c>
      <c r="BW20" s="109">
        <f t="shared" ref="BW20:CB20" si="10">BV20+1</f>
        <v>12</v>
      </c>
      <c r="BX20" s="109">
        <f t="shared" si="10"/>
        <v>13</v>
      </c>
      <c r="BY20" s="109">
        <f t="shared" si="10"/>
        <v>14</v>
      </c>
      <c r="BZ20" s="109">
        <f t="shared" si="10"/>
        <v>15</v>
      </c>
      <c r="CA20" s="109">
        <f t="shared" si="10"/>
        <v>16</v>
      </c>
      <c r="CB20" s="109">
        <f t="shared" si="10"/>
        <v>17</v>
      </c>
      <c r="CC20" s="94"/>
      <c r="CD20" s="109">
        <f>CJ4+1</f>
        <v>8</v>
      </c>
      <c r="CE20" s="109">
        <f t="shared" ref="CE20:CJ20" si="11">CD20+1</f>
        <v>9</v>
      </c>
      <c r="CF20" s="109">
        <f t="shared" si="11"/>
        <v>10</v>
      </c>
      <c r="CG20" s="109">
        <f t="shared" si="11"/>
        <v>11</v>
      </c>
      <c r="CH20" s="109">
        <f t="shared" si="11"/>
        <v>12</v>
      </c>
      <c r="CI20" s="109">
        <f t="shared" si="11"/>
        <v>13</v>
      </c>
      <c r="CJ20" s="109">
        <f t="shared" si="11"/>
        <v>14</v>
      </c>
      <c r="CK20" s="94"/>
      <c r="CL20" s="109">
        <f>CR4+1</f>
        <v>6</v>
      </c>
      <c r="CM20" s="109">
        <f t="shared" ref="CM20:CR20" si="12">CL20+1</f>
        <v>7</v>
      </c>
      <c r="CN20" s="109">
        <f t="shared" si="12"/>
        <v>8</v>
      </c>
      <c r="CO20" s="109">
        <f t="shared" si="12"/>
        <v>9</v>
      </c>
      <c r="CP20" s="109">
        <f t="shared" si="12"/>
        <v>10</v>
      </c>
      <c r="CQ20" s="109">
        <f t="shared" si="12"/>
        <v>11</v>
      </c>
      <c r="CR20" s="109">
        <f t="shared" si="12"/>
        <v>12</v>
      </c>
      <c r="CS20" s="94"/>
    </row>
    <row r="21">
      <c r="A21" s="115"/>
      <c r="B21" s="116"/>
      <c r="C21" s="117" t="s">
        <v>496</v>
      </c>
      <c r="D21" s="116"/>
      <c r="E21" s="116" t="s">
        <v>496</v>
      </c>
      <c r="F21" s="116"/>
      <c r="G21" s="116" t="s">
        <v>496</v>
      </c>
      <c r="H21" s="116"/>
      <c r="I21" s="115"/>
      <c r="J21" s="116"/>
      <c r="K21" s="116"/>
      <c r="L21" s="116"/>
      <c r="M21" s="116"/>
      <c r="N21" s="116" t="s">
        <v>531</v>
      </c>
      <c r="O21" s="116" t="s">
        <v>531</v>
      </c>
      <c r="P21" s="116" t="s">
        <v>531</v>
      </c>
      <c r="Q21" s="115"/>
      <c r="R21" s="117"/>
      <c r="S21" s="117"/>
      <c r="T21" s="117"/>
      <c r="U21" s="117"/>
      <c r="V21" s="116"/>
      <c r="W21" s="117"/>
      <c r="X21" s="117"/>
      <c r="Y21" s="115"/>
      <c r="Z21" s="117"/>
      <c r="AA21" s="116" t="s">
        <v>499</v>
      </c>
      <c r="AB21" s="116" t="s">
        <v>499</v>
      </c>
      <c r="AC21" s="116" t="s">
        <v>496</v>
      </c>
      <c r="AD21" s="116"/>
      <c r="AE21" s="117"/>
      <c r="AF21" s="117"/>
      <c r="AG21" s="115"/>
      <c r="AH21" s="116" t="s">
        <v>542</v>
      </c>
      <c r="AI21" s="116" t="s">
        <v>542</v>
      </c>
      <c r="AJ21" s="116" t="s">
        <v>542</v>
      </c>
      <c r="AK21" s="116" t="s">
        <v>542</v>
      </c>
      <c r="AL21" s="116" t="s">
        <v>542</v>
      </c>
      <c r="AM21" s="116" t="s">
        <v>542</v>
      </c>
      <c r="AN21" s="116" t="s">
        <v>542</v>
      </c>
      <c r="AO21" s="115"/>
      <c r="AP21" s="116"/>
      <c r="AQ21" s="116"/>
      <c r="AR21" s="116"/>
      <c r="AS21" s="116"/>
      <c r="AT21" s="116"/>
      <c r="AU21" s="116"/>
      <c r="AV21" s="116" t="s">
        <v>511</v>
      </c>
      <c r="AW21" s="115"/>
      <c r="AX21" s="117"/>
      <c r="AY21" s="117"/>
      <c r="AZ21" s="116"/>
      <c r="BA21" s="116"/>
      <c r="BB21" s="117"/>
      <c r="BC21" s="117" t="s">
        <v>505</v>
      </c>
      <c r="BD21" s="117" t="s">
        <v>505</v>
      </c>
      <c r="BE21" s="115"/>
      <c r="BF21" s="116"/>
      <c r="BG21" s="116"/>
      <c r="BH21" s="116" t="s">
        <v>527</v>
      </c>
      <c r="BI21" s="116"/>
      <c r="BJ21" s="116"/>
      <c r="BK21" s="116" t="s">
        <v>527</v>
      </c>
      <c r="BL21" s="116"/>
      <c r="BM21" s="115"/>
      <c r="BN21" s="117" t="s">
        <v>508</v>
      </c>
      <c r="BO21" s="117" t="s">
        <v>508</v>
      </c>
      <c r="BP21" s="116"/>
      <c r="BQ21" s="116"/>
      <c r="BR21" s="116"/>
      <c r="BS21" s="116"/>
      <c r="BT21" s="116"/>
      <c r="BU21" s="115"/>
      <c r="BV21" s="117" t="s">
        <v>501</v>
      </c>
      <c r="BW21" s="117" t="s">
        <v>501</v>
      </c>
      <c r="BX21" s="116"/>
      <c r="BY21" s="116"/>
      <c r="BZ21" s="116"/>
      <c r="CA21" s="116"/>
      <c r="CB21" s="116"/>
      <c r="CC21" s="115"/>
      <c r="CD21" s="116"/>
      <c r="CE21" s="116"/>
      <c r="CF21" s="116"/>
      <c r="CG21" s="116"/>
      <c r="CH21" s="116"/>
      <c r="CI21" s="116" t="s">
        <v>505</v>
      </c>
      <c r="CJ21" s="116"/>
      <c r="CK21" s="115"/>
      <c r="CL21" s="116"/>
      <c r="CM21" s="116"/>
      <c r="CN21" s="116"/>
      <c r="CO21" s="116"/>
      <c r="CP21" s="116" t="s">
        <v>539</v>
      </c>
      <c r="CQ21" s="116" t="s">
        <v>539</v>
      </c>
      <c r="CR21" s="116" t="s">
        <v>539</v>
      </c>
      <c r="CS21" s="115"/>
    </row>
    <row r="22">
      <c r="A22" s="119"/>
      <c r="B22" s="116" t="s">
        <v>493</v>
      </c>
      <c r="C22" s="116" t="s">
        <v>493</v>
      </c>
      <c r="D22" s="116" t="s">
        <v>493</v>
      </c>
      <c r="E22" s="116" t="s">
        <v>493</v>
      </c>
      <c r="F22" s="116" t="s">
        <v>493</v>
      </c>
      <c r="G22" s="116" t="s">
        <v>493</v>
      </c>
      <c r="H22" s="116" t="s">
        <v>493</v>
      </c>
      <c r="I22" s="119"/>
      <c r="J22" s="117"/>
      <c r="K22" s="117" t="s">
        <v>525</v>
      </c>
      <c r="L22" s="117"/>
      <c r="M22" s="117"/>
      <c r="N22" s="117"/>
      <c r="O22" s="117"/>
      <c r="P22" s="117" t="s">
        <v>525</v>
      </c>
      <c r="Q22" s="119"/>
      <c r="R22" s="116"/>
      <c r="S22" s="117"/>
      <c r="T22" s="117"/>
      <c r="U22" s="116"/>
      <c r="V22" s="116"/>
      <c r="W22" s="116"/>
      <c r="X22" s="117" t="s">
        <v>503</v>
      </c>
      <c r="Y22" s="119"/>
      <c r="Z22" s="116"/>
      <c r="AA22" s="116"/>
      <c r="AB22" s="117"/>
      <c r="AC22" s="117"/>
      <c r="AD22" s="117"/>
      <c r="AE22" s="117"/>
      <c r="AF22" s="117" t="s">
        <v>505</v>
      </c>
      <c r="AG22" s="119"/>
      <c r="AH22" s="117"/>
      <c r="AI22" s="117" t="s">
        <v>543</v>
      </c>
      <c r="AJ22" s="117" t="s">
        <v>543</v>
      </c>
      <c r="AK22" s="117" t="s">
        <v>543</v>
      </c>
      <c r="AL22" s="117" t="s">
        <v>543</v>
      </c>
      <c r="AM22" s="117" t="s">
        <v>543</v>
      </c>
      <c r="AN22" s="117"/>
      <c r="AO22" s="119"/>
      <c r="AP22" s="117"/>
      <c r="AQ22" s="117" t="s">
        <v>518</v>
      </c>
      <c r="AR22" s="117"/>
      <c r="AS22" s="117"/>
      <c r="AT22" s="117"/>
      <c r="AU22" s="117"/>
      <c r="AV22" s="117"/>
      <c r="AW22" s="119"/>
      <c r="AX22" s="117"/>
      <c r="AY22" s="117" t="s">
        <v>544</v>
      </c>
      <c r="AZ22" s="117" t="s">
        <v>544</v>
      </c>
      <c r="BA22" s="117" t="s">
        <v>544</v>
      </c>
      <c r="BB22" s="117" t="s">
        <v>544</v>
      </c>
      <c r="BC22" s="117" t="s">
        <v>544</v>
      </c>
      <c r="BD22" s="117" t="s">
        <v>544</v>
      </c>
      <c r="BE22" s="119"/>
      <c r="BF22" s="117" t="s">
        <v>496</v>
      </c>
      <c r="BG22" s="117" t="s">
        <v>496</v>
      </c>
      <c r="BH22" s="117" t="s">
        <v>496</v>
      </c>
      <c r="BI22" s="117" t="s">
        <v>496</v>
      </c>
      <c r="BJ22" s="117" t="s">
        <v>496</v>
      </c>
      <c r="BK22" s="117" t="s">
        <v>496</v>
      </c>
      <c r="BL22" s="117" t="s">
        <v>496</v>
      </c>
      <c r="BM22" s="119"/>
      <c r="BN22" s="116" t="s">
        <v>512</v>
      </c>
      <c r="BO22" s="116" t="s">
        <v>512</v>
      </c>
      <c r="BP22" s="116" t="s">
        <v>512</v>
      </c>
      <c r="BQ22" s="116" t="s">
        <v>512</v>
      </c>
      <c r="BR22" s="116" t="s">
        <v>512</v>
      </c>
      <c r="BS22" s="116" t="s">
        <v>512</v>
      </c>
      <c r="BT22" s="116" t="s">
        <v>512</v>
      </c>
      <c r="BU22" s="119"/>
      <c r="BV22" s="117"/>
      <c r="BW22" s="117"/>
      <c r="BX22" s="117"/>
      <c r="BY22" s="117"/>
      <c r="BZ22" s="117"/>
      <c r="CA22" s="117"/>
      <c r="CB22" s="117"/>
      <c r="CC22" s="119"/>
      <c r="CD22" s="120"/>
      <c r="CE22" s="120"/>
      <c r="CF22" s="117"/>
      <c r="CG22" s="117"/>
      <c r="CH22" s="117"/>
      <c r="CI22" s="117"/>
      <c r="CJ22" s="117"/>
      <c r="CK22" s="119"/>
      <c r="CL22" s="117"/>
      <c r="CM22" s="117"/>
      <c r="CN22" s="117"/>
      <c r="CO22" s="117"/>
      <c r="CP22" s="117" t="s">
        <v>524</v>
      </c>
      <c r="CQ22" s="117" t="s">
        <v>524</v>
      </c>
      <c r="CR22" s="117" t="s">
        <v>524</v>
      </c>
      <c r="CS22" s="119"/>
    </row>
    <row r="23">
      <c r="A23" s="119"/>
      <c r="B23" s="117" t="s">
        <v>503</v>
      </c>
      <c r="C23" s="117" t="s">
        <v>503</v>
      </c>
      <c r="D23" s="117" t="s">
        <v>503</v>
      </c>
      <c r="E23" s="117" t="s">
        <v>503</v>
      </c>
      <c r="F23" s="117" t="s">
        <v>503</v>
      </c>
      <c r="G23" s="117" t="s">
        <v>503</v>
      </c>
      <c r="H23" s="116"/>
      <c r="I23" s="119"/>
      <c r="J23" s="116"/>
      <c r="K23" s="116" t="s">
        <v>545</v>
      </c>
      <c r="L23" s="116"/>
      <c r="M23" s="116"/>
      <c r="N23" s="116" t="s">
        <v>545</v>
      </c>
      <c r="O23" s="116"/>
      <c r="P23" s="116" t="s">
        <v>545</v>
      </c>
      <c r="Q23" s="119"/>
      <c r="R23" s="117" t="s">
        <v>508</v>
      </c>
      <c r="S23" s="117" t="s">
        <v>508</v>
      </c>
      <c r="T23" s="116"/>
      <c r="U23" s="116"/>
      <c r="V23" s="116"/>
      <c r="W23" s="116"/>
      <c r="X23" s="116"/>
      <c r="Y23" s="119"/>
      <c r="Z23" s="117" t="s">
        <v>514</v>
      </c>
      <c r="AA23" s="117" t="s">
        <v>514</v>
      </c>
      <c r="AB23" s="117" t="s">
        <v>514</v>
      </c>
      <c r="AC23" s="117" t="s">
        <v>514</v>
      </c>
      <c r="AD23" s="117" t="s">
        <v>514</v>
      </c>
      <c r="AE23" s="117" t="s">
        <v>514</v>
      </c>
      <c r="AF23" s="116"/>
      <c r="AG23" s="119"/>
      <c r="AH23" s="118" t="s">
        <v>496</v>
      </c>
      <c r="AI23" s="118" t="s">
        <v>496</v>
      </c>
      <c r="AJ23" s="118" t="s">
        <v>496</v>
      </c>
      <c r="AK23" s="118" t="s">
        <v>496</v>
      </c>
      <c r="AL23" s="118" t="s">
        <v>496</v>
      </c>
      <c r="AM23" s="118" t="s">
        <v>496</v>
      </c>
      <c r="AN23" s="116"/>
      <c r="AO23" s="119"/>
      <c r="AP23" s="117"/>
      <c r="AQ23" s="117"/>
      <c r="AR23" s="116"/>
      <c r="AS23" s="116"/>
      <c r="AT23" s="116"/>
      <c r="AU23" s="116"/>
      <c r="AV23" s="116" t="s">
        <v>526</v>
      </c>
      <c r="AW23" s="119"/>
      <c r="AX23" s="117" t="s">
        <v>499</v>
      </c>
      <c r="AY23" s="117" t="s">
        <v>499</v>
      </c>
      <c r="AZ23" s="116"/>
      <c r="BA23" s="116"/>
      <c r="BB23" s="116"/>
      <c r="BC23" s="117" t="s">
        <v>499</v>
      </c>
      <c r="BD23" s="116"/>
      <c r="BE23" s="119"/>
      <c r="BF23" s="117"/>
      <c r="BG23" s="117"/>
      <c r="BH23" s="116" t="s">
        <v>522</v>
      </c>
      <c r="BI23" s="116"/>
      <c r="BJ23" s="116"/>
      <c r="BK23" s="116"/>
      <c r="BL23" s="116"/>
      <c r="BM23" s="119"/>
      <c r="BN23" s="116"/>
      <c r="BO23" s="116"/>
      <c r="BP23" s="116" t="s">
        <v>527</v>
      </c>
      <c r="BQ23" s="116"/>
      <c r="BR23" s="116"/>
      <c r="BS23" s="116"/>
      <c r="BT23" s="116"/>
      <c r="BU23" s="119"/>
      <c r="BV23" s="117"/>
      <c r="BW23" s="116"/>
      <c r="BX23" s="116"/>
      <c r="BY23" s="116"/>
      <c r="BZ23" s="116"/>
      <c r="CA23" s="116"/>
      <c r="CB23" s="116"/>
      <c r="CC23" s="119"/>
      <c r="CD23" s="116"/>
      <c r="CE23" s="116"/>
      <c r="CF23" s="116"/>
      <c r="CG23" s="116"/>
      <c r="CH23" s="116"/>
      <c r="CI23" s="116"/>
      <c r="CJ23" s="116"/>
      <c r="CK23" s="119"/>
      <c r="CL23" s="117"/>
      <c r="CM23" s="117"/>
      <c r="CN23" s="117"/>
      <c r="CO23" s="117"/>
      <c r="CP23" s="117"/>
      <c r="CQ23" s="117"/>
      <c r="CR23" s="117"/>
      <c r="CS23" s="119"/>
    </row>
    <row r="24">
      <c r="A24" s="119"/>
      <c r="B24" s="116" t="s">
        <v>495</v>
      </c>
      <c r="C24" s="116" t="s">
        <v>495</v>
      </c>
      <c r="D24" s="116" t="s">
        <v>495</v>
      </c>
      <c r="E24" s="116" t="s">
        <v>495</v>
      </c>
      <c r="F24" s="116"/>
      <c r="G24" s="116"/>
      <c r="H24" s="117" t="s">
        <v>546</v>
      </c>
      <c r="I24" s="119"/>
      <c r="J24" s="117" t="s">
        <v>494</v>
      </c>
      <c r="K24" s="117" t="s">
        <v>494</v>
      </c>
      <c r="L24" s="117" t="s">
        <v>494</v>
      </c>
      <c r="M24" s="117" t="s">
        <v>494</v>
      </c>
      <c r="N24" s="117" t="s">
        <v>494</v>
      </c>
      <c r="O24" s="117" t="s">
        <v>494</v>
      </c>
      <c r="P24" s="117" t="s">
        <v>494</v>
      </c>
      <c r="Q24" s="119"/>
      <c r="R24" s="117"/>
      <c r="S24" s="117"/>
      <c r="T24" s="117"/>
      <c r="U24" s="117"/>
      <c r="V24" s="117"/>
      <c r="W24" s="117"/>
      <c r="X24" s="117" t="s">
        <v>511</v>
      </c>
      <c r="Y24" s="119"/>
      <c r="Z24" s="116"/>
      <c r="AA24" s="116"/>
      <c r="AB24" s="116"/>
      <c r="AC24" s="116"/>
      <c r="AD24" s="116"/>
      <c r="AE24" s="116" t="s">
        <v>547</v>
      </c>
      <c r="AF24" s="116" t="s">
        <v>547</v>
      </c>
      <c r="AG24" s="119"/>
      <c r="AH24" s="116"/>
      <c r="AI24" s="116"/>
      <c r="AJ24" s="116"/>
      <c r="AK24" s="116"/>
      <c r="AL24" s="116" t="s">
        <v>494</v>
      </c>
      <c r="AM24" s="116" t="s">
        <v>494</v>
      </c>
      <c r="AN24" s="116" t="s">
        <v>494</v>
      </c>
      <c r="AO24" s="119"/>
      <c r="AP24" s="116"/>
      <c r="AQ24" s="116"/>
      <c r="AR24" s="116"/>
      <c r="AS24" s="116"/>
      <c r="AT24" s="116"/>
      <c r="AU24" s="116"/>
      <c r="AV24" s="116"/>
      <c r="AW24" s="119"/>
      <c r="AX24" s="116"/>
      <c r="AY24" s="116"/>
      <c r="AZ24" s="116"/>
      <c r="BA24" s="116"/>
      <c r="BB24" s="116" t="s">
        <v>504</v>
      </c>
      <c r="BC24" s="116" t="s">
        <v>504</v>
      </c>
      <c r="BD24" s="116" t="s">
        <v>504</v>
      </c>
      <c r="BE24" s="119"/>
      <c r="BF24" s="117" t="s">
        <v>527</v>
      </c>
      <c r="BG24" s="116"/>
      <c r="BH24" s="116"/>
      <c r="BI24" s="116"/>
      <c r="BJ24" s="116"/>
      <c r="BK24" s="116"/>
      <c r="BL24" s="116" t="s">
        <v>521</v>
      </c>
      <c r="BM24" s="119"/>
      <c r="BN24" s="116"/>
      <c r="BO24" s="116"/>
      <c r="BP24" s="116"/>
      <c r="BQ24" s="116"/>
      <c r="BR24" s="116"/>
      <c r="BS24" s="116"/>
      <c r="BT24" s="116"/>
      <c r="BU24" s="119"/>
      <c r="BV24" s="120"/>
      <c r="BW24" s="120"/>
      <c r="BX24" s="116"/>
      <c r="BY24" s="116"/>
      <c r="BZ24" s="116"/>
      <c r="CA24" s="116"/>
      <c r="CB24" s="116"/>
      <c r="CC24" s="119"/>
      <c r="CD24" s="116"/>
      <c r="CE24" s="116"/>
      <c r="CF24" s="116"/>
      <c r="CG24" s="116"/>
      <c r="CH24" s="116"/>
      <c r="CI24" s="116"/>
      <c r="CJ24" s="116"/>
      <c r="CK24" s="119"/>
      <c r="CL24" s="116"/>
      <c r="CM24" s="116"/>
      <c r="CN24" s="116"/>
      <c r="CO24" s="116"/>
      <c r="CP24" s="116"/>
      <c r="CQ24" s="116"/>
      <c r="CR24" s="116"/>
      <c r="CS24" s="119"/>
    </row>
    <row r="25">
      <c r="A25" s="119"/>
      <c r="B25" s="117"/>
      <c r="C25" s="117"/>
      <c r="D25" s="117"/>
      <c r="E25" s="117"/>
      <c r="F25" s="117"/>
      <c r="G25" s="117" t="s">
        <v>548</v>
      </c>
      <c r="H25" s="117"/>
      <c r="I25" s="119"/>
      <c r="J25" s="118"/>
      <c r="K25" s="118" t="s">
        <v>496</v>
      </c>
      <c r="L25" s="118" t="s">
        <v>496</v>
      </c>
      <c r="M25" s="118" t="s">
        <v>496</v>
      </c>
      <c r="N25" s="118" t="s">
        <v>496</v>
      </c>
      <c r="O25" s="118" t="s">
        <v>496</v>
      </c>
      <c r="P25" s="118" t="s">
        <v>496</v>
      </c>
      <c r="Q25" s="119"/>
      <c r="R25" s="116"/>
      <c r="S25" s="116"/>
      <c r="T25" s="116"/>
      <c r="U25" s="117"/>
      <c r="V25" s="117"/>
      <c r="W25" s="116" t="s">
        <v>522</v>
      </c>
      <c r="X25" s="116" t="s">
        <v>522</v>
      </c>
      <c r="Y25" s="119"/>
      <c r="Z25" s="117"/>
      <c r="AA25" s="117"/>
      <c r="AB25" s="116"/>
      <c r="AC25" s="117"/>
      <c r="AD25" s="117" t="s">
        <v>453</v>
      </c>
      <c r="AE25" s="117" t="s">
        <v>453</v>
      </c>
      <c r="AF25" s="117" t="s">
        <v>453</v>
      </c>
      <c r="AG25" s="119"/>
      <c r="AH25" s="117"/>
      <c r="AI25" s="117"/>
      <c r="AJ25" s="117"/>
      <c r="AK25" s="117" t="s">
        <v>522</v>
      </c>
      <c r="AL25" s="117" t="s">
        <v>522</v>
      </c>
      <c r="AM25" s="117" t="s">
        <v>522</v>
      </c>
      <c r="AN25" s="117" t="s">
        <v>522</v>
      </c>
      <c r="AO25" s="119"/>
      <c r="AP25" s="117"/>
      <c r="AQ25" s="117" t="s">
        <v>549</v>
      </c>
      <c r="AR25" s="117" t="s">
        <v>549</v>
      </c>
      <c r="AS25" s="117" t="s">
        <v>549</v>
      </c>
      <c r="AT25" s="117"/>
      <c r="AU25" s="117" t="s">
        <v>549</v>
      </c>
      <c r="AV25" s="117" t="s">
        <v>549</v>
      </c>
      <c r="AW25" s="119"/>
      <c r="AX25" s="117" t="s">
        <v>526</v>
      </c>
      <c r="AY25" s="117" t="s">
        <v>526</v>
      </c>
      <c r="AZ25" s="117" t="s">
        <v>528</v>
      </c>
      <c r="BA25" s="117" t="s">
        <v>528</v>
      </c>
      <c r="BB25" s="117" t="s">
        <v>528</v>
      </c>
      <c r="BC25" s="117" t="s">
        <v>528</v>
      </c>
      <c r="BD25" s="117" t="s">
        <v>528</v>
      </c>
      <c r="BE25" s="119"/>
      <c r="BF25" s="117"/>
      <c r="BG25" s="117"/>
      <c r="BH25" s="117"/>
      <c r="BI25" s="117" t="s">
        <v>493</v>
      </c>
      <c r="BJ25" s="117"/>
      <c r="BK25" s="117"/>
      <c r="BL25" s="117"/>
      <c r="BM25" s="119"/>
      <c r="BN25" s="116" t="s">
        <v>502</v>
      </c>
      <c r="BO25" s="116" t="s">
        <v>502</v>
      </c>
      <c r="BP25" s="116" t="s">
        <v>502</v>
      </c>
      <c r="BQ25" s="116" t="s">
        <v>502</v>
      </c>
      <c r="BR25" s="116" t="s">
        <v>502</v>
      </c>
      <c r="BS25" s="116" t="s">
        <v>502</v>
      </c>
      <c r="BT25" s="117"/>
      <c r="BU25" s="119"/>
      <c r="BV25" s="117"/>
      <c r="BW25" s="117"/>
      <c r="BX25" s="117"/>
      <c r="BY25" s="117"/>
      <c r="BZ25" s="117"/>
      <c r="CA25" s="117"/>
      <c r="CB25" s="117"/>
      <c r="CC25" s="119"/>
      <c r="CD25" s="117"/>
      <c r="CE25" s="117"/>
      <c r="CF25" s="117"/>
      <c r="CG25" s="117"/>
      <c r="CH25" s="117"/>
      <c r="CI25" s="117"/>
      <c r="CJ25" s="117"/>
      <c r="CK25" s="119"/>
      <c r="CL25" s="117"/>
      <c r="CM25" s="117"/>
      <c r="CN25" s="117"/>
      <c r="CO25" s="117"/>
      <c r="CP25" s="117"/>
      <c r="CQ25" s="117"/>
      <c r="CR25" s="117"/>
      <c r="CS25" s="119"/>
    </row>
    <row r="26">
      <c r="A26" s="119"/>
      <c r="B26" s="117"/>
      <c r="C26" s="117"/>
      <c r="D26" s="117"/>
      <c r="E26" s="117"/>
      <c r="F26" s="117"/>
      <c r="G26" s="117"/>
      <c r="H26" s="116" t="s">
        <v>516</v>
      </c>
      <c r="I26" s="119"/>
      <c r="J26" s="117"/>
      <c r="L26" s="117"/>
      <c r="M26" s="117"/>
      <c r="N26" s="117"/>
      <c r="O26" s="117" t="s">
        <v>509</v>
      </c>
      <c r="P26" s="117" t="s">
        <v>509</v>
      </c>
      <c r="Q26" s="119"/>
      <c r="R26" s="116"/>
      <c r="S26" s="116"/>
      <c r="T26" s="116"/>
      <c r="U26" s="117"/>
      <c r="V26" s="117"/>
      <c r="W26" s="116"/>
      <c r="X26" s="116" t="s">
        <v>495</v>
      </c>
      <c r="Y26" s="119"/>
      <c r="Z26" s="117"/>
      <c r="AA26" s="117"/>
      <c r="AB26" s="116"/>
      <c r="AC26" s="117"/>
      <c r="AD26" s="117" t="s">
        <v>544</v>
      </c>
      <c r="AE26" s="117" t="s">
        <v>544</v>
      </c>
      <c r="AF26" s="117" t="s">
        <v>544</v>
      </c>
      <c r="AG26" s="119"/>
      <c r="AH26" s="116"/>
      <c r="AI26" s="116"/>
      <c r="AJ26" s="116"/>
      <c r="AK26" s="116"/>
      <c r="AL26" s="116" t="s">
        <v>505</v>
      </c>
      <c r="AM26" s="116" t="s">
        <v>505</v>
      </c>
      <c r="AN26" s="116" t="s">
        <v>505</v>
      </c>
      <c r="AO26" s="119"/>
      <c r="AP26" s="117"/>
      <c r="AQ26" s="116" t="s">
        <v>535</v>
      </c>
      <c r="AR26" s="116" t="s">
        <v>535</v>
      </c>
      <c r="AS26" s="116" t="s">
        <v>535</v>
      </c>
      <c r="AT26" s="116" t="s">
        <v>535</v>
      </c>
      <c r="AU26" s="116" t="s">
        <v>535</v>
      </c>
      <c r="AV26" s="117"/>
      <c r="AW26" s="119"/>
      <c r="AX26" s="117" t="s">
        <v>518</v>
      </c>
      <c r="AY26" s="117" t="s">
        <v>518</v>
      </c>
      <c r="AZ26" s="117"/>
      <c r="BA26" s="117"/>
      <c r="BB26" s="117"/>
      <c r="BC26" s="117"/>
      <c r="BD26" s="117"/>
      <c r="BE26" s="119"/>
      <c r="BF26" s="117"/>
      <c r="BG26" s="116" t="s">
        <v>536</v>
      </c>
      <c r="BH26" s="116" t="s">
        <v>536</v>
      </c>
      <c r="BI26" s="117"/>
      <c r="BJ26" s="117"/>
      <c r="BK26" s="117" t="s">
        <v>505</v>
      </c>
      <c r="BL26" s="117" t="s">
        <v>505</v>
      </c>
      <c r="BM26" s="119"/>
      <c r="BN26" s="117"/>
      <c r="BO26" s="117" t="s">
        <v>524</v>
      </c>
      <c r="BP26" s="117" t="s">
        <v>524</v>
      </c>
      <c r="BQ26" s="117" t="s">
        <v>524</v>
      </c>
      <c r="BR26" s="117" t="s">
        <v>524</v>
      </c>
      <c r="BS26" s="117" t="s">
        <v>524</v>
      </c>
      <c r="BT26" s="117" t="s">
        <v>524</v>
      </c>
      <c r="BU26" s="119"/>
      <c r="BV26" s="117"/>
      <c r="BW26" s="117"/>
      <c r="BX26" s="117"/>
      <c r="BY26" s="117"/>
      <c r="BZ26" s="117"/>
      <c r="CA26" s="117"/>
      <c r="CB26" s="117"/>
      <c r="CC26" s="119"/>
      <c r="CD26" s="117"/>
      <c r="CE26" s="117"/>
      <c r="CF26" s="117"/>
      <c r="CG26" s="117"/>
      <c r="CH26" s="117"/>
      <c r="CI26" s="117"/>
      <c r="CJ26" s="117"/>
      <c r="CK26" s="119"/>
      <c r="CL26" s="117"/>
      <c r="CM26" s="117"/>
      <c r="CN26" s="117"/>
      <c r="CO26" s="117"/>
      <c r="CP26" s="117"/>
      <c r="CQ26" s="117"/>
      <c r="CR26" s="117"/>
      <c r="CS26" s="119"/>
    </row>
    <row r="27">
      <c r="A27" s="119"/>
      <c r="B27" s="117"/>
      <c r="C27" s="117"/>
      <c r="D27" s="116"/>
      <c r="E27" s="117"/>
      <c r="F27" s="116"/>
      <c r="G27" s="117" t="s">
        <v>550</v>
      </c>
      <c r="H27" s="117" t="s">
        <v>550</v>
      </c>
      <c r="I27" s="119"/>
      <c r="J27" s="116" t="s">
        <v>508</v>
      </c>
      <c r="K27" s="116" t="s">
        <v>508</v>
      </c>
      <c r="L27" s="117"/>
      <c r="M27" s="117"/>
      <c r="N27" s="117"/>
      <c r="O27" s="117"/>
      <c r="P27" s="117"/>
      <c r="Q27" s="119"/>
      <c r="R27" s="117"/>
      <c r="S27" s="117"/>
      <c r="T27" s="117"/>
      <c r="U27" s="117"/>
      <c r="V27" s="117"/>
      <c r="W27" s="116" t="s">
        <v>546</v>
      </c>
      <c r="X27" s="116" t="s">
        <v>546</v>
      </c>
      <c r="Y27" s="119"/>
      <c r="Z27" s="117" t="s">
        <v>519</v>
      </c>
      <c r="AA27" s="117" t="s">
        <v>519</v>
      </c>
      <c r="AB27" s="117"/>
      <c r="AC27" s="117"/>
      <c r="AD27" s="117"/>
      <c r="AE27" s="117"/>
      <c r="AF27" s="117"/>
      <c r="AG27" s="119"/>
      <c r="AH27" s="117"/>
      <c r="AI27" s="117" t="s">
        <v>551</v>
      </c>
      <c r="AJ27" s="117"/>
      <c r="AK27" s="117" t="s">
        <v>513</v>
      </c>
      <c r="AL27" s="117" t="s">
        <v>513</v>
      </c>
      <c r="AM27" s="117" t="s">
        <v>513</v>
      </c>
      <c r="AN27" s="117"/>
      <c r="AO27" s="119"/>
      <c r="AP27" s="116"/>
      <c r="AQ27" s="116"/>
      <c r="AR27" s="117"/>
      <c r="AS27" s="117"/>
      <c r="AT27" s="117"/>
      <c r="AU27" s="117"/>
      <c r="AV27" s="117" t="s">
        <v>525</v>
      </c>
      <c r="AW27" s="119"/>
      <c r="AX27" s="116" t="s">
        <v>512</v>
      </c>
      <c r="AY27" s="116" t="s">
        <v>512</v>
      </c>
      <c r="AZ27" s="116" t="s">
        <v>512</v>
      </c>
      <c r="BA27" s="116" t="s">
        <v>512</v>
      </c>
      <c r="BB27" s="116" t="s">
        <v>512</v>
      </c>
      <c r="BC27" s="116" t="s">
        <v>512</v>
      </c>
      <c r="BD27" s="116" t="s">
        <v>512</v>
      </c>
      <c r="BE27" s="119"/>
      <c r="BF27" s="117" t="s">
        <v>502</v>
      </c>
      <c r="BG27" s="117" t="s">
        <v>502</v>
      </c>
      <c r="BH27" s="117" t="s">
        <v>502</v>
      </c>
      <c r="BI27" s="117"/>
      <c r="BJ27" s="117"/>
      <c r="BK27" s="117"/>
      <c r="BL27" s="117" t="s">
        <v>525</v>
      </c>
      <c r="BM27" s="119"/>
      <c r="BN27" s="117"/>
      <c r="BO27" s="117"/>
      <c r="BP27" s="117"/>
      <c r="BQ27" s="117"/>
      <c r="BR27" s="117"/>
      <c r="BS27" s="117"/>
      <c r="BT27" s="117" t="s">
        <v>516</v>
      </c>
      <c r="BU27" s="119"/>
      <c r="BV27" s="117"/>
      <c r="BW27" s="117"/>
      <c r="BX27" s="117"/>
      <c r="BY27" s="117"/>
      <c r="BZ27" s="117"/>
      <c r="CA27" s="117"/>
      <c r="CB27" s="117"/>
      <c r="CC27" s="119"/>
      <c r="CD27" s="116"/>
      <c r="CE27" s="116"/>
      <c r="CF27" s="116"/>
      <c r="CG27" s="117"/>
      <c r="CH27" s="117"/>
      <c r="CI27" s="117"/>
      <c r="CJ27" s="117"/>
      <c r="CK27" s="119"/>
      <c r="CL27" s="117"/>
      <c r="CM27" s="117"/>
      <c r="CN27" s="117"/>
      <c r="CO27" s="117"/>
      <c r="CP27" s="117"/>
      <c r="CQ27" s="117"/>
      <c r="CR27" s="117"/>
      <c r="CS27" s="119"/>
    </row>
    <row r="28">
      <c r="A28" s="119"/>
      <c r="B28" s="117"/>
      <c r="C28" s="117"/>
      <c r="D28" s="117"/>
      <c r="E28" s="117"/>
      <c r="F28" s="117"/>
      <c r="G28" s="117" t="s">
        <v>552</v>
      </c>
      <c r="H28" s="117" t="s">
        <v>552</v>
      </c>
      <c r="I28" s="119"/>
      <c r="J28" s="117"/>
      <c r="K28" s="117"/>
      <c r="L28" s="117"/>
      <c r="M28" s="117"/>
      <c r="N28" s="117"/>
      <c r="O28" s="117"/>
      <c r="P28" s="117" t="s">
        <v>497</v>
      </c>
      <c r="Q28" s="119"/>
      <c r="R28" s="117"/>
      <c r="S28" s="117"/>
      <c r="T28" s="117"/>
      <c r="U28" s="117"/>
      <c r="V28" s="117"/>
      <c r="W28" s="117" t="s">
        <v>552</v>
      </c>
      <c r="X28" s="117" t="s">
        <v>552</v>
      </c>
      <c r="Y28" s="119"/>
      <c r="Z28" s="117" t="s">
        <v>528</v>
      </c>
      <c r="AA28" s="117" t="s">
        <v>528</v>
      </c>
      <c r="AB28" s="117"/>
      <c r="AC28" s="117"/>
      <c r="AD28" s="117"/>
      <c r="AE28" s="117"/>
      <c r="AF28" s="116" t="s">
        <v>511</v>
      </c>
      <c r="AG28" s="119"/>
      <c r="AH28" s="117"/>
      <c r="AI28" s="117"/>
      <c r="AJ28" s="117"/>
      <c r="AK28" s="117"/>
      <c r="AL28" s="117" t="s">
        <v>518</v>
      </c>
      <c r="AM28" s="117"/>
      <c r="AN28" s="116" t="s">
        <v>511</v>
      </c>
      <c r="AO28" s="119"/>
      <c r="AP28" s="117"/>
      <c r="AQ28" s="117"/>
      <c r="AR28" s="117" t="s">
        <v>498</v>
      </c>
      <c r="AS28" s="117"/>
      <c r="AT28" s="117"/>
      <c r="AU28" s="117"/>
      <c r="AV28" s="117"/>
      <c r="AW28" s="119"/>
      <c r="AX28" s="117" t="s">
        <v>539</v>
      </c>
      <c r="AY28" s="117" t="s">
        <v>539</v>
      </c>
      <c r="AZ28" s="117"/>
      <c r="BA28" s="117"/>
      <c r="BB28" s="117"/>
      <c r="BC28" s="117"/>
      <c r="BD28" s="117" t="s">
        <v>553</v>
      </c>
      <c r="BE28" s="119"/>
      <c r="BF28" s="117"/>
      <c r="BG28" s="117"/>
      <c r="BH28" s="117"/>
      <c r="BI28" s="117"/>
      <c r="BJ28" s="117" t="s">
        <v>497</v>
      </c>
      <c r="BK28" s="117"/>
      <c r="BL28" s="117"/>
      <c r="BM28" s="119"/>
      <c r="BN28" s="117"/>
      <c r="BO28" s="117"/>
      <c r="BP28" s="117"/>
      <c r="BQ28" s="117"/>
      <c r="BR28" s="117"/>
      <c r="BS28" s="117"/>
      <c r="BT28" s="117" t="s">
        <v>517</v>
      </c>
      <c r="BU28" s="119"/>
      <c r="BV28" s="117"/>
      <c r="BW28" s="117"/>
      <c r="BX28" s="117"/>
      <c r="BY28" s="117"/>
      <c r="BZ28" s="117"/>
      <c r="CA28" s="117"/>
      <c r="CB28" s="117"/>
      <c r="CC28" s="119"/>
      <c r="CD28" s="117"/>
      <c r="CE28" s="117"/>
      <c r="CF28" s="117"/>
      <c r="CG28" s="117"/>
      <c r="CH28" s="117"/>
      <c r="CI28" s="117"/>
      <c r="CJ28" s="116"/>
      <c r="CK28" s="119"/>
      <c r="CL28" s="117"/>
      <c r="CM28" s="117"/>
      <c r="CN28" s="117"/>
      <c r="CO28" s="117"/>
      <c r="CP28" s="117"/>
      <c r="CQ28" s="117"/>
      <c r="CR28" s="117"/>
      <c r="CS28" s="119"/>
    </row>
    <row r="29">
      <c r="A29" s="119"/>
      <c r="B29" s="117"/>
      <c r="C29" s="117"/>
      <c r="D29" s="117"/>
      <c r="E29" s="117" t="s">
        <v>545</v>
      </c>
      <c r="F29" s="117"/>
      <c r="G29" s="117" t="s">
        <v>554</v>
      </c>
      <c r="H29" s="117" t="s">
        <v>554</v>
      </c>
      <c r="I29" s="119"/>
      <c r="J29" s="117"/>
      <c r="K29" s="117"/>
      <c r="L29" s="117"/>
      <c r="M29" s="117"/>
      <c r="N29" s="117"/>
      <c r="O29" s="117"/>
      <c r="P29" s="117" t="s">
        <v>505</v>
      </c>
      <c r="Q29" s="119"/>
      <c r="R29" s="117"/>
      <c r="S29" s="117"/>
      <c r="T29" s="117"/>
      <c r="U29" s="117"/>
      <c r="V29" s="117"/>
      <c r="W29" s="117"/>
      <c r="X29" s="117" t="s">
        <v>548</v>
      </c>
      <c r="Y29" s="119"/>
      <c r="Z29" s="117"/>
      <c r="AA29" s="117"/>
      <c r="AB29" s="117"/>
      <c r="AC29" s="117"/>
      <c r="AD29" s="117"/>
      <c r="AE29" s="117"/>
      <c r="AF29" s="117" t="s">
        <v>555</v>
      </c>
      <c r="AG29" s="119"/>
      <c r="AH29" s="117"/>
      <c r="AI29" s="117"/>
      <c r="AJ29" s="117"/>
      <c r="AK29" s="117"/>
      <c r="AL29" s="117"/>
      <c r="AM29" s="117" t="s">
        <v>503</v>
      </c>
      <c r="AN29" s="117" t="s">
        <v>503</v>
      </c>
      <c r="AO29" s="119"/>
      <c r="AP29" s="125"/>
      <c r="AQ29" s="117" t="s">
        <v>499</v>
      </c>
      <c r="AR29" s="117" t="s">
        <v>499</v>
      </c>
      <c r="AS29" s="117" t="s">
        <v>499</v>
      </c>
      <c r="AT29" s="117" t="s">
        <v>499</v>
      </c>
      <c r="AU29" s="117" t="s">
        <v>499</v>
      </c>
      <c r="AV29" s="117" t="s">
        <v>499</v>
      </c>
      <c r="AW29" s="119"/>
      <c r="AX29" s="117" t="s">
        <v>521</v>
      </c>
      <c r="AY29" s="117" t="s">
        <v>521</v>
      </c>
      <c r="AZ29" s="117"/>
      <c r="BA29" s="117"/>
      <c r="BB29" s="117"/>
      <c r="BC29" s="117" t="s">
        <v>525</v>
      </c>
      <c r="BD29" s="117"/>
      <c r="BE29" s="119"/>
      <c r="BF29" s="117"/>
      <c r="BG29" s="117" t="s">
        <v>498</v>
      </c>
      <c r="BH29" s="117"/>
      <c r="BI29" s="117"/>
      <c r="BJ29" s="117"/>
      <c r="BK29" s="117" t="s">
        <v>498</v>
      </c>
      <c r="BL29" s="117" t="s">
        <v>498</v>
      </c>
      <c r="BM29" s="119"/>
      <c r="BN29" s="117"/>
      <c r="BO29" s="117"/>
      <c r="BP29" s="117"/>
      <c r="BQ29" s="117"/>
      <c r="BR29" s="117"/>
      <c r="BS29" s="117"/>
      <c r="BT29" s="117"/>
      <c r="BU29" s="119"/>
      <c r="BV29" s="117"/>
      <c r="BW29" s="117"/>
      <c r="BX29" s="117"/>
      <c r="BY29" s="117"/>
      <c r="BZ29" s="117"/>
      <c r="CA29" s="117"/>
      <c r="CB29" s="117"/>
      <c r="CC29" s="119"/>
      <c r="CD29" s="117"/>
      <c r="CE29" s="117"/>
      <c r="CF29" s="116"/>
      <c r="CG29" s="117"/>
      <c r="CH29" s="117"/>
      <c r="CI29" s="117"/>
      <c r="CJ29" s="116"/>
      <c r="CK29" s="119"/>
      <c r="CL29" s="117"/>
      <c r="CM29" s="117"/>
      <c r="CN29" s="117"/>
      <c r="CO29" s="117"/>
      <c r="CP29" s="117"/>
      <c r="CQ29" s="117"/>
      <c r="CR29" s="117"/>
      <c r="CS29" s="119"/>
    </row>
    <row r="30">
      <c r="A30" s="119"/>
      <c r="B30" s="117"/>
      <c r="C30" s="117"/>
      <c r="D30" s="117"/>
      <c r="E30" s="117"/>
      <c r="F30" s="117" t="s">
        <v>549</v>
      </c>
      <c r="G30" s="117" t="s">
        <v>549</v>
      </c>
      <c r="H30" s="117" t="s">
        <v>549</v>
      </c>
      <c r="I30" s="119"/>
      <c r="J30" s="117"/>
      <c r="K30" s="117"/>
      <c r="L30" s="117"/>
      <c r="M30" s="117"/>
      <c r="N30" s="117"/>
      <c r="O30" s="117"/>
      <c r="P30" s="117" t="s">
        <v>503</v>
      </c>
      <c r="Q30" s="119"/>
      <c r="R30" s="117"/>
      <c r="S30" s="117"/>
      <c r="T30" s="117"/>
      <c r="U30" s="117"/>
      <c r="V30" s="117" t="s">
        <v>556</v>
      </c>
      <c r="W30" s="117" t="s">
        <v>556</v>
      </c>
      <c r="X30" s="117" t="s">
        <v>556</v>
      </c>
      <c r="Y30" s="119"/>
      <c r="Z30" s="117"/>
      <c r="AA30" s="117"/>
      <c r="AB30" s="117"/>
      <c r="AC30" s="117"/>
      <c r="AD30" s="117"/>
      <c r="AE30" s="117"/>
      <c r="AF30" s="117" t="s">
        <v>524</v>
      </c>
      <c r="AG30" s="119"/>
      <c r="AH30" s="117"/>
      <c r="AI30" s="117"/>
      <c r="AJ30" s="117"/>
      <c r="AK30" s="117"/>
      <c r="AL30" s="117"/>
      <c r="AM30" s="117" t="s">
        <v>557</v>
      </c>
      <c r="AN30" s="117" t="s">
        <v>557</v>
      </c>
      <c r="AO30" s="119"/>
      <c r="AP30" s="117"/>
      <c r="AQ30" s="117" t="s">
        <v>553</v>
      </c>
      <c r="AR30" s="117"/>
      <c r="AS30" s="117"/>
      <c r="AT30" s="117"/>
      <c r="AU30" s="117"/>
      <c r="AV30" s="117"/>
      <c r="AW30" s="119"/>
      <c r="AX30" s="117"/>
      <c r="AY30" s="117"/>
      <c r="AZ30" s="117" t="s">
        <v>522</v>
      </c>
      <c r="BA30" s="117"/>
      <c r="BB30" s="117"/>
      <c r="BC30" s="117"/>
      <c r="BD30" s="117"/>
      <c r="BE30" s="119"/>
      <c r="BF30" s="117" t="s">
        <v>503</v>
      </c>
      <c r="BG30" s="117" t="s">
        <v>503</v>
      </c>
      <c r="BH30" s="117" t="s">
        <v>503</v>
      </c>
      <c r="BI30" s="117" t="s">
        <v>503</v>
      </c>
      <c r="BJ30" s="117" t="s">
        <v>503</v>
      </c>
      <c r="BK30" s="117" t="s">
        <v>503</v>
      </c>
      <c r="BL30" s="117" t="s">
        <v>503</v>
      </c>
      <c r="BM30" s="119"/>
      <c r="BN30" s="117"/>
      <c r="BO30" s="117"/>
      <c r="BP30" s="117"/>
      <c r="BQ30" s="117"/>
      <c r="BR30" s="117"/>
      <c r="BS30" s="117"/>
      <c r="BT30" s="117"/>
      <c r="BU30" s="119"/>
      <c r="BV30" s="116"/>
      <c r="BW30" s="116"/>
      <c r="BX30" s="117"/>
      <c r="BY30" s="117"/>
      <c r="BZ30" s="117"/>
      <c r="CA30" s="117"/>
      <c r="CB30" s="117"/>
      <c r="CC30" s="119"/>
      <c r="CD30" s="117"/>
      <c r="CE30" s="117"/>
      <c r="CF30" s="117"/>
      <c r="CG30" s="117"/>
      <c r="CH30" s="117"/>
      <c r="CI30" s="117"/>
      <c r="CJ30" s="117"/>
      <c r="CK30" s="119"/>
      <c r="CL30" s="117"/>
      <c r="CM30" s="117"/>
      <c r="CN30" s="117"/>
      <c r="CO30" s="117"/>
      <c r="CP30" s="117"/>
      <c r="CQ30" s="117"/>
      <c r="CR30" s="117"/>
      <c r="CS30" s="119"/>
    </row>
    <row r="31">
      <c r="A31" s="119"/>
      <c r="B31" s="117"/>
      <c r="C31" s="117"/>
      <c r="D31" s="117"/>
      <c r="E31" s="117"/>
      <c r="F31" s="117" t="s">
        <v>542</v>
      </c>
      <c r="G31" s="117" t="s">
        <v>542</v>
      </c>
      <c r="H31" s="117" t="s">
        <v>542</v>
      </c>
      <c r="I31" s="119"/>
      <c r="K31" s="117"/>
      <c r="L31" s="117"/>
      <c r="M31" s="117"/>
      <c r="N31" s="117"/>
      <c r="O31" s="117"/>
      <c r="P31" s="117" t="s">
        <v>511</v>
      </c>
      <c r="Q31" s="119"/>
      <c r="R31" s="117"/>
      <c r="S31" s="117"/>
      <c r="T31" s="117"/>
      <c r="U31" s="117"/>
      <c r="V31" s="117"/>
      <c r="W31" s="117"/>
      <c r="X31" s="117" t="s">
        <v>530</v>
      </c>
      <c r="Y31" s="119"/>
      <c r="Z31" s="117"/>
      <c r="AA31" s="117"/>
      <c r="AB31" s="117"/>
      <c r="AC31" s="117"/>
      <c r="AD31" s="117"/>
      <c r="AE31" s="117" t="s">
        <v>558</v>
      </c>
      <c r="AF31" s="117" t="s">
        <v>558</v>
      </c>
      <c r="AG31" s="119"/>
      <c r="AH31" s="117"/>
      <c r="AI31" s="117"/>
      <c r="AJ31" s="117"/>
      <c r="AK31" s="117"/>
      <c r="AL31" s="117"/>
      <c r="AM31" s="117" t="s">
        <v>504</v>
      </c>
      <c r="AN31" s="117" t="s">
        <v>504</v>
      </c>
      <c r="AO31" s="119"/>
      <c r="AP31" s="117" t="s">
        <v>539</v>
      </c>
      <c r="AQ31" s="117" t="s">
        <v>539</v>
      </c>
      <c r="AR31" s="117" t="s">
        <v>539</v>
      </c>
      <c r="AS31" s="117"/>
      <c r="AT31" s="117"/>
      <c r="AU31" s="117"/>
      <c r="AV31" s="117" t="s">
        <v>559</v>
      </c>
      <c r="AW31" s="119"/>
      <c r="AX31" s="117"/>
      <c r="AY31" s="117"/>
      <c r="AZ31" s="117"/>
      <c r="BA31" s="117"/>
      <c r="BB31" s="117"/>
      <c r="BC31" s="117" t="s">
        <v>560</v>
      </c>
      <c r="BD31" s="117" t="s">
        <v>560</v>
      </c>
      <c r="BE31" s="119"/>
      <c r="BF31" s="117"/>
      <c r="BG31" s="117" t="s">
        <v>561</v>
      </c>
      <c r="BH31" s="117"/>
      <c r="BI31" s="117"/>
      <c r="BJ31" s="117" t="s">
        <v>561</v>
      </c>
      <c r="BK31" s="117"/>
      <c r="BL31" s="117"/>
      <c r="BM31" s="119"/>
      <c r="BN31" s="117"/>
      <c r="BO31" s="117"/>
      <c r="BP31" s="117"/>
      <c r="BQ31" s="117"/>
      <c r="BR31" s="117"/>
      <c r="BS31" s="117"/>
      <c r="BT31" s="117"/>
      <c r="BU31" s="119"/>
      <c r="BV31" s="117"/>
      <c r="BW31" s="117"/>
      <c r="BX31" s="117"/>
      <c r="BY31" s="117"/>
      <c r="BZ31" s="117"/>
      <c r="CA31" s="117"/>
      <c r="CB31" s="117"/>
      <c r="CC31" s="119"/>
      <c r="CD31" s="117"/>
      <c r="CE31" s="117"/>
      <c r="CF31" s="117"/>
      <c r="CG31" s="117"/>
      <c r="CH31" s="117"/>
      <c r="CI31" s="117"/>
      <c r="CJ31" s="117"/>
      <c r="CK31" s="119"/>
      <c r="CL31" s="116"/>
      <c r="CM31" s="117"/>
      <c r="CN31" s="117"/>
      <c r="CO31" s="117"/>
      <c r="CP31" s="117"/>
      <c r="CQ31" s="117"/>
      <c r="CR31" s="117"/>
      <c r="CS31" s="119"/>
    </row>
    <row r="32">
      <c r="A32" s="119"/>
      <c r="B32" s="117"/>
      <c r="C32" s="117"/>
      <c r="D32" s="117" t="s">
        <v>506</v>
      </c>
      <c r="E32" s="117" t="s">
        <v>506</v>
      </c>
      <c r="F32" s="117" t="s">
        <v>506</v>
      </c>
      <c r="G32" s="117" t="s">
        <v>506</v>
      </c>
      <c r="H32" s="117" t="s">
        <v>506</v>
      </c>
      <c r="I32" s="119"/>
      <c r="J32" s="117"/>
      <c r="K32" s="117"/>
      <c r="L32" s="117"/>
      <c r="M32" s="117"/>
      <c r="N32" s="117" t="s">
        <v>528</v>
      </c>
      <c r="O32" s="117" t="s">
        <v>528</v>
      </c>
      <c r="P32" s="117" t="s">
        <v>528</v>
      </c>
      <c r="Q32" s="119"/>
      <c r="R32" s="117"/>
      <c r="S32" s="117"/>
      <c r="T32" s="117"/>
      <c r="U32" s="117"/>
      <c r="V32" s="117"/>
      <c r="W32" s="117"/>
      <c r="X32" s="117" t="s">
        <v>508</v>
      </c>
      <c r="Y32" s="119"/>
      <c r="Z32" s="116" t="s">
        <v>533</v>
      </c>
      <c r="AA32" s="116" t="s">
        <v>533</v>
      </c>
      <c r="AB32" s="116" t="s">
        <v>533</v>
      </c>
      <c r="AC32" s="116" t="s">
        <v>533</v>
      </c>
      <c r="AD32" s="116" t="s">
        <v>533</v>
      </c>
      <c r="AE32" s="116" t="s">
        <v>533</v>
      </c>
      <c r="AF32" s="117"/>
      <c r="AG32" s="119"/>
      <c r="AH32" s="117"/>
      <c r="AI32" s="117"/>
      <c r="AJ32" s="117"/>
      <c r="AK32" s="116" t="s">
        <v>527</v>
      </c>
      <c r="AL32" s="116"/>
      <c r="AM32" s="116" t="s">
        <v>498</v>
      </c>
      <c r="AN32" s="116" t="s">
        <v>498</v>
      </c>
      <c r="AO32" s="119"/>
      <c r="AP32" s="117"/>
      <c r="AQ32" s="117"/>
      <c r="AR32" s="117"/>
      <c r="AS32" s="117"/>
      <c r="AT32" s="117"/>
      <c r="AU32" s="117" t="s">
        <v>547</v>
      </c>
      <c r="AV32" s="117" t="s">
        <v>547</v>
      </c>
      <c r="AW32" s="119"/>
      <c r="AX32" s="117"/>
      <c r="AY32" s="117"/>
      <c r="AZ32" s="117"/>
      <c r="BA32" s="117"/>
      <c r="BB32" s="117"/>
      <c r="BC32" s="117"/>
      <c r="BD32" s="117"/>
      <c r="BE32" s="119"/>
      <c r="BF32" s="117"/>
      <c r="BH32" s="117" t="s">
        <v>548</v>
      </c>
      <c r="BI32" s="117"/>
      <c r="BJ32" s="117" t="s">
        <v>548</v>
      </c>
      <c r="BK32" s="117"/>
      <c r="BL32" s="118" t="s">
        <v>511</v>
      </c>
      <c r="BM32" s="119"/>
      <c r="BN32" s="117"/>
      <c r="BO32" s="117"/>
      <c r="BP32" s="117"/>
      <c r="BQ32" s="117"/>
      <c r="BR32" s="117"/>
      <c r="BS32" s="117"/>
      <c r="BT32" s="117"/>
      <c r="BU32" s="119"/>
      <c r="BV32" s="117"/>
      <c r="BW32" s="117"/>
      <c r="BX32" s="117"/>
      <c r="BY32" s="117"/>
      <c r="BZ32" s="117"/>
      <c r="CA32" s="117"/>
      <c r="CB32" s="117"/>
      <c r="CC32" s="119"/>
      <c r="CD32" s="117"/>
      <c r="CE32" s="117"/>
      <c r="CF32" s="117"/>
      <c r="CG32" s="117"/>
      <c r="CH32" s="117"/>
      <c r="CI32" s="117"/>
      <c r="CJ32" s="117"/>
      <c r="CK32" s="119"/>
      <c r="CL32" s="117"/>
      <c r="CM32" s="117"/>
      <c r="CN32" s="117"/>
      <c r="CO32" s="117"/>
      <c r="CP32" s="117"/>
      <c r="CQ32" s="117"/>
      <c r="CR32" s="117"/>
      <c r="CS32" s="119"/>
    </row>
    <row r="33">
      <c r="A33" s="119"/>
      <c r="B33" s="117"/>
      <c r="C33" s="117"/>
      <c r="D33" s="117"/>
      <c r="E33" s="117"/>
      <c r="F33" s="117" t="s">
        <v>499</v>
      </c>
      <c r="G33" s="117" t="s">
        <v>499</v>
      </c>
      <c r="H33" s="117"/>
      <c r="I33" s="119"/>
      <c r="J33" s="117" t="s">
        <v>506</v>
      </c>
      <c r="K33" s="117" t="s">
        <v>506</v>
      </c>
      <c r="L33" s="117" t="s">
        <v>506</v>
      </c>
      <c r="M33" s="117" t="s">
        <v>506</v>
      </c>
      <c r="N33" s="117" t="s">
        <v>506</v>
      </c>
      <c r="O33" s="117" t="s">
        <v>506</v>
      </c>
      <c r="P33" s="117" t="s">
        <v>506</v>
      </c>
      <c r="Q33" s="119"/>
      <c r="R33" s="117"/>
      <c r="S33" s="117"/>
      <c r="T33" s="117"/>
      <c r="U33" s="117"/>
      <c r="V33" s="116" t="s">
        <v>531</v>
      </c>
      <c r="W33" s="116" t="s">
        <v>531</v>
      </c>
      <c r="X33" s="117"/>
      <c r="Y33" s="119"/>
      <c r="Z33" s="117"/>
      <c r="AA33" s="117"/>
      <c r="AB33" s="117"/>
      <c r="AC33" s="117"/>
      <c r="AD33" s="117"/>
      <c r="AE33" s="116"/>
      <c r="AF33" s="116"/>
      <c r="AG33" s="119"/>
      <c r="AH33" s="117"/>
      <c r="AI33" s="117" t="s">
        <v>525</v>
      </c>
      <c r="AJ33" s="117"/>
      <c r="AK33" s="117"/>
      <c r="AL33" s="117"/>
      <c r="AM33" s="117"/>
      <c r="AN33" s="118" t="s">
        <v>553</v>
      </c>
      <c r="AO33" s="119"/>
      <c r="AP33" s="117"/>
      <c r="AQ33" s="117"/>
      <c r="AR33" s="117"/>
      <c r="AS33" s="117"/>
      <c r="AT33" s="117"/>
      <c r="AU33" s="117"/>
      <c r="AV33" s="117"/>
      <c r="AW33" s="119"/>
      <c r="AX33" s="117"/>
      <c r="AY33" s="117"/>
      <c r="AZ33" s="117"/>
      <c r="BA33" s="117"/>
      <c r="BB33" s="117" t="s">
        <v>562</v>
      </c>
      <c r="BC33" s="117" t="s">
        <v>562</v>
      </c>
      <c r="BD33" s="117" t="s">
        <v>562</v>
      </c>
      <c r="BE33" s="119"/>
      <c r="BF33" s="117"/>
      <c r="BG33" s="117" t="s">
        <v>528</v>
      </c>
      <c r="BH33" s="117" t="s">
        <v>528</v>
      </c>
      <c r="BI33" s="117" t="s">
        <v>528</v>
      </c>
      <c r="BJ33" s="117" t="s">
        <v>528</v>
      </c>
      <c r="BK33" s="117" t="s">
        <v>528</v>
      </c>
      <c r="BL33" s="117" t="s">
        <v>528</v>
      </c>
      <c r="BM33" s="119"/>
      <c r="BN33" s="117"/>
      <c r="BO33" s="117"/>
      <c r="BP33" s="117"/>
      <c r="BQ33" s="117"/>
      <c r="BR33" s="117"/>
      <c r="BS33" s="117"/>
      <c r="BT33" s="117"/>
      <c r="BU33" s="119"/>
      <c r="BV33" s="117"/>
      <c r="BW33" s="117"/>
      <c r="BX33" s="117"/>
      <c r="BY33" s="117"/>
      <c r="BZ33" s="117"/>
      <c r="CA33" s="117"/>
      <c r="CB33" s="117"/>
      <c r="CC33" s="119"/>
      <c r="CD33" s="117"/>
      <c r="CE33" s="117"/>
      <c r="CF33" s="117"/>
      <c r="CG33" s="117"/>
      <c r="CH33" s="117"/>
      <c r="CI33" s="117"/>
      <c r="CJ33" s="117"/>
      <c r="CK33" s="119"/>
      <c r="CL33" s="117"/>
      <c r="CM33" s="117"/>
      <c r="CN33" s="117"/>
      <c r="CO33" s="117"/>
      <c r="CP33" s="117"/>
      <c r="CQ33" s="117"/>
      <c r="CR33" s="117"/>
      <c r="CS33" s="119"/>
    </row>
    <row r="34">
      <c r="A34" s="119"/>
      <c r="B34" s="117"/>
      <c r="C34" s="117"/>
      <c r="D34" s="117"/>
      <c r="E34" s="117"/>
      <c r="F34" s="117"/>
      <c r="G34" s="117"/>
      <c r="H34" s="117"/>
      <c r="I34" s="119"/>
      <c r="J34" s="116" t="s">
        <v>532</v>
      </c>
      <c r="K34" s="116" t="s">
        <v>532</v>
      </c>
      <c r="L34" s="116" t="s">
        <v>532</v>
      </c>
      <c r="M34" s="116" t="s">
        <v>532</v>
      </c>
      <c r="N34" s="116" t="s">
        <v>532</v>
      </c>
      <c r="O34" s="116" t="s">
        <v>532</v>
      </c>
      <c r="P34" s="116" t="s">
        <v>532</v>
      </c>
      <c r="Q34" s="119"/>
      <c r="R34" s="117"/>
      <c r="S34" s="117"/>
      <c r="T34" s="117"/>
      <c r="U34" s="117"/>
      <c r="V34" s="117"/>
      <c r="W34" s="117"/>
      <c r="X34" s="117"/>
      <c r="Y34" s="119"/>
      <c r="Z34" s="117"/>
      <c r="AA34" s="117"/>
      <c r="AB34" s="117"/>
      <c r="AC34" s="117"/>
      <c r="AD34" s="117"/>
      <c r="AE34" s="116"/>
      <c r="AF34" s="116"/>
      <c r="AG34" s="119"/>
      <c r="AH34" s="117"/>
      <c r="AI34" s="117"/>
      <c r="AJ34" s="117"/>
      <c r="AK34" s="117"/>
      <c r="AL34" s="117"/>
      <c r="AM34" s="117"/>
      <c r="AN34" s="117" t="s">
        <v>508</v>
      </c>
      <c r="AO34" s="119"/>
      <c r="AP34" s="117"/>
      <c r="AQ34" s="117"/>
      <c r="AR34" s="117"/>
      <c r="AS34" s="117"/>
      <c r="AT34" s="117"/>
      <c r="AU34" s="117"/>
      <c r="AV34" s="117"/>
      <c r="AW34" s="119"/>
      <c r="AX34" s="117"/>
      <c r="AY34" s="117"/>
      <c r="AZ34" s="117"/>
      <c r="BA34" s="117"/>
      <c r="BB34" s="117"/>
      <c r="BC34" s="118" t="s">
        <v>548</v>
      </c>
      <c r="BD34" s="118" t="s">
        <v>548</v>
      </c>
      <c r="BE34" s="119"/>
      <c r="BF34" s="117"/>
      <c r="BG34" s="117"/>
      <c r="BH34" s="117"/>
      <c r="BI34" s="117" t="s">
        <v>563</v>
      </c>
      <c r="BJ34" s="117" t="s">
        <v>563</v>
      </c>
      <c r="BK34" s="117" t="s">
        <v>563</v>
      </c>
      <c r="BL34" s="117" t="s">
        <v>563</v>
      </c>
      <c r="BM34" s="119"/>
      <c r="BN34" s="117"/>
      <c r="BO34" s="117"/>
      <c r="BP34" s="117"/>
      <c r="BQ34" s="117"/>
      <c r="BR34" s="117"/>
      <c r="BS34" s="117"/>
      <c r="BT34" s="117"/>
      <c r="BU34" s="119"/>
      <c r="BV34" s="117"/>
      <c r="BW34" s="117"/>
      <c r="BX34" s="117"/>
      <c r="BY34" s="117"/>
      <c r="BZ34" s="117"/>
      <c r="CA34" s="117"/>
      <c r="CB34" s="117"/>
      <c r="CC34" s="119"/>
      <c r="CD34" s="117"/>
      <c r="CE34" s="117"/>
      <c r="CF34" s="117"/>
      <c r="CG34" s="117"/>
      <c r="CH34" s="117"/>
      <c r="CI34" s="117"/>
      <c r="CJ34" s="117"/>
      <c r="CK34" s="119"/>
      <c r="CL34" s="117"/>
      <c r="CM34" s="117"/>
      <c r="CN34" s="117"/>
      <c r="CO34" s="117"/>
      <c r="CP34" s="117"/>
      <c r="CQ34" s="117"/>
      <c r="CR34" s="117"/>
      <c r="CS34" s="119"/>
    </row>
    <row r="35">
      <c r="A35" s="96"/>
      <c r="B35" s="102" t="s">
        <v>486</v>
      </c>
      <c r="C35" s="102" t="s">
        <v>487</v>
      </c>
      <c r="D35" s="102" t="s">
        <v>488</v>
      </c>
      <c r="E35" s="102" t="s">
        <v>489</v>
      </c>
      <c r="F35" s="102" t="s">
        <v>490</v>
      </c>
      <c r="G35" s="102" t="s">
        <v>491</v>
      </c>
      <c r="H35" s="102" t="s">
        <v>492</v>
      </c>
      <c r="I35" s="89"/>
      <c r="J35" s="102" t="s">
        <v>486</v>
      </c>
      <c r="K35" s="102" t="s">
        <v>487</v>
      </c>
      <c r="L35" s="102" t="s">
        <v>488</v>
      </c>
      <c r="M35" s="102" t="s">
        <v>489</v>
      </c>
      <c r="N35" s="102" t="s">
        <v>490</v>
      </c>
      <c r="O35" s="102" t="s">
        <v>491</v>
      </c>
      <c r="P35" s="102" t="s">
        <v>492</v>
      </c>
      <c r="Q35" s="89"/>
      <c r="R35" s="102" t="s">
        <v>486</v>
      </c>
      <c r="S35" s="102" t="s">
        <v>487</v>
      </c>
      <c r="T35" s="102" t="s">
        <v>488</v>
      </c>
      <c r="U35" s="102" t="s">
        <v>489</v>
      </c>
      <c r="V35" s="102" t="s">
        <v>490</v>
      </c>
      <c r="W35" s="102" t="s">
        <v>491</v>
      </c>
      <c r="X35" s="102" t="s">
        <v>492</v>
      </c>
      <c r="Y35" s="89"/>
      <c r="Z35" s="102" t="s">
        <v>486</v>
      </c>
      <c r="AA35" s="102" t="s">
        <v>487</v>
      </c>
      <c r="AB35" s="102" t="s">
        <v>488</v>
      </c>
      <c r="AC35" s="102" t="s">
        <v>489</v>
      </c>
      <c r="AD35" s="102" t="s">
        <v>490</v>
      </c>
      <c r="AE35" s="102" t="s">
        <v>491</v>
      </c>
      <c r="AF35" s="102" t="s">
        <v>492</v>
      </c>
      <c r="AG35" s="89"/>
      <c r="AH35" s="102" t="s">
        <v>486</v>
      </c>
      <c r="AI35" s="102" t="s">
        <v>487</v>
      </c>
      <c r="AJ35" s="102" t="s">
        <v>488</v>
      </c>
      <c r="AK35" s="102" t="s">
        <v>489</v>
      </c>
      <c r="AL35" s="102" t="s">
        <v>490</v>
      </c>
      <c r="AM35" s="102" t="s">
        <v>491</v>
      </c>
      <c r="AN35" s="102" t="s">
        <v>492</v>
      </c>
      <c r="AO35" s="99"/>
      <c r="AP35" s="102" t="s">
        <v>486</v>
      </c>
      <c r="AQ35" s="102" t="s">
        <v>487</v>
      </c>
      <c r="AR35" s="102" t="s">
        <v>488</v>
      </c>
      <c r="AS35" s="102" t="s">
        <v>489</v>
      </c>
      <c r="AT35" s="102" t="s">
        <v>490</v>
      </c>
      <c r="AU35" s="102" t="s">
        <v>491</v>
      </c>
      <c r="AV35" s="102" t="s">
        <v>492</v>
      </c>
      <c r="AW35" s="103"/>
      <c r="AX35" s="102" t="s">
        <v>486</v>
      </c>
      <c r="AY35" s="102" t="s">
        <v>487</v>
      </c>
      <c r="AZ35" s="102" t="s">
        <v>488</v>
      </c>
      <c r="BA35" s="102" t="s">
        <v>489</v>
      </c>
      <c r="BB35" s="102" t="s">
        <v>490</v>
      </c>
      <c r="BC35" s="102" t="s">
        <v>491</v>
      </c>
      <c r="BD35" s="102" t="s">
        <v>492</v>
      </c>
      <c r="BE35" s="105"/>
      <c r="BF35" s="102" t="s">
        <v>486</v>
      </c>
      <c r="BG35" s="102" t="s">
        <v>487</v>
      </c>
      <c r="BH35" s="102" t="s">
        <v>488</v>
      </c>
      <c r="BI35" s="102" t="s">
        <v>489</v>
      </c>
      <c r="BJ35" s="102" t="s">
        <v>490</v>
      </c>
      <c r="BK35" s="102" t="s">
        <v>491</v>
      </c>
      <c r="BL35" s="102" t="s">
        <v>492</v>
      </c>
      <c r="BM35" s="103"/>
      <c r="BN35" s="102" t="s">
        <v>486</v>
      </c>
      <c r="BO35" s="102" t="s">
        <v>487</v>
      </c>
      <c r="BP35" s="102" t="s">
        <v>488</v>
      </c>
      <c r="BQ35" s="102" t="s">
        <v>489</v>
      </c>
      <c r="BR35" s="102" t="s">
        <v>490</v>
      </c>
      <c r="BS35" s="102" t="s">
        <v>491</v>
      </c>
      <c r="BT35" s="102" t="s">
        <v>492</v>
      </c>
      <c r="BU35" s="106"/>
      <c r="BV35" s="102" t="s">
        <v>486</v>
      </c>
      <c r="BW35" s="102" t="s">
        <v>487</v>
      </c>
      <c r="BX35" s="102" t="s">
        <v>488</v>
      </c>
      <c r="BY35" s="102" t="s">
        <v>489</v>
      </c>
      <c r="BZ35" s="102" t="s">
        <v>490</v>
      </c>
      <c r="CA35" s="102" t="s">
        <v>491</v>
      </c>
      <c r="CB35" s="102" t="s">
        <v>492</v>
      </c>
      <c r="CC35" s="106"/>
      <c r="CD35" s="102" t="s">
        <v>486</v>
      </c>
      <c r="CE35" s="102" t="s">
        <v>487</v>
      </c>
      <c r="CF35" s="102" t="s">
        <v>488</v>
      </c>
      <c r="CG35" s="102" t="s">
        <v>489</v>
      </c>
      <c r="CH35" s="102" t="s">
        <v>490</v>
      </c>
      <c r="CI35" s="102" t="s">
        <v>491</v>
      </c>
      <c r="CJ35" s="102" t="s">
        <v>492</v>
      </c>
      <c r="CK35" s="106"/>
      <c r="CL35" s="102" t="s">
        <v>486</v>
      </c>
      <c r="CM35" s="102" t="s">
        <v>487</v>
      </c>
      <c r="CN35" s="102" t="s">
        <v>488</v>
      </c>
      <c r="CO35" s="102" t="s">
        <v>489</v>
      </c>
      <c r="CP35" s="102" t="s">
        <v>490</v>
      </c>
      <c r="CQ35" s="102" t="s">
        <v>491</v>
      </c>
      <c r="CR35" s="102" t="s">
        <v>492</v>
      </c>
      <c r="CS35" s="106"/>
    </row>
    <row r="36">
      <c r="A36" s="96"/>
      <c r="B36" s="109">
        <f>H20+1</f>
        <v>11</v>
      </c>
      <c r="C36" s="109">
        <f t="shared" ref="C36:H36" si="13">B36+1</f>
        <v>12</v>
      </c>
      <c r="D36" s="109">
        <f t="shared" si="13"/>
        <v>13</v>
      </c>
      <c r="E36" s="109">
        <f t="shared" si="13"/>
        <v>14</v>
      </c>
      <c r="F36" s="109">
        <f t="shared" si="13"/>
        <v>15</v>
      </c>
      <c r="G36" s="109">
        <f t="shared" si="13"/>
        <v>16</v>
      </c>
      <c r="H36" s="109">
        <f t="shared" si="13"/>
        <v>17</v>
      </c>
      <c r="I36" s="89"/>
      <c r="J36" s="109">
        <f>P20+1</f>
        <v>15</v>
      </c>
      <c r="K36" s="109">
        <f t="shared" ref="K36:P36" si="14">J36+1</f>
        <v>16</v>
      </c>
      <c r="L36" s="109">
        <f t="shared" si="14"/>
        <v>17</v>
      </c>
      <c r="M36" s="109">
        <f t="shared" si="14"/>
        <v>18</v>
      </c>
      <c r="N36" s="109">
        <f t="shared" si="14"/>
        <v>19</v>
      </c>
      <c r="O36" s="109">
        <f t="shared" si="14"/>
        <v>20</v>
      </c>
      <c r="P36" s="109">
        <f t="shared" si="14"/>
        <v>21</v>
      </c>
      <c r="Q36" s="89"/>
      <c r="R36" s="109">
        <f>X20+1</f>
        <v>15</v>
      </c>
      <c r="S36" s="109">
        <f t="shared" ref="S36:X36" si="15">R36+1</f>
        <v>16</v>
      </c>
      <c r="T36" s="109">
        <f t="shared" si="15"/>
        <v>17</v>
      </c>
      <c r="U36" s="109">
        <f t="shared" si="15"/>
        <v>18</v>
      </c>
      <c r="V36" s="109">
        <f t="shared" si="15"/>
        <v>19</v>
      </c>
      <c r="W36" s="109">
        <f t="shared" si="15"/>
        <v>20</v>
      </c>
      <c r="X36" s="109">
        <f t="shared" si="15"/>
        <v>21</v>
      </c>
      <c r="Y36" s="89"/>
      <c r="Z36" s="109">
        <f>AF20+1</f>
        <v>19</v>
      </c>
      <c r="AA36" s="109">
        <f t="shared" ref="AA36:AF36" si="16">Z36+1</f>
        <v>20</v>
      </c>
      <c r="AB36" s="109">
        <f t="shared" si="16"/>
        <v>21</v>
      </c>
      <c r="AC36" s="109">
        <f t="shared" si="16"/>
        <v>22</v>
      </c>
      <c r="AD36" s="109">
        <f t="shared" si="16"/>
        <v>23</v>
      </c>
      <c r="AE36" s="109">
        <f t="shared" si="16"/>
        <v>24</v>
      </c>
      <c r="AF36" s="109">
        <f t="shared" si="16"/>
        <v>25</v>
      </c>
      <c r="AG36" s="89"/>
      <c r="AH36" s="109">
        <f>AN20+1</f>
        <v>17</v>
      </c>
      <c r="AI36" s="109">
        <f t="shared" ref="AI36:AN36" si="17">AH36+1</f>
        <v>18</v>
      </c>
      <c r="AJ36" s="109">
        <f t="shared" si="17"/>
        <v>19</v>
      </c>
      <c r="AK36" s="109">
        <f t="shared" si="17"/>
        <v>20</v>
      </c>
      <c r="AL36" s="109">
        <f t="shared" si="17"/>
        <v>21</v>
      </c>
      <c r="AM36" s="109">
        <f t="shared" si="17"/>
        <v>22</v>
      </c>
      <c r="AN36" s="109">
        <f t="shared" si="17"/>
        <v>23</v>
      </c>
      <c r="AO36" s="99"/>
      <c r="AP36" s="109">
        <f>AV20+1</f>
        <v>14</v>
      </c>
      <c r="AQ36" s="109">
        <f t="shared" ref="AQ36:AV36" si="18">AP36+1</f>
        <v>15</v>
      </c>
      <c r="AR36" s="109">
        <f t="shared" si="18"/>
        <v>16</v>
      </c>
      <c r="AS36" s="109">
        <f t="shared" si="18"/>
        <v>17</v>
      </c>
      <c r="AT36" s="109">
        <f t="shared" si="18"/>
        <v>18</v>
      </c>
      <c r="AU36" s="109">
        <f t="shared" si="18"/>
        <v>19</v>
      </c>
      <c r="AV36" s="109">
        <f t="shared" si="18"/>
        <v>20</v>
      </c>
      <c r="AW36" s="111"/>
      <c r="AX36" s="109">
        <f>BD20+1</f>
        <v>19</v>
      </c>
      <c r="AY36" s="109">
        <f t="shared" ref="AY36:BD36" si="19">AX36+1</f>
        <v>20</v>
      </c>
      <c r="AZ36" s="109">
        <f t="shared" si="19"/>
        <v>21</v>
      </c>
      <c r="BA36" s="109">
        <f t="shared" si="19"/>
        <v>22</v>
      </c>
      <c r="BB36" s="109">
        <f t="shared" si="19"/>
        <v>23</v>
      </c>
      <c r="BC36" s="109">
        <f t="shared" si="19"/>
        <v>24</v>
      </c>
      <c r="BD36" s="109">
        <f t="shared" si="19"/>
        <v>25</v>
      </c>
      <c r="BE36" s="113"/>
      <c r="BF36" s="109">
        <f>BL20+1</f>
        <v>16</v>
      </c>
      <c r="BG36" s="109">
        <f t="shared" ref="BG36:BL36" si="20">BF36+1</f>
        <v>17</v>
      </c>
      <c r="BH36" s="109">
        <f t="shared" si="20"/>
        <v>18</v>
      </c>
      <c r="BI36" s="109">
        <f t="shared" si="20"/>
        <v>19</v>
      </c>
      <c r="BJ36" s="109">
        <f t="shared" si="20"/>
        <v>20</v>
      </c>
      <c r="BK36" s="109">
        <f t="shared" si="20"/>
        <v>21</v>
      </c>
      <c r="BL36" s="109">
        <f t="shared" si="20"/>
        <v>22</v>
      </c>
      <c r="BM36" s="111"/>
      <c r="BN36" s="109">
        <f>BT20+1</f>
        <v>13</v>
      </c>
      <c r="BO36" s="109">
        <f t="shared" ref="BO36:BT36" si="21">BN36+1</f>
        <v>14</v>
      </c>
      <c r="BP36" s="109">
        <f t="shared" si="21"/>
        <v>15</v>
      </c>
      <c r="BQ36" s="109">
        <f t="shared" si="21"/>
        <v>16</v>
      </c>
      <c r="BR36" s="109">
        <f t="shared" si="21"/>
        <v>17</v>
      </c>
      <c r="BS36" s="109">
        <f t="shared" si="21"/>
        <v>18</v>
      </c>
      <c r="BT36" s="109">
        <f t="shared" si="21"/>
        <v>19</v>
      </c>
      <c r="BU36" s="94"/>
      <c r="BV36" s="109">
        <f>CB20+1</f>
        <v>18</v>
      </c>
      <c r="BW36" s="109">
        <f t="shared" ref="BW36:CB36" si="22">BV36+1</f>
        <v>19</v>
      </c>
      <c r="BX36" s="109">
        <f t="shared" si="22"/>
        <v>20</v>
      </c>
      <c r="BY36" s="109">
        <f t="shared" si="22"/>
        <v>21</v>
      </c>
      <c r="BZ36" s="109">
        <f t="shared" si="22"/>
        <v>22</v>
      </c>
      <c r="CA36" s="109">
        <f t="shared" si="22"/>
        <v>23</v>
      </c>
      <c r="CB36" s="109">
        <f t="shared" si="22"/>
        <v>24</v>
      </c>
      <c r="CC36" s="94"/>
      <c r="CD36" s="109">
        <f>CJ20+1</f>
        <v>15</v>
      </c>
      <c r="CE36" s="109">
        <f t="shared" ref="CE36:CJ36" si="23">CD36+1</f>
        <v>16</v>
      </c>
      <c r="CF36" s="109">
        <f t="shared" si="23"/>
        <v>17</v>
      </c>
      <c r="CG36" s="109">
        <f t="shared" si="23"/>
        <v>18</v>
      </c>
      <c r="CH36" s="109">
        <f t="shared" si="23"/>
        <v>19</v>
      </c>
      <c r="CI36" s="109">
        <f t="shared" si="23"/>
        <v>20</v>
      </c>
      <c r="CJ36" s="109">
        <f t="shared" si="23"/>
        <v>21</v>
      </c>
      <c r="CK36" s="94"/>
      <c r="CL36" s="109">
        <f>CR20+1</f>
        <v>13</v>
      </c>
      <c r="CM36" s="109">
        <f t="shared" ref="CM36:CR36" si="24">CL36+1</f>
        <v>14</v>
      </c>
      <c r="CN36" s="109">
        <f t="shared" si="24"/>
        <v>15</v>
      </c>
      <c r="CO36" s="109">
        <f t="shared" si="24"/>
        <v>16</v>
      </c>
      <c r="CP36" s="109">
        <f t="shared" si="24"/>
        <v>17</v>
      </c>
      <c r="CQ36" s="109">
        <f t="shared" si="24"/>
        <v>18</v>
      </c>
      <c r="CR36" s="109">
        <f t="shared" si="24"/>
        <v>19</v>
      </c>
      <c r="CS36" s="94"/>
    </row>
    <row r="37">
      <c r="A37" s="115"/>
      <c r="B37" s="118"/>
      <c r="C37" s="118"/>
      <c r="D37" s="118" t="s">
        <v>496</v>
      </c>
      <c r="E37" s="118"/>
      <c r="F37" s="118"/>
      <c r="G37" s="118"/>
      <c r="H37" s="120"/>
      <c r="I37" s="126"/>
      <c r="J37" s="116" t="s">
        <v>531</v>
      </c>
      <c r="K37" s="116" t="s">
        <v>531</v>
      </c>
      <c r="L37" s="120"/>
      <c r="M37" s="120"/>
      <c r="N37" s="120" t="s">
        <v>507</v>
      </c>
      <c r="O37" s="120" t="s">
        <v>507</v>
      </c>
      <c r="P37" s="120" t="s">
        <v>507</v>
      </c>
      <c r="Q37" s="126"/>
      <c r="R37" s="120"/>
      <c r="S37" s="120"/>
      <c r="T37" s="120"/>
      <c r="U37" s="120"/>
      <c r="V37" s="120"/>
      <c r="W37" s="118" t="s">
        <v>496</v>
      </c>
      <c r="X37" s="118" t="s">
        <v>496</v>
      </c>
      <c r="Y37" s="126"/>
      <c r="Z37" s="117"/>
      <c r="AA37" s="117"/>
      <c r="AB37" s="117"/>
      <c r="AC37" s="117" t="s">
        <v>496</v>
      </c>
      <c r="AD37" s="117" t="s">
        <v>499</v>
      </c>
      <c r="AE37" s="117" t="s">
        <v>499</v>
      </c>
      <c r="AF37" s="117"/>
      <c r="AG37" s="126"/>
      <c r="AH37" s="116" t="s">
        <v>542</v>
      </c>
      <c r="AI37" s="116" t="s">
        <v>542</v>
      </c>
      <c r="AJ37" s="116" t="s">
        <v>542</v>
      </c>
      <c r="AK37" s="120"/>
      <c r="AL37" s="120" t="s">
        <v>564</v>
      </c>
      <c r="AM37" s="120" t="s">
        <v>564</v>
      </c>
      <c r="AN37" s="120" t="s">
        <v>564</v>
      </c>
      <c r="AO37" s="126"/>
      <c r="AP37" s="116"/>
      <c r="AQ37" s="120"/>
      <c r="AR37" s="120"/>
      <c r="AS37" s="120"/>
      <c r="AT37" s="120"/>
      <c r="AU37" s="116" t="s">
        <v>527</v>
      </c>
      <c r="AV37" s="116"/>
      <c r="AW37" s="127"/>
      <c r="AX37" s="117" t="s">
        <v>505</v>
      </c>
      <c r="AY37" s="117" t="s">
        <v>505</v>
      </c>
      <c r="AZ37" s="117" t="s">
        <v>505</v>
      </c>
      <c r="BA37" s="120"/>
      <c r="BB37" s="120"/>
      <c r="BC37" s="120"/>
      <c r="BD37" s="117" t="s">
        <v>525</v>
      </c>
      <c r="BE37" s="115"/>
      <c r="BF37" s="120"/>
      <c r="BG37" s="120"/>
      <c r="BH37" s="120"/>
      <c r="BI37" s="120"/>
      <c r="BJ37" s="116" t="s">
        <v>500</v>
      </c>
      <c r="BK37" s="116" t="s">
        <v>500</v>
      </c>
      <c r="BL37" s="116" t="s">
        <v>500</v>
      </c>
      <c r="BM37" s="127"/>
      <c r="BN37" s="116" t="s">
        <v>512</v>
      </c>
      <c r="BO37" s="120"/>
      <c r="BP37" s="120"/>
      <c r="BQ37" s="120"/>
      <c r="BR37" s="120" t="s">
        <v>495</v>
      </c>
      <c r="BS37" s="120" t="s">
        <v>495</v>
      </c>
      <c r="BT37" s="120" t="s">
        <v>495</v>
      </c>
      <c r="BU37" s="115"/>
      <c r="BV37" s="120"/>
      <c r="BW37" s="120"/>
      <c r="BX37" s="120"/>
      <c r="BY37" s="120"/>
      <c r="BZ37" s="120"/>
      <c r="CA37" s="116" t="s">
        <v>494</v>
      </c>
      <c r="CB37" s="116" t="s">
        <v>494</v>
      </c>
      <c r="CC37" s="115"/>
      <c r="CD37" s="120"/>
      <c r="CE37" s="120"/>
      <c r="CF37" s="120" t="s">
        <v>517</v>
      </c>
      <c r="CG37" s="120"/>
      <c r="CH37" s="120"/>
      <c r="CI37" s="120" t="s">
        <v>517</v>
      </c>
      <c r="CJ37" s="120" t="s">
        <v>517</v>
      </c>
      <c r="CK37" s="115"/>
      <c r="CL37" s="116" t="s">
        <v>539</v>
      </c>
      <c r="CM37" s="116" t="s">
        <v>539</v>
      </c>
      <c r="CN37" s="120"/>
      <c r="CO37" s="120"/>
      <c r="CP37" s="120"/>
      <c r="CQ37" s="120"/>
      <c r="CR37" s="117"/>
      <c r="CS37" s="115"/>
    </row>
    <row r="38">
      <c r="A38" s="115"/>
      <c r="B38" s="117"/>
      <c r="C38" s="117"/>
      <c r="D38" s="117"/>
      <c r="E38" s="117"/>
      <c r="F38" s="117"/>
      <c r="G38" s="117"/>
      <c r="H38" s="116" t="s">
        <v>517</v>
      </c>
      <c r="I38" s="115"/>
      <c r="J38" s="116"/>
      <c r="K38" s="117" t="s">
        <v>525</v>
      </c>
      <c r="L38" s="116"/>
      <c r="M38" s="116"/>
      <c r="N38" s="116"/>
      <c r="O38" s="116"/>
      <c r="P38" s="116"/>
      <c r="Q38" s="115"/>
      <c r="R38" s="117"/>
      <c r="S38" s="117" t="s">
        <v>505</v>
      </c>
      <c r="T38" s="116"/>
      <c r="U38" s="116"/>
      <c r="V38" s="116"/>
      <c r="W38" s="116"/>
      <c r="X38" s="117" t="s">
        <v>505</v>
      </c>
      <c r="Y38" s="115"/>
      <c r="Z38" s="117"/>
      <c r="AA38" s="116"/>
      <c r="AB38" s="116"/>
      <c r="AC38" s="116"/>
      <c r="AD38" s="116"/>
      <c r="AE38" s="116"/>
      <c r="AF38" s="116"/>
      <c r="AG38" s="115"/>
      <c r="AH38" s="116"/>
      <c r="AI38" s="116"/>
      <c r="AJ38" s="116"/>
      <c r="AK38" s="116"/>
      <c r="AL38" s="116"/>
      <c r="AM38" s="117"/>
      <c r="AN38" s="117" t="s">
        <v>565</v>
      </c>
      <c r="AO38" s="115"/>
      <c r="AP38" s="117"/>
      <c r="AQ38" s="116"/>
      <c r="AR38" s="116"/>
      <c r="AS38" s="116"/>
      <c r="AT38" s="116"/>
      <c r="AU38" s="116" t="s">
        <v>505</v>
      </c>
      <c r="AV38" s="116" t="s">
        <v>505</v>
      </c>
      <c r="AW38" s="115"/>
      <c r="AX38" s="117"/>
      <c r="AY38" s="117" t="s">
        <v>508</v>
      </c>
      <c r="AZ38" s="117" t="s">
        <v>508</v>
      </c>
      <c r="BA38" s="117" t="s">
        <v>508</v>
      </c>
      <c r="BB38" s="117" t="s">
        <v>508</v>
      </c>
      <c r="BC38" s="117" t="s">
        <v>508</v>
      </c>
      <c r="BD38" s="117" t="s">
        <v>508</v>
      </c>
      <c r="BE38" s="115"/>
      <c r="BF38" s="116"/>
      <c r="BG38" s="116"/>
      <c r="BH38" s="116"/>
      <c r="BI38" s="116"/>
      <c r="BJ38" s="117" t="s">
        <v>566</v>
      </c>
      <c r="BK38" s="116" t="s">
        <v>504</v>
      </c>
      <c r="BL38" s="116" t="s">
        <v>504</v>
      </c>
      <c r="BM38" s="115"/>
      <c r="BN38" s="116"/>
      <c r="BO38" s="116"/>
      <c r="BP38" s="116"/>
      <c r="BQ38" s="116"/>
      <c r="BR38" s="116"/>
      <c r="BS38" s="116" t="s">
        <v>508</v>
      </c>
      <c r="BT38" s="116" t="s">
        <v>508</v>
      </c>
      <c r="BU38" s="115"/>
      <c r="BV38" s="117"/>
      <c r="BW38" s="117"/>
      <c r="BX38" s="116"/>
      <c r="BY38" s="116"/>
      <c r="BZ38" s="116"/>
      <c r="CA38" s="116"/>
      <c r="CB38" s="116"/>
      <c r="CC38" s="115"/>
      <c r="CD38" s="116"/>
      <c r="CE38" s="116"/>
      <c r="CF38" s="116"/>
      <c r="CG38" s="116"/>
      <c r="CH38" s="117" t="s">
        <v>522</v>
      </c>
      <c r="CI38" s="117" t="s">
        <v>522</v>
      </c>
      <c r="CJ38" s="117" t="s">
        <v>522</v>
      </c>
      <c r="CK38" s="115"/>
      <c r="CL38" s="117" t="s">
        <v>524</v>
      </c>
      <c r="CM38" s="117" t="s">
        <v>524</v>
      </c>
      <c r="CN38" s="116"/>
      <c r="CO38" s="116"/>
      <c r="CP38" s="116"/>
      <c r="CQ38" s="116"/>
      <c r="CR38" s="116"/>
      <c r="CS38" s="115"/>
    </row>
    <row r="39">
      <c r="A39" s="119"/>
      <c r="B39" s="117"/>
      <c r="C39" s="117" t="s">
        <v>543</v>
      </c>
      <c r="D39" s="117" t="s">
        <v>543</v>
      </c>
      <c r="E39" s="117" t="s">
        <v>543</v>
      </c>
      <c r="F39" s="117" t="s">
        <v>543</v>
      </c>
      <c r="G39" s="117" t="s">
        <v>543</v>
      </c>
      <c r="H39" s="117" t="s">
        <v>543</v>
      </c>
      <c r="I39" s="119"/>
      <c r="J39" s="117"/>
      <c r="K39" s="117"/>
      <c r="L39" s="117"/>
      <c r="M39" s="117" t="s">
        <v>524</v>
      </c>
      <c r="N39" s="117" t="s">
        <v>524</v>
      </c>
      <c r="O39" s="117" t="s">
        <v>524</v>
      </c>
      <c r="P39" s="117" t="s">
        <v>524</v>
      </c>
      <c r="Q39" s="119"/>
      <c r="R39" s="116" t="s">
        <v>522</v>
      </c>
      <c r="S39" s="116"/>
      <c r="T39" s="117" t="s">
        <v>522</v>
      </c>
      <c r="U39" s="116"/>
      <c r="V39" s="117"/>
      <c r="W39" s="117"/>
      <c r="X39" s="117"/>
      <c r="Y39" s="119"/>
      <c r="Z39" s="116"/>
      <c r="AA39" s="117"/>
      <c r="AB39" s="117"/>
      <c r="AC39" s="117" t="s">
        <v>506</v>
      </c>
      <c r="AD39" s="117" t="s">
        <v>506</v>
      </c>
      <c r="AE39" s="117" t="s">
        <v>506</v>
      </c>
      <c r="AF39" s="117" t="s">
        <v>506</v>
      </c>
      <c r="AG39" s="119"/>
      <c r="AH39" s="117"/>
      <c r="AI39" s="116" t="s">
        <v>496</v>
      </c>
      <c r="AJ39" s="116" t="s">
        <v>496</v>
      </c>
      <c r="AK39" s="116" t="s">
        <v>496</v>
      </c>
      <c r="AL39" s="116" t="s">
        <v>496</v>
      </c>
      <c r="AM39" s="116" t="s">
        <v>496</v>
      </c>
      <c r="AN39" s="116"/>
      <c r="AO39" s="119"/>
      <c r="AP39" s="117"/>
      <c r="AQ39" s="117"/>
      <c r="AR39" s="117"/>
      <c r="AS39" s="117"/>
      <c r="AT39" s="117"/>
      <c r="AU39" s="116" t="s">
        <v>563</v>
      </c>
      <c r="AV39" s="116" t="s">
        <v>563</v>
      </c>
      <c r="AW39" s="119"/>
      <c r="AX39" s="117"/>
      <c r="AY39" s="117"/>
      <c r="AZ39" s="117"/>
      <c r="BA39" s="117"/>
      <c r="BB39" s="117" t="s">
        <v>544</v>
      </c>
      <c r="BC39" s="117" t="s">
        <v>544</v>
      </c>
      <c r="BD39" s="117" t="s">
        <v>544</v>
      </c>
      <c r="BE39" s="119"/>
      <c r="BF39" s="117" t="s">
        <v>496</v>
      </c>
      <c r="BG39" s="117" t="s">
        <v>496</v>
      </c>
      <c r="BH39" s="117" t="s">
        <v>496</v>
      </c>
      <c r="BI39" s="117"/>
      <c r="BJ39" s="117"/>
      <c r="BK39" s="117"/>
      <c r="BL39" s="117" t="s">
        <v>516</v>
      </c>
      <c r="BM39" s="119"/>
      <c r="BN39" s="117"/>
      <c r="BO39" s="117"/>
      <c r="BP39" s="117"/>
      <c r="BQ39" s="117"/>
      <c r="BR39" s="117"/>
      <c r="BS39" s="117" t="s">
        <v>543</v>
      </c>
      <c r="BT39" s="117"/>
      <c r="BU39" s="119"/>
      <c r="BV39" s="117"/>
      <c r="BW39" s="117"/>
      <c r="BX39" s="117"/>
      <c r="BY39" s="117"/>
      <c r="BZ39" s="117"/>
      <c r="CA39" s="117"/>
      <c r="CB39" s="117"/>
      <c r="CC39" s="119"/>
      <c r="CD39" s="117"/>
      <c r="CE39" s="117" t="s">
        <v>503</v>
      </c>
      <c r="CF39" s="117"/>
      <c r="CG39" s="117"/>
      <c r="CH39" s="117"/>
      <c r="CI39" s="117"/>
      <c r="CJ39" s="117"/>
      <c r="CK39" s="119"/>
      <c r="CL39" s="117"/>
      <c r="CM39" s="117"/>
      <c r="CN39" s="117"/>
      <c r="CO39" s="117"/>
      <c r="CP39" s="117"/>
      <c r="CQ39" s="117"/>
      <c r="CR39" s="117"/>
      <c r="CS39" s="119"/>
    </row>
    <row r="40">
      <c r="A40" s="119"/>
      <c r="B40" s="116"/>
      <c r="C40" s="116"/>
      <c r="D40" s="116"/>
      <c r="E40" s="116"/>
      <c r="F40" s="116"/>
      <c r="G40" s="116"/>
      <c r="H40" s="117" t="s">
        <v>546</v>
      </c>
      <c r="I40" s="119"/>
      <c r="J40" s="116"/>
      <c r="K40" s="116" t="s">
        <v>511</v>
      </c>
      <c r="L40" s="116"/>
      <c r="M40" s="116"/>
      <c r="N40" s="116"/>
      <c r="O40" s="116"/>
      <c r="P40" s="116"/>
      <c r="Q40" s="119"/>
      <c r="R40" s="116" t="s">
        <v>495</v>
      </c>
      <c r="S40" s="117"/>
      <c r="T40" s="117"/>
      <c r="U40" s="117"/>
      <c r="V40" s="117"/>
      <c r="W40" s="117"/>
      <c r="X40" s="118" t="s">
        <v>516</v>
      </c>
      <c r="Y40" s="119"/>
      <c r="Z40" s="117" t="s">
        <v>524</v>
      </c>
      <c r="AA40" s="117" t="s">
        <v>524</v>
      </c>
      <c r="AB40" s="117" t="s">
        <v>524</v>
      </c>
      <c r="AC40" s="117" t="s">
        <v>524</v>
      </c>
      <c r="AD40" s="116"/>
      <c r="AE40" s="116"/>
      <c r="AF40" s="117" t="s">
        <v>505</v>
      </c>
      <c r="AG40" s="119"/>
      <c r="AH40" s="116" t="s">
        <v>494</v>
      </c>
      <c r="AI40" s="116" t="s">
        <v>494</v>
      </c>
      <c r="AJ40" s="116" t="s">
        <v>494</v>
      </c>
      <c r="AK40" s="116" t="s">
        <v>494</v>
      </c>
      <c r="AL40" s="116" t="s">
        <v>494</v>
      </c>
      <c r="AM40" s="116"/>
      <c r="AN40" s="116"/>
      <c r="AO40" s="119"/>
      <c r="AP40" s="116" t="s">
        <v>526</v>
      </c>
      <c r="AQ40" s="116" t="s">
        <v>526</v>
      </c>
      <c r="AR40" s="116" t="s">
        <v>526</v>
      </c>
      <c r="AS40" s="116" t="s">
        <v>526</v>
      </c>
      <c r="AT40" s="116" t="s">
        <v>526</v>
      </c>
      <c r="AU40" s="116" t="s">
        <v>526</v>
      </c>
      <c r="AV40" s="116" t="s">
        <v>526</v>
      </c>
      <c r="AW40" s="119"/>
      <c r="AX40" s="117"/>
      <c r="AY40" s="117" t="s">
        <v>499</v>
      </c>
      <c r="AZ40" s="117" t="s">
        <v>499</v>
      </c>
      <c r="BA40" s="117" t="s">
        <v>499</v>
      </c>
      <c r="BB40" s="117" t="s">
        <v>499</v>
      </c>
      <c r="BC40" s="117" t="s">
        <v>499</v>
      </c>
      <c r="BD40" s="117" t="s">
        <v>499</v>
      </c>
      <c r="BE40" s="119"/>
      <c r="BF40" s="117" t="s">
        <v>503</v>
      </c>
      <c r="BG40" s="117" t="s">
        <v>503</v>
      </c>
      <c r="BH40" s="117" t="s">
        <v>503</v>
      </c>
      <c r="BI40" s="117" t="s">
        <v>503</v>
      </c>
      <c r="BJ40" s="117" t="s">
        <v>503</v>
      </c>
      <c r="BK40" s="116"/>
      <c r="BL40" s="116"/>
      <c r="BM40" s="119"/>
      <c r="BN40" s="116"/>
      <c r="BO40" s="116"/>
      <c r="BP40" s="116"/>
      <c r="BQ40" s="116"/>
      <c r="BR40" s="116"/>
      <c r="BS40" s="116" t="s">
        <v>433</v>
      </c>
      <c r="BT40" s="116"/>
      <c r="BU40" s="119"/>
      <c r="BV40" s="117"/>
      <c r="BW40" s="117"/>
      <c r="BX40" s="116"/>
      <c r="BY40" s="116"/>
      <c r="BZ40" s="116"/>
      <c r="CA40" s="116"/>
      <c r="CB40" s="117"/>
      <c r="CC40" s="119"/>
      <c r="CD40" s="117"/>
      <c r="CE40" s="117" t="s">
        <v>517</v>
      </c>
      <c r="CF40" s="116"/>
      <c r="CG40" s="116"/>
      <c r="CH40" s="116"/>
      <c r="CI40" s="116"/>
      <c r="CJ40" s="116"/>
      <c r="CK40" s="119"/>
      <c r="CL40" s="116"/>
      <c r="CM40" s="116"/>
      <c r="CN40" s="116"/>
      <c r="CO40" s="116"/>
      <c r="CP40" s="116"/>
      <c r="CQ40" s="116"/>
      <c r="CR40" s="116"/>
      <c r="CS40" s="119"/>
    </row>
    <row r="41">
      <c r="A41" s="119"/>
      <c r="B41" s="117" t="s">
        <v>550</v>
      </c>
      <c r="C41" s="116"/>
      <c r="D41" s="116"/>
      <c r="E41" s="116"/>
      <c r="F41" s="116"/>
      <c r="G41" s="116"/>
      <c r="H41" s="117" t="s">
        <v>565</v>
      </c>
      <c r="I41" s="119"/>
      <c r="J41" s="117" t="s">
        <v>494</v>
      </c>
      <c r="K41" s="117" t="s">
        <v>494</v>
      </c>
      <c r="L41" s="117" t="s">
        <v>494</v>
      </c>
      <c r="M41" s="117" t="s">
        <v>494</v>
      </c>
      <c r="N41" s="117" t="s">
        <v>494</v>
      </c>
      <c r="O41" s="116"/>
      <c r="P41" s="116"/>
      <c r="Q41" s="119"/>
      <c r="R41" s="117" t="s">
        <v>556</v>
      </c>
      <c r="S41" s="117" t="s">
        <v>556</v>
      </c>
      <c r="T41" s="117" t="s">
        <v>556</v>
      </c>
      <c r="U41" s="117" t="s">
        <v>556</v>
      </c>
      <c r="V41" s="117" t="s">
        <v>556</v>
      </c>
      <c r="W41" s="117" t="s">
        <v>556</v>
      </c>
      <c r="X41" s="117" t="s">
        <v>556</v>
      </c>
      <c r="Y41" s="119"/>
      <c r="Z41" s="116"/>
      <c r="AA41" s="116"/>
      <c r="AB41" s="116"/>
      <c r="AC41" s="116"/>
      <c r="AD41" s="117" t="s">
        <v>509</v>
      </c>
      <c r="AE41" s="116" t="s">
        <v>509</v>
      </c>
      <c r="AF41" s="116" t="s">
        <v>509</v>
      </c>
      <c r="AG41" s="119"/>
      <c r="AH41" s="116"/>
      <c r="AI41" s="116"/>
      <c r="AJ41" s="117"/>
      <c r="AK41" s="116"/>
      <c r="AL41" s="116" t="s">
        <v>517</v>
      </c>
      <c r="AM41" s="116" t="s">
        <v>517</v>
      </c>
      <c r="AN41" s="116" t="s">
        <v>517</v>
      </c>
      <c r="AO41" s="119"/>
      <c r="AP41" s="116"/>
      <c r="AQ41" s="116"/>
      <c r="AR41" s="116"/>
      <c r="AS41" s="116"/>
      <c r="AT41" s="116"/>
      <c r="AU41" s="116"/>
      <c r="AV41" s="116" t="s">
        <v>517</v>
      </c>
      <c r="AW41" s="119"/>
      <c r="AX41" s="116" t="s">
        <v>504</v>
      </c>
      <c r="AY41" s="116" t="s">
        <v>504</v>
      </c>
      <c r="AZ41" s="116" t="s">
        <v>504</v>
      </c>
      <c r="BA41" s="116" t="s">
        <v>504</v>
      </c>
      <c r="BB41" s="116"/>
      <c r="BC41" s="116"/>
      <c r="BD41" s="116"/>
      <c r="BE41" s="119"/>
      <c r="BF41" s="116"/>
      <c r="BG41" s="116" t="s">
        <v>447</v>
      </c>
      <c r="BH41" s="116"/>
      <c r="BI41" s="116"/>
      <c r="BJ41" s="116"/>
      <c r="BK41" s="116" t="s">
        <v>494</v>
      </c>
      <c r="BL41" s="116" t="s">
        <v>494</v>
      </c>
      <c r="BM41" s="119"/>
      <c r="BN41" s="116"/>
      <c r="BO41" s="116"/>
      <c r="BP41" s="116"/>
      <c r="BQ41" s="116"/>
      <c r="BR41" s="117"/>
      <c r="BS41" s="116"/>
      <c r="BT41" s="116"/>
      <c r="BU41" s="119"/>
      <c r="BV41" s="117"/>
      <c r="BW41" s="117"/>
      <c r="BX41" s="116"/>
      <c r="BY41" s="116"/>
      <c r="BZ41" s="116"/>
      <c r="CA41" s="116"/>
      <c r="CB41" s="116"/>
      <c r="CC41" s="119"/>
      <c r="CD41" s="116"/>
      <c r="CE41" s="116"/>
      <c r="CF41" s="116"/>
      <c r="CG41" s="116"/>
      <c r="CH41" s="116"/>
      <c r="CI41" s="116"/>
      <c r="CJ41" s="116"/>
      <c r="CK41" s="119"/>
      <c r="CL41" s="117"/>
      <c r="CM41" s="117"/>
      <c r="CN41" s="116"/>
      <c r="CO41" s="116"/>
      <c r="CP41" s="116"/>
      <c r="CQ41" s="116"/>
      <c r="CR41" s="116"/>
      <c r="CS41" s="119"/>
    </row>
    <row r="42">
      <c r="A42" s="119"/>
      <c r="B42" s="116"/>
      <c r="C42" s="116" t="s">
        <v>500</v>
      </c>
      <c r="D42" s="116"/>
      <c r="E42" s="116"/>
      <c r="F42" s="116"/>
      <c r="G42" s="116"/>
      <c r="H42" s="116"/>
      <c r="I42" s="119"/>
      <c r="J42" s="118" t="s">
        <v>496</v>
      </c>
      <c r="K42" s="118" t="s">
        <v>496</v>
      </c>
      <c r="L42" s="118" t="s">
        <v>496</v>
      </c>
      <c r="M42" s="118" t="s">
        <v>496</v>
      </c>
      <c r="N42" s="116"/>
      <c r="O42" s="116"/>
      <c r="P42" s="116"/>
      <c r="Q42" s="119"/>
      <c r="R42" s="117" t="s">
        <v>530</v>
      </c>
      <c r="S42" s="116"/>
      <c r="T42" s="116"/>
      <c r="U42" s="116"/>
      <c r="V42" s="116"/>
      <c r="W42" s="116"/>
      <c r="X42" s="116"/>
      <c r="Y42" s="119"/>
      <c r="Z42" s="116"/>
      <c r="AA42" s="116"/>
      <c r="AB42" s="116"/>
      <c r="AC42" s="116"/>
      <c r="AD42" s="116"/>
      <c r="AE42" s="116" t="s">
        <v>520</v>
      </c>
      <c r="AF42" s="116" t="s">
        <v>520</v>
      </c>
      <c r="AG42" s="119"/>
      <c r="AH42" s="116" t="s">
        <v>505</v>
      </c>
      <c r="AI42" s="116" t="s">
        <v>505</v>
      </c>
      <c r="AJ42" s="116"/>
      <c r="AK42" s="116"/>
      <c r="AL42" s="116"/>
      <c r="AM42" s="116"/>
      <c r="AN42" s="116" t="s">
        <v>511</v>
      </c>
      <c r="AO42" s="119"/>
      <c r="AP42" s="116"/>
      <c r="AQ42" s="116"/>
      <c r="AR42" s="116"/>
      <c r="AS42" s="116"/>
      <c r="AT42" s="116"/>
      <c r="AU42" s="116" t="s">
        <v>567</v>
      </c>
      <c r="AV42" s="116" t="s">
        <v>567</v>
      </c>
      <c r="AW42" s="119"/>
      <c r="AX42" s="116" t="s">
        <v>512</v>
      </c>
      <c r="AY42" s="116" t="s">
        <v>512</v>
      </c>
      <c r="AZ42" s="116" t="s">
        <v>512</v>
      </c>
      <c r="BA42" s="116" t="s">
        <v>512</v>
      </c>
      <c r="BB42" s="116" t="s">
        <v>512</v>
      </c>
      <c r="BC42" s="116" t="s">
        <v>512</v>
      </c>
      <c r="BD42" s="116" t="s">
        <v>512</v>
      </c>
      <c r="BE42" s="119"/>
      <c r="BF42" s="117"/>
      <c r="BG42" s="117" t="s">
        <v>543</v>
      </c>
      <c r="BH42" s="117" t="s">
        <v>543</v>
      </c>
      <c r="BI42" s="117" t="s">
        <v>543</v>
      </c>
      <c r="BJ42" s="117" t="s">
        <v>543</v>
      </c>
      <c r="BK42" s="117" t="s">
        <v>543</v>
      </c>
      <c r="BL42" s="117"/>
      <c r="BM42" s="119"/>
      <c r="BN42" s="117"/>
      <c r="BO42" s="116"/>
      <c r="BP42" s="116"/>
      <c r="BQ42" s="116"/>
      <c r="BR42" s="116"/>
      <c r="BS42" s="116"/>
      <c r="BT42" s="116"/>
      <c r="BU42" s="119"/>
      <c r="BV42" s="117"/>
      <c r="BW42" s="117"/>
      <c r="BX42" s="116"/>
      <c r="BY42" s="116"/>
      <c r="BZ42" s="116"/>
      <c r="CA42" s="116"/>
      <c r="CB42" s="116"/>
      <c r="CC42" s="119"/>
      <c r="CD42" s="116"/>
      <c r="CE42" s="116"/>
      <c r="CF42" s="116"/>
      <c r="CG42" s="116"/>
      <c r="CH42" s="116"/>
      <c r="CI42" s="116"/>
      <c r="CJ42" s="116"/>
      <c r="CK42" s="119"/>
      <c r="CL42" s="117"/>
      <c r="CM42" s="116"/>
      <c r="CN42" s="116"/>
      <c r="CO42" s="116"/>
      <c r="CP42" s="116"/>
      <c r="CQ42" s="116"/>
      <c r="CR42" s="116"/>
      <c r="CS42" s="119"/>
    </row>
    <row r="43">
      <c r="A43" s="119"/>
      <c r="B43" s="117"/>
      <c r="C43" s="117"/>
      <c r="D43" s="117"/>
      <c r="E43" s="117"/>
      <c r="F43" s="117" t="s">
        <v>504</v>
      </c>
      <c r="G43" s="117" t="s">
        <v>504</v>
      </c>
      <c r="H43" s="117" t="s">
        <v>504</v>
      </c>
      <c r="I43" s="119"/>
      <c r="J43" s="117"/>
      <c r="K43" s="117" t="s">
        <v>523</v>
      </c>
      <c r="L43" s="117"/>
      <c r="M43" s="117"/>
      <c r="N43" s="117"/>
      <c r="O43" s="117"/>
      <c r="P43" s="117"/>
      <c r="Q43" s="119"/>
      <c r="R43" s="117"/>
      <c r="S43" s="117" t="s">
        <v>568</v>
      </c>
      <c r="T43" s="117"/>
      <c r="U43" s="117"/>
      <c r="V43" s="117"/>
      <c r="W43" s="117"/>
      <c r="X43" s="117"/>
      <c r="Y43" s="119"/>
      <c r="Z43" s="117"/>
      <c r="AA43" s="117"/>
      <c r="AB43" s="117"/>
      <c r="AC43" s="117"/>
      <c r="AD43" s="117" t="s">
        <v>569</v>
      </c>
      <c r="AE43" s="117"/>
      <c r="AF43" s="117"/>
      <c r="AG43" s="119"/>
      <c r="AH43" s="117" t="s">
        <v>503</v>
      </c>
      <c r="AI43" s="117" t="s">
        <v>503</v>
      </c>
      <c r="AJ43" s="117" t="s">
        <v>503</v>
      </c>
      <c r="AK43" s="117" t="s">
        <v>503</v>
      </c>
      <c r="AL43" s="117" t="s">
        <v>503</v>
      </c>
      <c r="AM43" s="117" t="s">
        <v>503</v>
      </c>
      <c r="AN43" s="117" t="s">
        <v>503</v>
      </c>
      <c r="AO43" s="119"/>
      <c r="AP43" s="117"/>
      <c r="AQ43" s="117"/>
      <c r="AR43" s="117" t="s">
        <v>498</v>
      </c>
      <c r="AS43" s="117"/>
      <c r="AT43" s="117"/>
      <c r="AU43" s="117"/>
      <c r="AV43" s="117"/>
      <c r="AW43" s="119"/>
      <c r="AX43" s="117"/>
      <c r="AY43" s="117"/>
      <c r="AZ43" s="117"/>
      <c r="BA43" s="117" t="s">
        <v>559</v>
      </c>
      <c r="BB43" s="117" t="s">
        <v>559</v>
      </c>
      <c r="BC43" s="117"/>
      <c r="BD43" s="117"/>
      <c r="BE43" s="119"/>
      <c r="BF43" s="117" t="s">
        <v>498</v>
      </c>
      <c r="BG43" s="117"/>
      <c r="BH43" s="117"/>
      <c r="BI43" s="117"/>
      <c r="BJ43" s="117"/>
      <c r="BK43" s="117"/>
      <c r="BL43" s="116" t="s">
        <v>527</v>
      </c>
      <c r="BM43" s="119"/>
      <c r="BN43" s="117"/>
      <c r="BO43" s="117"/>
      <c r="BP43" s="117"/>
      <c r="BQ43" s="117"/>
      <c r="BR43" s="117"/>
      <c r="BS43" s="117"/>
      <c r="BT43" s="117"/>
      <c r="BU43" s="119"/>
      <c r="BV43" s="117"/>
      <c r="BW43" s="117"/>
      <c r="BX43" s="117"/>
      <c r="BY43" s="117"/>
      <c r="BZ43" s="117"/>
      <c r="CA43" s="117"/>
      <c r="CB43" s="117"/>
      <c r="CC43" s="119"/>
      <c r="CD43" s="117"/>
      <c r="CE43" s="117"/>
      <c r="CF43" s="117"/>
      <c r="CG43" s="117"/>
      <c r="CH43" s="117"/>
      <c r="CI43" s="117"/>
      <c r="CJ43" s="117"/>
      <c r="CK43" s="119"/>
      <c r="CL43" s="117"/>
      <c r="CM43" s="117"/>
      <c r="CN43" s="117"/>
      <c r="CO43" s="117"/>
      <c r="CP43" s="117"/>
      <c r="CQ43" s="117"/>
      <c r="CR43" s="117"/>
      <c r="CS43" s="119"/>
    </row>
    <row r="44">
      <c r="A44" s="119"/>
      <c r="B44" s="117" t="s">
        <v>549</v>
      </c>
      <c r="C44" s="117" t="s">
        <v>549</v>
      </c>
      <c r="D44" s="117" t="s">
        <v>549</v>
      </c>
      <c r="E44" s="117" t="s">
        <v>549</v>
      </c>
      <c r="F44" s="117" t="s">
        <v>549</v>
      </c>
      <c r="G44" s="117" t="s">
        <v>549</v>
      </c>
      <c r="H44" s="117" t="s">
        <v>549</v>
      </c>
      <c r="I44" s="119"/>
      <c r="J44" s="117"/>
      <c r="K44" s="117"/>
      <c r="L44" s="117"/>
      <c r="M44" s="117" t="s">
        <v>519</v>
      </c>
      <c r="N44" s="117"/>
      <c r="O44" s="117"/>
      <c r="P44" s="117"/>
      <c r="Q44" s="119"/>
      <c r="R44" s="117"/>
      <c r="S44" s="117"/>
      <c r="T44" s="117"/>
      <c r="U44" s="117"/>
      <c r="V44" s="117"/>
      <c r="W44" s="117"/>
      <c r="X44" s="117" t="s">
        <v>560</v>
      </c>
      <c r="Y44" s="119"/>
      <c r="Z44" s="117" t="s">
        <v>544</v>
      </c>
      <c r="AA44" s="117"/>
      <c r="AB44" s="117"/>
      <c r="AC44" s="117" t="s">
        <v>544</v>
      </c>
      <c r="AD44" s="117"/>
      <c r="AE44" s="117"/>
      <c r="AF44" s="117" t="s">
        <v>552</v>
      </c>
      <c r="AG44" s="119"/>
      <c r="AH44" s="117" t="s">
        <v>557</v>
      </c>
      <c r="AI44" s="117"/>
      <c r="AJ44" s="117"/>
      <c r="AK44" s="117"/>
      <c r="AL44" s="117"/>
      <c r="AM44" s="117" t="s">
        <v>535</v>
      </c>
      <c r="AN44" s="117" t="s">
        <v>535</v>
      </c>
      <c r="AO44" s="119"/>
      <c r="AP44" s="117"/>
      <c r="AQ44" s="117"/>
      <c r="AR44" s="117"/>
      <c r="AS44" s="117" t="s">
        <v>495</v>
      </c>
      <c r="AT44" s="117" t="s">
        <v>495</v>
      </c>
      <c r="AU44" s="117" t="s">
        <v>495</v>
      </c>
      <c r="AV44" s="117" t="s">
        <v>495</v>
      </c>
      <c r="AW44" s="119"/>
      <c r="AX44" s="117"/>
      <c r="AY44" s="117"/>
      <c r="AZ44" s="117"/>
      <c r="BA44" s="117" t="s">
        <v>530</v>
      </c>
      <c r="BB44" s="117" t="s">
        <v>530</v>
      </c>
      <c r="BC44" s="117" t="s">
        <v>530</v>
      </c>
      <c r="BD44" s="117" t="s">
        <v>530</v>
      </c>
      <c r="BE44" s="119"/>
      <c r="BF44" s="117"/>
      <c r="BG44" s="117" t="s">
        <v>497</v>
      </c>
      <c r="BH44" s="117"/>
      <c r="BI44" s="116" t="s">
        <v>539</v>
      </c>
      <c r="BJ44" s="116" t="s">
        <v>539</v>
      </c>
      <c r="BK44" s="116" t="s">
        <v>539</v>
      </c>
      <c r="BL44" s="116" t="s">
        <v>539</v>
      </c>
      <c r="BM44" s="119"/>
      <c r="BN44" s="117"/>
      <c r="BO44" s="117"/>
      <c r="BP44" s="117"/>
      <c r="BQ44" s="117"/>
      <c r="BR44" s="117"/>
      <c r="BS44" s="117"/>
      <c r="BT44" s="117"/>
      <c r="BU44" s="119"/>
      <c r="BV44" s="117"/>
      <c r="BW44" s="117"/>
      <c r="BX44" s="117"/>
      <c r="BY44" s="117"/>
      <c r="BZ44" s="117"/>
      <c r="CA44" s="117"/>
      <c r="CB44" s="118"/>
      <c r="CC44" s="119"/>
      <c r="CD44" s="117"/>
      <c r="CE44" s="117"/>
      <c r="CF44" s="117"/>
      <c r="CG44" s="117"/>
      <c r="CH44" s="117"/>
      <c r="CI44" s="117"/>
      <c r="CJ44" s="117"/>
      <c r="CK44" s="119"/>
      <c r="CL44" s="117"/>
      <c r="CM44" s="117"/>
      <c r="CN44" s="117"/>
      <c r="CO44" s="117"/>
      <c r="CQ44" s="117"/>
      <c r="CR44" s="117"/>
      <c r="CS44" s="119"/>
    </row>
    <row r="45">
      <c r="A45" s="119"/>
      <c r="B45" s="117"/>
      <c r="C45" s="117" t="s">
        <v>514</v>
      </c>
      <c r="D45" s="117" t="s">
        <v>514</v>
      </c>
      <c r="E45" s="117" t="s">
        <v>514</v>
      </c>
      <c r="F45" s="117" t="s">
        <v>514</v>
      </c>
      <c r="G45" s="117" t="s">
        <v>514</v>
      </c>
      <c r="H45" s="117"/>
      <c r="I45" s="119"/>
      <c r="J45" s="117"/>
      <c r="K45" s="117"/>
      <c r="L45" s="117"/>
      <c r="M45" s="117"/>
      <c r="N45" s="117"/>
      <c r="O45" s="117"/>
      <c r="P45" s="117" t="s">
        <v>565</v>
      </c>
      <c r="Q45" s="119"/>
      <c r="R45" s="117"/>
      <c r="S45" s="116"/>
      <c r="T45" s="117"/>
      <c r="U45" s="117"/>
      <c r="V45" s="117" t="s">
        <v>570</v>
      </c>
      <c r="W45" s="117" t="s">
        <v>570</v>
      </c>
      <c r="X45" s="117" t="s">
        <v>570</v>
      </c>
      <c r="Y45" s="119"/>
      <c r="Z45" s="117" t="s">
        <v>453</v>
      </c>
      <c r="AA45" s="117" t="s">
        <v>453</v>
      </c>
      <c r="AB45" s="117"/>
      <c r="AC45" s="117"/>
      <c r="AD45" s="117"/>
      <c r="AE45" s="117" t="s">
        <v>530</v>
      </c>
      <c r="AF45" s="117" t="s">
        <v>530</v>
      </c>
      <c r="AG45" s="119"/>
      <c r="AH45" s="117"/>
      <c r="AI45" s="117"/>
      <c r="AJ45" s="117"/>
      <c r="AK45" s="117" t="s">
        <v>531</v>
      </c>
      <c r="AL45" s="117" t="s">
        <v>531</v>
      </c>
      <c r="AM45" s="117" t="s">
        <v>531</v>
      </c>
      <c r="AN45" s="117" t="s">
        <v>531</v>
      </c>
      <c r="AO45" s="119"/>
      <c r="AP45" s="117"/>
      <c r="AQ45" s="117"/>
      <c r="AR45" s="117"/>
      <c r="AS45" s="117" t="s">
        <v>508</v>
      </c>
      <c r="AT45" s="117" t="s">
        <v>508</v>
      </c>
      <c r="AU45" s="117" t="s">
        <v>508</v>
      </c>
      <c r="AV45" s="117" t="s">
        <v>508</v>
      </c>
      <c r="AW45" s="119"/>
      <c r="AX45" s="117"/>
      <c r="AY45" s="117"/>
      <c r="AZ45" s="117" t="s">
        <v>553</v>
      </c>
      <c r="BA45" s="117"/>
      <c r="BB45" s="117"/>
      <c r="BC45" s="117"/>
      <c r="BD45" s="117" t="s">
        <v>553</v>
      </c>
      <c r="BE45" s="119"/>
      <c r="BF45" s="117"/>
      <c r="BG45" s="117" t="s">
        <v>561</v>
      </c>
      <c r="BH45" s="117"/>
      <c r="BI45" s="117"/>
      <c r="BK45" s="117"/>
      <c r="BL45" s="117"/>
      <c r="BM45" s="119"/>
      <c r="BN45" s="117"/>
      <c r="BO45" s="117"/>
      <c r="BP45" s="117"/>
      <c r="BQ45" s="117"/>
      <c r="BR45" s="117"/>
      <c r="BS45" s="116"/>
      <c r="BT45" s="116"/>
      <c r="BU45" s="119"/>
      <c r="BV45" s="117"/>
      <c r="BW45" s="117"/>
      <c r="BX45" s="117"/>
      <c r="BY45" s="117"/>
      <c r="BZ45" s="117"/>
      <c r="CA45" s="117"/>
      <c r="CB45" s="117"/>
      <c r="CC45" s="119"/>
      <c r="CD45" s="117"/>
      <c r="CE45" s="117"/>
      <c r="CF45" s="117"/>
      <c r="CG45" s="117"/>
      <c r="CH45" s="117"/>
      <c r="CI45" s="117"/>
      <c r="CJ45" s="117"/>
      <c r="CK45" s="119"/>
      <c r="CL45" s="117"/>
      <c r="CM45" s="117"/>
      <c r="CN45" s="117"/>
      <c r="CO45" s="117"/>
      <c r="CP45" s="117"/>
      <c r="CQ45" s="117"/>
      <c r="CR45" s="117"/>
      <c r="CS45" s="119"/>
    </row>
    <row r="46">
      <c r="A46" s="119"/>
      <c r="B46" s="117" t="s">
        <v>542</v>
      </c>
      <c r="C46" s="117" t="s">
        <v>542</v>
      </c>
      <c r="D46" s="117"/>
      <c r="E46" s="117"/>
      <c r="F46" s="117"/>
      <c r="G46" s="117"/>
      <c r="H46" s="117" t="s">
        <v>494</v>
      </c>
      <c r="I46" s="119"/>
      <c r="J46" s="117" t="s">
        <v>505</v>
      </c>
      <c r="K46" s="117" t="s">
        <v>505</v>
      </c>
      <c r="L46" s="117"/>
      <c r="M46" s="117"/>
      <c r="N46" s="117"/>
      <c r="O46" s="117"/>
      <c r="P46" s="117" t="s">
        <v>505</v>
      </c>
      <c r="Q46" s="119"/>
      <c r="R46" s="117"/>
      <c r="S46" s="116"/>
      <c r="T46" s="117"/>
      <c r="U46" s="117"/>
      <c r="V46" s="117" t="s">
        <v>571</v>
      </c>
      <c r="W46" s="117" t="s">
        <v>571</v>
      </c>
      <c r="X46" s="117" t="s">
        <v>571</v>
      </c>
      <c r="Y46" s="119"/>
      <c r="Z46" s="117" t="s">
        <v>558</v>
      </c>
      <c r="AA46" s="117" t="s">
        <v>558</v>
      </c>
      <c r="AB46" s="117"/>
      <c r="AC46" s="117"/>
      <c r="AD46" s="117"/>
      <c r="AE46" s="117"/>
      <c r="AF46" s="117"/>
      <c r="AG46" s="119"/>
      <c r="AH46" s="117"/>
      <c r="AI46" s="117"/>
      <c r="AJ46" s="117"/>
      <c r="AK46" s="117" t="s">
        <v>519</v>
      </c>
      <c r="AL46" s="117" t="s">
        <v>519</v>
      </c>
      <c r="AM46" s="117" t="s">
        <v>519</v>
      </c>
      <c r="AN46" s="117" t="s">
        <v>519</v>
      </c>
      <c r="AO46" s="119"/>
      <c r="AP46" s="117" t="s">
        <v>547</v>
      </c>
      <c r="AQ46" s="117" t="s">
        <v>547</v>
      </c>
      <c r="AR46" s="117"/>
      <c r="AS46" s="117"/>
      <c r="AT46" s="117"/>
      <c r="AU46" s="117"/>
      <c r="AV46" s="117" t="s">
        <v>513</v>
      </c>
      <c r="AW46" s="119"/>
      <c r="AX46" s="117"/>
      <c r="AY46" s="117"/>
      <c r="AZ46" s="117"/>
      <c r="BA46" s="117"/>
      <c r="BB46" s="117"/>
      <c r="BC46" s="117"/>
      <c r="BD46" s="117" t="s">
        <v>516</v>
      </c>
      <c r="BE46" s="119"/>
      <c r="BF46" s="117"/>
      <c r="BG46" s="117"/>
      <c r="BH46" s="117" t="s">
        <v>553</v>
      </c>
      <c r="BI46" s="117" t="s">
        <v>553</v>
      </c>
      <c r="BJ46" s="117" t="s">
        <v>553</v>
      </c>
      <c r="BK46" s="117" t="s">
        <v>553</v>
      </c>
      <c r="BL46" s="117" t="s">
        <v>553</v>
      </c>
      <c r="BM46" s="119"/>
      <c r="BN46" s="117"/>
      <c r="BO46" s="117"/>
      <c r="BP46" s="117"/>
      <c r="BQ46" s="117"/>
      <c r="BR46" s="117"/>
      <c r="BS46" s="117"/>
      <c r="BT46" s="117"/>
      <c r="BU46" s="119"/>
      <c r="BV46" s="117"/>
      <c r="BW46" s="117"/>
      <c r="BX46" s="117"/>
      <c r="BY46" s="117"/>
      <c r="BZ46" s="117"/>
      <c r="CA46" s="117"/>
      <c r="CB46" s="117"/>
      <c r="CC46" s="119"/>
      <c r="CD46" s="117"/>
      <c r="CE46" s="117"/>
      <c r="CF46" s="117"/>
      <c r="CG46" s="117"/>
      <c r="CH46" s="117"/>
      <c r="CI46" s="117"/>
      <c r="CJ46" s="117"/>
      <c r="CK46" s="119"/>
      <c r="CL46" s="117"/>
      <c r="CM46" s="117"/>
      <c r="CN46" s="117"/>
      <c r="CO46" s="117"/>
      <c r="CP46" s="117"/>
      <c r="CQ46" s="117"/>
      <c r="CR46" s="117"/>
      <c r="CS46" s="119"/>
    </row>
    <row r="47">
      <c r="A47" s="119"/>
      <c r="B47" s="117"/>
      <c r="C47" s="117"/>
      <c r="D47" s="117"/>
      <c r="E47" s="117"/>
      <c r="F47" s="117"/>
      <c r="G47" s="117"/>
      <c r="H47" s="117" t="s">
        <v>528</v>
      </c>
      <c r="I47" s="119"/>
      <c r="J47" s="117" t="s">
        <v>528</v>
      </c>
      <c r="K47" s="117" t="s">
        <v>528</v>
      </c>
      <c r="L47" s="117" t="s">
        <v>528</v>
      </c>
      <c r="M47" s="117"/>
      <c r="N47" s="117"/>
      <c r="O47" s="117"/>
      <c r="P47" s="117" t="s">
        <v>511</v>
      </c>
      <c r="Q47" s="119"/>
      <c r="R47" s="117"/>
      <c r="S47" s="116"/>
      <c r="T47" s="117"/>
      <c r="U47" s="117"/>
      <c r="V47" s="117"/>
      <c r="W47" s="117"/>
      <c r="X47" s="117" t="s">
        <v>509</v>
      </c>
      <c r="Y47" s="119"/>
      <c r="Z47" s="117"/>
      <c r="AA47" s="117"/>
      <c r="AB47" s="117"/>
      <c r="AC47" s="117"/>
      <c r="AD47" s="117"/>
      <c r="AE47" s="117"/>
      <c r="AF47" s="116" t="s">
        <v>511</v>
      </c>
      <c r="AG47" s="119"/>
      <c r="AH47" s="116"/>
      <c r="AI47" s="116"/>
      <c r="AJ47" s="116" t="s">
        <v>522</v>
      </c>
      <c r="AK47" s="116"/>
      <c r="AL47" s="117"/>
      <c r="AM47" s="117" t="s">
        <v>508</v>
      </c>
      <c r="AN47" s="117" t="s">
        <v>508</v>
      </c>
      <c r="AO47" s="119"/>
      <c r="AP47" s="117"/>
      <c r="AQ47" s="117"/>
      <c r="AR47" s="117"/>
      <c r="AS47" s="117"/>
      <c r="AT47" s="117"/>
      <c r="AU47" s="117"/>
      <c r="AV47" s="117" t="s">
        <v>549</v>
      </c>
      <c r="AW47" s="119"/>
      <c r="AX47" s="117"/>
      <c r="AY47" s="117" t="s">
        <v>547</v>
      </c>
      <c r="AZ47" s="117" t="s">
        <v>547</v>
      </c>
      <c r="BA47" s="117" t="s">
        <v>547</v>
      </c>
      <c r="BB47" s="117"/>
      <c r="BC47" s="117" t="s">
        <v>519</v>
      </c>
      <c r="BD47" s="117" t="s">
        <v>519</v>
      </c>
      <c r="BE47" s="119"/>
      <c r="BF47" s="117" t="s">
        <v>505</v>
      </c>
      <c r="BH47" s="117"/>
      <c r="BI47" s="117"/>
      <c r="BJ47" s="117"/>
      <c r="BK47" s="117"/>
      <c r="BL47" s="117" t="s">
        <v>569</v>
      </c>
      <c r="BM47" s="119"/>
      <c r="BN47" s="117"/>
      <c r="BO47" s="117"/>
      <c r="BP47" s="117"/>
      <c r="BQ47" s="117"/>
      <c r="BR47" s="117"/>
      <c r="BS47" s="117"/>
      <c r="BT47" s="117"/>
      <c r="BU47" s="119"/>
      <c r="BV47" s="117"/>
      <c r="BW47" s="117"/>
      <c r="BX47" s="117"/>
      <c r="BY47" s="117"/>
      <c r="BZ47" s="117"/>
      <c r="CA47" s="117"/>
      <c r="CB47" s="117"/>
      <c r="CC47" s="119"/>
      <c r="CD47" s="117"/>
      <c r="CE47" s="117"/>
      <c r="CF47" s="117"/>
      <c r="CG47" s="117"/>
      <c r="CH47" s="117"/>
      <c r="CI47" s="117"/>
      <c r="CJ47" s="117"/>
      <c r="CK47" s="119"/>
      <c r="CL47" s="117"/>
      <c r="CM47" s="117"/>
      <c r="CN47" s="117"/>
      <c r="CO47" s="117"/>
      <c r="CP47" s="117"/>
      <c r="CQ47" s="117"/>
      <c r="CR47" s="117"/>
      <c r="CS47" s="119"/>
    </row>
    <row r="48">
      <c r="A48" s="119"/>
      <c r="B48" s="117"/>
      <c r="C48" s="117"/>
      <c r="D48" s="117" t="s">
        <v>525</v>
      </c>
      <c r="E48" s="117" t="s">
        <v>525</v>
      </c>
      <c r="F48" s="117" t="s">
        <v>525</v>
      </c>
      <c r="G48" s="117"/>
      <c r="H48" s="117"/>
      <c r="I48" s="119"/>
      <c r="J48" s="117" t="s">
        <v>506</v>
      </c>
      <c r="K48" s="117" t="s">
        <v>506</v>
      </c>
      <c r="L48" s="117" t="s">
        <v>506</v>
      </c>
      <c r="M48" s="117" t="s">
        <v>506</v>
      </c>
      <c r="N48" s="117" t="s">
        <v>506</v>
      </c>
      <c r="O48" s="117" t="s">
        <v>506</v>
      </c>
      <c r="P48" s="117" t="s">
        <v>506</v>
      </c>
      <c r="Q48" s="119"/>
      <c r="R48" s="117"/>
      <c r="S48" s="117" t="s">
        <v>547</v>
      </c>
      <c r="T48" s="117" t="s">
        <v>547</v>
      </c>
      <c r="U48" s="117" t="s">
        <v>547</v>
      </c>
      <c r="V48" s="117" t="s">
        <v>547</v>
      </c>
      <c r="W48" s="117" t="s">
        <v>547</v>
      </c>
      <c r="X48" s="117" t="s">
        <v>547</v>
      </c>
      <c r="Y48" s="119"/>
      <c r="Z48" s="117"/>
      <c r="AA48" s="117"/>
      <c r="AB48" s="117"/>
      <c r="AC48" s="117"/>
      <c r="AD48" s="117" t="s">
        <v>572</v>
      </c>
      <c r="AE48" s="117" t="s">
        <v>572</v>
      </c>
      <c r="AF48" s="117"/>
      <c r="AG48" s="119"/>
      <c r="AH48" s="117"/>
      <c r="AI48" s="116" t="s">
        <v>560</v>
      </c>
      <c r="AJ48" s="116" t="s">
        <v>560</v>
      </c>
      <c r="AK48" s="116" t="s">
        <v>560</v>
      </c>
      <c r="AL48" s="116" t="s">
        <v>560</v>
      </c>
      <c r="AM48" s="116" t="s">
        <v>560</v>
      </c>
      <c r="AN48" s="117"/>
      <c r="AO48" s="119"/>
      <c r="AP48" s="117"/>
      <c r="AQ48" s="117"/>
      <c r="AR48" s="117"/>
      <c r="AS48" s="117"/>
      <c r="AT48" s="117"/>
      <c r="AU48" s="117" t="s">
        <v>447</v>
      </c>
      <c r="AV48" s="117"/>
      <c r="AW48" s="119"/>
      <c r="AX48" s="117"/>
      <c r="AY48" s="117"/>
      <c r="AZ48" s="117"/>
      <c r="BA48" s="117"/>
      <c r="BB48" s="117"/>
      <c r="BC48" s="117" t="s">
        <v>538</v>
      </c>
      <c r="BD48" s="117"/>
      <c r="BE48" s="119"/>
      <c r="BF48" s="117"/>
      <c r="BG48" s="117" t="s">
        <v>534</v>
      </c>
      <c r="BH48" s="117" t="s">
        <v>511</v>
      </c>
      <c r="BI48" s="117"/>
      <c r="BJ48" s="117"/>
      <c r="BK48" s="117"/>
      <c r="BL48" s="117" t="s">
        <v>511</v>
      </c>
      <c r="BM48" s="119"/>
      <c r="BN48" s="117"/>
      <c r="BO48" s="117"/>
      <c r="BP48" s="117"/>
      <c r="BQ48" s="117"/>
      <c r="BR48" s="117"/>
      <c r="BS48" s="117"/>
      <c r="BT48" s="117"/>
      <c r="BU48" s="119"/>
      <c r="BV48" s="117"/>
      <c r="BW48" s="117"/>
      <c r="BX48" s="117"/>
      <c r="BY48" s="117"/>
      <c r="BZ48" s="117"/>
      <c r="CA48" s="117"/>
      <c r="CB48" s="117"/>
      <c r="CC48" s="119"/>
      <c r="CD48" s="117"/>
      <c r="CE48" s="117"/>
      <c r="CF48" s="117"/>
      <c r="CG48" s="117"/>
      <c r="CH48" s="117"/>
      <c r="CI48" s="117"/>
      <c r="CJ48" s="117"/>
      <c r="CK48" s="119"/>
      <c r="CL48" s="117"/>
      <c r="CM48" s="117"/>
      <c r="CN48" s="117"/>
      <c r="CO48" s="117"/>
      <c r="CP48" s="117"/>
      <c r="CQ48" s="117"/>
      <c r="CR48" s="117"/>
      <c r="CS48" s="119"/>
    </row>
    <row r="49">
      <c r="A49" s="119"/>
      <c r="B49" s="117"/>
      <c r="C49" s="117"/>
      <c r="D49" s="117"/>
      <c r="E49" s="117"/>
      <c r="F49" s="117"/>
      <c r="G49" s="117"/>
      <c r="H49" s="117"/>
      <c r="I49" s="119"/>
      <c r="J49" s="116" t="s">
        <v>532</v>
      </c>
      <c r="K49" s="116" t="s">
        <v>532</v>
      </c>
      <c r="L49" s="116" t="s">
        <v>532</v>
      </c>
      <c r="M49" s="116" t="s">
        <v>532</v>
      </c>
      <c r="N49" s="116" t="s">
        <v>532</v>
      </c>
      <c r="O49" s="116" t="s">
        <v>532</v>
      </c>
      <c r="P49" s="116" t="s">
        <v>532</v>
      </c>
      <c r="Q49" s="119"/>
      <c r="R49" s="117"/>
      <c r="S49" s="117" t="s">
        <v>573</v>
      </c>
      <c r="T49" s="117" t="s">
        <v>573</v>
      </c>
      <c r="U49" s="117" t="s">
        <v>573</v>
      </c>
      <c r="V49" s="117" t="s">
        <v>573</v>
      </c>
      <c r="W49" s="117" t="s">
        <v>573</v>
      </c>
      <c r="X49" s="117" t="s">
        <v>573</v>
      </c>
      <c r="Y49" s="119"/>
      <c r="Z49" s="116"/>
      <c r="AA49" s="116"/>
      <c r="AB49" s="116"/>
      <c r="AC49" s="116"/>
      <c r="AD49" s="117"/>
      <c r="AE49" s="124"/>
      <c r="AF49" s="117" t="s">
        <v>516</v>
      </c>
      <c r="AG49" s="119"/>
      <c r="AH49" s="117" t="s">
        <v>504</v>
      </c>
      <c r="AI49" s="116"/>
      <c r="AJ49" s="116"/>
      <c r="AK49" s="117"/>
      <c r="AL49" s="117"/>
      <c r="AM49" s="117"/>
      <c r="AN49" s="117" t="s">
        <v>525</v>
      </c>
      <c r="AO49" s="119"/>
      <c r="AP49" s="117"/>
      <c r="AQ49" s="117"/>
      <c r="AR49" s="117"/>
      <c r="AS49" s="117"/>
      <c r="AT49" s="117"/>
      <c r="AU49" s="117"/>
      <c r="AV49" s="117"/>
      <c r="AW49" s="119"/>
      <c r="AX49" s="117" t="s">
        <v>544</v>
      </c>
      <c r="AY49" s="117" t="s">
        <v>544</v>
      </c>
      <c r="AZ49" s="117"/>
      <c r="BA49" s="117"/>
      <c r="BB49" s="117"/>
      <c r="BC49" s="117" t="s">
        <v>447</v>
      </c>
      <c r="BD49" s="117"/>
      <c r="BE49" s="119"/>
      <c r="BF49" s="117"/>
      <c r="BG49" s="117" t="s">
        <v>498</v>
      </c>
      <c r="BH49" s="117"/>
      <c r="BI49" s="117"/>
      <c r="BJ49" s="117" t="s">
        <v>548</v>
      </c>
      <c r="BK49" s="117"/>
      <c r="BL49" s="117"/>
      <c r="BM49" s="119"/>
      <c r="BN49" s="117"/>
      <c r="BO49" s="117"/>
      <c r="BP49" s="117"/>
      <c r="BQ49" s="117"/>
      <c r="BR49" s="117"/>
      <c r="BS49" s="117"/>
      <c r="BT49" s="117"/>
      <c r="BU49" s="119"/>
      <c r="BV49" s="117"/>
      <c r="BW49" s="117"/>
      <c r="BX49" s="117"/>
      <c r="BY49" s="117"/>
      <c r="BZ49" s="117"/>
      <c r="CA49" s="117"/>
      <c r="CB49" s="117"/>
      <c r="CC49" s="119"/>
      <c r="CD49" s="117"/>
      <c r="CE49" s="117"/>
      <c r="CF49" s="117"/>
      <c r="CG49" s="117"/>
      <c r="CH49" s="117"/>
      <c r="CI49" s="117"/>
      <c r="CJ49" s="117"/>
      <c r="CK49" s="119"/>
      <c r="CL49" s="117"/>
      <c r="CM49" s="117"/>
      <c r="CN49" s="117"/>
      <c r="CO49" s="117"/>
      <c r="CP49" s="117"/>
      <c r="CQ49" s="117"/>
      <c r="CR49" s="117"/>
      <c r="CS49" s="119"/>
    </row>
    <row r="50">
      <c r="A50" s="119"/>
      <c r="B50" s="118"/>
      <c r="C50" s="118"/>
      <c r="D50" s="118"/>
      <c r="E50" s="118"/>
      <c r="F50" s="118"/>
      <c r="G50" s="118"/>
      <c r="H50" s="118"/>
      <c r="I50" s="128"/>
      <c r="J50" s="120"/>
      <c r="K50" s="120"/>
      <c r="L50" s="120"/>
      <c r="M50" s="120"/>
      <c r="N50" s="120"/>
      <c r="O50" s="120"/>
      <c r="P50" s="120"/>
      <c r="Q50" s="128"/>
      <c r="R50" s="118"/>
      <c r="S50" s="118"/>
      <c r="T50" s="118"/>
      <c r="U50" s="118"/>
      <c r="V50" s="118"/>
      <c r="W50" s="118"/>
      <c r="X50" s="118"/>
      <c r="Y50" s="128"/>
      <c r="Z50" s="120"/>
      <c r="AA50" s="120"/>
      <c r="AB50" s="120"/>
      <c r="AC50" s="120"/>
      <c r="AD50" s="118"/>
      <c r="AE50" s="124"/>
      <c r="AF50" s="118"/>
      <c r="AG50" s="128"/>
      <c r="AH50" s="118"/>
      <c r="AI50" s="120"/>
      <c r="AJ50" s="120"/>
      <c r="AK50" s="118"/>
      <c r="AL50" s="118"/>
      <c r="AM50" s="118"/>
      <c r="AN50" s="118"/>
      <c r="AO50" s="128"/>
      <c r="AP50" s="118"/>
      <c r="AQ50" s="118"/>
      <c r="AR50" s="118"/>
      <c r="AS50" s="118"/>
      <c r="AT50" s="118"/>
      <c r="AU50" s="118"/>
      <c r="AV50" s="118"/>
      <c r="AW50" s="129"/>
      <c r="AX50" s="118"/>
      <c r="AY50" s="118" t="s">
        <v>548</v>
      </c>
      <c r="AZ50" s="118"/>
      <c r="BA50" s="118"/>
      <c r="BB50" s="118"/>
      <c r="BC50" s="118" t="s">
        <v>548</v>
      </c>
      <c r="BD50" s="118"/>
      <c r="BE50" s="119"/>
      <c r="BF50" s="117" t="s">
        <v>528</v>
      </c>
      <c r="BG50" s="117" t="s">
        <v>528</v>
      </c>
      <c r="BH50" s="117" t="s">
        <v>528</v>
      </c>
      <c r="BI50" s="118"/>
      <c r="BJ50" s="118"/>
      <c r="BK50" s="118"/>
      <c r="BL50" s="118"/>
      <c r="BM50" s="129"/>
      <c r="BN50" s="118"/>
      <c r="BO50" s="118"/>
      <c r="BP50" s="118"/>
      <c r="BQ50" s="118"/>
      <c r="BR50" s="118"/>
      <c r="BS50" s="118"/>
      <c r="BT50" s="118"/>
      <c r="BU50" s="119"/>
      <c r="BV50" s="118"/>
      <c r="BW50" s="118"/>
      <c r="BX50" s="118"/>
      <c r="BY50" s="118"/>
      <c r="BZ50" s="118"/>
      <c r="CA50" s="118"/>
      <c r="CB50" s="118"/>
      <c r="CC50" s="119"/>
      <c r="CD50" s="118"/>
      <c r="CE50" s="118"/>
      <c r="CF50" s="118"/>
      <c r="CG50" s="118"/>
      <c r="CH50" s="118"/>
      <c r="CI50" s="118"/>
      <c r="CJ50" s="118"/>
      <c r="CK50" s="119"/>
      <c r="CL50" s="118"/>
      <c r="CM50" s="118"/>
      <c r="CN50" s="118"/>
      <c r="CO50" s="118"/>
      <c r="CP50" s="118"/>
      <c r="CQ50" s="118"/>
      <c r="CR50" s="118"/>
      <c r="CS50" s="119"/>
    </row>
    <row r="51">
      <c r="A51" s="96"/>
      <c r="B51" s="102" t="s">
        <v>486</v>
      </c>
      <c r="C51" s="102" t="s">
        <v>487</v>
      </c>
      <c r="D51" s="102" t="s">
        <v>488</v>
      </c>
      <c r="E51" s="102" t="s">
        <v>489</v>
      </c>
      <c r="F51" s="102" t="s">
        <v>490</v>
      </c>
      <c r="G51" s="102" t="s">
        <v>491</v>
      </c>
      <c r="H51" s="102" t="s">
        <v>492</v>
      </c>
      <c r="I51" s="89"/>
      <c r="J51" s="102" t="s">
        <v>486</v>
      </c>
      <c r="K51" s="102" t="s">
        <v>487</v>
      </c>
      <c r="L51" s="102" t="s">
        <v>488</v>
      </c>
      <c r="M51" s="102" t="s">
        <v>489</v>
      </c>
      <c r="N51" s="102" t="s">
        <v>490</v>
      </c>
      <c r="O51" s="102" t="s">
        <v>491</v>
      </c>
      <c r="P51" s="102" t="s">
        <v>492</v>
      </c>
      <c r="Q51" s="89"/>
      <c r="R51" s="102" t="s">
        <v>486</v>
      </c>
      <c r="S51" s="102" t="s">
        <v>487</v>
      </c>
      <c r="T51" s="102" t="s">
        <v>488</v>
      </c>
      <c r="U51" s="102" t="s">
        <v>489</v>
      </c>
      <c r="V51" s="102" t="s">
        <v>490</v>
      </c>
      <c r="W51" s="102" t="s">
        <v>491</v>
      </c>
      <c r="X51" s="102" t="s">
        <v>492</v>
      </c>
      <c r="Y51" s="89"/>
      <c r="Z51" s="102" t="s">
        <v>486</v>
      </c>
      <c r="AA51" s="102" t="s">
        <v>487</v>
      </c>
      <c r="AB51" s="102" t="s">
        <v>488</v>
      </c>
      <c r="AC51" s="102" t="s">
        <v>489</v>
      </c>
      <c r="AD51" s="102" t="s">
        <v>490</v>
      </c>
      <c r="AE51" s="102" t="s">
        <v>491</v>
      </c>
      <c r="AF51" s="102" t="s">
        <v>492</v>
      </c>
      <c r="AG51" s="89"/>
      <c r="AH51" s="102" t="s">
        <v>486</v>
      </c>
      <c r="AI51" s="102" t="s">
        <v>487</v>
      </c>
      <c r="AJ51" s="102" t="s">
        <v>488</v>
      </c>
      <c r="AK51" s="102" t="s">
        <v>489</v>
      </c>
      <c r="AL51" s="102" t="s">
        <v>490</v>
      </c>
      <c r="AM51" s="102" t="s">
        <v>491</v>
      </c>
      <c r="AN51" s="102" t="s">
        <v>492</v>
      </c>
      <c r="AO51" s="99"/>
      <c r="AP51" s="102" t="s">
        <v>486</v>
      </c>
      <c r="AQ51" s="102" t="s">
        <v>487</v>
      </c>
      <c r="AR51" s="102" t="s">
        <v>488</v>
      </c>
      <c r="AS51" s="102" t="s">
        <v>489</v>
      </c>
      <c r="AT51" s="102" t="s">
        <v>490</v>
      </c>
      <c r="AU51" s="102" t="s">
        <v>491</v>
      </c>
      <c r="AV51" s="102" t="s">
        <v>492</v>
      </c>
      <c r="AW51" s="103"/>
      <c r="AX51" s="102" t="s">
        <v>486</v>
      </c>
      <c r="AY51" s="102" t="s">
        <v>487</v>
      </c>
      <c r="AZ51" s="102" t="s">
        <v>488</v>
      </c>
      <c r="BA51" s="102" t="s">
        <v>489</v>
      </c>
      <c r="BB51" s="102" t="s">
        <v>490</v>
      </c>
      <c r="BC51" s="102" t="s">
        <v>491</v>
      </c>
      <c r="BD51" s="102" t="s">
        <v>492</v>
      </c>
      <c r="BE51" s="105"/>
      <c r="BF51" s="102" t="s">
        <v>486</v>
      </c>
      <c r="BG51" s="102" t="s">
        <v>487</v>
      </c>
      <c r="BH51" s="102" t="s">
        <v>488</v>
      </c>
      <c r="BI51" s="102" t="s">
        <v>489</v>
      </c>
      <c r="BJ51" s="102" t="s">
        <v>490</v>
      </c>
      <c r="BK51" s="102" t="s">
        <v>491</v>
      </c>
      <c r="BL51" s="102" t="s">
        <v>492</v>
      </c>
      <c r="BM51" s="103"/>
      <c r="BN51" s="102" t="s">
        <v>486</v>
      </c>
      <c r="BO51" s="102" t="s">
        <v>487</v>
      </c>
      <c r="BP51" s="102" t="s">
        <v>488</v>
      </c>
      <c r="BQ51" s="102" t="s">
        <v>489</v>
      </c>
      <c r="BR51" s="102" t="s">
        <v>490</v>
      </c>
      <c r="BS51" s="102" t="s">
        <v>491</v>
      </c>
      <c r="BT51" s="102" t="s">
        <v>492</v>
      </c>
      <c r="BU51" s="106"/>
      <c r="BV51" s="102" t="s">
        <v>486</v>
      </c>
      <c r="BW51" s="102" t="s">
        <v>487</v>
      </c>
      <c r="BX51" s="102" t="s">
        <v>488</v>
      </c>
      <c r="BY51" s="102" t="s">
        <v>489</v>
      </c>
      <c r="BZ51" s="102" t="s">
        <v>490</v>
      </c>
      <c r="CA51" s="102" t="s">
        <v>491</v>
      </c>
      <c r="CB51" s="102" t="s">
        <v>492</v>
      </c>
      <c r="CC51" s="106"/>
      <c r="CD51" s="102" t="s">
        <v>486</v>
      </c>
      <c r="CE51" s="102" t="s">
        <v>487</v>
      </c>
      <c r="CF51" s="102" t="s">
        <v>488</v>
      </c>
      <c r="CG51" s="102" t="s">
        <v>489</v>
      </c>
      <c r="CH51" s="102" t="s">
        <v>490</v>
      </c>
      <c r="CI51" s="102" t="s">
        <v>491</v>
      </c>
      <c r="CJ51" s="102" t="s">
        <v>492</v>
      </c>
      <c r="CK51" s="106"/>
      <c r="CL51" s="102" t="s">
        <v>486</v>
      </c>
      <c r="CM51" s="102" t="s">
        <v>487</v>
      </c>
      <c r="CN51" s="102" t="s">
        <v>488</v>
      </c>
      <c r="CO51" s="102" t="s">
        <v>489</v>
      </c>
      <c r="CP51" s="102" t="s">
        <v>490</v>
      </c>
      <c r="CQ51" s="102" t="s">
        <v>491</v>
      </c>
      <c r="CR51" s="102" t="s">
        <v>492</v>
      </c>
      <c r="CS51" s="106"/>
    </row>
    <row r="52">
      <c r="A52" s="96"/>
      <c r="B52" s="109">
        <f>H36+1</f>
        <v>18</v>
      </c>
      <c r="C52" s="109">
        <f t="shared" ref="C52:H52" si="25">B52+1</f>
        <v>19</v>
      </c>
      <c r="D52" s="109">
        <f t="shared" si="25"/>
        <v>20</v>
      </c>
      <c r="E52" s="109">
        <f t="shared" si="25"/>
        <v>21</v>
      </c>
      <c r="F52" s="109">
        <f t="shared" si="25"/>
        <v>22</v>
      </c>
      <c r="G52" s="109">
        <f t="shared" si="25"/>
        <v>23</v>
      </c>
      <c r="H52" s="109">
        <f t="shared" si="25"/>
        <v>24</v>
      </c>
      <c r="I52" s="89"/>
      <c r="J52" s="109">
        <f>P36+1</f>
        <v>22</v>
      </c>
      <c r="K52" s="109">
        <f t="shared" ref="K52:P52" si="26">J52+1</f>
        <v>23</v>
      </c>
      <c r="L52" s="109">
        <f t="shared" si="26"/>
        <v>24</v>
      </c>
      <c r="M52" s="109">
        <f t="shared" si="26"/>
        <v>25</v>
      </c>
      <c r="N52" s="109">
        <f t="shared" si="26"/>
        <v>26</v>
      </c>
      <c r="O52" s="109">
        <f t="shared" si="26"/>
        <v>27</v>
      </c>
      <c r="P52" s="109">
        <f t="shared" si="26"/>
        <v>28</v>
      </c>
      <c r="Q52" s="89"/>
      <c r="R52" s="109">
        <f>X36+1</f>
        <v>22</v>
      </c>
      <c r="S52" s="109">
        <f t="shared" ref="S52:X52" si="27">R52+1</f>
        <v>23</v>
      </c>
      <c r="T52" s="109">
        <f t="shared" si="27"/>
        <v>24</v>
      </c>
      <c r="U52" s="109">
        <f t="shared" si="27"/>
        <v>25</v>
      </c>
      <c r="V52" s="109">
        <f t="shared" si="27"/>
        <v>26</v>
      </c>
      <c r="W52" s="109">
        <f t="shared" si="27"/>
        <v>27</v>
      </c>
      <c r="X52" s="109">
        <f t="shared" si="27"/>
        <v>28</v>
      </c>
      <c r="Y52" s="89"/>
      <c r="Z52" s="109">
        <f>AF36+1</f>
        <v>26</v>
      </c>
      <c r="AA52" s="109">
        <f t="shared" ref="AA52:AD52" si="28">Z52+1</f>
        <v>27</v>
      </c>
      <c r="AB52" s="109">
        <f t="shared" si="28"/>
        <v>28</v>
      </c>
      <c r="AC52" s="109">
        <f t="shared" si="28"/>
        <v>29</v>
      </c>
      <c r="AD52" s="109">
        <f t="shared" si="28"/>
        <v>30</v>
      </c>
      <c r="AE52" s="108">
        <v>1.0</v>
      </c>
      <c r="AF52" s="108">
        <v>2.0</v>
      </c>
      <c r="AG52" s="89"/>
      <c r="AH52" s="109">
        <f>AN36+1</f>
        <v>24</v>
      </c>
      <c r="AI52" s="109">
        <f t="shared" ref="AI52:AN52" si="29">AH52+1</f>
        <v>25</v>
      </c>
      <c r="AJ52" s="109">
        <f t="shared" si="29"/>
        <v>26</v>
      </c>
      <c r="AK52" s="109">
        <f t="shared" si="29"/>
        <v>27</v>
      </c>
      <c r="AL52" s="109">
        <f t="shared" si="29"/>
        <v>28</v>
      </c>
      <c r="AM52" s="109">
        <f t="shared" si="29"/>
        <v>29</v>
      </c>
      <c r="AN52" s="109">
        <f t="shared" si="29"/>
        <v>30</v>
      </c>
      <c r="AO52" s="99"/>
      <c r="AP52" s="109">
        <f>AV36+1</f>
        <v>21</v>
      </c>
      <c r="AQ52" s="109">
        <f t="shared" ref="AQ52:AV52" si="30">AP52+1</f>
        <v>22</v>
      </c>
      <c r="AR52" s="109">
        <f t="shared" si="30"/>
        <v>23</v>
      </c>
      <c r="AS52" s="109">
        <f t="shared" si="30"/>
        <v>24</v>
      </c>
      <c r="AT52" s="109">
        <f t="shared" si="30"/>
        <v>25</v>
      </c>
      <c r="AU52" s="109">
        <f t="shared" si="30"/>
        <v>26</v>
      </c>
      <c r="AV52" s="109">
        <f t="shared" si="30"/>
        <v>27</v>
      </c>
      <c r="AW52" s="111"/>
      <c r="AX52" s="109">
        <f>BD36+1</f>
        <v>26</v>
      </c>
      <c r="AY52" s="109">
        <f t="shared" ref="AY52:BC52" si="31">AX52+1</f>
        <v>27</v>
      </c>
      <c r="AZ52" s="109">
        <f t="shared" si="31"/>
        <v>28</v>
      </c>
      <c r="BA52" s="109">
        <f t="shared" si="31"/>
        <v>29</v>
      </c>
      <c r="BB52" s="109">
        <f t="shared" si="31"/>
        <v>30</v>
      </c>
      <c r="BC52" s="109">
        <f t="shared" si="31"/>
        <v>31</v>
      </c>
      <c r="BD52" s="108">
        <v>1.0</v>
      </c>
      <c r="BE52" s="113"/>
      <c r="BF52" s="109">
        <f>BL36+1</f>
        <v>23</v>
      </c>
      <c r="BG52" s="109">
        <f t="shared" ref="BG52:BL52" si="32">BF52+1</f>
        <v>24</v>
      </c>
      <c r="BH52" s="109">
        <f t="shared" si="32"/>
        <v>25</v>
      </c>
      <c r="BI52" s="109">
        <f t="shared" si="32"/>
        <v>26</v>
      </c>
      <c r="BJ52" s="109">
        <f t="shared" si="32"/>
        <v>27</v>
      </c>
      <c r="BK52" s="109">
        <f t="shared" si="32"/>
        <v>28</v>
      </c>
      <c r="BL52" s="109">
        <f t="shared" si="32"/>
        <v>29</v>
      </c>
      <c r="BM52" s="111"/>
      <c r="BN52" s="109">
        <f>BT36+1</f>
        <v>20</v>
      </c>
      <c r="BO52" s="109">
        <f t="shared" ref="BO52:BT52" si="33">BN52+1</f>
        <v>21</v>
      </c>
      <c r="BP52" s="109">
        <f t="shared" si="33"/>
        <v>22</v>
      </c>
      <c r="BQ52" s="109">
        <f t="shared" si="33"/>
        <v>23</v>
      </c>
      <c r="BR52" s="109">
        <f t="shared" si="33"/>
        <v>24</v>
      </c>
      <c r="BS52" s="109">
        <f t="shared" si="33"/>
        <v>25</v>
      </c>
      <c r="BT52" s="109">
        <f t="shared" si="33"/>
        <v>26</v>
      </c>
      <c r="BU52" s="94"/>
      <c r="BV52" s="109">
        <f>CB36+1</f>
        <v>25</v>
      </c>
      <c r="BW52" s="109">
        <f t="shared" ref="BW52:CB52" si="34">BV52+1</f>
        <v>26</v>
      </c>
      <c r="BX52" s="109">
        <f t="shared" si="34"/>
        <v>27</v>
      </c>
      <c r="BY52" s="109">
        <f t="shared" si="34"/>
        <v>28</v>
      </c>
      <c r="BZ52" s="109">
        <f t="shared" si="34"/>
        <v>29</v>
      </c>
      <c r="CA52" s="109">
        <f t="shared" si="34"/>
        <v>30</v>
      </c>
      <c r="CB52" s="109">
        <f t="shared" si="34"/>
        <v>31</v>
      </c>
      <c r="CC52" s="94"/>
      <c r="CD52" s="109">
        <f>CJ36+1</f>
        <v>22</v>
      </c>
      <c r="CE52" s="109">
        <f t="shared" ref="CE52:CJ52" si="35">CD52+1</f>
        <v>23</v>
      </c>
      <c r="CF52" s="109">
        <f t="shared" si="35"/>
        <v>24</v>
      </c>
      <c r="CG52" s="109">
        <f t="shared" si="35"/>
        <v>25</v>
      </c>
      <c r="CH52" s="109">
        <f t="shared" si="35"/>
        <v>26</v>
      </c>
      <c r="CI52" s="109">
        <f t="shared" si="35"/>
        <v>27</v>
      </c>
      <c r="CJ52" s="109">
        <f t="shared" si="35"/>
        <v>28</v>
      </c>
      <c r="CK52" s="94"/>
      <c r="CL52" s="109">
        <f>CR36+1</f>
        <v>20</v>
      </c>
      <c r="CM52" s="109">
        <f t="shared" ref="CM52:CR52" si="36">CL52+1</f>
        <v>21</v>
      </c>
      <c r="CN52" s="109">
        <f t="shared" si="36"/>
        <v>22</v>
      </c>
      <c r="CO52" s="109">
        <f t="shared" si="36"/>
        <v>23</v>
      </c>
      <c r="CP52" s="109">
        <f t="shared" si="36"/>
        <v>24</v>
      </c>
      <c r="CQ52" s="109">
        <f t="shared" si="36"/>
        <v>25</v>
      </c>
      <c r="CR52" s="109">
        <f t="shared" si="36"/>
        <v>26</v>
      </c>
      <c r="CS52" s="94"/>
    </row>
    <row r="53">
      <c r="A53" s="115"/>
      <c r="B53" s="117"/>
      <c r="C53" s="117"/>
      <c r="D53" s="117"/>
      <c r="E53" s="117" t="s">
        <v>496</v>
      </c>
      <c r="F53" s="117"/>
      <c r="G53" s="117"/>
      <c r="H53" s="117" t="s">
        <v>509</v>
      </c>
      <c r="I53" s="115"/>
      <c r="J53" s="116"/>
      <c r="K53" s="116" t="s">
        <v>517</v>
      </c>
      <c r="L53" s="116" t="s">
        <v>517</v>
      </c>
      <c r="M53" s="116"/>
      <c r="N53" s="116"/>
      <c r="O53" s="116"/>
      <c r="P53" s="116"/>
      <c r="Q53" s="115"/>
      <c r="R53" s="116"/>
      <c r="S53" s="116"/>
      <c r="T53" s="116"/>
      <c r="U53" s="116" t="s">
        <v>543</v>
      </c>
      <c r="V53" s="116" t="s">
        <v>543</v>
      </c>
      <c r="W53" s="116" t="s">
        <v>543</v>
      </c>
      <c r="X53" s="116" t="s">
        <v>509</v>
      </c>
      <c r="Y53" s="115"/>
      <c r="Z53" s="116"/>
      <c r="AA53" s="116"/>
      <c r="AB53" s="118" t="s">
        <v>496</v>
      </c>
      <c r="AC53" s="118" t="s">
        <v>496</v>
      </c>
      <c r="AD53" s="118" t="s">
        <v>496</v>
      </c>
      <c r="AE53" s="118" t="s">
        <v>496</v>
      </c>
      <c r="AF53" s="118" t="s">
        <v>496</v>
      </c>
      <c r="AG53" s="115"/>
      <c r="AH53" s="117" t="s">
        <v>565</v>
      </c>
      <c r="AI53" s="117" t="s">
        <v>565</v>
      </c>
      <c r="AJ53" s="117" t="s">
        <v>565</v>
      </c>
      <c r="AK53" s="117" t="s">
        <v>565</v>
      </c>
      <c r="AL53" s="117" t="s">
        <v>565</v>
      </c>
      <c r="AM53" s="117" t="s">
        <v>565</v>
      </c>
      <c r="AN53" s="117" t="s">
        <v>565</v>
      </c>
      <c r="AO53" s="115"/>
      <c r="AP53" s="116" t="s">
        <v>505</v>
      </c>
      <c r="AQ53" s="116"/>
      <c r="AR53" s="116" t="s">
        <v>522</v>
      </c>
      <c r="AS53" s="116"/>
      <c r="AT53" s="116"/>
      <c r="AU53" s="116"/>
      <c r="AV53" s="116"/>
      <c r="AW53" s="115"/>
      <c r="AX53" s="117" t="s">
        <v>508</v>
      </c>
      <c r="AY53" s="117" t="s">
        <v>508</v>
      </c>
      <c r="AZ53" s="117" t="s">
        <v>508</v>
      </c>
      <c r="BA53" s="117" t="s">
        <v>508</v>
      </c>
      <c r="BB53" s="116"/>
      <c r="BC53" s="116"/>
      <c r="BD53" s="116"/>
      <c r="BE53" s="115"/>
      <c r="BF53" s="116" t="s">
        <v>500</v>
      </c>
      <c r="BG53" s="116" t="s">
        <v>500</v>
      </c>
      <c r="BH53" s="116" t="s">
        <v>500</v>
      </c>
      <c r="BI53" s="116"/>
      <c r="BJ53" s="116"/>
      <c r="BK53" s="116"/>
      <c r="BL53" s="116"/>
      <c r="BM53" s="115"/>
      <c r="BN53" s="117"/>
      <c r="BO53" s="116"/>
      <c r="BP53" s="116" t="s">
        <v>565</v>
      </c>
      <c r="BQ53" s="116" t="s">
        <v>565</v>
      </c>
      <c r="BR53" s="116" t="s">
        <v>565</v>
      </c>
      <c r="BS53" s="116" t="s">
        <v>565</v>
      </c>
      <c r="BT53" s="116" t="s">
        <v>565</v>
      </c>
      <c r="BU53" s="115"/>
      <c r="BV53" s="117"/>
      <c r="BW53" s="116"/>
      <c r="BX53" s="116"/>
      <c r="BY53" s="116"/>
      <c r="BZ53" s="116"/>
      <c r="CA53" s="116" t="s">
        <v>527</v>
      </c>
      <c r="CB53" s="116" t="s">
        <v>527</v>
      </c>
      <c r="CC53" s="115"/>
      <c r="CD53" s="120" t="s">
        <v>517</v>
      </c>
      <c r="CE53" s="120" t="s">
        <v>517</v>
      </c>
      <c r="CF53" s="120" t="s">
        <v>517</v>
      </c>
      <c r="CG53" s="120" t="s">
        <v>517</v>
      </c>
      <c r="CH53" s="116"/>
      <c r="CI53" s="116"/>
      <c r="CJ53" s="116"/>
      <c r="CK53" s="115"/>
      <c r="CL53" s="116"/>
      <c r="CM53" s="116" t="s">
        <v>518</v>
      </c>
      <c r="CN53" s="116" t="s">
        <v>518</v>
      </c>
      <c r="CO53" s="116" t="s">
        <v>518</v>
      </c>
      <c r="CP53" s="116" t="s">
        <v>518</v>
      </c>
      <c r="CQ53" s="116" t="s">
        <v>518</v>
      </c>
      <c r="CR53" s="116" t="s">
        <v>518</v>
      </c>
      <c r="CS53" s="115"/>
    </row>
    <row r="54">
      <c r="A54" s="119"/>
      <c r="B54" s="117"/>
      <c r="C54" s="130" t="s">
        <v>499</v>
      </c>
      <c r="D54" s="130" t="s">
        <v>499</v>
      </c>
      <c r="E54" s="130" t="s">
        <v>499</v>
      </c>
      <c r="F54" s="130" t="s">
        <v>499</v>
      </c>
      <c r="G54" s="130" t="s">
        <v>499</v>
      </c>
      <c r="H54" s="130"/>
      <c r="I54" s="119"/>
      <c r="J54" s="117"/>
      <c r="K54" s="117"/>
      <c r="L54" s="117"/>
      <c r="M54" s="117"/>
      <c r="N54" s="117"/>
      <c r="O54" s="116"/>
      <c r="P54" s="117"/>
      <c r="Q54" s="119"/>
      <c r="R54" s="117"/>
      <c r="S54" s="117"/>
      <c r="T54" s="117"/>
      <c r="U54" s="117"/>
      <c r="V54" s="117" t="s">
        <v>550</v>
      </c>
      <c r="W54" s="117"/>
      <c r="X54" s="117"/>
      <c r="Y54" s="119"/>
      <c r="Z54" s="117" t="s">
        <v>506</v>
      </c>
      <c r="AA54" s="117" t="s">
        <v>506</v>
      </c>
      <c r="AB54" s="117" t="s">
        <v>506</v>
      </c>
      <c r="AC54" s="117" t="s">
        <v>506</v>
      </c>
      <c r="AD54" s="117" t="s">
        <v>506</v>
      </c>
      <c r="AE54" s="117" t="s">
        <v>506</v>
      </c>
      <c r="AF54" s="117" t="s">
        <v>506</v>
      </c>
      <c r="AG54" s="119"/>
      <c r="AH54" s="116"/>
      <c r="AI54" s="116" t="s">
        <v>496</v>
      </c>
      <c r="AJ54" s="116" t="s">
        <v>496</v>
      </c>
      <c r="AK54" s="116" t="s">
        <v>496</v>
      </c>
      <c r="AL54" s="116" t="s">
        <v>496</v>
      </c>
      <c r="AM54" s="116" t="s">
        <v>496</v>
      </c>
      <c r="AN54" s="116"/>
      <c r="AO54" s="119"/>
      <c r="AP54" s="116" t="s">
        <v>563</v>
      </c>
      <c r="AQ54" s="116" t="s">
        <v>563</v>
      </c>
      <c r="AR54" s="116" t="s">
        <v>563</v>
      </c>
      <c r="AS54" s="116"/>
      <c r="AT54" s="117"/>
      <c r="AU54" s="117"/>
      <c r="AV54" s="117"/>
      <c r="AW54" s="119"/>
      <c r="AX54" s="117"/>
      <c r="AY54" s="117"/>
      <c r="AZ54" s="117"/>
      <c r="BA54" s="117"/>
      <c r="BB54" s="117" t="s">
        <v>518</v>
      </c>
      <c r="BC54" s="117"/>
      <c r="BD54" s="117"/>
      <c r="BE54" s="119"/>
      <c r="BF54" s="116" t="s">
        <v>504</v>
      </c>
      <c r="BG54" s="117"/>
      <c r="BH54" s="117"/>
      <c r="BI54" s="117"/>
      <c r="BJ54" s="117"/>
      <c r="BK54" s="117" t="s">
        <v>508</v>
      </c>
      <c r="BL54" s="117"/>
      <c r="BM54" s="119"/>
      <c r="BN54" s="117"/>
      <c r="BO54" s="117"/>
      <c r="BP54" s="117"/>
      <c r="BQ54" s="116" t="s">
        <v>563</v>
      </c>
      <c r="BR54" s="116" t="s">
        <v>563</v>
      </c>
      <c r="BS54" s="116" t="s">
        <v>563</v>
      </c>
      <c r="BT54" s="116" t="s">
        <v>563</v>
      </c>
      <c r="BU54" s="119"/>
      <c r="BV54" s="117"/>
      <c r="BW54" s="117"/>
      <c r="BX54" s="117"/>
      <c r="BY54" s="117"/>
      <c r="BZ54" s="117"/>
      <c r="CA54" s="117"/>
      <c r="CB54" s="117"/>
      <c r="CC54" s="119"/>
      <c r="CD54" s="117"/>
      <c r="CE54" s="117"/>
      <c r="CF54" s="117"/>
      <c r="CG54" s="117"/>
      <c r="CH54" s="117"/>
      <c r="CI54" s="117"/>
      <c r="CJ54" s="116" t="s">
        <v>494</v>
      </c>
      <c r="CK54" s="119"/>
      <c r="CL54" s="117"/>
      <c r="CM54" s="117"/>
      <c r="CN54" s="117"/>
      <c r="CO54" s="117"/>
      <c r="CP54" s="117" t="s">
        <v>499</v>
      </c>
      <c r="CQ54" s="117" t="s">
        <v>499</v>
      </c>
      <c r="CR54" s="117" t="s">
        <v>499</v>
      </c>
      <c r="CS54" s="119"/>
    </row>
    <row r="55">
      <c r="A55" s="119"/>
      <c r="B55" s="116" t="s">
        <v>517</v>
      </c>
      <c r="C55" s="116" t="s">
        <v>517</v>
      </c>
      <c r="D55" s="116"/>
      <c r="E55" s="116"/>
      <c r="F55" s="116"/>
      <c r="G55" s="116"/>
      <c r="H55" s="116"/>
      <c r="I55" s="119"/>
      <c r="J55" s="117"/>
      <c r="K55" s="116"/>
      <c r="L55" s="116"/>
      <c r="M55" s="116"/>
      <c r="N55" s="116"/>
      <c r="O55" s="116" t="s">
        <v>534</v>
      </c>
      <c r="P55" s="116"/>
      <c r="Q55" s="119"/>
      <c r="R55" s="118"/>
      <c r="S55" s="118"/>
      <c r="T55" s="118" t="s">
        <v>496</v>
      </c>
      <c r="U55" s="118" t="s">
        <v>496</v>
      </c>
      <c r="V55" s="118" t="s">
        <v>496</v>
      </c>
      <c r="W55" s="118" t="s">
        <v>496</v>
      </c>
      <c r="X55" s="118" t="s">
        <v>496</v>
      </c>
      <c r="Y55" s="119"/>
      <c r="Z55" s="116" t="s">
        <v>509</v>
      </c>
      <c r="AA55" s="116" t="s">
        <v>509</v>
      </c>
      <c r="AB55" s="116" t="s">
        <v>509</v>
      </c>
      <c r="AC55" s="116" t="s">
        <v>509</v>
      </c>
      <c r="AD55" s="116" t="s">
        <v>509</v>
      </c>
      <c r="AE55" s="116" t="s">
        <v>509</v>
      </c>
      <c r="AF55" s="116" t="s">
        <v>509</v>
      </c>
      <c r="AG55" s="119"/>
      <c r="AH55" s="116" t="s">
        <v>517</v>
      </c>
      <c r="AI55" s="116" t="s">
        <v>517</v>
      </c>
      <c r="AJ55" s="116" t="s">
        <v>517</v>
      </c>
      <c r="AK55" s="116" t="s">
        <v>517</v>
      </c>
      <c r="AL55" s="116" t="s">
        <v>517</v>
      </c>
      <c r="AM55" s="116"/>
      <c r="AN55" s="116"/>
      <c r="AO55" s="119"/>
      <c r="AP55" s="117" t="s">
        <v>495</v>
      </c>
      <c r="AQ55" s="117" t="s">
        <v>495</v>
      </c>
      <c r="AR55" s="116"/>
      <c r="AS55" s="116" t="s">
        <v>495</v>
      </c>
      <c r="AT55" s="116" t="s">
        <v>495</v>
      </c>
      <c r="AU55" s="116" t="s">
        <v>495</v>
      </c>
      <c r="AV55" s="116" t="s">
        <v>495</v>
      </c>
      <c r="AW55" s="119"/>
      <c r="AX55" s="117" t="s">
        <v>499</v>
      </c>
      <c r="AY55" s="117" t="s">
        <v>499</v>
      </c>
      <c r="AZ55" s="117" t="s">
        <v>499</v>
      </c>
      <c r="BA55" s="117" t="s">
        <v>499</v>
      </c>
      <c r="BB55" s="117" t="s">
        <v>499</v>
      </c>
      <c r="BC55" s="117" t="s">
        <v>499</v>
      </c>
      <c r="BD55" s="117" t="s">
        <v>499</v>
      </c>
      <c r="BE55" s="119"/>
      <c r="BF55" s="116"/>
      <c r="BG55" s="116"/>
      <c r="BH55" s="116"/>
      <c r="BI55" s="116"/>
      <c r="BJ55" s="116"/>
      <c r="BK55" s="116" t="s">
        <v>512</v>
      </c>
      <c r="BL55" s="116" t="s">
        <v>512</v>
      </c>
      <c r="BM55" s="119"/>
      <c r="BN55" s="116"/>
      <c r="BO55" s="116"/>
      <c r="BP55" s="120"/>
      <c r="BQ55" s="120"/>
      <c r="BR55" s="120"/>
      <c r="BS55" s="120" t="s">
        <v>539</v>
      </c>
      <c r="BT55" s="120" t="s">
        <v>539</v>
      </c>
      <c r="BU55" s="119"/>
      <c r="BV55" s="116"/>
      <c r="BW55" s="116"/>
      <c r="BX55" s="116"/>
      <c r="BY55" s="116"/>
      <c r="BZ55" s="116"/>
      <c r="CA55" s="116"/>
      <c r="CB55" s="116"/>
      <c r="CC55" s="119"/>
      <c r="CD55" s="116"/>
      <c r="CE55" s="116" t="s">
        <v>530</v>
      </c>
      <c r="CF55" s="116" t="s">
        <v>530</v>
      </c>
      <c r="CG55" s="116" t="s">
        <v>530</v>
      </c>
      <c r="CH55" s="116"/>
      <c r="CI55" s="116"/>
      <c r="CJ55" s="116"/>
      <c r="CK55" s="119"/>
      <c r="CL55" s="116"/>
      <c r="CM55" s="116"/>
      <c r="CN55" s="116"/>
      <c r="CO55" s="116"/>
      <c r="CP55" s="116" t="s">
        <v>539</v>
      </c>
      <c r="CQ55" s="116" t="s">
        <v>539</v>
      </c>
      <c r="CR55" s="116" t="s">
        <v>539</v>
      </c>
      <c r="CS55" s="119"/>
    </row>
    <row r="56">
      <c r="A56" s="119"/>
      <c r="B56" s="117" t="s">
        <v>543</v>
      </c>
      <c r="C56" s="117" t="s">
        <v>543</v>
      </c>
      <c r="D56" s="116"/>
      <c r="E56" s="116"/>
      <c r="F56" s="116"/>
      <c r="G56" s="116"/>
      <c r="H56" s="117" t="s">
        <v>546</v>
      </c>
      <c r="I56" s="119"/>
      <c r="J56" s="117"/>
      <c r="K56" s="117"/>
      <c r="L56" s="117"/>
      <c r="M56" s="117"/>
      <c r="N56" s="117"/>
      <c r="O56" s="117" t="s">
        <v>499</v>
      </c>
      <c r="P56" s="117"/>
      <c r="Q56" s="119"/>
      <c r="R56" s="117"/>
      <c r="S56" s="117" t="s">
        <v>574</v>
      </c>
      <c r="T56" s="116"/>
      <c r="U56" s="116"/>
      <c r="V56" s="116"/>
      <c r="W56" s="116" t="s">
        <v>547</v>
      </c>
      <c r="X56" s="116" t="s">
        <v>547</v>
      </c>
      <c r="Y56" s="119"/>
      <c r="Z56" s="116" t="s">
        <v>520</v>
      </c>
      <c r="AA56" s="116" t="s">
        <v>520</v>
      </c>
      <c r="AB56" s="116" t="s">
        <v>520</v>
      </c>
      <c r="AC56" s="116" t="s">
        <v>520</v>
      </c>
      <c r="AD56" s="116" t="s">
        <v>520</v>
      </c>
      <c r="AE56" s="116" t="s">
        <v>520</v>
      </c>
      <c r="AF56" s="116" t="s">
        <v>520</v>
      </c>
      <c r="AG56" s="119"/>
      <c r="AH56" s="117"/>
      <c r="AI56" s="117"/>
      <c r="AJ56" s="117" t="s">
        <v>522</v>
      </c>
      <c r="AK56" s="117" t="s">
        <v>522</v>
      </c>
      <c r="AL56" s="117"/>
      <c r="AM56" s="117"/>
      <c r="AN56" s="116"/>
      <c r="AO56" s="119"/>
      <c r="AP56" s="116" t="s">
        <v>526</v>
      </c>
      <c r="AQ56" s="117"/>
      <c r="AR56" s="117"/>
      <c r="AS56" s="117" t="s">
        <v>561</v>
      </c>
      <c r="AT56" s="117"/>
      <c r="AU56" s="117"/>
      <c r="AV56" s="117"/>
      <c r="AW56" s="119"/>
      <c r="AX56" s="116"/>
      <c r="AY56" s="116"/>
      <c r="AZ56" s="116" t="s">
        <v>527</v>
      </c>
      <c r="BA56" s="116"/>
      <c r="BB56" s="116"/>
      <c r="BC56" s="116"/>
      <c r="BD56" s="116"/>
      <c r="BE56" s="119"/>
      <c r="BF56" s="116"/>
      <c r="BG56" s="116"/>
      <c r="BH56" s="116"/>
      <c r="BI56" s="116"/>
      <c r="BJ56" s="116"/>
      <c r="BK56" s="117" t="s">
        <v>522</v>
      </c>
      <c r="BL56" s="117" t="s">
        <v>522</v>
      </c>
      <c r="BM56" s="119"/>
      <c r="BN56" s="117" t="s">
        <v>521</v>
      </c>
      <c r="BO56" s="117" t="s">
        <v>521</v>
      </c>
      <c r="BP56" s="116"/>
      <c r="BQ56" s="116"/>
      <c r="BR56" s="116"/>
      <c r="BS56" s="116" t="s">
        <v>495</v>
      </c>
      <c r="BT56" s="116" t="s">
        <v>495</v>
      </c>
      <c r="BU56" s="119"/>
      <c r="BV56" s="120"/>
      <c r="BW56" s="120"/>
      <c r="BX56" s="120"/>
      <c r="BY56" s="120"/>
      <c r="BZ56" s="120"/>
      <c r="CA56" s="120"/>
      <c r="CB56" s="120"/>
      <c r="CC56" s="119"/>
      <c r="CD56" s="116"/>
      <c r="CE56" s="116"/>
      <c r="CF56" s="116"/>
      <c r="CG56" s="116"/>
      <c r="CH56" s="116"/>
      <c r="CI56" s="116"/>
      <c r="CJ56" s="116"/>
      <c r="CK56" s="119"/>
      <c r="CL56" s="116"/>
      <c r="CM56" s="116"/>
      <c r="CN56" s="116"/>
      <c r="CO56" s="116"/>
      <c r="CP56" s="116"/>
      <c r="CQ56" s="116"/>
      <c r="CR56" s="116"/>
      <c r="CS56" s="119"/>
    </row>
    <row r="57">
      <c r="A57" s="119"/>
      <c r="B57" s="116"/>
      <c r="C57" s="116"/>
      <c r="D57" s="116"/>
      <c r="E57" s="116"/>
      <c r="F57" s="116"/>
      <c r="G57" s="116"/>
      <c r="H57" s="116" t="s">
        <v>516</v>
      </c>
      <c r="I57" s="119"/>
      <c r="J57" s="117"/>
      <c r="K57" s="117"/>
      <c r="L57" s="117"/>
      <c r="M57" s="117"/>
      <c r="N57" s="117"/>
      <c r="O57" s="117" t="s">
        <v>504</v>
      </c>
      <c r="P57" s="117" t="s">
        <v>504</v>
      </c>
      <c r="Q57" s="119"/>
      <c r="R57" s="117"/>
      <c r="S57" s="117" t="s">
        <v>573</v>
      </c>
      <c r="T57" s="117" t="s">
        <v>573</v>
      </c>
      <c r="U57" s="116"/>
      <c r="V57" s="116"/>
      <c r="W57" s="116"/>
      <c r="X57" s="117" t="s">
        <v>504</v>
      </c>
      <c r="Y57" s="119"/>
      <c r="Z57" s="116"/>
      <c r="AA57" s="116"/>
      <c r="AB57" s="116"/>
      <c r="AC57" s="116"/>
      <c r="AD57" s="116"/>
      <c r="AE57" s="116"/>
      <c r="AF57" s="116" t="s">
        <v>511</v>
      </c>
      <c r="AG57" s="119"/>
      <c r="AH57" s="116"/>
      <c r="AI57" s="117" t="s">
        <v>530</v>
      </c>
      <c r="AJ57" s="117" t="s">
        <v>530</v>
      </c>
      <c r="AK57" s="117"/>
      <c r="AL57" s="117"/>
      <c r="AM57" s="117"/>
      <c r="AN57" s="117" t="s">
        <v>505</v>
      </c>
      <c r="AO57" s="119"/>
      <c r="AP57" s="117"/>
      <c r="AQ57" s="117"/>
      <c r="AR57" s="117" t="s">
        <v>493</v>
      </c>
      <c r="AS57" s="117"/>
      <c r="AT57" s="116"/>
      <c r="AU57" s="116"/>
      <c r="AV57" s="117" t="s">
        <v>530</v>
      </c>
      <c r="AW57" s="119"/>
      <c r="AX57" s="116" t="s">
        <v>512</v>
      </c>
      <c r="AY57" s="116"/>
      <c r="AZ57" s="116"/>
      <c r="BA57" s="116"/>
      <c r="BB57" s="116"/>
      <c r="BC57" s="116"/>
      <c r="BD57" s="116"/>
      <c r="BE57" s="119"/>
      <c r="BF57" s="116"/>
      <c r="BG57" s="116"/>
      <c r="BH57" s="116"/>
      <c r="BI57" s="116"/>
      <c r="BJ57" s="116"/>
      <c r="BK57" s="116"/>
      <c r="BL57" s="116"/>
      <c r="BM57" s="119"/>
      <c r="BN57" s="116" t="s">
        <v>508</v>
      </c>
      <c r="BO57" s="116" t="s">
        <v>508</v>
      </c>
      <c r="BP57" s="116"/>
      <c r="BQ57" s="116"/>
      <c r="BR57" s="116"/>
      <c r="BS57" s="116"/>
      <c r="BT57" s="116"/>
      <c r="BU57" s="119"/>
      <c r="BV57" s="116"/>
      <c r="BW57" s="116"/>
      <c r="BX57" s="116"/>
      <c r="BY57" s="116"/>
      <c r="BZ57" s="116"/>
      <c r="CA57" s="117"/>
      <c r="CB57" s="116"/>
      <c r="CC57" s="119"/>
      <c r="CD57" s="117"/>
      <c r="CE57" s="117"/>
      <c r="CF57" s="116"/>
      <c r="CG57" s="116"/>
      <c r="CH57" s="116"/>
      <c r="CI57" s="116"/>
      <c r="CJ57" s="116"/>
      <c r="CK57" s="119"/>
      <c r="CL57" s="117"/>
      <c r="CM57" s="117"/>
      <c r="CN57" s="117"/>
      <c r="CO57" s="117"/>
      <c r="CP57" s="117"/>
      <c r="CQ57" s="117"/>
      <c r="CR57" s="117"/>
      <c r="CS57" s="119"/>
    </row>
    <row r="58">
      <c r="A58" s="119"/>
      <c r="B58" s="117"/>
      <c r="C58" s="116" t="s">
        <v>497</v>
      </c>
      <c r="D58" s="117"/>
      <c r="E58" s="117"/>
      <c r="F58" s="117"/>
      <c r="G58" s="117"/>
      <c r="H58" s="117"/>
      <c r="I58" s="119"/>
      <c r="J58" s="117"/>
      <c r="K58" s="117"/>
      <c r="L58" s="117"/>
      <c r="M58" s="117" t="s">
        <v>510</v>
      </c>
      <c r="N58" s="117" t="s">
        <v>510</v>
      </c>
      <c r="O58" s="117" t="s">
        <v>510</v>
      </c>
      <c r="P58" s="117" t="s">
        <v>510</v>
      </c>
      <c r="Q58" s="119"/>
      <c r="R58" s="117"/>
      <c r="S58" s="117"/>
      <c r="T58" s="117"/>
      <c r="U58" s="117"/>
      <c r="V58" s="117"/>
      <c r="W58" s="117" t="s">
        <v>505</v>
      </c>
      <c r="X58" s="117" t="s">
        <v>505</v>
      </c>
      <c r="Y58" s="119"/>
      <c r="Z58" s="116"/>
      <c r="AA58" s="116"/>
      <c r="AB58" s="116"/>
      <c r="AC58" s="116"/>
      <c r="AD58" s="116"/>
      <c r="AE58" s="116"/>
      <c r="AF58" s="116" t="s">
        <v>503</v>
      </c>
      <c r="AG58" s="119"/>
      <c r="AH58" s="117" t="s">
        <v>508</v>
      </c>
      <c r="AI58" s="117" t="s">
        <v>508</v>
      </c>
      <c r="AJ58" s="117"/>
      <c r="AK58" s="117"/>
      <c r="AL58" s="117"/>
      <c r="AM58" s="117"/>
      <c r="AN58" s="116" t="s">
        <v>511</v>
      </c>
      <c r="AO58" s="119"/>
      <c r="AP58" s="117"/>
      <c r="AQ58" s="117"/>
      <c r="AR58" s="117"/>
      <c r="AS58" s="116" t="s">
        <v>496</v>
      </c>
      <c r="AT58" s="117"/>
      <c r="AU58" s="117"/>
      <c r="AV58" s="117"/>
      <c r="AW58" s="119"/>
      <c r="AX58" s="117" t="s">
        <v>530</v>
      </c>
      <c r="AY58" s="117" t="s">
        <v>530</v>
      </c>
      <c r="AZ58" s="117" t="s">
        <v>530</v>
      </c>
      <c r="BA58" s="117" t="s">
        <v>530</v>
      </c>
      <c r="BB58" s="117" t="s">
        <v>530</v>
      </c>
      <c r="BC58" s="117"/>
      <c r="BD58" s="117"/>
      <c r="BE58" s="119"/>
      <c r="BF58" s="116" t="s">
        <v>539</v>
      </c>
      <c r="BG58" s="116" t="s">
        <v>539</v>
      </c>
      <c r="BH58" s="116" t="s">
        <v>539</v>
      </c>
      <c r="BI58" s="116" t="s">
        <v>539</v>
      </c>
      <c r="BJ58" s="116" t="s">
        <v>539</v>
      </c>
      <c r="BK58" s="116" t="s">
        <v>539</v>
      </c>
      <c r="BL58" s="117"/>
      <c r="BM58" s="119"/>
      <c r="BN58" s="117"/>
      <c r="BO58" s="117" t="s">
        <v>494</v>
      </c>
      <c r="BP58" s="117" t="s">
        <v>494</v>
      </c>
      <c r="BQ58" s="117"/>
      <c r="BR58" s="117"/>
      <c r="BS58" s="117"/>
      <c r="BT58" s="117"/>
      <c r="BU58" s="119"/>
      <c r="BV58" s="117"/>
      <c r="BW58" s="117"/>
      <c r="BX58" s="117"/>
      <c r="BY58" s="117"/>
      <c r="BZ58" s="117"/>
      <c r="CA58" s="117"/>
      <c r="CB58" s="116"/>
      <c r="CC58" s="119"/>
      <c r="CD58" s="117"/>
      <c r="CE58" s="117"/>
      <c r="CF58" s="117"/>
      <c r="CG58" s="124"/>
      <c r="CH58" s="117"/>
      <c r="CI58" s="116"/>
      <c r="CJ58" s="116"/>
      <c r="CK58" s="119"/>
      <c r="CL58" s="117"/>
      <c r="CM58" s="117"/>
      <c r="CN58" s="117"/>
      <c r="CO58" s="117"/>
      <c r="CP58" s="117"/>
      <c r="CQ58" s="117"/>
      <c r="CR58" s="117"/>
      <c r="CS58" s="119"/>
    </row>
    <row r="59">
      <c r="A59" s="119"/>
      <c r="B59" s="117"/>
      <c r="C59" s="117" t="s">
        <v>565</v>
      </c>
      <c r="D59" s="117"/>
      <c r="E59" s="117"/>
      <c r="F59" s="117"/>
      <c r="G59" s="117"/>
      <c r="H59" s="117"/>
      <c r="I59" s="119"/>
      <c r="J59" s="117" t="s">
        <v>505</v>
      </c>
      <c r="K59" s="117"/>
      <c r="L59" s="117"/>
      <c r="M59" s="117"/>
      <c r="N59" s="117"/>
      <c r="O59" s="117"/>
      <c r="P59" s="117" t="s">
        <v>505</v>
      </c>
      <c r="Q59" s="119"/>
      <c r="R59" s="117"/>
      <c r="S59" s="131"/>
      <c r="T59" s="117"/>
      <c r="U59" s="117"/>
      <c r="V59" s="117"/>
      <c r="W59" s="117"/>
      <c r="X59" s="117" t="s">
        <v>503</v>
      </c>
      <c r="Y59" s="119"/>
      <c r="Z59" s="117"/>
      <c r="AA59" s="117"/>
      <c r="AB59" s="117"/>
      <c r="AC59" s="117"/>
      <c r="AD59" s="117"/>
      <c r="AE59" s="117"/>
      <c r="AF59" s="117"/>
      <c r="AG59" s="119"/>
      <c r="AH59" s="117"/>
      <c r="AI59" s="117"/>
      <c r="AJ59" s="117" t="s">
        <v>516</v>
      </c>
      <c r="AK59" s="117" t="s">
        <v>516</v>
      </c>
      <c r="AL59" s="117" t="s">
        <v>516</v>
      </c>
      <c r="AM59" s="117" t="s">
        <v>516</v>
      </c>
      <c r="AN59" s="117"/>
      <c r="AO59" s="119"/>
      <c r="AP59" s="117"/>
      <c r="AQ59" s="117"/>
      <c r="AR59" s="117"/>
      <c r="AS59" s="117"/>
      <c r="AT59" s="117"/>
      <c r="AU59" s="117"/>
      <c r="AV59" s="117" t="s">
        <v>505</v>
      </c>
      <c r="AW59" s="119"/>
      <c r="AX59" s="117"/>
      <c r="AY59" s="117"/>
      <c r="AZ59" s="117" t="s">
        <v>496</v>
      </c>
      <c r="BA59" s="117" t="s">
        <v>496</v>
      </c>
      <c r="BB59" s="117" t="s">
        <v>496</v>
      </c>
      <c r="BC59" s="117" t="s">
        <v>496</v>
      </c>
      <c r="BD59" s="117" t="s">
        <v>496</v>
      </c>
      <c r="BE59" s="119"/>
      <c r="BF59" s="117" t="s">
        <v>553</v>
      </c>
      <c r="BG59" s="117" t="s">
        <v>553</v>
      </c>
      <c r="BH59" s="117"/>
      <c r="BI59" s="117"/>
      <c r="BJ59" s="117"/>
      <c r="BK59" s="117"/>
      <c r="BL59" s="117"/>
      <c r="BM59" s="119"/>
      <c r="BN59" s="116"/>
      <c r="BO59" s="116"/>
      <c r="BP59" s="116"/>
      <c r="BQ59" s="116"/>
      <c r="BR59" s="116" t="s">
        <v>549</v>
      </c>
      <c r="BS59" s="116"/>
      <c r="BT59" s="116"/>
      <c r="BU59" s="119"/>
      <c r="BV59" s="117"/>
      <c r="BW59" s="117"/>
      <c r="BX59" s="117"/>
      <c r="BY59" s="117"/>
      <c r="BZ59" s="117"/>
      <c r="CA59" s="117"/>
      <c r="CB59" s="117"/>
      <c r="CC59" s="119"/>
      <c r="CD59" s="117"/>
      <c r="CE59" s="117"/>
      <c r="CF59" s="117"/>
      <c r="CG59" s="117"/>
      <c r="CH59" s="117"/>
      <c r="CI59" s="117"/>
      <c r="CJ59" s="117"/>
      <c r="CK59" s="119"/>
      <c r="CL59" s="117"/>
      <c r="CM59" s="117"/>
      <c r="CN59" s="117"/>
      <c r="CO59" s="117"/>
      <c r="CP59" s="117"/>
      <c r="CQ59" s="117"/>
      <c r="CR59" s="117"/>
      <c r="CS59" s="119"/>
    </row>
    <row r="60">
      <c r="A60" s="119"/>
      <c r="B60" s="117"/>
      <c r="C60" s="117"/>
      <c r="D60" s="117"/>
      <c r="E60" s="117" t="s">
        <v>559</v>
      </c>
      <c r="F60" s="117" t="s">
        <v>559</v>
      </c>
      <c r="G60" s="117" t="s">
        <v>559</v>
      </c>
      <c r="H60" s="117" t="s">
        <v>559</v>
      </c>
      <c r="I60" s="119"/>
      <c r="J60" s="117" t="s">
        <v>565</v>
      </c>
      <c r="K60" s="117" t="s">
        <v>565</v>
      </c>
      <c r="L60" s="117"/>
      <c r="M60" s="117"/>
      <c r="N60" s="117"/>
      <c r="O60" s="117"/>
      <c r="P60" s="117" t="s">
        <v>503</v>
      </c>
      <c r="Q60" s="119"/>
      <c r="R60" s="117"/>
      <c r="S60" s="131"/>
      <c r="T60" s="117"/>
      <c r="U60" s="117"/>
      <c r="V60" s="117"/>
      <c r="W60" s="117"/>
      <c r="X60" s="117" t="s">
        <v>511</v>
      </c>
      <c r="Y60" s="119"/>
      <c r="Z60" s="117"/>
      <c r="AA60" s="117"/>
      <c r="AB60" s="117"/>
      <c r="AC60" s="117"/>
      <c r="AD60" s="117"/>
      <c r="AE60" s="117"/>
      <c r="AF60" s="117"/>
      <c r="AG60" s="119"/>
      <c r="AH60" s="117"/>
      <c r="AI60" s="117" t="s">
        <v>518</v>
      </c>
      <c r="AJ60" s="117"/>
      <c r="AK60" s="117"/>
      <c r="AL60" s="117"/>
      <c r="AM60" s="117"/>
      <c r="AN60" s="117"/>
      <c r="AO60" s="119"/>
      <c r="AP60" s="117"/>
      <c r="AQ60" s="117"/>
      <c r="AR60" s="117" t="s">
        <v>498</v>
      </c>
      <c r="AS60" s="117"/>
      <c r="AT60" s="116"/>
      <c r="AU60" s="116"/>
      <c r="AV60" s="116" t="s">
        <v>525</v>
      </c>
      <c r="AW60" s="119"/>
      <c r="AX60" s="117"/>
      <c r="AY60" s="117"/>
      <c r="AZ60" s="117"/>
      <c r="BA60" s="117"/>
      <c r="BB60" s="117"/>
      <c r="BC60" s="116" t="s">
        <v>521</v>
      </c>
      <c r="BD60" s="116" t="s">
        <v>521</v>
      </c>
      <c r="BE60" s="119"/>
      <c r="BF60" s="117"/>
      <c r="BG60" s="117"/>
      <c r="BH60" s="117"/>
      <c r="BI60" s="117"/>
      <c r="BJ60" s="117"/>
      <c r="BK60" s="117"/>
      <c r="BL60" s="117"/>
      <c r="BM60" s="119"/>
      <c r="BN60" s="117"/>
      <c r="BO60" s="117"/>
      <c r="BP60" s="117"/>
      <c r="BQ60" s="117"/>
      <c r="BR60" s="117"/>
      <c r="BS60" s="117"/>
      <c r="BT60" s="116"/>
      <c r="BU60" s="119"/>
      <c r="BV60" s="117"/>
      <c r="BW60" s="117"/>
      <c r="BX60" s="117"/>
      <c r="BY60" s="117"/>
      <c r="BZ60" s="117"/>
      <c r="CA60" s="117"/>
      <c r="CB60" s="117"/>
      <c r="CC60" s="119"/>
      <c r="CD60" s="117"/>
      <c r="CE60" s="117"/>
      <c r="CF60" s="117"/>
      <c r="CG60" s="117"/>
      <c r="CH60" s="117"/>
      <c r="CI60" s="117"/>
      <c r="CJ60" s="117"/>
      <c r="CK60" s="119"/>
      <c r="CL60" s="117"/>
      <c r="CM60" s="117"/>
      <c r="CN60" s="117"/>
      <c r="CO60" s="117"/>
      <c r="CP60" s="117"/>
      <c r="CQ60" s="117"/>
      <c r="CR60" s="117"/>
      <c r="CS60" s="119"/>
    </row>
    <row r="61">
      <c r="A61" s="119"/>
      <c r="B61" s="117" t="s">
        <v>504</v>
      </c>
      <c r="C61" s="117" t="s">
        <v>504</v>
      </c>
      <c r="D61" s="117"/>
      <c r="E61" s="117"/>
      <c r="F61" s="117"/>
      <c r="G61" s="117"/>
      <c r="H61" s="117"/>
      <c r="I61" s="119"/>
      <c r="J61" s="117"/>
      <c r="K61" s="117"/>
      <c r="L61" s="117"/>
      <c r="M61" s="117"/>
      <c r="N61" s="117"/>
      <c r="O61" s="117"/>
      <c r="P61" s="117" t="s">
        <v>511</v>
      </c>
      <c r="Q61" s="119"/>
      <c r="R61" s="117"/>
      <c r="S61" s="117"/>
      <c r="T61" s="117"/>
      <c r="U61" s="117" t="s">
        <v>548</v>
      </c>
      <c r="V61" s="117" t="s">
        <v>548</v>
      </c>
      <c r="W61" s="117" t="s">
        <v>548</v>
      </c>
      <c r="X61" s="117" t="s">
        <v>548</v>
      </c>
      <c r="Y61" s="119"/>
      <c r="Z61" s="117"/>
      <c r="AA61" s="117"/>
      <c r="AB61" s="117"/>
      <c r="AC61" s="117"/>
      <c r="AD61" s="117"/>
      <c r="AE61" s="117"/>
      <c r="AF61" s="117"/>
      <c r="AG61" s="119"/>
      <c r="AH61" s="117" t="s">
        <v>531</v>
      </c>
      <c r="AI61" s="117"/>
      <c r="AJ61" s="117"/>
      <c r="AK61" s="117"/>
      <c r="AL61" s="117"/>
      <c r="AM61" s="117" t="s">
        <v>526</v>
      </c>
      <c r="AN61" s="117"/>
      <c r="AO61" s="119"/>
      <c r="AP61" s="116"/>
      <c r="AQ61" s="116"/>
      <c r="AR61" s="117" t="s">
        <v>544</v>
      </c>
      <c r="AS61" s="117" t="s">
        <v>544</v>
      </c>
      <c r="AT61" s="117"/>
      <c r="AU61" s="117" t="s">
        <v>531</v>
      </c>
      <c r="AV61" s="117" t="s">
        <v>531</v>
      </c>
      <c r="AW61" s="119"/>
      <c r="AX61" s="117" t="s">
        <v>519</v>
      </c>
      <c r="AY61" s="117" t="s">
        <v>519</v>
      </c>
      <c r="AZ61" s="117"/>
      <c r="BA61" s="117"/>
      <c r="BB61" s="117"/>
      <c r="BC61" s="117"/>
      <c r="BD61" s="117"/>
      <c r="BE61" s="119"/>
      <c r="BF61" s="116"/>
      <c r="BG61" s="116" t="s">
        <v>494</v>
      </c>
      <c r="BH61" s="116"/>
      <c r="BI61" s="117"/>
      <c r="BJ61" s="117" t="s">
        <v>562</v>
      </c>
      <c r="BK61" s="117" t="s">
        <v>562</v>
      </c>
      <c r="BL61" s="117"/>
      <c r="BM61" s="119"/>
      <c r="BN61" s="117"/>
      <c r="BO61" s="117"/>
      <c r="BP61" s="117"/>
      <c r="BQ61" s="117"/>
      <c r="BR61" s="117"/>
      <c r="BS61" s="117"/>
      <c r="BT61" s="117"/>
      <c r="BU61" s="119"/>
      <c r="BV61" s="117"/>
      <c r="BW61" s="117"/>
      <c r="BX61" s="117"/>
      <c r="BY61" s="117"/>
      <c r="BZ61" s="117"/>
      <c r="CA61" s="117"/>
      <c r="CB61" s="117"/>
      <c r="CC61" s="119"/>
      <c r="CD61" s="117"/>
      <c r="CE61" s="117"/>
      <c r="CF61" s="117"/>
      <c r="CG61" s="116"/>
      <c r="CH61" s="117"/>
      <c r="CI61" s="117"/>
      <c r="CJ61" s="116"/>
      <c r="CK61" s="119"/>
      <c r="CL61" s="117"/>
      <c r="CM61" s="117"/>
      <c r="CN61" s="117"/>
      <c r="CO61" s="117"/>
      <c r="CP61" s="117"/>
      <c r="CQ61" s="117"/>
      <c r="CR61" s="117"/>
      <c r="CS61" s="119"/>
    </row>
    <row r="62">
      <c r="A62" s="119"/>
      <c r="B62" s="117" t="s">
        <v>549</v>
      </c>
      <c r="C62" s="117" t="s">
        <v>549</v>
      </c>
      <c r="D62" s="117" t="s">
        <v>549</v>
      </c>
      <c r="E62" s="117" t="s">
        <v>549</v>
      </c>
      <c r="F62" s="117" t="s">
        <v>549</v>
      </c>
      <c r="G62" s="117" t="s">
        <v>549</v>
      </c>
      <c r="H62" s="117" t="s">
        <v>549</v>
      </c>
      <c r="I62" s="119"/>
      <c r="J62" s="117" t="s">
        <v>506</v>
      </c>
      <c r="K62" s="117" t="s">
        <v>506</v>
      </c>
      <c r="L62" s="117" t="s">
        <v>506</v>
      </c>
      <c r="M62" s="117" t="s">
        <v>506</v>
      </c>
      <c r="N62" s="117"/>
      <c r="O62" s="117"/>
      <c r="P62" s="117"/>
      <c r="Q62" s="119"/>
      <c r="R62" s="117"/>
      <c r="S62" s="117"/>
      <c r="T62" s="117"/>
      <c r="U62" s="117"/>
      <c r="V62" s="117" t="s">
        <v>564</v>
      </c>
      <c r="W62" s="117" t="s">
        <v>564</v>
      </c>
      <c r="X62" s="117" t="s">
        <v>564</v>
      </c>
      <c r="Y62" s="119"/>
      <c r="Z62" s="117"/>
      <c r="AA62" s="117"/>
      <c r="AB62" s="117"/>
      <c r="AC62" s="117"/>
      <c r="AD62" s="117"/>
      <c r="AE62" s="117"/>
      <c r="AF62" s="117"/>
      <c r="AG62" s="119"/>
      <c r="AH62" s="116"/>
      <c r="AI62" s="116"/>
      <c r="AJ62" s="116"/>
      <c r="AK62" s="116"/>
      <c r="AL62" s="116"/>
      <c r="AM62" s="120" t="s">
        <v>517</v>
      </c>
      <c r="AN62" s="120" t="s">
        <v>517</v>
      </c>
      <c r="AO62" s="119"/>
      <c r="AP62" s="117"/>
      <c r="AQ62" s="117" t="s">
        <v>575</v>
      </c>
      <c r="AR62" s="117" t="s">
        <v>575</v>
      </c>
      <c r="AS62" s="117" t="s">
        <v>575</v>
      </c>
      <c r="AT62" s="117" t="s">
        <v>575</v>
      </c>
      <c r="AU62" s="117" t="s">
        <v>575</v>
      </c>
      <c r="AV62" s="117" t="s">
        <v>575</v>
      </c>
      <c r="AW62" s="119"/>
      <c r="AX62" s="117" t="s">
        <v>553</v>
      </c>
      <c r="AY62" s="117" t="s">
        <v>553</v>
      </c>
      <c r="AZ62" s="117"/>
      <c r="BA62" s="117"/>
      <c r="BB62" s="117"/>
      <c r="BC62" s="117"/>
      <c r="BD62" s="117"/>
      <c r="BE62" s="119"/>
      <c r="BF62" s="117"/>
      <c r="BG62" s="117" t="s">
        <v>498</v>
      </c>
      <c r="BH62" s="117"/>
      <c r="BI62" s="117"/>
      <c r="BJ62" s="117"/>
      <c r="BK62" s="117"/>
      <c r="BL62" s="117" t="s">
        <v>511</v>
      </c>
      <c r="BM62" s="119"/>
      <c r="BN62" s="117"/>
      <c r="BO62" s="117"/>
      <c r="BP62" s="117"/>
      <c r="BQ62" s="117"/>
      <c r="BR62" s="117"/>
      <c r="BS62" s="117"/>
      <c r="BT62" s="117"/>
      <c r="BU62" s="119"/>
      <c r="BV62" s="117"/>
      <c r="BW62" s="117"/>
      <c r="BX62" s="117"/>
      <c r="BY62" s="117"/>
      <c r="BZ62" s="117"/>
      <c r="CA62" s="117"/>
      <c r="CB62" s="117"/>
      <c r="CC62" s="119"/>
      <c r="CD62" s="117"/>
      <c r="CE62" s="117"/>
      <c r="CF62" s="117"/>
      <c r="CG62" s="117"/>
      <c r="CH62" s="117"/>
      <c r="CI62" s="117"/>
      <c r="CJ62" s="117"/>
      <c r="CK62" s="119"/>
      <c r="CL62" s="117"/>
      <c r="CM62" s="117"/>
      <c r="CN62" s="117"/>
      <c r="CO62" s="117"/>
      <c r="CP62" s="117"/>
      <c r="CQ62" s="117"/>
      <c r="CR62" s="117"/>
      <c r="CS62" s="119"/>
    </row>
    <row r="63">
      <c r="A63" s="119"/>
      <c r="B63" s="117"/>
      <c r="C63" s="117" t="s">
        <v>498</v>
      </c>
      <c r="D63" s="117"/>
      <c r="E63" s="117"/>
      <c r="F63" s="117"/>
      <c r="G63" s="117"/>
      <c r="H63" s="117"/>
      <c r="I63" s="119"/>
      <c r="J63" s="116" t="s">
        <v>532</v>
      </c>
      <c r="K63" s="116" t="s">
        <v>532</v>
      </c>
      <c r="L63" s="116" t="s">
        <v>532</v>
      </c>
      <c r="M63" s="116" t="s">
        <v>532</v>
      </c>
      <c r="N63" s="116" t="s">
        <v>532</v>
      </c>
      <c r="O63" s="116" t="s">
        <v>532</v>
      </c>
      <c r="P63" s="116" t="s">
        <v>532</v>
      </c>
      <c r="Q63" s="119"/>
      <c r="R63" s="117"/>
      <c r="S63" s="117"/>
      <c r="T63" s="117"/>
      <c r="U63" s="117"/>
      <c r="V63" s="117"/>
      <c r="W63" s="117" t="s">
        <v>539</v>
      </c>
      <c r="X63" s="117" t="s">
        <v>539</v>
      </c>
      <c r="Y63" s="119"/>
      <c r="Z63" s="117"/>
      <c r="AA63" s="117"/>
      <c r="AB63" s="117"/>
      <c r="AC63" s="117"/>
      <c r="AD63" s="117"/>
      <c r="AE63" s="117"/>
      <c r="AF63" s="117"/>
      <c r="AG63" s="119"/>
      <c r="AH63" s="116"/>
      <c r="AI63" s="116"/>
      <c r="AJ63" s="116" t="s">
        <v>527</v>
      </c>
      <c r="AK63" s="116"/>
      <c r="AL63" s="116" t="s">
        <v>527</v>
      </c>
      <c r="AM63" s="116"/>
      <c r="AN63" s="117"/>
      <c r="AO63" s="119"/>
      <c r="AP63" s="117"/>
      <c r="AQ63" s="117"/>
      <c r="AR63" s="117"/>
      <c r="AS63" s="117"/>
      <c r="AT63" s="117"/>
      <c r="AU63" s="117"/>
      <c r="AV63" s="117"/>
      <c r="AW63" s="119"/>
      <c r="AX63" s="117"/>
      <c r="AY63" s="117"/>
      <c r="AZ63" s="117"/>
      <c r="BA63" s="117"/>
      <c r="BB63" s="117"/>
      <c r="BC63" s="117" t="s">
        <v>527</v>
      </c>
      <c r="BD63" s="117" t="s">
        <v>527</v>
      </c>
      <c r="BE63" s="119"/>
      <c r="BF63" s="117"/>
      <c r="BG63" s="117" t="s">
        <v>493</v>
      </c>
      <c r="BH63" s="117" t="s">
        <v>493</v>
      </c>
      <c r="BI63" s="117" t="s">
        <v>493</v>
      </c>
      <c r="BJ63" s="117" t="s">
        <v>493</v>
      </c>
      <c r="BK63" s="117" t="s">
        <v>493</v>
      </c>
      <c r="BL63" s="117" t="s">
        <v>493</v>
      </c>
      <c r="BM63" s="119"/>
      <c r="BN63" s="117"/>
      <c r="BO63" s="117"/>
      <c r="BP63" s="117"/>
      <c r="BQ63" s="117"/>
      <c r="BR63" s="117"/>
      <c r="BS63" s="117"/>
      <c r="BT63" s="117"/>
      <c r="BU63" s="119"/>
      <c r="BV63" s="117"/>
      <c r="BW63" s="117"/>
      <c r="BX63" s="117"/>
      <c r="BY63" s="117"/>
      <c r="BZ63" s="117"/>
      <c r="CA63" s="117"/>
      <c r="CB63" s="117"/>
      <c r="CC63" s="119"/>
      <c r="CD63" s="117"/>
      <c r="CE63" s="117"/>
      <c r="CF63" s="117"/>
      <c r="CG63" s="117"/>
      <c r="CH63" s="117"/>
      <c r="CI63" s="117"/>
      <c r="CJ63" s="117"/>
      <c r="CK63" s="119"/>
      <c r="CL63" s="117"/>
      <c r="CM63" s="117"/>
      <c r="CN63" s="117"/>
      <c r="CO63" s="117"/>
      <c r="CP63" s="117"/>
      <c r="CQ63" s="117"/>
      <c r="CR63" s="117"/>
      <c r="CS63" s="119"/>
    </row>
    <row r="64">
      <c r="A64" s="119"/>
      <c r="B64" s="117" t="s">
        <v>528</v>
      </c>
      <c r="C64" s="117" t="s">
        <v>528</v>
      </c>
      <c r="D64" s="117" t="s">
        <v>528</v>
      </c>
      <c r="E64" s="117" t="s">
        <v>528</v>
      </c>
      <c r="F64" s="117" t="s">
        <v>528</v>
      </c>
      <c r="G64" s="117" t="s">
        <v>528</v>
      </c>
      <c r="H64" s="117" t="s">
        <v>528</v>
      </c>
      <c r="I64" s="128"/>
      <c r="J64" s="118"/>
      <c r="K64" s="118"/>
      <c r="L64" s="118"/>
      <c r="M64" s="118"/>
      <c r="N64" s="118"/>
      <c r="O64" s="118" t="s">
        <v>550</v>
      </c>
      <c r="P64" s="118" t="s">
        <v>550</v>
      </c>
      <c r="Q64" s="128"/>
      <c r="R64" s="118"/>
      <c r="S64" s="118"/>
      <c r="T64" s="118"/>
      <c r="U64" s="118"/>
      <c r="V64" s="118"/>
      <c r="W64" s="118"/>
      <c r="X64" s="118" t="s">
        <v>516</v>
      </c>
      <c r="Y64" s="128"/>
      <c r="Z64" s="118"/>
      <c r="AA64" s="118"/>
      <c r="AB64" s="118"/>
      <c r="AC64" s="118"/>
      <c r="AD64" s="118"/>
      <c r="AE64" s="118"/>
      <c r="AF64" s="118"/>
      <c r="AG64" s="128"/>
      <c r="AH64" s="120" t="s">
        <v>564</v>
      </c>
      <c r="AI64" s="120" t="s">
        <v>564</v>
      </c>
      <c r="AJ64" s="120" t="s">
        <v>564</v>
      </c>
      <c r="AK64" s="120"/>
      <c r="AL64" s="120"/>
      <c r="AM64" s="120" t="s">
        <v>524</v>
      </c>
      <c r="AN64" s="120" t="s">
        <v>524</v>
      </c>
      <c r="AO64" s="128"/>
      <c r="AP64" s="117" t="s">
        <v>508</v>
      </c>
      <c r="AQ64" s="117" t="s">
        <v>508</v>
      </c>
      <c r="AR64" s="118"/>
      <c r="AS64" s="118"/>
      <c r="AT64" s="118"/>
      <c r="AU64" s="118"/>
      <c r="AV64" s="118"/>
      <c r="AW64" s="129"/>
      <c r="AX64" s="118"/>
      <c r="AY64" s="118"/>
      <c r="AZ64" s="118"/>
      <c r="BA64" s="118"/>
      <c r="BB64" s="118"/>
      <c r="BC64" s="118"/>
      <c r="BD64" s="116" t="s">
        <v>537</v>
      </c>
      <c r="BE64" s="119"/>
      <c r="BF64" s="118"/>
      <c r="BG64" s="118"/>
      <c r="BH64" s="118"/>
      <c r="BI64" s="118"/>
      <c r="BJ64" s="118"/>
      <c r="BK64" s="118"/>
      <c r="BL64" s="118"/>
      <c r="BM64" s="129"/>
      <c r="BN64" s="118"/>
      <c r="BO64" s="118"/>
      <c r="BP64" s="118"/>
      <c r="BQ64" s="118"/>
      <c r="BR64" s="118"/>
      <c r="BS64" s="118"/>
      <c r="BT64" s="118"/>
      <c r="BU64" s="119"/>
      <c r="BV64" s="118"/>
      <c r="BW64" s="118"/>
      <c r="BX64" s="118"/>
      <c r="BY64" s="118"/>
      <c r="BZ64" s="118"/>
      <c r="CA64" s="118"/>
      <c r="CB64" s="118"/>
      <c r="CC64" s="119"/>
      <c r="CD64" s="118"/>
      <c r="CE64" s="118"/>
      <c r="CF64" s="118"/>
      <c r="CG64" s="118"/>
      <c r="CH64" s="118"/>
      <c r="CI64" s="118"/>
      <c r="CJ64" s="118"/>
      <c r="CK64" s="119"/>
      <c r="CL64" s="118"/>
      <c r="CM64" s="118"/>
      <c r="CN64" s="118"/>
      <c r="CO64" s="118"/>
      <c r="CP64" s="118"/>
      <c r="CQ64" s="118"/>
      <c r="CR64" s="118"/>
      <c r="CS64" s="119"/>
    </row>
    <row r="65">
      <c r="A65" s="119"/>
      <c r="B65" s="118" t="s">
        <v>496</v>
      </c>
      <c r="C65" s="118" t="s">
        <v>496</v>
      </c>
      <c r="D65" s="118" t="s">
        <v>496</v>
      </c>
      <c r="E65" s="118" t="s">
        <v>496</v>
      </c>
      <c r="F65" s="118" t="s">
        <v>496</v>
      </c>
      <c r="G65" s="118" t="s">
        <v>496</v>
      </c>
      <c r="H65" s="118" t="s">
        <v>496</v>
      </c>
      <c r="I65" s="128"/>
      <c r="J65" s="118"/>
      <c r="K65" s="118"/>
      <c r="L65" s="118"/>
      <c r="M65" s="118"/>
      <c r="N65" s="118"/>
      <c r="O65" s="118"/>
      <c r="P65" s="118"/>
      <c r="Q65" s="128"/>
      <c r="R65" s="117" t="s">
        <v>556</v>
      </c>
      <c r="S65" s="117" t="s">
        <v>556</v>
      </c>
      <c r="T65" s="117" t="s">
        <v>556</v>
      </c>
      <c r="U65" s="117" t="s">
        <v>556</v>
      </c>
      <c r="V65" s="117" t="s">
        <v>556</v>
      </c>
      <c r="W65" s="117" t="s">
        <v>556</v>
      </c>
      <c r="X65" s="117" t="s">
        <v>556</v>
      </c>
      <c r="Y65" s="128"/>
      <c r="Z65" s="118"/>
      <c r="AA65" s="118"/>
      <c r="AB65" s="118"/>
      <c r="AC65" s="118"/>
      <c r="AD65" s="118"/>
      <c r="AE65" s="118"/>
      <c r="AF65" s="118"/>
      <c r="AG65" s="128"/>
      <c r="AH65" s="120"/>
      <c r="AI65" s="120" t="s">
        <v>499</v>
      </c>
      <c r="AJ65" s="120" t="s">
        <v>499</v>
      </c>
      <c r="AK65" s="120"/>
      <c r="AL65" s="120"/>
      <c r="AM65" s="120"/>
      <c r="AN65" s="118" t="s">
        <v>553</v>
      </c>
      <c r="AO65" s="128"/>
      <c r="AP65" s="117" t="s">
        <v>549</v>
      </c>
      <c r="AQ65" s="117" t="s">
        <v>549</v>
      </c>
      <c r="AR65" s="117" t="s">
        <v>549</v>
      </c>
      <c r="AS65" s="117" t="s">
        <v>549</v>
      </c>
      <c r="AT65" s="117" t="s">
        <v>549</v>
      </c>
      <c r="AU65" s="117" t="s">
        <v>549</v>
      </c>
      <c r="AV65" s="117" t="s">
        <v>549</v>
      </c>
      <c r="AW65" s="129"/>
      <c r="AX65" s="118"/>
      <c r="AY65" s="118"/>
      <c r="AZ65" s="118"/>
      <c r="BA65" s="118"/>
      <c r="BB65" s="118"/>
      <c r="BC65" s="118"/>
      <c r="BD65" s="118" t="s">
        <v>511</v>
      </c>
      <c r="BE65" s="119"/>
      <c r="BF65" s="118"/>
      <c r="BG65" s="118"/>
      <c r="BH65" s="118"/>
      <c r="BI65" s="118"/>
      <c r="BJ65" s="118"/>
      <c r="BK65" s="118"/>
      <c r="BL65" s="118"/>
      <c r="BM65" s="129"/>
      <c r="BN65" s="118"/>
      <c r="BO65" s="118"/>
      <c r="BP65" s="118"/>
      <c r="BQ65" s="118"/>
      <c r="BR65" s="118"/>
      <c r="BS65" s="118"/>
      <c r="BT65" s="118"/>
      <c r="BU65" s="119"/>
      <c r="BV65" s="118"/>
      <c r="BW65" s="117"/>
      <c r="BX65" s="117"/>
      <c r="BY65" s="117"/>
      <c r="BZ65" s="117"/>
      <c r="CA65" s="117"/>
      <c r="CB65" s="117"/>
      <c r="CC65" s="119"/>
      <c r="CD65" s="118"/>
      <c r="CE65" s="118"/>
      <c r="CF65" s="118"/>
      <c r="CG65" s="118"/>
      <c r="CH65" s="118"/>
      <c r="CI65" s="118"/>
      <c r="CJ65" s="118"/>
      <c r="CK65" s="119"/>
      <c r="CL65" s="118"/>
      <c r="CM65" s="118"/>
      <c r="CN65" s="118"/>
      <c r="CO65" s="118"/>
      <c r="CP65" s="118"/>
      <c r="CQ65" s="118"/>
      <c r="CR65" s="118"/>
      <c r="CS65" s="119"/>
    </row>
    <row r="66">
      <c r="A66" s="119"/>
      <c r="B66" s="118"/>
      <c r="C66" s="118"/>
      <c r="D66" s="118"/>
      <c r="E66" s="118"/>
      <c r="F66" s="118"/>
      <c r="G66" s="118"/>
      <c r="H66" s="118"/>
      <c r="I66" s="128"/>
      <c r="J66" s="118"/>
      <c r="K66" s="118"/>
      <c r="L66" s="118"/>
      <c r="M66" s="118"/>
      <c r="N66" s="118"/>
      <c r="O66" s="118"/>
      <c r="P66" s="118"/>
      <c r="Q66" s="128"/>
      <c r="R66" s="118"/>
      <c r="S66" s="118"/>
      <c r="T66" s="118"/>
      <c r="U66" s="118" t="s">
        <v>522</v>
      </c>
      <c r="V66" s="118" t="s">
        <v>522</v>
      </c>
      <c r="W66" s="118" t="s">
        <v>522</v>
      </c>
      <c r="X66" s="118" t="s">
        <v>522</v>
      </c>
      <c r="Y66" s="128"/>
      <c r="Z66" s="118"/>
      <c r="AA66" s="118"/>
      <c r="AB66" s="118"/>
      <c r="AC66" s="118"/>
      <c r="AD66" s="118"/>
      <c r="AE66" s="118"/>
      <c r="AF66" s="118"/>
      <c r="AG66" s="128"/>
      <c r="AH66" s="117" t="s">
        <v>535</v>
      </c>
      <c r="AI66" s="117" t="s">
        <v>535</v>
      </c>
      <c r="AJ66" s="117" t="s">
        <v>535</v>
      </c>
      <c r="AK66" s="117" t="s">
        <v>535</v>
      </c>
      <c r="AL66" s="120"/>
      <c r="AM66" s="120"/>
      <c r="AN66" s="118"/>
      <c r="AO66" s="128"/>
      <c r="AP66" s="118"/>
      <c r="AQ66" s="118"/>
      <c r="AR66" s="118"/>
      <c r="AS66" s="118"/>
      <c r="AT66" s="118"/>
      <c r="AU66" s="118" t="s">
        <v>553</v>
      </c>
      <c r="AV66" s="118" t="s">
        <v>553</v>
      </c>
      <c r="AW66" s="129"/>
      <c r="AX66" s="118"/>
      <c r="AY66" s="118"/>
      <c r="AZ66" s="118"/>
      <c r="BA66" s="118"/>
      <c r="BB66" s="118"/>
      <c r="BC66" s="118"/>
      <c r="BD66" s="118"/>
      <c r="BE66" s="119"/>
      <c r="BF66" s="118"/>
      <c r="BG66" s="118"/>
      <c r="BH66" s="118"/>
      <c r="BI66" s="118"/>
      <c r="BJ66" s="118"/>
      <c r="BK66" s="118"/>
      <c r="BL66" s="118"/>
      <c r="BM66" s="129"/>
      <c r="BN66" s="118"/>
      <c r="BO66" s="118"/>
      <c r="BP66" s="118"/>
      <c r="BQ66" s="118"/>
      <c r="BR66" s="118"/>
      <c r="BS66" s="118"/>
      <c r="BT66" s="118"/>
      <c r="BU66" s="119"/>
      <c r="BV66" s="118"/>
      <c r="BW66" s="118"/>
      <c r="BX66" s="118"/>
      <c r="BY66" s="118"/>
      <c r="BZ66" s="118"/>
      <c r="CA66" s="118"/>
      <c r="CB66" s="118"/>
      <c r="CC66" s="119"/>
      <c r="CD66" s="118"/>
      <c r="CE66" s="118"/>
      <c r="CF66" s="118"/>
      <c r="CG66" s="118"/>
      <c r="CH66" s="118"/>
      <c r="CI66" s="118"/>
      <c r="CJ66" s="118"/>
      <c r="CK66" s="119"/>
      <c r="CL66" s="118"/>
      <c r="CM66" s="118"/>
      <c r="CN66" s="118"/>
      <c r="CO66" s="118"/>
      <c r="CP66" s="118"/>
      <c r="CQ66" s="118"/>
      <c r="CR66" s="118"/>
      <c r="CS66" s="119"/>
    </row>
    <row r="67">
      <c r="A67" s="119"/>
      <c r="B67" s="118"/>
      <c r="C67" s="118"/>
      <c r="D67" s="118"/>
      <c r="E67" s="118"/>
      <c r="F67" s="118"/>
      <c r="G67" s="118"/>
      <c r="H67" s="118"/>
      <c r="I67" s="128"/>
      <c r="J67" s="118"/>
      <c r="K67" s="118"/>
      <c r="L67" s="118"/>
      <c r="M67" s="118"/>
      <c r="N67" s="118"/>
      <c r="O67" s="118"/>
      <c r="P67" s="118"/>
      <c r="Q67" s="128"/>
      <c r="R67" s="118"/>
      <c r="S67" s="118"/>
      <c r="T67" s="118"/>
      <c r="U67" s="118"/>
      <c r="V67" s="118"/>
      <c r="W67" s="118" t="s">
        <v>494</v>
      </c>
      <c r="X67" s="118" t="s">
        <v>494</v>
      </c>
      <c r="Y67" s="128"/>
      <c r="Z67" s="118"/>
      <c r="AA67" s="118"/>
      <c r="AB67" s="118"/>
      <c r="AC67" s="118"/>
      <c r="AD67" s="118"/>
      <c r="AE67" s="118"/>
      <c r="AF67" s="118"/>
      <c r="AG67" s="128"/>
      <c r="AH67" s="120"/>
      <c r="AI67" s="120"/>
      <c r="AJ67" s="120"/>
      <c r="AK67" s="120"/>
      <c r="AL67" s="120"/>
      <c r="AM67" s="120"/>
      <c r="AN67" s="118" t="s">
        <v>507</v>
      </c>
      <c r="AO67" s="128"/>
      <c r="AP67" s="118"/>
      <c r="AQ67" s="118"/>
      <c r="AR67" s="118"/>
      <c r="AS67" s="118"/>
      <c r="AT67" s="118"/>
      <c r="AU67" s="118" t="s">
        <v>516</v>
      </c>
      <c r="AV67" s="118" t="s">
        <v>516</v>
      </c>
      <c r="AW67" s="129"/>
      <c r="AX67" s="118"/>
      <c r="AY67" s="118"/>
      <c r="AZ67" s="118"/>
      <c r="BA67" s="118"/>
      <c r="BB67" s="118"/>
      <c r="BC67" s="118"/>
      <c r="BD67" s="118"/>
      <c r="BE67" s="119"/>
      <c r="BF67" s="118"/>
      <c r="BG67" s="118"/>
      <c r="BH67" s="118"/>
      <c r="BI67" s="118"/>
      <c r="BJ67" s="118"/>
      <c r="BK67" s="118"/>
      <c r="BL67" s="118"/>
      <c r="BM67" s="129"/>
      <c r="BN67" s="118"/>
      <c r="BO67" s="118"/>
      <c r="BP67" s="118"/>
      <c r="BQ67" s="118"/>
      <c r="BR67" s="118"/>
      <c r="BS67" s="118"/>
      <c r="BT67" s="118"/>
      <c r="BU67" s="119"/>
      <c r="BV67" s="118"/>
      <c r="BW67" s="118"/>
      <c r="BX67" s="118"/>
      <c r="BY67" s="118"/>
      <c r="BZ67" s="118"/>
      <c r="CA67" s="118"/>
      <c r="CB67" s="118"/>
      <c r="CC67" s="119"/>
      <c r="CD67" s="118"/>
      <c r="CE67" s="118"/>
      <c r="CF67" s="118"/>
      <c r="CG67" s="118"/>
      <c r="CH67" s="118"/>
      <c r="CI67" s="118"/>
      <c r="CJ67" s="118"/>
      <c r="CK67" s="119"/>
      <c r="CL67" s="118"/>
      <c r="CM67" s="118"/>
      <c r="CN67" s="118"/>
      <c r="CO67" s="118"/>
      <c r="CP67" s="118"/>
      <c r="CQ67" s="118"/>
      <c r="CR67" s="118"/>
      <c r="CS67" s="119"/>
    </row>
    <row r="68">
      <c r="A68" s="119"/>
      <c r="B68" s="118"/>
      <c r="C68" s="118"/>
      <c r="D68" s="118"/>
      <c r="E68" s="118"/>
      <c r="F68" s="118"/>
      <c r="G68" s="118"/>
      <c r="H68" s="118"/>
      <c r="I68" s="128"/>
      <c r="J68" s="118"/>
      <c r="K68" s="118"/>
      <c r="L68" s="118"/>
      <c r="M68" s="118"/>
      <c r="N68" s="118"/>
      <c r="O68" s="118"/>
      <c r="P68" s="118"/>
      <c r="Q68" s="128"/>
      <c r="R68" s="118"/>
      <c r="S68" s="118"/>
      <c r="T68" s="118"/>
      <c r="U68" s="118" t="s">
        <v>499</v>
      </c>
      <c r="V68" s="118" t="s">
        <v>499</v>
      </c>
      <c r="W68" s="118" t="s">
        <v>499</v>
      </c>
      <c r="X68" s="118" t="s">
        <v>499</v>
      </c>
      <c r="Y68" s="128"/>
      <c r="Z68" s="118"/>
      <c r="AA68" s="118"/>
      <c r="AB68" s="118"/>
      <c r="AC68" s="118"/>
      <c r="AD68" s="118"/>
      <c r="AE68" s="118"/>
      <c r="AF68" s="118"/>
      <c r="AG68" s="128"/>
      <c r="AH68" s="120"/>
      <c r="AI68" s="120"/>
      <c r="AJ68" s="120"/>
      <c r="AK68" s="120"/>
      <c r="AL68" s="120"/>
      <c r="AM68" s="120"/>
      <c r="AN68" s="118"/>
      <c r="AO68" s="128"/>
      <c r="AP68" s="118"/>
      <c r="AQ68" s="118"/>
      <c r="AR68" s="118"/>
      <c r="AS68" s="118"/>
      <c r="AT68" s="118" t="s">
        <v>576</v>
      </c>
      <c r="AU68" s="118" t="s">
        <v>576</v>
      </c>
      <c r="AV68" s="118" t="s">
        <v>576</v>
      </c>
      <c r="AW68" s="129"/>
      <c r="AX68" s="118"/>
      <c r="AY68" s="118"/>
      <c r="AZ68" s="118"/>
      <c r="BA68" s="118"/>
      <c r="BB68" s="118"/>
      <c r="BC68" s="118"/>
      <c r="BD68" s="118"/>
      <c r="BE68" s="119"/>
      <c r="BF68" s="118"/>
      <c r="BG68" s="118"/>
      <c r="BH68" s="118"/>
      <c r="BI68" s="118"/>
      <c r="BJ68" s="118"/>
      <c r="BK68" s="118"/>
      <c r="BL68" s="118"/>
      <c r="BM68" s="129"/>
      <c r="BN68" s="118"/>
      <c r="BO68" s="118"/>
      <c r="BP68" s="118"/>
      <c r="BQ68" s="118"/>
      <c r="BR68" s="118"/>
      <c r="BS68" s="118"/>
      <c r="BT68" s="118"/>
      <c r="BU68" s="119"/>
      <c r="BV68" s="118"/>
      <c r="BW68" s="118"/>
      <c r="BX68" s="118"/>
      <c r="BY68" s="118"/>
      <c r="BZ68" s="118"/>
      <c r="CA68" s="118"/>
      <c r="CB68" s="118"/>
      <c r="CC68" s="119"/>
      <c r="CD68" s="118"/>
      <c r="CE68" s="118"/>
      <c r="CF68" s="118"/>
      <c r="CG68" s="118"/>
      <c r="CH68" s="118"/>
      <c r="CI68" s="118"/>
      <c r="CJ68" s="118"/>
      <c r="CK68" s="119"/>
      <c r="CL68" s="118"/>
      <c r="CM68" s="118"/>
      <c r="CN68" s="118"/>
      <c r="CO68" s="118"/>
      <c r="CP68" s="118"/>
      <c r="CQ68" s="118"/>
      <c r="CR68" s="118"/>
      <c r="CS68" s="119"/>
    </row>
    <row r="69">
      <c r="A69" s="119"/>
      <c r="B69" s="118"/>
      <c r="C69" s="118"/>
      <c r="D69" s="118"/>
      <c r="E69" s="118"/>
      <c r="F69" s="118"/>
      <c r="G69" s="118"/>
      <c r="H69" s="118"/>
      <c r="I69" s="128"/>
      <c r="J69" s="118"/>
      <c r="K69" s="118"/>
      <c r="L69" s="118"/>
      <c r="M69" s="118"/>
      <c r="N69" s="118"/>
      <c r="O69" s="118"/>
      <c r="P69" s="118"/>
      <c r="Q69" s="128"/>
      <c r="R69" s="118"/>
      <c r="S69" s="118"/>
      <c r="T69" s="118"/>
      <c r="U69" s="118" t="s">
        <v>552</v>
      </c>
      <c r="V69" s="118" t="s">
        <v>552</v>
      </c>
      <c r="W69" s="118" t="s">
        <v>552</v>
      </c>
      <c r="X69" s="118" t="s">
        <v>552</v>
      </c>
      <c r="Y69" s="128"/>
      <c r="Z69" s="118"/>
      <c r="AA69" s="118"/>
      <c r="AB69" s="118"/>
      <c r="AC69" s="118"/>
      <c r="AD69" s="118"/>
      <c r="AE69" s="118"/>
      <c r="AF69" s="118"/>
      <c r="AG69" s="128"/>
      <c r="AH69" s="120"/>
      <c r="AI69" s="120"/>
      <c r="AJ69" s="120"/>
      <c r="AK69" s="120"/>
      <c r="AL69" s="120"/>
      <c r="AM69" s="120"/>
      <c r="AN69" s="118"/>
      <c r="AO69" s="128"/>
      <c r="AP69" s="118"/>
      <c r="AQ69" s="118"/>
      <c r="AR69" s="117" t="s">
        <v>447</v>
      </c>
      <c r="AS69" s="118"/>
      <c r="AT69" s="118"/>
      <c r="AU69" s="118"/>
      <c r="AV69" s="118"/>
      <c r="AW69" s="129"/>
      <c r="AX69" s="118"/>
      <c r="AY69" s="118"/>
      <c r="AZ69" s="118"/>
      <c r="BA69" s="118"/>
      <c r="BB69" s="118"/>
      <c r="BC69" s="118"/>
      <c r="BD69" s="118"/>
      <c r="BE69" s="119"/>
      <c r="BF69" s="118"/>
      <c r="BG69" s="118"/>
      <c r="BH69" s="118"/>
      <c r="BI69" s="118"/>
      <c r="BJ69" s="118"/>
      <c r="BK69" s="118"/>
      <c r="BL69" s="118"/>
      <c r="BM69" s="129"/>
      <c r="BN69" s="118"/>
      <c r="BO69" s="118"/>
      <c r="BP69" s="118"/>
      <c r="BQ69" s="118"/>
      <c r="BR69" s="118"/>
      <c r="BS69" s="118"/>
      <c r="BT69" s="118"/>
      <c r="BU69" s="119"/>
      <c r="BV69" s="118"/>
      <c r="BW69" s="118"/>
      <c r="BX69" s="118"/>
      <c r="BY69" s="118"/>
      <c r="BZ69" s="118"/>
      <c r="CA69" s="118"/>
      <c r="CB69" s="118"/>
      <c r="CC69" s="119"/>
      <c r="CD69" s="118"/>
      <c r="CE69" s="118"/>
      <c r="CF69" s="118"/>
      <c r="CG69" s="118"/>
      <c r="CH69" s="118"/>
      <c r="CI69" s="118"/>
      <c r="CJ69" s="118"/>
      <c r="CK69" s="119"/>
      <c r="CL69" s="118"/>
      <c r="CM69" s="118"/>
      <c r="CN69" s="118"/>
      <c r="CO69" s="118"/>
      <c r="CP69" s="118"/>
      <c r="CQ69" s="118"/>
      <c r="CR69" s="118"/>
      <c r="CS69" s="119"/>
    </row>
    <row r="70">
      <c r="A70" s="96"/>
      <c r="B70" s="102" t="s">
        <v>486</v>
      </c>
      <c r="C70" s="102" t="s">
        <v>487</v>
      </c>
      <c r="D70" s="102" t="s">
        <v>488</v>
      </c>
      <c r="E70" s="102" t="s">
        <v>489</v>
      </c>
      <c r="F70" s="102" t="s">
        <v>490</v>
      </c>
      <c r="G70" s="102" t="s">
        <v>491</v>
      </c>
      <c r="H70" s="102" t="s">
        <v>492</v>
      </c>
      <c r="I70" s="89"/>
      <c r="J70" s="102" t="s">
        <v>486</v>
      </c>
      <c r="K70" s="102" t="s">
        <v>487</v>
      </c>
      <c r="L70" s="102" t="s">
        <v>488</v>
      </c>
      <c r="M70" s="102" t="s">
        <v>489</v>
      </c>
      <c r="N70" s="102" t="s">
        <v>490</v>
      </c>
      <c r="O70" s="102" t="s">
        <v>491</v>
      </c>
      <c r="P70" s="102" t="s">
        <v>492</v>
      </c>
      <c r="Q70" s="89"/>
      <c r="R70" s="102" t="s">
        <v>486</v>
      </c>
      <c r="S70" s="102" t="s">
        <v>487</v>
      </c>
      <c r="T70" s="102" t="s">
        <v>488</v>
      </c>
      <c r="U70" s="102" t="s">
        <v>489</v>
      </c>
      <c r="V70" s="102" t="s">
        <v>490</v>
      </c>
      <c r="W70" s="102" t="s">
        <v>491</v>
      </c>
      <c r="X70" s="102" t="s">
        <v>492</v>
      </c>
      <c r="Y70" s="89"/>
      <c r="Z70" s="102" t="s">
        <v>486</v>
      </c>
      <c r="AA70" s="102" t="s">
        <v>487</v>
      </c>
      <c r="AB70" s="102" t="s">
        <v>488</v>
      </c>
      <c r="AC70" s="102" t="s">
        <v>489</v>
      </c>
      <c r="AD70" s="102" t="s">
        <v>490</v>
      </c>
      <c r="AE70" s="102" t="s">
        <v>491</v>
      </c>
      <c r="AF70" s="102" t="s">
        <v>492</v>
      </c>
      <c r="AG70" s="89"/>
      <c r="AH70" s="102" t="s">
        <v>486</v>
      </c>
      <c r="AI70" s="102" t="s">
        <v>487</v>
      </c>
      <c r="AJ70" s="102" t="s">
        <v>488</v>
      </c>
      <c r="AK70" s="102" t="s">
        <v>489</v>
      </c>
      <c r="AL70" s="102" t="s">
        <v>490</v>
      </c>
      <c r="AM70" s="102" t="s">
        <v>491</v>
      </c>
      <c r="AN70" s="102" t="s">
        <v>492</v>
      </c>
      <c r="AO70" s="99"/>
      <c r="AP70" s="102" t="s">
        <v>486</v>
      </c>
      <c r="AQ70" s="102" t="s">
        <v>487</v>
      </c>
      <c r="AR70" s="102" t="s">
        <v>488</v>
      </c>
      <c r="AS70" s="102" t="s">
        <v>489</v>
      </c>
      <c r="AT70" s="102" t="s">
        <v>490</v>
      </c>
      <c r="AU70" s="102" t="s">
        <v>491</v>
      </c>
      <c r="AV70" s="102" t="s">
        <v>492</v>
      </c>
      <c r="AW70" s="103"/>
      <c r="AX70" s="102" t="s">
        <v>486</v>
      </c>
      <c r="AY70" s="102" t="s">
        <v>487</v>
      </c>
      <c r="AZ70" s="102" t="s">
        <v>488</v>
      </c>
      <c r="BA70" s="102" t="s">
        <v>489</v>
      </c>
      <c r="BB70" s="102" t="s">
        <v>490</v>
      </c>
      <c r="BC70" s="102" t="s">
        <v>491</v>
      </c>
      <c r="BD70" s="102" t="s">
        <v>492</v>
      </c>
      <c r="BE70" s="105"/>
      <c r="BF70" s="102" t="s">
        <v>486</v>
      </c>
      <c r="BG70" s="102" t="s">
        <v>487</v>
      </c>
      <c r="BH70" s="102" t="s">
        <v>488</v>
      </c>
      <c r="BI70" s="102" t="s">
        <v>489</v>
      </c>
      <c r="BJ70" s="102" t="s">
        <v>490</v>
      </c>
      <c r="BK70" s="102" t="s">
        <v>491</v>
      </c>
      <c r="BL70" s="102" t="s">
        <v>492</v>
      </c>
      <c r="BM70" s="103"/>
      <c r="BN70" s="102" t="s">
        <v>486</v>
      </c>
      <c r="BO70" s="102" t="s">
        <v>487</v>
      </c>
      <c r="BP70" s="102" t="s">
        <v>488</v>
      </c>
      <c r="BQ70" s="102" t="s">
        <v>489</v>
      </c>
      <c r="BR70" s="102" t="s">
        <v>490</v>
      </c>
      <c r="BS70" s="102" t="s">
        <v>491</v>
      </c>
      <c r="BT70" s="102" t="s">
        <v>492</v>
      </c>
      <c r="BU70" s="106"/>
      <c r="BV70" s="102" t="s">
        <v>486</v>
      </c>
      <c r="BW70" s="102" t="s">
        <v>487</v>
      </c>
      <c r="BX70" s="102" t="s">
        <v>488</v>
      </c>
      <c r="BY70" s="102" t="s">
        <v>489</v>
      </c>
      <c r="BZ70" s="102" t="s">
        <v>490</v>
      </c>
      <c r="CA70" s="102" t="s">
        <v>491</v>
      </c>
      <c r="CB70" s="102" t="s">
        <v>492</v>
      </c>
      <c r="CC70" s="106"/>
      <c r="CD70" s="102" t="s">
        <v>486</v>
      </c>
      <c r="CE70" s="102" t="s">
        <v>487</v>
      </c>
      <c r="CF70" s="102" t="s">
        <v>488</v>
      </c>
      <c r="CG70" s="102" t="s">
        <v>489</v>
      </c>
      <c r="CH70" s="102" t="s">
        <v>490</v>
      </c>
      <c r="CI70" s="102" t="s">
        <v>491</v>
      </c>
      <c r="CJ70" s="102" t="s">
        <v>492</v>
      </c>
      <c r="CK70" s="106"/>
      <c r="CL70" s="102" t="s">
        <v>486</v>
      </c>
      <c r="CM70" s="102" t="s">
        <v>487</v>
      </c>
      <c r="CN70" s="102" t="s">
        <v>488</v>
      </c>
      <c r="CO70" s="102" t="s">
        <v>489</v>
      </c>
      <c r="CP70" s="102" t="s">
        <v>490</v>
      </c>
      <c r="CQ70" s="102" t="s">
        <v>491</v>
      </c>
      <c r="CR70" s="102" t="s">
        <v>492</v>
      </c>
      <c r="CS70" s="106"/>
    </row>
    <row r="71">
      <c r="A71" s="96"/>
      <c r="B71" s="109">
        <f>H52+1</f>
        <v>25</v>
      </c>
      <c r="C71" s="109">
        <f t="shared" ref="C71:H71" si="37">B71+1</f>
        <v>26</v>
      </c>
      <c r="D71" s="109">
        <f t="shared" si="37"/>
        <v>27</v>
      </c>
      <c r="E71" s="109">
        <f t="shared" si="37"/>
        <v>28</v>
      </c>
      <c r="F71" s="109">
        <f t="shared" si="37"/>
        <v>29</v>
      </c>
      <c r="G71" s="109">
        <f t="shared" si="37"/>
        <v>30</v>
      </c>
      <c r="H71" s="109">
        <f t="shared" si="37"/>
        <v>31</v>
      </c>
      <c r="I71" s="89"/>
      <c r="J71" s="108"/>
      <c r="K71" s="108"/>
      <c r="L71" s="108"/>
      <c r="M71" s="108"/>
      <c r="N71" s="108"/>
      <c r="O71" s="108"/>
      <c r="P71" s="108"/>
      <c r="Q71" s="89"/>
      <c r="R71" s="109">
        <f>X52+1</f>
        <v>29</v>
      </c>
      <c r="S71" s="109">
        <f t="shared" ref="S71:T71" si="38">R71+1</f>
        <v>30</v>
      </c>
      <c r="T71" s="109">
        <f t="shared" si="38"/>
        <v>31</v>
      </c>
      <c r="U71" s="108">
        <v>1.0</v>
      </c>
      <c r="V71" s="108">
        <v>2.0</v>
      </c>
      <c r="W71" s="108">
        <v>3.0</v>
      </c>
      <c r="X71" s="108">
        <v>4.0</v>
      </c>
      <c r="Y71" s="89"/>
      <c r="Z71" s="108"/>
      <c r="AA71" s="108"/>
      <c r="AB71" s="108"/>
      <c r="AC71" s="108"/>
      <c r="AD71" s="108"/>
      <c r="AE71" s="108"/>
      <c r="AF71" s="108"/>
      <c r="AG71" s="89"/>
      <c r="AH71" s="108"/>
      <c r="AI71" s="108"/>
      <c r="AJ71" s="108"/>
      <c r="AK71" s="108"/>
      <c r="AL71" s="108"/>
      <c r="AM71" s="108"/>
      <c r="AN71" s="108"/>
      <c r="AO71" s="99"/>
      <c r="AP71" s="109">
        <f>AV52+1</f>
        <v>28</v>
      </c>
      <c r="AQ71" s="109">
        <f t="shared" ref="AQ71:AR71" si="39">AP71+1</f>
        <v>29</v>
      </c>
      <c r="AR71" s="109">
        <f t="shared" si="39"/>
        <v>30</v>
      </c>
      <c r="AS71" s="108">
        <v>1.0</v>
      </c>
      <c r="AT71" s="108">
        <v>2.0</v>
      </c>
      <c r="AU71" s="108">
        <v>3.0</v>
      </c>
      <c r="AV71" s="108">
        <v>4.0</v>
      </c>
      <c r="AW71" s="111"/>
      <c r="AX71" s="108"/>
      <c r="AY71" s="108"/>
      <c r="AZ71" s="108"/>
      <c r="BA71" s="108"/>
      <c r="BB71" s="108"/>
      <c r="BC71" s="108"/>
      <c r="BD71" s="108"/>
      <c r="BE71" s="113"/>
      <c r="BF71" s="108"/>
      <c r="BG71" s="108"/>
      <c r="BH71" s="108"/>
      <c r="BI71" s="108"/>
      <c r="BJ71" s="108"/>
      <c r="BK71" s="108"/>
      <c r="BL71" s="108"/>
      <c r="BM71" s="111"/>
      <c r="BN71" s="109">
        <f>BT52+1</f>
        <v>27</v>
      </c>
      <c r="BO71" s="109">
        <f t="shared" ref="BO71:BQ71" si="40">BN71+1</f>
        <v>28</v>
      </c>
      <c r="BP71" s="109">
        <f t="shared" si="40"/>
        <v>29</v>
      </c>
      <c r="BQ71" s="109">
        <f t="shared" si="40"/>
        <v>30</v>
      </c>
      <c r="BR71" s="108">
        <v>1.0</v>
      </c>
      <c r="BS71" s="108">
        <v>2.0</v>
      </c>
      <c r="BT71" s="108">
        <v>3.0</v>
      </c>
      <c r="BU71" s="94"/>
      <c r="BV71" s="108"/>
      <c r="BW71" s="108"/>
      <c r="BX71" s="108"/>
      <c r="BY71" s="108"/>
      <c r="BZ71" s="108"/>
      <c r="CA71" s="108"/>
      <c r="CB71" s="108"/>
      <c r="CC71" s="94"/>
      <c r="CD71" s="108"/>
      <c r="CE71" s="108"/>
      <c r="CF71" s="108"/>
      <c r="CG71" s="108"/>
      <c r="CH71" s="108"/>
      <c r="CI71" s="108"/>
      <c r="CJ71" s="108"/>
      <c r="CK71" s="94"/>
      <c r="CL71" s="109">
        <f>CR52+1</f>
        <v>27</v>
      </c>
      <c r="CM71" s="109">
        <f t="shared" ref="CM71:CP71" si="41">CL71+1</f>
        <v>28</v>
      </c>
      <c r="CN71" s="109">
        <f t="shared" si="41"/>
        <v>29</v>
      </c>
      <c r="CO71" s="109">
        <f t="shared" si="41"/>
        <v>30</v>
      </c>
      <c r="CP71" s="109">
        <f t="shared" si="41"/>
        <v>31</v>
      </c>
      <c r="CQ71" s="108">
        <v>1.0</v>
      </c>
      <c r="CR71" s="108">
        <v>2.0</v>
      </c>
      <c r="CS71" s="94"/>
    </row>
    <row r="72">
      <c r="A72" s="115"/>
      <c r="B72" s="117" t="s">
        <v>528</v>
      </c>
      <c r="C72" s="117" t="s">
        <v>528</v>
      </c>
      <c r="D72" s="117" t="s">
        <v>528</v>
      </c>
      <c r="E72" s="117"/>
      <c r="F72" s="116"/>
      <c r="G72" s="116"/>
      <c r="H72" s="116" t="s">
        <v>577</v>
      </c>
      <c r="I72" s="115"/>
      <c r="J72" s="132"/>
      <c r="K72" s="132"/>
      <c r="L72" s="132"/>
      <c r="M72" s="132"/>
      <c r="N72" s="133"/>
      <c r="O72" s="134"/>
      <c r="P72" s="134"/>
      <c r="Q72" s="115"/>
      <c r="R72" s="116"/>
      <c r="S72" s="116" t="s">
        <v>497</v>
      </c>
      <c r="T72" s="116" t="s">
        <v>497</v>
      </c>
      <c r="U72" s="116" t="s">
        <v>497</v>
      </c>
      <c r="V72" s="116" t="s">
        <v>497</v>
      </c>
      <c r="W72" s="116" t="s">
        <v>497</v>
      </c>
      <c r="X72" s="116" t="s">
        <v>497</v>
      </c>
      <c r="Y72" s="115"/>
      <c r="Z72" s="132"/>
      <c r="AA72" s="132"/>
      <c r="AB72" s="132"/>
      <c r="AC72" s="132"/>
      <c r="AD72" s="133"/>
      <c r="AE72" s="134"/>
      <c r="AF72" s="134"/>
      <c r="AG72" s="115"/>
      <c r="AH72" s="132"/>
      <c r="AI72" s="132"/>
      <c r="AJ72" s="132"/>
      <c r="AK72" s="132"/>
      <c r="AL72" s="133"/>
      <c r="AM72" s="134"/>
      <c r="AN72" s="134"/>
      <c r="AO72" s="115"/>
      <c r="AP72" s="116"/>
      <c r="AQ72" s="116"/>
      <c r="AR72" s="116" t="s">
        <v>522</v>
      </c>
      <c r="AS72" s="116"/>
      <c r="AT72" s="116"/>
      <c r="AU72" s="116"/>
      <c r="AV72" s="116" t="s">
        <v>527</v>
      </c>
      <c r="AW72" s="115"/>
      <c r="AX72" s="135"/>
      <c r="AY72" s="135"/>
      <c r="AZ72" s="135"/>
      <c r="BA72" s="135"/>
      <c r="BB72" s="136"/>
      <c r="BC72" s="137"/>
      <c r="BD72" s="137"/>
      <c r="BE72" s="115"/>
      <c r="BF72" s="135"/>
      <c r="BG72" s="135"/>
      <c r="BH72" s="135"/>
      <c r="BI72" s="135"/>
      <c r="BJ72" s="136"/>
      <c r="BK72" s="137"/>
      <c r="BL72" s="137"/>
      <c r="BM72" s="115"/>
      <c r="BN72" s="116" t="s">
        <v>563</v>
      </c>
      <c r="BO72" s="116"/>
      <c r="BP72" s="116"/>
      <c r="BQ72" s="116"/>
      <c r="BR72" s="116"/>
      <c r="BS72" s="116"/>
      <c r="BT72" s="117" t="s">
        <v>501</v>
      </c>
      <c r="BU72" s="115"/>
      <c r="BV72" s="132"/>
      <c r="BW72" s="132"/>
      <c r="BX72" s="132"/>
      <c r="BY72" s="132"/>
      <c r="BZ72" s="132"/>
      <c r="CA72" s="132"/>
      <c r="CB72" s="132"/>
      <c r="CC72" s="115"/>
      <c r="CD72" s="135"/>
      <c r="CE72" s="135"/>
      <c r="CF72" s="135"/>
      <c r="CG72" s="135"/>
      <c r="CH72" s="136"/>
      <c r="CI72" s="137"/>
      <c r="CJ72" s="137"/>
      <c r="CK72" s="115"/>
      <c r="CL72" s="116" t="s">
        <v>518</v>
      </c>
      <c r="CM72" s="116" t="s">
        <v>518</v>
      </c>
      <c r="CN72" s="120"/>
      <c r="CO72" s="120"/>
      <c r="CP72" s="120"/>
      <c r="CQ72" s="120"/>
      <c r="CR72" s="120"/>
      <c r="CS72" s="115"/>
    </row>
    <row r="73">
      <c r="A73" s="119"/>
      <c r="B73" s="117"/>
      <c r="C73" s="117" t="s">
        <v>509</v>
      </c>
      <c r="D73" s="117"/>
      <c r="E73" s="117"/>
      <c r="F73" s="117"/>
      <c r="G73" s="117"/>
      <c r="H73" s="117" t="s">
        <v>552</v>
      </c>
      <c r="I73" s="119"/>
      <c r="J73" s="138"/>
      <c r="K73" s="138"/>
      <c r="L73" s="138"/>
      <c r="M73" s="138"/>
      <c r="N73" s="138"/>
      <c r="O73" s="138"/>
      <c r="P73" s="138"/>
      <c r="Q73" s="119"/>
      <c r="R73" s="118" t="s">
        <v>496</v>
      </c>
      <c r="S73" s="118" t="s">
        <v>496</v>
      </c>
      <c r="T73" s="118" t="s">
        <v>496</v>
      </c>
      <c r="U73" s="118" t="s">
        <v>496</v>
      </c>
      <c r="V73" s="118" t="s">
        <v>496</v>
      </c>
      <c r="W73" s="118" t="s">
        <v>496</v>
      </c>
      <c r="X73" s="117"/>
      <c r="Y73" s="119"/>
      <c r="Z73" s="138"/>
      <c r="AA73" s="138"/>
      <c r="AB73" s="138"/>
      <c r="AC73" s="138"/>
      <c r="AD73" s="138"/>
      <c r="AE73" s="138"/>
      <c r="AF73" s="138"/>
      <c r="AG73" s="119"/>
      <c r="AH73" s="138"/>
      <c r="AI73" s="138"/>
      <c r="AJ73" s="138"/>
      <c r="AK73" s="138"/>
      <c r="AL73" s="138"/>
      <c r="AM73" s="138"/>
      <c r="AN73" s="138"/>
      <c r="AO73" s="119"/>
      <c r="AP73" s="117"/>
      <c r="AQ73" s="117"/>
      <c r="AR73" s="117"/>
      <c r="AS73" s="116" t="s">
        <v>497</v>
      </c>
      <c r="AT73" s="116" t="s">
        <v>497</v>
      </c>
      <c r="AU73" s="117"/>
      <c r="AV73" s="117"/>
      <c r="AW73" s="119"/>
      <c r="AX73" s="135"/>
      <c r="AY73" s="135"/>
      <c r="AZ73" s="135"/>
      <c r="BA73" s="135"/>
      <c r="BB73" s="136"/>
      <c r="BC73" s="137"/>
      <c r="BD73" s="137"/>
      <c r="BE73" s="119"/>
      <c r="BF73" s="135"/>
      <c r="BG73" s="135"/>
      <c r="BH73" s="135"/>
      <c r="BI73" s="135"/>
      <c r="BJ73" s="136"/>
      <c r="BK73" s="137"/>
      <c r="BL73" s="137"/>
      <c r="BM73" s="119"/>
      <c r="BN73" s="116"/>
      <c r="BO73" s="116" t="s">
        <v>494</v>
      </c>
      <c r="BP73" s="117"/>
      <c r="BQ73" s="117"/>
      <c r="BR73" s="117"/>
      <c r="BS73" s="117"/>
      <c r="BT73" s="117"/>
      <c r="BU73" s="119"/>
      <c r="BV73" s="138"/>
      <c r="BW73" s="138"/>
      <c r="BX73" s="138"/>
      <c r="BY73" s="138"/>
      <c r="BZ73" s="138"/>
      <c r="CA73" s="138"/>
      <c r="CB73" s="138"/>
      <c r="CC73" s="119"/>
      <c r="CD73" s="135"/>
      <c r="CE73" s="135"/>
      <c r="CF73" s="135"/>
      <c r="CG73" s="135"/>
      <c r="CH73" s="136"/>
      <c r="CI73" s="137"/>
      <c r="CJ73" s="137"/>
      <c r="CK73" s="119"/>
      <c r="CL73" s="117" t="s">
        <v>499</v>
      </c>
      <c r="CM73" s="117" t="s">
        <v>499</v>
      </c>
      <c r="CN73" s="117" t="s">
        <v>499</v>
      </c>
      <c r="CO73" s="117" t="s">
        <v>499</v>
      </c>
      <c r="CP73" s="117" t="s">
        <v>499</v>
      </c>
      <c r="CQ73" s="117" t="s">
        <v>499</v>
      </c>
      <c r="CR73" s="117" t="s">
        <v>499</v>
      </c>
      <c r="CS73" s="119"/>
    </row>
    <row r="74">
      <c r="A74" s="119"/>
      <c r="B74" s="116"/>
      <c r="C74" s="139"/>
      <c r="D74" s="139"/>
      <c r="E74" s="139" t="s">
        <v>543</v>
      </c>
      <c r="F74" s="139" t="s">
        <v>543</v>
      </c>
      <c r="G74" s="139" t="s">
        <v>543</v>
      </c>
      <c r="H74" s="139"/>
      <c r="I74" s="119"/>
      <c r="J74" s="132"/>
      <c r="K74" s="132"/>
      <c r="L74" s="132"/>
      <c r="M74" s="138"/>
      <c r="N74" s="140"/>
      <c r="O74" s="138"/>
      <c r="P74" s="140"/>
      <c r="Q74" s="119"/>
      <c r="R74" s="116" t="s">
        <v>547</v>
      </c>
      <c r="S74" s="116" t="s">
        <v>547</v>
      </c>
      <c r="T74" s="116"/>
      <c r="U74" s="116" t="s">
        <v>543</v>
      </c>
      <c r="V74" s="116" t="s">
        <v>543</v>
      </c>
      <c r="W74" s="116" t="s">
        <v>505</v>
      </c>
      <c r="X74" s="116" t="s">
        <v>505</v>
      </c>
      <c r="Y74" s="119"/>
      <c r="Z74" s="132"/>
      <c r="AA74" s="132"/>
      <c r="AB74" s="132"/>
      <c r="AC74" s="138"/>
      <c r="AD74" s="140"/>
      <c r="AE74" s="138"/>
      <c r="AF74" s="140"/>
      <c r="AG74" s="119"/>
      <c r="AH74" s="132"/>
      <c r="AI74" s="132"/>
      <c r="AJ74" s="132"/>
      <c r="AK74" s="138"/>
      <c r="AL74" s="140"/>
      <c r="AM74" s="138"/>
      <c r="AN74" s="140"/>
      <c r="AO74" s="119"/>
      <c r="AP74" s="125"/>
      <c r="AQ74" s="125" t="s">
        <v>578</v>
      </c>
      <c r="AR74" s="116"/>
      <c r="AS74" s="116"/>
      <c r="AT74" s="117" t="s">
        <v>508</v>
      </c>
      <c r="AU74" s="117" t="s">
        <v>508</v>
      </c>
      <c r="AV74" s="117" t="s">
        <v>508</v>
      </c>
      <c r="AW74" s="119"/>
      <c r="AX74" s="135"/>
      <c r="AY74" s="135"/>
      <c r="AZ74" s="135"/>
      <c r="BA74" s="135"/>
      <c r="BB74" s="136"/>
      <c r="BC74" s="137"/>
      <c r="BD74" s="137"/>
      <c r="BE74" s="119"/>
      <c r="BF74" s="135"/>
      <c r="BG74" s="135"/>
      <c r="BH74" s="135"/>
      <c r="BI74" s="135"/>
      <c r="BJ74" s="136"/>
      <c r="BK74" s="137"/>
      <c r="BL74" s="137"/>
      <c r="BM74" s="119"/>
      <c r="BN74" s="116" t="s">
        <v>495</v>
      </c>
      <c r="BO74" s="117"/>
      <c r="BP74" s="117"/>
      <c r="BQ74" s="117" t="s">
        <v>516</v>
      </c>
      <c r="BR74" s="116"/>
      <c r="BS74" s="116"/>
      <c r="BT74" s="116"/>
      <c r="BU74" s="119"/>
      <c r="BV74" s="132"/>
      <c r="BW74" s="132"/>
      <c r="BX74" s="132"/>
      <c r="BY74" s="132"/>
      <c r="BZ74" s="132"/>
      <c r="CA74" s="132"/>
      <c r="CB74" s="132"/>
      <c r="CC74" s="119"/>
      <c r="CD74" s="135"/>
      <c r="CE74" s="135"/>
      <c r="CF74" s="135"/>
      <c r="CG74" s="135"/>
      <c r="CH74" s="136"/>
      <c r="CI74" s="137"/>
      <c r="CJ74" s="137"/>
      <c r="CK74" s="119"/>
      <c r="CL74" s="116" t="s">
        <v>539</v>
      </c>
      <c r="CM74" s="116" t="s">
        <v>539</v>
      </c>
      <c r="CN74" s="116" t="s">
        <v>539</v>
      </c>
      <c r="CO74" s="120"/>
      <c r="CP74" s="120"/>
      <c r="CQ74" s="120"/>
      <c r="CR74" s="120"/>
      <c r="CS74" s="119"/>
    </row>
    <row r="75">
      <c r="A75" s="119"/>
      <c r="B75" s="117"/>
      <c r="C75" s="117" t="s">
        <v>504</v>
      </c>
      <c r="D75" s="117" t="s">
        <v>504</v>
      </c>
      <c r="E75" s="117"/>
      <c r="F75" s="117"/>
      <c r="G75" s="117"/>
      <c r="H75" s="117"/>
      <c r="I75" s="119"/>
      <c r="J75" s="132"/>
      <c r="K75" s="132"/>
      <c r="L75" s="132"/>
      <c r="M75" s="141"/>
      <c r="N75" s="141"/>
      <c r="O75" s="140"/>
      <c r="P75" s="140"/>
      <c r="Q75" s="119"/>
      <c r="R75" s="117" t="s">
        <v>504</v>
      </c>
      <c r="S75" s="117" t="s">
        <v>504</v>
      </c>
      <c r="T75" s="117" t="s">
        <v>504</v>
      </c>
      <c r="U75" s="117" t="s">
        <v>504</v>
      </c>
      <c r="V75" s="117" t="s">
        <v>504</v>
      </c>
      <c r="W75" s="116"/>
      <c r="X75" s="116"/>
      <c r="Y75" s="119"/>
      <c r="Z75" s="132"/>
      <c r="AA75" s="132"/>
      <c r="AB75" s="132"/>
      <c r="AC75" s="141"/>
      <c r="AD75" s="141"/>
      <c r="AE75" s="140"/>
      <c r="AF75" s="140"/>
      <c r="AG75" s="119"/>
      <c r="AH75" s="132"/>
      <c r="AI75" s="132"/>
      <c r="AJ75" s="132"/>
      <c r="AK75" s="141"/>
      <c r="AL75" s="141"/>
      <c r="AM75" s="140"/>
      <c r="AN75" s="140"/>
      <c r="AO75" s="119"/>
      <c r="AP75" s="116" t="s">
        <v>495</v>
      </c>
      <c r="AQ75" s="116" t="s">
        <v>495</v>
      </c>
      <c r="AR75" s="116" t="s">
        <v>495</v>
      </c>
      <c r="AS75" s="116" t="s">
        <v>495</v>
      </c>
      <c r="AT75" s="116" t="s">
        <v>495</v>
      </c>
      <c r="AU75" s="116" t="s">
        <v>495</v>
      </c>
      <c r="AV75" s="116" t="s">
        <v>495</v>
      </c>
      <c r="AW75" s="119"/>
      <c r="AX75" s="135"/>
      <c r="AY75" s="135"/>
      <c r="AZ75" s="135"/>
      <c r="BA75" s="135"/>
      <c r="BB75" s="136"/>
      <c r="BC75" s="137"/>
      <c r="BD75" s="137"/>
      <c r="BE75" s="119"/>
      <c r="BF75" s="135"/>
      <c r="BG75" s="135"/>
      <c r="BH75" s="135"/>
      <c r="BI75" s="135"/>
      <c r="BJ75" s="136"/>
      <c r="BK75" s="137"/>
      <c r="BL75" s="137"/>
      <c r="BM75" s="119"/>
      <c r="BN75" s="116"/>
      <c r="BO75" s="116"/>
      <c r="BP75" s="116"/>
      <c r="BQ75" s="116"/>
      <c r="BR75" s="116"/>
      <c r="BS75" s="116"/>
      <c r="BT75" s="116"/>
      <c r="BU75" s="119"/>
      <c r="BV75" s="132"/>
      <c r="BW75" s="132"/>
      <c r="BX75" s="132"/>
      <c r="BY75" s="132"/>
      <c r="BZ75" s="132"/>
      <c r="CA75" s="132"/>
      <c r="CB75" s="132"/>
      <c r="CC75" s="119"/>
      <c r="CD75" s="135"/>
      <c r="CE75" s="135"/>
      <c r="CF75" s="135"/>
      <c r="CG75" s="135"/>
      <c r="CH75" s="136"/>
      <c r="CI75" s="137"/>
      <c r="CJ75" s="137"/>
      <c r="CK75" s="119"/>
      <c r="CL75" s="117"/>
      <c r="CM75" s="117"/>
      <c r="CN75" s="117"/>
      <c r="CO75" s="117"/>
      <c r="CP75" s="117"/>
      <c r="CQ75" s="117"/>
      <c r="CR75" s="117"/>
      <c r="CS75" s="119"/>
    </row>
    <row r="76">
      <c r="A76" s="119"/>
      <c r="B76" s="117"/>
      <c r="C76" s="117"/>
      <c r="D76" s="117"/>
      <c r="E76" s="117"/>
      <c r="F76" s="117" t="s">
        <v>518</v>
      </c>
      <c r="G76" s="117"/>
      <c r="H76" s="117"/>
      <c r="I76" s="119"/>
      <c r="J76" s="138"/>
      <c r="K76" s="138"/>
      <c r="L76" s="138"/>
      <c r="M76" s="138"/>
      <c r="N76" s="138"/>
      <c r="O76" s="140"/>
      <c r="P76" s="140"/>
      <c r="Q76" s="119"/>
      <c r="R76" s="117" t="s">
        <v>548</v>
      </c>
      <c r="S76" s="117"/>
      <c r="T76" s="117"/>
      <c r="U76" s="117"/>
      <c r="V76" s="117" t="s">
        <v>495</v>
      </c>
      <c r="W76" s="117" t="s">
        <v>495</v>
      </c>
      <c r="X76" s="117" t="s">
        <v>495</v>
      </c>
      <c r="Y76" s="119"/>
      <c r="Z76" s="138"/>
      <c r="AA76" s="138"/>
      <c r="AB76" s="138"/>
      <c r="AC76" s="138"/>
      <c r="AD76" s="138"/>
      <c r="AE76" s="140"/>
      <c r="AF76" s="140"/>
      <c r="AG76" s="119"/>
      <c r="AH76" s="138"/>
      <c r="AI76" s="138"/>
      <c r="AJ76" s="138"/>
      <c r="AK76" s="138"/>
      <c r="AL76" s="138"/>
      <c r="AM76" s="140"/>
      <c r="AN76" s="140"/>
      <c r="AO76" s="119"/>
      <c r="AP76" s="117"/>
      <c r="AQ76" s="117"/>
      <c r="AR76" s="117"/>
      <c r="AS76" s="117"/>
      <c r="AT76" s="117"/>
      <c r="AU76" s="117" t="s">
        <v>499</v>
      </c>
      <c r="AV76" s="117" t="s">
        <v>499</v>
      </c>
      <c r="AW76" s="119"/>
      <c r="AX76" s="135"/>
      <c r="AY76" s="135"/>
      <c r="AZ76" s="135"/>
      <c r="BA76" s="135"/>
      <c r="BB76" s="136"/>
      <c r="BC76" s="137"/>
      <c r="BD76" s="137"/>
      <c r="BE76" s="119"/>
      <c r="BF76" s="135"/>
      <c r="BG76" s="135"/>
      <c r="BH76" s="135"/>
      <c r="BI76" s="135"/>
      <c r="BJ76" s="136"/>
      <c r="BK76" s="137"/>
      <c r="BL76" s="137"/>
      <c r="BM76" s="119"/>
      <c r="BN76" s="117"/>
      <c r="BO76" s="117"/>
      <c r="BP76" s="117"/>
      <c r="BQ76" s="117"/>
      <c r="BR76" s="117"/>
      <c r="BS76" s="117"/>
      <c r="BT76" s="117"/>
      <c r="BU76" s="119"/>
      <c r="BV76" s="138"/>
      <c r="BW76" s="138"/>
      <c r="BX76" s="138"/>
      <c r="BY76" s="138"/>
      <c r="BZ76" s="138"/>
      <c r="CA76" s="138"/>
      <c r="CB76" s="138"/>
      <c r="CC76" s="119"/>
      <c r="CD76" s="135"/>
      <c r="CE76" s="135"/>
      <c r="CF76" s="135"/>
      <c r="CG76" s="135"/>
      <c r="CH76" s="136"/>
      <c r="CI76" s="137"/>
      <c r="CJ76" s="137"/>
      <c r="CK76" s="119"/>
      <c r="CL76" s="117"/>
      <c r="CM76" s="117"/>
      <c r="CN76" s="120"/>
      <c r="CO76" s="120"/>
      <c r="CP76" s="120"/>
      <c r="CQ76" s="120"/>
      <c r="CR76" s="120"/>
      <c r="CS76" s="119"/>
    </row>
    <row r="77">
      <c r="A77" s="119"/>
      <c r="B77" s="117"/>
      <c r="C77" s="117"/>
      <c r="D77" s="117"/>
      <c r="E77" s="117"/>
      <c r="F77" s="117"/>
      <c r="G77" s="117"/>
      <c r="H77" s="117" t="s">
        <v>546</v>
      </c>
      <c r="I77" s="119"/>
      <c r="J77" s="142"/>
      <c r="K77" s="142"/>
      <c r="L77" s="140"/>
      <c r="M77" s="140"/>
      <c r="N77" s="142"/>
      <c r="O77" s="142"/>
      <c r="P77" s="142"/>
      <c r="Q77" s="119"/>
      <c r="R77" s="117"/>
      <c r="S77" s="117"/>
      <c r="T77" s="117"/>
      <c r="U77" s="117"/>
      <c r="V77" s="117" t="s">
        <v>508</v>
      </c>
      <c r="W77" s="117" t="s">
        <v>508</v>
      </c>
      <c r="X77" s="117" t="s">
        <v>508</v>
      </c>
      <c r="Y77" s="119"/>
      <c r="Z77" s="142"/>
      <c r="AA77" s="142"/>
      <c r="AB77" s="140"/>
      <c r="AC77" s="140"/>
      <c r="AD77" s="142"/>
      <c r="AE77" s="142"/>
      <c r="AF77" s="142"/>
      <c r="AG77" s="119"/>
      <c r="AH77" s="142"/>
      <c r="AI77" s="142"/>
      <c r="AJ77" s="140"/>
      <c r="AK77" s="140"/>
      <c r="AL77" s="142"/>
      <c r="AM77" s="142"/>
      <c r="AN77" s="142"/>
      <c r="AO77" s="119"/>
      <c r="AP77" s="118" t="s">
        <v>576</v>
      </c>
      <c r="AQ77" s="118" t="s">
        <v>576</v>
      </c>
      <c r="AR77" s="117"/>
      <c r="AS77" s="117"/>
      <c r="AT77" s="116" t="s">
        <v>504</v>
      </c>
      <c r="AU77" s="116" t="s">
        <v>504</v>
      </c>
      <c r="AV77" s="116" t="s">
        <v>504</v>
      </c>
      <c r="AW77" s="119"/>
      <c r="AX77" s="135"/>
      <c r="AY77" s="135"/>
      <c r="AZ77" s="135"/>
      <c r="BA77" s="135"/>
      <c r="BB77" s="136"/>
      <c r="BC77" s="137"/>
      <c r="BD77" s="137"/>
      <c r="BE77" s="119"/>
      <c r="BF77" s="135"/>
      <c r="BG77" s="135"/>
      <c r="BH77" s="135"/>
      <c r="BI77" s="135"/>
      <c r="BJ77" s="136"/>
      <c r="BK77" s="137"/>
      <c r="BL77" s="137"/>
      <c r="BM77" s="119"/>
      <c r="BN77" s="117"/>
      <c r="BO77" s="117"/>
      <c r="BP77" s="117"/>
      <c r="BQ77" s="117"/>
      <c r="BR77" s="117"/>
      <c r="BS77" s="117"/>
      <c r="BT77" s="117"/>
      <c r="BU77" s="119"/>
      <c r="BV77" s="138"/>
      <c r="BW77" s="138"/>
      <c r="BX77" s="138"/>
      <c r="BY77" s="138"/>
      <c r="BZ77" s="138"/>
      <c r="CA77" s="138"/>
      <c r="CB77" s="138"/>
      <c r="CC77" s="119"/>
      <c r="CD77" s="135"/>
      <c r="CE77" s="135"/>
      <c r="CF77" s="135"/>
      <c r="CG77" s="135"/>
      <c r="CH77" s="136"/>
      <c r="CI77" s="137"/>
      <c r="CJ77" s="137"/>
      <c r="CK77" s="119"/>
      <c r="CL77" s="117"/>
      <c r="CM77" s="117"/>
      <c r="CN77" s="117"/>
      <c r="CO77" s="120"/>
      <c r="CP77" s="120"/>
      <c r="CQ77" s="120"/>
      <c r="CR77" s="120"/>
      <c r="CS77" s="119"/>
    </row>
    <row r="78">
      <c r="A78" s="119"/>
      <c r="B78" s="117" t="s">
        <v>549</v>
      </c>
      <c r="C78" s="117" t="s">
        <v>549</v>
      </c>
      <c r="D78" s="117" t="s">
        <v>549</v>
      </c>
      <c r="E78" s="117" t="s">
        <v>549</v>
      </c>
      <c r="F78" s="117" t="s">
        <v>549</v>
      </c>
      <c r="G78" s="117" t="s">
        <v>549</v>
      </c>
      <c r="H78" s="117" t="s">
        <v>549</v>
      </c>
      <c r="I78" s="119"/>
      <c r="J78" s="138"/>
      <c r="K78" s="138"/>
      <c r="L78" s="138"/>
      <c r="M78" s="140"/>
      <c r="N78" s="140"/>
      <c r="O78" s="140"/>
      <c r="P78" s="140"/>
      <c r="Q78" s="119"/>
      <c r="R78" s="117" t="s">
        <v>564</v>
      </c>
      <c r="S78" s="117" t="s">
        <v>564</v>
      </c>
      <c r="T78" s="117"/>
      <c r="U78" s="117"/>
      <c r="V78" s="117"/>
      <c r="W78" s="117"/>
      <c r="X78" s="117" t="s">
        <v>516</v>
      </c>
      <c r="Y78" s="119"/>
      <c r="Z78" s="138"/>
      <c r="AA78" s="138"/>
      <c r="AB78" s="138"/>
      <c r="AC78" s="140"/>
      <c r="AD78" s="140"/>
      <c r="AE78" s="140"/>
      <c r="AF78" s="140"/>
      <c r="AG78" s="119"/>
      <c r="AH78" s="138"/>
      <c r="AI78" s="138"/>
      <c r="AJ78" s="138"/>
      <c r="AK78" s="140"/>
      <c r="AL78" s="140"/>
      <c r="AM78" s="140"/>
      <c r="AN78" s="140"/>
      <c r="AO78" s="119"/>
      <c r="AP78" s="117"/>
      <c r="AQ78" s="117"/>
      <c r="AR78" s="117" t="s">
        <v>498</v>
      </c>
      <c r="AS78" s="117"/>
      <c r="AT78" s="117"/>
      <c r="AU78" s="117"/>
      <c r="AV78" s="117" t="s">
        <v>505</v>
      </c>
      <c r="AW78" s="119"/>
      <c r="AX78" s="135"/>
      <c r="AY78" s="135"/>
      <c r="AZ78" s="135"/>
      <c r="BA78" s="135"/>
      <c r="BB78" s="136"/>
      <c r="BC78" s="137"/>
      <c r="BD78" s="137"/>
      <c r="BE78" s="119"/>
      <c r="BF78" s="135"/>
      <c r="BG78" s="135"/>
      <c r="BH78" s="135"/>
      <c r="BI78" s="135"/>
      <c r="BJ78" s="136"/>
      <c r="BK78" s="137"/>
      <c r="BL78" s="137"/>
      <c r="BM78" s="119"/>
      <c r="BN78" s="117"/>
      <c r="BO78" s="117"/>
      <c r="BP78" s="117"/>
      <c r="BQ78" s="117"/>
      <c r="BR78" s="117"/>
      <c r="BS78" s="117"/>
      <c r="BT78" s="117"/>
      <c r="BU78" s="119"/>
      <c r="BV78" s="138"/>
      <c r="BW78" s="138"/>
      <c r="BX78" s="138"/>
      <c r="BY78" s="138"/>
      <c r="BZ78" s="138"/>
      <c r="CA78" s="138"/>
      <c r="CB78" s="138"/>
      <c r="CC78" s="119"/>
      <c r="CD78" s="135"/>
      <c r="CE78" s="135"/>
      <c r="CF78" s="135"/>
      <c r="CG78" s="135"/>
      <c r="CH78" s="136"/>
      <c r="CI78" s="137"/>
      <c r="CJ78" s="137"/>
      <c r="CK78" s="119"/>
      <c r="CL78" s="117"/>
      <c r="CM78" s="120"/>
      <c r="CN78" s="120"/>
      <c r="CO78" s="120"/>
      <c r="CP78" s="120"/>
      <c r="CQ78" s="120"/>
      <c r="CR78" s="120"/>
      <c r="CS78" s="119"/>
    </row>
    <row r="79">
      <c r="A79" s="119"/>
      <c r="B79" s="117"/>
      <c r="C79" s="117"/>
      <c r="D79" s="117"/>
      <c r="E79" s="117" t="s">
        <v>494</v>
      </c>
      <c r="F79" s="117" t="s">
        <v>494</v>
      </c>
      <c r="G79" s="117" t="s">
        <v>494</v>
      </c>
      <c r="H79" s="117" t="s">
        <v>494</v>
      </c>
      <c r="I79" s="119"/>
      <c r="J79" s="138"/>
      <c r="K79" s="138"/>
      <c r="L79" s="138"/>
      <c r="M79" s="140"/>
      <c r="N79" s="140"/>
      <c r="O79" s="140"/>
      <c r="P79" s="140"/>
      <c r="Q79" s="119"/>
      <c r="R79" s="117" t="s">
        <v>539</v>
      </c>
      <c r="S79" s="117" t="s">
        <v>539</v>
      </c>
      <c r="T79" s="117"/>
      <c r="U79" s="117"/>
      <c r="V79" s="117"/>
      <c r="W79" s="117"/>
      <c r="X79" s="116" t="s">
        <v>511</v>
      </c>
      <c r="Y79" s="119"/>
      <c r="Z79" s="138"/>
      <c r="AA79" s="138"/>
      <c r="AB79" s="138"/>
      <c r="AC79" s="140"/>
      <c r="AD79" s="140"/>
      <c r="AE79" s="140"/>
      <c r="AF79" s="140"/>
      <c r="AG79" s="119"/>
      <c r="AH79" s="138"/>
      <c r="AI79" s="138"/>
      <c r="AJ79" s="138"/>
      <c r="AK79" s="140"/>
      <c r="AL79" s="140"/>
      <c r="AM79" s="140"/>
      <c r="AN79" s="140"/>
      <c r="AO79" s="119"/>
      <c r="AP79" s="117" t="s">
        <v>531</v>
      </c>
      <c r="AQ79" s="117" t="s">
        <v>531</v>
      </c>
      <c r="AR79" s="117"/>
      <c r="AS79" s="117"/>
      <c r="AT79" s="117" t="s">
        <v>541</v>
      </c>
      <c r="AU79" s="117" t="s">
        <v>541</v>
      </c>
      <c r="AV79" s="117"/>
      <c r="AW79" s="119"/>
      <c r="AX79" s="135"/>
      <c r="AY79" s="135"/>
      <c r="AZ79" s="135"/>
      <c r="BA79" s="135"/>
      <c r="BB79" s="136"/>
      <c r="BC79" s="137"/>
      <c r="BD79" s="137"/>
      <c r="BE79" s="119"/>
      <c r="BF79" s="135"/>
      <c r="BG79" s="135"/>
      <c r="BH79" s="135"/>
      <c r="BI79" s="135"/>
      <c r="BJ79" s="136"/>
      <c r="BK79" s="137"/>
      <c r="BL79" s="137"/>
      <c r="BM79" s="119"/>
      <c r="BN79" s="117"/>
      <c r="BO79" s="117"/>
      <c r="BP79" s="117"/>
      <c r="BQ79" s="117"/>
      <c r="BR79" s="117"/>
      <c r="BS79" s="117"/>
      <c r="BT79" s="117"/>
      <c r="BU79" s="119"/>
      <c r="BV79" s="138"/>
      <c r="BW79" s="138"/>
      <c r="BX79" s="138"/>
      <c r="BY79" s="138"/>
      <c r="BZ79" s="138"/>
      <c r="CA79" s="138"/>
      <c r="CB79" s="138"/>
      <c r="CC79" s="119"/>
      <c r="CD79" s="135"/>
      <c r="CE79" s="135"/>
      <c r="CF79" s="135"/>
      <c r="CG79" s="135"/>
      <c r="CH79" s="136"/>
      <c r="CI79" s="137"/>
      <c r="CJ79" s="137"/>
      <c r="CK79" s="119"/>
      <c r="CL79" s="118"/>
      <c r="CM79" s="118"/>
      <c r="CN79" s="118"/>
      <c r="CO79" s="120"/>
      <c r="CP79" s="120"/>
      <c r="CQ79" s="120"/>
      <c r="CR79" s="120"/>
      <c r="CS79" s="119"/>
    </row>
    <row r="80">
      <c r="A80" s="119"/>
      <c r="B80" s="117"/>
      <c r="C80" s="117" t="s">
        <v>496</v>
      </c>
      <c r="D80" s="117"/>
      <c r="E80" s="117"/>
      <c r="F80" s="117"/>
      <c r="G80" s="117"/>
      <c r="H80" s="117"/>
      <c r="I80" s="119"/>
      <c r="J80" s="142"/>
      <c r="K80" s="142"/>
      <c r="L80" s="138"/>
      <c r="M80" s="138"/>
      <c r="N80" s="142"/>
      <c r="O80" s="142"/>
      <c r="P80" s="142"/>
      <c r="Q80" s="119"/>
      <c r="R80" s="118" t="s">
        <v>552</v>
      </c>
      <c r="S80" s="117" t="s">
        <v>518</v>
      </c>
      <c r="T80" s="117"/>
      <c r="U80" s="117" t="s">
        <v>529</v>
      </c>
      <c r="V80" s="117" t="s">
        <v>529</v>
      </c>
      <c r="W80" s="117" t="s">
        <v>529</v>
      </c>
      <c r="X80" s="117" t="s">
        <v>529</v>
      </c>
      <c r="Y80" s="119"/>
      <c r="Z80" s="142"/>
      <c r="AA80" s="142"/>
      <c r="AB80" s="138"/>
      <c r="AC80" s="138"/>
      <c r="AD80" s="142"/>
      <c r="AE80" s="142"/>
      <c r="AF80" s="142"/>
      <c r="AG80" s="119"/>
      <c r="AH80" s="142"/>
      <c r="AI80" s="142"/>
      <c r="AJ80" s="138"/>
      <c r="AK80" s="138"/>
      <c r="AL80" s="142"/>
      <c r="AM80" s="142"/>
      <c r="AN80" s="142"/>
      <c r="AO80" s="119"/>
      <c r="AP80" s="117" t="s">
        <v>549</v>
      </c>
      <c r="AQ80" s="117" t="s">
        <v>549</v>
      </c>
      <c r="AR80" s="117" t="s">
        <v>549</v>
      </c>
      <c r="AS80" s="117" t="s">
        <v>549</v>
      </c>
      <c r="AT80" s="117"/>
      <c r="AU80" s="117"/>
      <c r="AV80" s="116" t="s">
        <v>521</v>
      </c>
      <c r="AW80" s="119"/>
      <c r="AX80" s="135"/>
      <c r="AY80" s="135"/>
      <c r="AZ80" s="135"/>
      <c r="BA80" s="135"/>
      <c r="BB80" s="136"/>
      <c r="BC80" s="137"/>
      <c r="BD80" s="137"/>
      <c r="BE80" s="119"/>
      <c r="BF80" s="135"/>
      <c r="BG80" s="135"/>
      <c r="BH80" s="135"/>
      <c r="BI80" s="135"/>
      <c r="BJ80" s="136"/>
      <c r="BK80" s="137"/>
      <c r="BL80" s="137"/>
      <c r="BM80" s="119"/>
      <c r="BN80" s="117"/>
      <c r="BO80" s="117"/>
      <c r="BP80" s="117"/>
      <c r="BQ80" s="117"/>
      <c r="BR80" s="117"/>
      <c r="BS80" s="117"/>
      <c r="BT80" s="117"/>
      <c r="BU80" s="119"/>
      <c r="BV80" s="138"/>
      <c r="BW80" s="138"/>
      <c r="BX80" s="138"/>
      <c r="BY80" s="138"/>
      <c r="BZ80" s="138"/>
      <c r="CA80" s="138"/>
      <c r="CB80" s="138"/>
      <c r="CC80" s="119"/>
      <c r="CD80" s="135"/>
      <c r="CE80" s="135"/>
      <c r="CF80" s="135"/>
      <c r="CG80" s="135"/>
      <c r="CH80" s="136"/>
      <c r="CI80" s="137"/>
      <c r="CJ80" s="137"/>
      <c r="CK80" s="119"/>
      <c r="CL80" s="118"/>
      <c r="CM80" s="118"/>
      <c r="CN80" s="118"/>
      <c r="CO80" s="118"/>
      <c r="CP80" s="118"/>
      <c r="CQ80" s="118"/>
      <c r="CR80" s="118"/>
      <c r="CS80" s="119"/>
    </row>
    <row r="81">
      <c r="A81" s="129"/>
      <c r="B81" s="143"/>
      <c r="C81" s="143"/>
      <c r="D81" s="143"/>
      <c r="E81" s="143"/>
      <c r="F81" s="143"/>
      <c r="G81" s="143"/>
      <c r="H81" s="143"/>
      <c r="I81" s="129"/>
      <c r="J81" s="144"/>
      <c r="K81" s="144"/>
      <c r="L81" s="145"/>
      <c r="M81" s="145"/>
      <c r="N81" s="144"/>
      <c r="O81" s="144"/>
      <c r="P81" s="144"/>
      <c r="Q81" s="129"/>
      <c r="R81" s="118" t="s">
        <v>499</v>
      </c>
      <c r="S81" s="118" t="s">
        <v>499</v>
      </c>
      <c r="T81" s="118" t="s">
        <v>499</v>
      </c>
      <c r="U81" s="118" t="s">
        <v>499</v>
      </c>
      <c r="V81" s="118" t="s">
        <v>499</v>
      </c>
      <c r="W81" s="118" t="s">
        <v>499</v>
      </c>
      <c r="X81" s="118" t="s">
        <v>499</v>
      </c>
      <c r="Y81" s="129"/>
      <c r="Z81" s="144"/>
      <c r="AA81" s="144"/>
      <c r="AB81" s="145"/>
      <c r="AC81" s="145"/>
      <c r="AD81" s="144"/>
      <c r="AE81" s="144"/>
      <c r="AF81" s="144"/>
      <c r="AG81" s="129"/>
      <c r="AH81" s="144"/>
      <c r="AI81" s="144"/>
      <c r="AJ81" s="145"/>
      <c r="AK81" s="145"/>
      <c r="AL81" s="144"/>
      <c r="AM81" s="144"/>
      <c r="AN81" s="144"/>
      <c r="AO81" s="129"/>
      <c r="AP81" s="143"/>
      <c r="AQ81" s="143"/>
      <c r="AR81" s="143"/>
      <c r="AS81" s="143"/>
      <c r="AT81" s="143"/>
      <c r="AU81" s="143"/>
      <c r="AV81" s="143"/>
      <c r="AW81" s="129"/>
      <c r="AX81" s="146"/>
      <c r="AY81" s="146"/>
      <c r="AZ81" s="146"/>
      <c r="BA81" s="146"/>
      <c r="BB81" s="147"/>
      <c r="BC81" s="148"/>
      <c r="BD81" s="148"/>
      <c r="BE81" s="129"/>
      <c r="BF81" s="146"/>
      <c r="BG81" s="146"/>
      <c r="BH81" s="146"/>
      <c r="BI81" s="146"/>
      <c r="BJ81" s="147"/>
      <c r="BK81" s="148"/>
      <c r="BL81" s="148"/>
      <c r="BM81" s="129"/>
      <c r="BN81" s="143"/>
      <c r="BO81" s="143"/>
      <c r="BP81" s="143"/>
      <c r="BQ81" s="143"/>
      <c r="BR81" s="143"/>
      <c r="BS81" s="143"/>
      <c r="BT81" s="143"/>
      <c r="BU81" s="129"/>
      <c r="BV81" s="145"/>
      <c r="BW81" s="145"/>
      <c r="BX81" s="145"/>
      <c r="BY81" s="145"/>
      <c r="BZ81" s="145"/>
      <c r="CA81" s="145"/>
      <c r="CB81" s="145"/>
      <c r="CC81" s="129"/>
      <c r="CD81" s="146"/>
      <c r="CE81" s="146"/>
      <c r="CF81" s="146"/>
      <c r="CG81" s="146"/>
      <c r="CH81" s="147"/>
      <c r="CI81" s="148"/>
      <c r="CJ81" s="148"/>
      <c r="CK81" s="129"/>
      <c r="CL81" s="143"/>
      <c r="CM81" s="143"/>
      <c r="CN81" s="143"/>
      <c r="CO81" s="143"/>
      <c r="CP81" s="143"/>
      <c r="CQ81" s="143"/>
      <c r="CR81" s="143"/>
      <c r="CS81" s="129"/>
    </row>
  </sheetData>
  <mergeCells count="12">
    <mergeCell ref="BF1:BL2"/>
    <mergeCell ref="BN1:BT2"/>
    <mergeCell ref="BV1:CB2"/>
    <mergeCell ref="CD1:CJ2"/>
    <mergeCell ref="CL1:CR2"/>
    <mergeCell ref="B1:H2"/>
    <mergeCell ref="J1:P2"/>
    <mergeCell ref="R1:X2"/>
    <mergeCell ref="Z1:AF2"/>
    <mergeCell ref="AH1:AN2"/>
    <mergeCell ref="AP1:AV2"/>
    <mergeCell ref="AX1:BD2"/>
  </mergeCells>
  <conditionalFormatting sqref="L77:M77 AB77:AC77 AJ77:AK77">
    <cfRule type="cellIs" dxfId="8" priority="1" operator="equal">
      <formula>1</formula>
    </cfRule>
  </conditionalFormatting>
  <conditionalFormatting sqref="N74 P74:P76 AD74 AF74:AF76 AL74 AN74:AN76 O75:O76 AE75:AE76 AM75:AM76 L77 M77:M79 AB77 AC77:AC79 AJ77 AK77:AK79 N78:P79 AD78:AF79 AL78:AN79">
    <cfRule type="cellIs" dxfId="9" priority="2" operator="greaterThan">
      <formula>0</formula>
    </cfRule>
  </conditionalFormatting>
  <printOptions gridLines="1" horizontalCentered="1"/>
  <pageMargins bottom="0.75" footer="0.0" header="0.0" left="0.25" right="0.25" top="0.75"/>
  <pageSetup fitToWidth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1.5"/>
    <col customWidth="1" min="2" max="2" width="1.5"/>
    <col customWidth="1" hidden="1" min="3" max="9" width="13.75"/>
    <col customWidth="1" min="10" max="10" width="1.5"/>
    <col customWidth="1" hidden="1" min="11" max="17" width="13.13"/>
    <col customWidth="1" hidden="1" min="18" max="18" width="1.5"/>
    <col customWidth="1" hidden="1" min="19" max="25" width="13.13"/>
    <col customWidth="1" min="26" max="26" width="1.5"/>
    <col customWidth="1" min="27" max="33" width="13.13"/>
    <col customWidth="1" min="34" max="34" width="1.5"/>
    <col customWidth="1" min="35" max="41" width="13.13"/>
    <col customWidth="1" min="42" max="42" width="1.5"/>
    <col customWidth="1" min="43" max="49" width="13.13"/>
    <col customWidth="1" min="50" max="50" width="1.5"/>
    <col customWidth="1" min="51" max="57" width="13.13"/>
    <col customWidth="1" min="58" max="58" width="1.5"/>
    <col customWidth="1" min="59" max="65" width="13.13"/>
    <col customWidth="1" min="66" max="66" width="1.5"/>
    <col customWidth="1" min="67" max="73" width="13.13"/>
    <col customWidth="1" min="74" max="74" width="1.5"/>
    <col customWidth="1" min="75" max="81" width="13.13"/>
    <col customWidth="1" min="82" max="82" width="1.5"/>
    <col customWidth="1" min="83" max="89" width="13.13"/>
    <col customWidth="1" min="90" max="90" width="1.5"/>
    <col customWidth="1" min="91" max="97" width="13.13"/>
    <col customWidth="1" min="98" max="98" width="1.5"/>
  </cols>
  <sheetData>
    <row r="1">
      <c r="A1" s="149"/>
      <c r="B1" s="85" t="s">
        <v>473</v>
      </c>
      <c r="C1" s="150" t="s">
        <v>474</v>
      </c>
      <c r="D1" s="10"/>
      <c r="E1" s="10"/>
      <c r="F1" s="10"/>
      <c r="G1" s="10"/>
      <c r="H1" s="10"/>
      <c r="I1" s="151"/>
      <c r="J1" s="89"/>
      <c r="K1" s="150" t="s">
        <v>475</v>
      </c>
      <c r="L1" s="10"/>
      <c r="M1" s="10"/>
      <c r="N1" s="10"/>
      <c r="O1" s="10"/>
      <c r="P1" s="10"/>
      <c r="Q1" s="151"/>
      <c r="R1" s="89"/>
      <c r="S1" s="150" t="s">
        <v>476</v>
      </c>
      <c r="T1" s="10"/>
      <c r="U1" s="10"/>
      <c r="V1" s="10"/>
      <c r="W1" s="10"/>
      <c r="X1" s="10"/>
      <c r="Y1" s="151"/>
      <c r="Z1" s="89"/>
      <c r="AA1" s="150" t="s">
        <v>477</v>
      </c>
      <c r="AB1" s="10"/>
      <c r="AC1" s="10"/>
      <c r="AD1" s="10"/>
      <c r="AE1" s="10"/>
      <c r="AF1" s="10"/>
      <c r="AG1" s="151"/>
      <c r="AH1" s="89"/>
      <c r="AI1" s="150" t="s">
        <v>478</v>
      </c>
      <c r="AJ1" s="10"/>
      <c r="AK1" s="10"/>
      <c r="AL1" s="10"/>
      <c r="AM1" s="10"/>
      <c r="AN1" s="10"/>
      <c r="AO1" s="151"/>
      <c r="AP1" s="90"/>
      <c r="AQ1" s="150" t="s">
        <v>479</v>
      </c>
      <c r="AR1" s="10"/>
      <c r="AS1" s="10"/>
      <c r="AT1" s="10"/>
      <c r="AU1" s="10"/>
      <c r="AV1" s="10"/>
      <c r="AW1" s="151"/>
      <c r="AX1" s="91"/>
      <c r="AY1" s="152" t="s">
        <v>480</v>
      </c>
      <c r="AZ1" s="10"/>
      <c r="BA1" s="10"/>
      <c r="BB1" s="10"/>
      <c r="BC1" s="10"/>
      <c r="BD1" s="10"/>
      <c r="BE1" s="151"/>
      <c r="BF1" s="93"/>
      <c r="BG1" s="152" t="s">
        <v>481</v>
      </c>
      <c r="BH1" s="10"/>
      <c r="BI1" s="10"/>
      <c r="BJ1" s="10"/>
      <c r="BK1" s="10"/>
      <c r="BL1" s="10"/>
      <c r="BM1" s="151"/>
      <c r="BN1" s="91"/>
      <c r="BO1" s="152" t="s">
        <v>482</v>
      </c>
      <c r="BP1" s="10"/>
      <c r="BQ1" s="10"/>
      <c r="BR1" s="10"/>
      <c r="BS1" s="10"/>
      <c r="BT1" s="10"/>
      <c r="BU1" s="151"/>
      <c r="BV1" s="94"/>
      <c r="BW1" s="153" t="s">
        <v>483</v>
      </c>
      <c r="BX1" s="10"/>
      <c r="BY1" s="10"/>
      <c r="BZ1" s="10"/>
      <c r="CA1" s="10"/>
      <c r="CB1" s="10"/>
      <c r="CC1" s="151"/>
      <c r="CD1" s="94"/>
      <c r="CE1" s="153" t="s">
        <v>484</v>
      </c>
      <c r="CF1" s="10"/>
      <c r="CG1" s="10"/>
      <c r="CH1" s="10"/>
      <c r="CI1" s="10"/>
      <c r="CJ1" s="10"/>
      <c r="CK1" s="151"/>
      <c r="CL1" s="94"/>
      <c r="CM1" s="153" t="s">
        <v>485</v>
      </c>
      <c r="CN1" s="10"/>
      <c r="CO1" s="10"/>
      <c r="CP1" s="10"/>
      <c r="CQ1" s="10"/>
      <c r="CR1" s="10"/>
      <c r="CS1" s="151"/>
      <c r="CT1" s="94"/>
    </row>
    <row r="2">
      <c r="A2" s="154" t="s">
        <v>579</v>
      </c>
      <c r="B2" s="96"/>
      <c r="C2" s="102" t="s">
        <v>486</v>
      </c>
      <c r="D2" s="102" t="s">
        <v>487</v>
      </c>
      <c r="E2" s="102" t="s">
        <v>488</v>
      </c>
      <c r="F2" s="102" t="s">
        <v>489</v>
      </c>
      <c r="G2" s="102" t="s">
        <v>490</v>
      </c>
      <c r="H2" s="102" t="s">
        <v>491</v>
      </c>
      <c r="I2" s="102" t="s">
        <v>492</v>
      </c>
      <c r="J2" s="89"/>
      <c r="K2" s="102" t="s">
        <v>486</v>
      </c>
      <c r="L2" s="102" t="s">
        <v>487</v>
      </c>
      <c r="M2" s="102" t="s">
        <v>488</v>
      </c>
      <c r="N2" s="102" t="s">
        <v>489</v>
      </c>
      <c r="O2" s="102" t="s">
        <v>490</v>
      </c>
      <c r="P2" s="102" t="s">
        <v>491</v>
      </c>
      <c r="Q2" s="102" t="s">
        <v>492</v>
      </c>
      <c r="R2" s="89"/>
      <c r="S2" s="102" t="s">
        <v>486</v>
      </c>
      <c r="T2" s="102" t="s">
        <v>487</v>
      </c>
      <c r="U2" s="102" t="s">
        <v>488</v>
      </c>
      <c r="V2" s="102" t="s">
        <v>489</v>
      </c>
      <c r="W2" s="102" t="s">
        <v>490</v>
      </c>
      <c r="X2" s="102" t="s">
        <v>491</v>
      </c>
      <c r="Y2" s="102" t="s">
        <v>492</v>
      </c>
      <c r="Z2" s="89"/>
      <c r="AA2" s="102" t="s">
        <v>486</v>
      </c>
      <c r="AB2" s="102" t="s">
        <v>487</v>
      </c>
      <c r="AC2" s="102" t="s">
        <v>488</v>
      </c>
      <c r="AD2" s="102" t="s">
        <v>489</v>
      </c>
      <c r="AE2" s="102" t="s">
        <v>490</v>
      </c>
      <c r="AF2" s="102" t="s">
        <v>491</v>
      </c>
      <c r="AG2" s="102" t="s">
        <v>492</v>
      </c>
      <c r="AH2" s="89"/>
      <c r="AI2" s="102" t="s">
        <v>486</v>
      </c>
      <c r="AJ2" s="102" t="s">
        <v>487</v>
      </c>
      <c r="AK2" s="102" t="s">
        <v>488</v>
      </c>
      <c r="AL2" s="102" t="s">
        <v>489</v>
      </c>
      <c r="AM2" s="102" t="s">
        <v>490</v>
      </c>
      <c r="AN2" s="102" t="s">
        <v>491</v>
      </c>
      <c r="AO2" s="102" t="s">
        <v>492</v>
      </c>
      <c r="AP2" s="99"/>
      <c r="AQ2" s="102" t="s">
        <v>486</v>
      </c>
      <c r="AR2" s="102" t="s">
        <v>487</v>
      </c>
      <c r="AS2" s="102" t="s">
        <v>488</v>
      </c>
      <c r="AT2" s="102" t="s">
        <v>489</v>
      </c>
      <c r="AU2" s="102" t="s">
        <v>490</v>
      </c>
      <c r="AV2" s="102" t="s">
        <v>491</v>
      </c>
      <c r="AW2" s="102" t="s">
        <v>492</v>
      </c>
      <c r="AX2" s="103"/>
      <c r="AY2" s="104" t="s">
        <v>486</v>
      </c>
      <c r="AZ2" s="104" t="s">
        <v>487</v>
      </c>
      <c r="BA2" s="104" t="s">
        <v>488</v>
      </c>
      <c r="BB2" s="104" t="s">
        <v>489</v>
      </c>
      <c r="BC2" s="104" t="s">
        <v>490</v>
      </c>
      <c r="BD2" s="104" t="s">
        <v>491</v>
      </c>
      <c r="BE2" s="104" t="s">
        <v>492</v>
      </c>
      <c r="BF2" s="105"/>
      <c r="BG2" s="104" t="s">
        <v>486</v>
      </c>
      <c r="BH2" s="104" t="s">
        <v>487</v>
      </c>
      <c r="BI2" s="104" t="s">
        <v>488</v>
      </c>
      <c r="BJ2" s="104" t="s">
        <v>489</v>
      </c>
      <c r="BK2" s="104" t="s">
        <v>490</v>
      </c>
      <c r="BL2" s="104" t="s">
        <v>491</v>
      </c>
      <c r="BM2" s="104" t="s">
        <v>492</v>
      </c>
      <c r="BN2" s="103"/>
      <c r="BO2" s="104" t="s">
        <v>486</v>
      </c>
      <c r="BP2" s="104" t="s">
        <v>487</v>
      </c>
      <c r="BQ2" s="104" t="s">
        <v>488</v>
      </c>
      <c r="BR2" s="104" t="s">
        <v>489</v>
      </c>
      <c r="BS2" s="104" t="s">
        <v>490</v>
      </c>
      <c r="BT2" s="104" t="s">
        <v>491</v>
      </c>
      <c r="BU2" s="104" t="s">
        <v>492</v>
      </c>
      <c r="BV2" s="106"/>
      <c r="BW2" s="107" t="s">
        <v>486</v>
      </c>
      <c r="BX2" s="107" t="s">
        <v>487</v>
      </c>
      <c r="BY2" s="107" t="s">
        <v>488</v>
      </c>
      <c r="BZ2" s="107" t="s">
        <v>489</v>
      </c>
      <c r="CA2" s="107" t="s">
        <v>490</v>
      </c>
      <c r="CB2" s="107" t="s">
        <v>491</v>
      </c>
      <c r="CC2" s="107" t="s">
        <v>492</v>
      </c>
      <c r="CD2" s="106"/>
      <c r="CE2" s="107" t="s">
        <v>486</v>
      </c>
      <c r="CF2" s="107" t="s">
        <v>487</v>
      </c>
      <c r="CG2" s="107" t="s">
        <v>488</v>
      </c>
      <c r="CH2" s="107" t="s">
        <v>489</v>
      </c>
      <c r="CI2" s="107" t="s">
        <v>490</v>
      </c>
      <c r="CJ2" s="107" t="s">
        <v>491</v>
      </c>
      <c r="CK2" s="107" t="s">
        <v>492</v>
      </c>
      <c r="CL2" s="106"/>
      <c r="CM2" s="107" t="s">
        <v>486</v>
      </c>
      <c r="CN2" s="107" t="s">
        <v>487</v>
      </c>
      <c r="CO2" s="107" t="s">
        <v>488</v>
      </c>
      <c r="CP2" s="107" t="s">
        <v>489</v>
      </c>
      <c r="CQ2" s="107" t="s">
        <v>490</v>
      </c>
      <c r="CR2" s="107" t="s">
        <v>491</v>
      </c>
      <c r="CS2" s="107" t="s">
        <v>492</v>
      </c>
      <c r="CT2" s="106"/>
    </row>
    <row r="3">
      <c r="A3" s="155"/>
      <c r="B3" s="96"/>
      <c r="C3" s="108">
        <v>28.0</v>
      </c>
      <c r="D3" s="108">
        <v>29.0</v>
      </c>
      <c r="E3" s="108">
        <v>30.0</v>
      </c>
      <c r="F3" s="108">
        <v>31.0</v>
      </c>
      <c r="G3" s="109">
        <v>1.0</v>
      </c>
      <c r="H3" s="109">
        <v>2.0</v>
      </c>
      <c r="I3" s="109">
        <v>3.0</v>
      </c>
      <c r="J3" s="89"/>
      <c r="K3" s="109">
        <v>1.0</v>
      </c>
      <c r="L3" s="109">
        <v>2.0</v>
      </c>
      <c r="M3" s="109">
        <v>3.0</v>
      </c>
      <c r="N3" s="109">
        <v>4.0</v>
      </c>
      <c r="O3" s="109">
        <v>5.0</v>
      </c>
      <c r="P3" s="109">
        <v>6.0</v>
      </c>
      <c r="Q3" s="109">
        <v>7.0</v>
      </c>
      <c r="R3" s="89"/>
      <c r="S3" s="109">
        <v>1.0</v>
      </c>
      <c r="T3" s="109">
        <v>2.0</v>
      </c>
      <c r="U3" s="109">
        <v>3.0</v>
      </c>
      <c r="V3" s="109">
        <v>4.0</v>
      </c>
      <c r="W3" s="109">
        <v>5.0</v>
      </c>
      <c r="X3" s="109">
        <v>6.0</v>
      </c>
      <c r="Y3" s="109">
        <v>7.0</v>
      </c>
      <c r="Z3" s="110">
        <v>5.0</v>
      </c>
      <c r="AA3" s="109">
        <v>5.0</v>
      </c>
      <c r="AB3" s="109">
        <v>6.0</v>
      </c>
      <c r="AC3" s="109">
        <v>7.0</v>
      </c>
      <c r="AD3" s="109">
        <v>8.0</v>
      </c>
      <c r="AE3" s="109">
        <v>9.0</v>
      </c>
      <c r="AF3" s="109">
        <v>10.0</v>
      </c>
      <c r="AG3" s="109">
        <v>11.0</v>
      </c>
      <c r="AH3" s="89"/>
      <c r="AI3" s="109">
        <v>3.0</v>
      </c>
      <c r="AJ3" s="109">
        <v>4.0</v>
      </c>
      <c r="AK3" s="109">
        <v>5.0</v>
      </c>
      <c r="AL3" s="109">
        <v>6.0</v>
      </c>
      <c r="AM3" s="109">
        <v>7.0</v>
      </c>
      <c r="AN3" s="109">
        <v>8.0</v>
      </c>
      <c r="AO3" s="109">
        <v>9.0</v>
      </c>
      <c r="AP3" s="99"/>
      <c r="AQ3" s="109">
        <v>31.0</v>
      </c>
      <c r="AR3" s="109">
        <v>1.0</v>
      </c>
      <c r="AS3" s="109">
        <v>2.0</v>
      </c>
      <c r="AT3" s="109">
        <v>3.0</v>
      </c>
      <c r="AU3" s="109">
        <v>4.0</v>
      </c>
      <c r="AV3" s="109">
        <v>5.0</v>
      </c>
      <c r="AW3" s="109">
        <v>6.0</v>
      </c>
      <c r="AX3" s="111"/>
      <c r="AY3" s="112">
        <v>5.0</v>
      </c>
      <c r="AZ3" s="112">
        <v>6.0</v>
      </c>
      <c r="BA3" s="112">
        <v>7.0</v>
      </c>
      <c r="BB3" s="112">
        <v>8.0</v>
      </c>
      <c r="BC3" s="112">
        <v>9.0</v>
      </c>
      <c r="BD3" s="112">
        <v>10.0</v>
      </c>
      <c r="BE3" s="112">
        <v>11.0</v>
      </c>
      <c r="BF3" s="113"/>
      <c r="BG3" s="112">
        <v>2.0</v>
      </c>
      <c r="BH3" s="112">
        <v>3.0</v>
      </c>
      <c r="BI3" s="112">
        <v>4.0</v>
      </c>
      <c r="BJ3" s="112">
        <v>5.0</v>
      </c>
      <c r="BK3" s="112">
        <v>6.0</v>
      </c>
      <c r="BL3" s="112">
        <v>7.0</v>
      </c>
      <c r="BM3" s="112">
        <v>8.0</v>
      </c>
      <c r="BN3" s="111"/>
      <c r="BO3" s="112">
        <v>30.0</v>
      </c>
      <c r="BP3" s="112">
        <v>31.0</v>
      </c>
      <c r="BQ3" s="112">
        <v>1.0</v>
      </c>
      <c r="BR3" s="112">
        <v>2.0</v>
      </c>
      <c r="BS3" s="112">
        <v>3.0</v>
      </c>
      <c r="BT3" s="112">
        <v>4.0</v>
      </c>
      <c r="BU3" s="112">
        <v>5.0</v>
      </c>
      <c r="BV3" s="94"/>
      <c r="BW3" s="112">
        <v>4.0</v>
      </c>
      <c r="BX3" s="112">
        <v>5.0</v>
      </c>
      <c r="BY3" s="112">
        <v>6.0</v>
      </c>
      <c r="BZ3" s="112">
        <v>7.0</v>
      </c>
      <c r="CA3" s="112">
        <v>8.0</v>
      </c>
      <c r="CB3" s="112">
        <v>9.0</v>
      </c>
      <c r="CC3" s="112">
        <v>10.0</v>
      </c>
      <c r="CD3" s="94"/>
      <c r="CE3" s="114">
        <v>1.0</v>
      </c>
      <c r="CF3" s="114">
        <v>2.0</v>
      </c>
      <c r="CG3" s="114">
        <v>3.0</v>
      </c>
      <c r="CH3" s="114">
        <v>4.0</v>
      </c>
      <c r="CI3" s="114">
        <v>5.0</v>
      </c>
      <c r="CJ3" s="114">
        <v>6.0</v>
      </c>
      <c r="CK3" s="114">
        <v>7.0</v>
      </c>
      <c r="CL3" s="94"/>
      <c r="CM3" s="114">
        <v>29.0</v>
      </c>
      <c r="CN3" s="114">
        <v>30.0</v>
      </c>
      <c r="CO3" s="114">
        <v>1.0</v>
      </c>
      <c r="CP3" s="114">
        <v>2.0</v>
      </c>
      <c r="CQ3" s="114">
        <v>3.0</v>
      </c>
      <c r="CR3" s="114">
        <v>4.0</v>
      </c>
      <c r="CS3" s="114">
        <v>5.0</v>
      </c>
      <c r="CT3" s="94"/>
    </row>
    <row r="4">
      <c r="A4" s="156" t="s">
        <v>580</v>
      </c>
      <c r="B4" s="115"/>
      <c r="C4" s="157" t="s">
        <v>581</v>
      </c>
      <c r="D4" s="158" t="s">
        <v>582</v>
      </c>
      <c r="E4" s="158" t="s">
        <v>582</v>
      </c>
      <c r="F4" s="158" t="s">
        <v>582</v>
      </c>
      <c r="G4" s="158" t="s">
        <v>582</v>
      </c>
      <c r="H4" s="158" t="s">
        <v>582</v>
      </c>
      <c r="I4" s="157" t="s">
        <v>581</v>
      </c>
      <c r="J4" s="115"/>
      <c r="K4" s="157" t="s">
        <v>581</v>
      </c>
      <c r="L4" s="158" t="s">
        <v>582</v>
      </c>
      <c r="M4" s="158" t="s">
        <v>582</v>
      </c>
      <c r="N4" s="158" t="s">
        <v>582</v>
      </c>
      <c r="O4" s="158" t="s">
        <v>582</v>
      </c>
      <c r="P4" s="158" t="s">
        <v>582</v>
      </c>
      <c r="Q4" s="157" t="s">
        <v>581</v>
      </c>
      <c r="R4" s="115"/>
      <c r="S4" s="157" t="s">
        <v>581</v>
      </c>
      <c r="T4" s="158" t="s">
        <v>582</v>
      </c>
      <c r="U4" s="158" t="s">
        <v>582</v>
      </c>
      <c r="V4" s="158" t="s">
        <v>582</v>
      </c>
      <c r="W4" s="158" t="s">
        <v>582</v>
      </c>
      <c r="X4" s="158" t="s">
        <v>582</v>
      </c>
      <c r="Y4" s="157" t="s">
        <v>581</v>
      </c>
      <c r="Z4" s="115"/>
      <c r="AA4" s="159" t="s">
        <v>583</v>
      </c>
      <c r="AB4" s="159" t="s">
        <v>583</v>
      </c>
      <c r="AC4" s="159" t="s">
        <v>583</v>
      </c>
      <c r="AD4" s="159" t="s">
        <v>583</v>
      </c>
      <c r="AE4" s="159" t="s">
        <v>583</v>
      </c>
      <c r="AF4" s="159" t="s">
        <v>583</v>
      </c>
      <c r="AG4" s="159" t="s">
        <v>583</v>
      </c>
      <c r="AH4" s="115"/>
      <c r="AI4" s="157" t="s">
        <v>581</v>
      </c>
      <c r="AJ4" s="116"/>
      <c r="AK4" s="116"/>
      <c r="AL4" s="116"/>
      <c r="AM4" s="116"/>
      <c r="AN4" s="116"/>
      <c r="AO4" s="157" t="s">
        <v>581</v>
      </c>
      <c r="AP4" s="115"/>
      <c r="AQ4" s="157" t="s">
        <v>581</v>
      </c>
      <c r="AR4" s="116"/>
      <c r="AS4" s="116"/>
      <c r="AT4" s="116"/>
      <c r="AU4" s="116"/>
      <c r="AV4" s="116"/>
      <c r="AW4" s="157" t="s">
        <v>581</v>
      </c>
      <c r="AX4" s="115"/>
      <c r="AY4" s="157" t="s">
        <v>581</v>
      </c>
      <c r="AZ4" s="116"/>
      <c r="BA4" s="116"/>
      <c r="BB4" s="116"/>
      <c r="BC4" s="116"/>
      <c r="BD4" s="116"/>
      <c r="BE4" s="157" t="s">
        <v>581</v>
      </c>
      <c r="BF4" s="115"/>
      <c r="BG4" s="157" t="s">
        <v>581</v>
      </c>
      <c r="BH4" s="116"/>
      <c r="BI4" s="116"/>
      <c r="BJ4" s="116"/>
      <c r="BK4" s="116"/>
      <c r="BL4" s="116"/>
      <c r="BM4" s="157" t="s">
        <v>581</v>
      </c>
      <c r="BN4" s="115"/>
      <c r="BO4" s="157" t="s">
        <v>581</v>
      </c>
      <c r="BP4" s="116"/>
      <c r="BQ4" s="116"/>
      <c r="BR4" s="116"/>
      <c r="BS4" s="116"/>
      <c r="BT4" s="116"/>
      <c r="BU4" s="157" t="s">
        <v>581</v>
      </c>
      <c r="BV4" s="115"/>
      <c r="BW4" s="157" t="s">
        <v>581</v>
      </c>
      <c r="BX4" s="116"/>
      <c r="BY4" s="116"/>
      <c r="BZ4" s="116"/>
      <c r="CA4" s="116"/>
      <c r="CB4" s="116"/>
      <c r="CC4" s="157" t="s">
        <v>581</v>
      </c>
      <c r="CD4" s="115"/>
      <c r="CE4" s="157" t="s">
        <v>581</v>
      </c>
      <c r="CF4" s="116"/>
      <c r="CG4" s="116"/>
      <c r="CH4" s="116"/>
      <c r="CI4" s="116"/>
      <c r="CJ4" s="116"/>
      <c r="CK4" s="157" t="s">
        <v>581</v>
      </c>
      <c r="CL4" s="115"/>
      <c r="CM4" s="157" t="s">
        <v>581</v>
      </c>
      <c r="CN4" s="116"/>
      <c r="CO4" s="116"/>
      <c r="CP4" s="116"/>
      <c r="CQ4" s="116"/>
      <c r="CR4" s="116"/>
      <c r="CS4" s="157" t="s">
        <v>581</v>
      </c>
      <c r="CT4" s="115"/>
    </row>
    <row r="5">
      <c r="A5" s="156" t="s">
        <v>584</v>
      </c>
      <c r="B5" s="119"/>
      <c r="C5" s="122" t="s">
        <v>585</v>
      </c>
      <c r="D5" s="158" t="s">
        <v>582</v>
      </c>
      <c r="E5" s="158" t="s">
        <v>582</v>
      </c>
      <c r="F5" s="117"/>
      <c r="G5" s="158" t="s">
        <v>582</v>
      </c>
      <c r="H5" s="158" t="s">
        <v>582</v>
      </c>
      <c r="I5" s="157" t="s">
        <v>581</v>
      </c>
      <c r="J5" s="119"/>
      <c r="K5" s="117"/>
      <c r="L5" s="117"/>
      <c r="M5" s="117"/>
      <c r="N5" s="117"/>
      <c r="O5" s="117"/>
      <c r="P5" s="116"/>
      <c r="Q5" s="116"/>
      <c r="R5" s="119"/>
      <c r="S5" s="116"/>
      <c r="T5" s="116"/>
      <c r="U5" s="116"/>
      <c r="V5" s="116"/>
      <c r="W5" s="116"/>
      <c r="X5" s="116"/>
      <c r="Y5" s="116"/>
      <c r="Z5" s="119"/>
      <c r="AA5" s="160" t="s">
        <v>586</v>
      </c>
      <c r="AB5" s="160" t="s">
        <v>586</v>
      </c>
      <c r="AC5" s="160" t="s">
        <v>586</v>
      </c>
      <c r="AD5" s="117"/>
      <c r="AE5" s="117"/>
      <c r="AF5" s="117"/>
      <c r="AG5" s="117"/>
      <c r="AH5" s="119"/>
      <c r="AI5" s="116"/>
      <c r="AJ5" s="158" t="s">
        <v>582</v>
      </c>
      <c r="AK5" s="158" t="s">
        <v>582</v>
      </c>
      <c r="AL5" s="158" t="s">
        <v>582</v>
      </c>
      <c r="AM5" s="158" t="s">
        <v>582</v>
      </c>
      <c r="AN5" s="158" t="s">
        <v>582</v>
      </c>
      <c r="AO5" s="116"/>
      <c r="AP5" s="119"/>
      <c r="AQ5" s="117"/>
      <c r="AR5" s="117"/>
      <c r="AS5" s="117"/>
      <c r="AT5" s="117"/>
      <c r="AU5" s="117"/>
      <c r="AV5" s="117"/>
      <c r="AW5" s="117"/>
      <c r="AX5" s="119"/>
      <c r="AY5" s="117"/>
      <c r="AZ5" s="117"/>
      <c r="BA5" s="117"/>
      <c r="BB5" s="117"/>
      <c r="BC5" s="117"/>
      <c r="BD5" s="117"/>
      <c r="BE5" s="117"/>
      <c r="BF5" s="119"/>
      <c r="BG5" s="117"/>
      <c r="BH5" s="117"/>
      <c r="BI5" s="117"/>
      <c r="BJ5" s="117"/>
      <c r="BK5" s="117"/>
      <c r="BL5" s="117"/>
      <c r="BM5" s="116"/>
      <c r="BN5" s="119"/>
      <c r="BO5" s="117"/>
      <c r="BP5" s="117"/>
      <c r="BQ5" s="117"/>
      <c r="BR5" s="117"/>
      <c r="BS5" s="117"/>
      <c r="BT5" s="117"/>
      <c r="BU5" s="117"/>
      <c r="BV5" s="119"/>
      <c r="BW5" s="117"/>
      <c r="BX5" s="117"/>
      <c r="BY5" s="117"/>
      <c r="BZ5" s="117"/>
      <c r="CA5" s="117"/>
      <c r="CB5" s="117"/>
      <c r="CC5" s="117"/>
      <c r="CD5" s="119"/>
      <c r="CE5" s="120"/>
      <c r="CF5" s="120"/>
      <c r="CG5" s="120"/>
      <c r="CH5" s="120"/>
      <c r="CI5" s="120"/>
      <c r="CJ5" s="120"/>
      <c r="CK5" s="120"/>
      <c r="CL5" s="119"/>
      <c r="CM5" s="117"/>
      <c r="CN5" s="117"/>
      <c r="CO5" s="117"/>
      <c r="CP5" s="117"/>
      <c r="CQ5" s="117"/>
      <c r="CR5" s="117"/>
      <c r="CS5" s="117"/>
      <c r="CT5" s="119"/>
    </row>
    <row r="6">
      <c r="A6" s="156" t="s">
        <v>587</v>
      </c>
      <c r="B6" s="119"/>
      <c r="C6" s="122" t="s">
        <v>585</v>
      </c>
      <c r="D6" s="117" t="s">
        <v>588</v>
      </c>
      <c r="E6" s="117" t="s">
        <v>588</v>
      </c>
      <c r="F6" s="161" t="s">
        <v>589</v>
      </c>
      <c r="G6" s="122" t="s">
        <v>585</v>
      </c>
      <c r="H6" s="117" t="s">
        <v>588</v>
      </c>
      <c r="I6" s="121" t="s">
        <v>590</v>
      </c>
      <c r="J6" s="119"/>
      <c r="K6" s="121" t="s">
        <v>590</v>
      </c>
      <c r="L6" s="117" t="s">
        <v>588</v>
      </c>
      <c r="M6" s="117" t="s">
        <v>588</v>
      </c>
      <c r="N6" s="117" t="s">
        <v>588</v>
      </c>
      <c r="O6" s="117" t="s">
        <v>588</v>
      </c>
      <c r="P6" s="117" t="s">
        <v>588</v>
      </c>
      <c r="Q6" s="121" t="s">
        <v>590</v>
      </c>
      <c r="R6" s="119"/>
      <c r="S6" s="121" t="s">
        <v>590</v>
      </c>
      <c r="T6" s="117" t="s">
        <v>588</v>
      </c>
      <c r="U6" s="117" t="s">
        <v>588</v>
      </c>
      <c r="V6" s="117" t="s">
        <v>588</v>
      </c>
      <c r="W6" s="117" t="s">
        <v>588</v>
      </c>
      <c r="X6" s="117" t="s">
        <v>588</v>
      </c>
      <c r="Y6" s="121" t="s">
        <v>590</v>
      </c>
      <c r="Z6" s="119"/>
      <c r="AA6" s="158" t="s">
        <v>582</v>
      </c>
      <c r="AB6" s="117" t="s">
        <v>588</v>
      </c>
      <c r="AC6" s="117" t="s">
        <v>588</v>
      </c>
      <c r="AD6" s="117" t="s">
        <v>588</v>
      </c>
      <c r="AE6" s="122" t="s">
        <v>585</v>
      </c>
      <c r="AF6" s="122" t="s">
        <v>585</v>
      </c>
      <c r="AG6" s="160" t="s">
        <v>586</v>
      </c>
      <c r="AH6" s="119"/>
      <c r="AI6" s="122" t="s">
        <v>585</v>
      </c>
      <c r="AJ6" s="117" t="s">
        <v>588</v>
      </c>
      <c r="AK6" s="117" t="s">
        <v>588</v>
      </c>
      <c r="AL6" s="117" t="s">
        <v>588</v>
      </c>
      <c r="AM6" s="117" t="s">
        <v>588</v>
      </c>
      <c r="AN6" s="117" t="s">
        <v>588</v>
      </c>
      <c r="AO6" s="121" t="s">
        <v>590</v>
      </c>
      <c r="AP6" s="119"/>
      <c r="AQ6" s="121" t="s">
        <v>590</v>
      </c>
      <c r="AR6" s="117" t="s">
        <v>588</v>
      </c>
      <c r="AS6" s="117" t="s">
        <v>588</v>
      </c>
      <c r="AT6" s="117" t="s">
        <v>588</v>
      </c>
      <c r="AU6" s="117" t="s">
        <v>588</v>
      </c>
      <c r="AV6" s="117" t="s">
        <v>588</v>
      </c>
      <c r="AW6" s="162" t="s">
        <v>586</v>
      </c>
      <c r="AX6" s="119"/>
      <c r="AY6" s="162" t="s">
        <v>586</v>
      </c>
      <c r="AZ6" s="117" t="s">
        <v>588</v>
      </c>
      <c r="BA6" s="117" t="s">
        <v>588</v>
      </c>
      <c r="BB6" s="117" t="s">
        <v>588</v>
      </c>
      <c r="BC6" s="117" t="s">
        <v>588</v>
      </c>
      <c r="BD6" s="117" t="s">
        <v>588</v>
      </c>
      <c r="BE6" s="121" t="s">
        <v>590</v>
      </c>
      <c r="BF6" s="119"/>
      <c r="BG6" s="162" t="s">
        <v>586</v>
      </c>
      <c r="BH6" s="117" t="s">
        <v>588</v>
      </c>
      <c r="BI6" s="117" t="s">
        <v>588</v>
      </c>
      <c r="BJ6" s="117" t="s">
        <v>588</v>
      </c>
      <c r="BK6" s="117" t="s">
        <v>588</v>
      </c>
      <c r="BL6" s="117" t="s">
        <v>588</v>
      </c>
      <c r="BM6" s="121" t="s">
        <v>590</v>
      </c>
      <c r="BN6" s="119"/>
      <c r="BO6" s="163" t="s">
        <v>591</v>
      </c>
      <c r="BP6" s="163" t="s">
        <v>591</v>
      </c>
      <c r="BQ6" s="163" t="s">
        <v>591</v>
      </c>
      <c r="BR6" s="163" t="s">
        <v>591</v>
      </c>
      <c r="BS6" s="163" t="s">
        <v>591</v>
      </c>
      <c r="BT6" s="163" t="s">
        <v>591</v>
      </c>
      <c r="BU6" s="163" t="s">
        <v>591</v>
      </c>
      <c r="BV6" s="119"/>
      <c r="BW6" s="116"/>
      <c r="BX6" s="116"/>
      <c r="BY6" s="116"/>
      <c r="BZ6" s="116"/>
      <c r="CA6" s="116"/>
      <c r="CB6" s="116"/>
      <c r="CC6" s="116"/>
      <c r="CD6" s="119"/>
      <c r="CE6" s="116"/>
      <c r="CF6" s="116"/>
      <c r="CG6" s="117"/>
      <c r="CH6" s="117"/>
      <c r="CI6" s="117"/>
      <c r="CJ6" s="117"/>
      <c r="CK6" s="117"/>
      <c r="CL6" s="119"/>
      <c r="CM6" s="118"/>
      <c r="CN6" s="118"/>
      <c r="CO6" s="117"/>
      <c r="CP6" s="117"/>
      <c r="CQ6" s="117"/>
      <c r="CR6" s="117"/>
      <c r="CS6" s="117"/>
      <c r="CT6" s="119"/>
    </row>
    <row r="7">
      <c r="A7" s="156" t="s">
        <v>592</v>
      </c>
      <c r="B7" s="119"/>
      <c r="C7" s="158" t="s">
        <v>582</v>
      </c>
      <c r="D7" s="158" t="s">
        <v>582</v>
      </c>
      <c r="E7" s="158" t="s">
        <v>582</v>
      </c>
      <c r="F7" s="158" t="s">
        <v>582</v>
      </c>
      <c r="G7" s="159" t="s">
        <v>583</v>
      </c>
      <c r="H7" s="158" t="s">
        <v>582</v>
      </c>
      <c r="I7" s="158" t="s">
        <v>582</v>
      </c>
      <c r="J7" s="119"/>
      <c r="K7" s="117"/>
      <c r="L7" s="158" t="s">
        <v>582</v>
      </c>
      <c r="M7" s="158" t="s">
        <v>582</v>
      </c>
      <c r="N7" s="158" t="s">
        <v>582</v>
      </c>
      <c r="O7" s="158" t="s">
        <v>582</v>
      </c>
      <c r="P7" s="158" t="s">
        <v>582</v>
      </c>
      <c r="Q7" s="158" t="s">
        <v>582</v>
      </c>
      <c r="R7" s="119"/>
      <c r="S7" s="116"/>
      <c r="T7" s="158" t="s">
        <v>582</v>
      </c>
      <c r="U7" s="158" t="s">
        <v>582</v>
      </c>
      <c r="V7" s="158" t="s">
        <v>582</v>
      </c>
      <c r="W7" s="158" t="s">
        <v>582</v>
      </c>
      <c r="X7" s="158" t="s">
        <v>582</v>
      </c>
      <c r="Y7" s="158" t="s">
        <v>582</v>
      </c>
      <c r="Z7" s="119"/>
      <c r="AA7" s="117"/>
      <c r="AB7" s="158" t="s">
        <v>582</v>
      </c>
      <c r="AC7" s="158" t="s">
        <v>582</v>
      </c>
      <c r="AD7" s="158" t="s">
        <v>582</v>
      </c>
      <c r="AE7" s="158" t="s">
        <v>582</v>
      </c>
      <c r="AF7" s="158" t="s">
        <v>582</v>
      </c>
      <c r="AG7" s="158" t="s">
        <v>582</v>
      </c>
      <c r="AH7" s="119"/>
      <c r="AI7" s="116"/>
      <c r="AJ7" s="158" t="s">
        <v>582</v>
      </c>
      <c r="AK7" s="158" t="s">
        <v>582</v>
      </c>
      <c r="AL7" s="158" t="s">
        <v>582</v>
      </c>
      <c r="AM7" s="158" t="s">
        <v>582</v>
      </c>
      <c r="AN7" s="158" t="s">
        <v>582</v>
      </c>
      <c r="AO7" s="158" t="s">
        <v>582</v>
      </c>
      <c r="AP7" s="119"/>
      <c r="AQ7" s="117"/>
      <c r="AR7" s="117"/>
      <c r="AS7" s="117"/>
      <c r="AT7" s="117"/>
      <c r="AU7" s="117"/>
      <c r="AV7" s="117"/>
      <c r="AW7" s="117"/>
      <c r="AX7" s="119"/>
      <c r="AY7" s="117"/>
      <c r="AZ7" s="117"/>
      <c r="BA7" s="117"/>
      <c r="BB7" s="117"/>
      <c r="BC7" s="117"/>
      <c r="BD7" s="117"/>
      <c r="BE7" s="117"/>
      <c r="BF7" s="119"/>
      <c r="BG7" s="117"/>
      <c r="BH7" s="117"/>
      <c r="BI7" s="117"/>
      <c r="BJ7" s="117"/>
      <c r="BK7" s="117"/>
      <c r="BL7" s="117"/>
      <c r="BM7" s="117"/>
      <c r="BN7" s="119"/>
      <c r="BO7" s="116"/>
      <c r="BP7" s="116"/>
      <c r="BQ7" s="116"/>
      <c r="BR7" s="116"/>
      <c r="BS7" s="116"/>
      <c r="BT7" s="116"/>
      <c r="BU7" s="117"/>
      <c r="BV7" s="119"/>
      <c r="BW7" s="117"/>
      <c r="BX7" s="117"/>
      <c r="BY7" s="117"/>
      <c r="BZ7" s="117"/>
      <c r="CA7" s="117"/>
      <c r="CB7" s="117"/>
      <c r="CC7" s="120"/>
      <c r="CD7" s="119"/>
      <c r="CE7" s="117"/>
      <c r="CF7" s="117"/>
      <c r="CG7" s="117"/>
      <c r="CH7" s="117"/>
      <c r="CI7" s="117"/>
      <c r="CJ7" s="117"/>
      <c r="CK7" s="117"/>
      <c r="CL7" s="119"/>
      <c r="CM7" s="117"/>
      <c r="CN7" s="117"/>
      <c r="CO7" s="117"/>
      <c r="CP7" s="117"/>
      <c r="CQ7" s="117"/>
      <c r="CR7" s="117"/>
      <c r="CS7" s="117"/>
      <c r="CT7" s="119"/>
    </row>
    <row r="8">
      <c r="A8" s="156" t="s">
        <v>593</v>
      </c>
      <c r="B8" s="119"/>
      <c r="C8" s="117"/>
      <c r="D8" s="117"/>
      <c r="E8" s="117"/>
      <c r="F8" s="121"/>
      <c r="G8" s="121"/>
      <c r="H8" s="121"/>
      <c r="I8" s="117"/>
      <c r="J8" s="119"/>
      <c r="K8" s="117"/>
      <c r="L8" s="117"/>
      <c r="M8" s="117"/>
      <c r="N8" s="117"/>
      <c r="O8" s="117"/>
      <c r="P8" s="116"/>
      <c r="Q8" s="116"/>
      <c r="R8" s="119"/>
      <c r="S8" s="116"/>
      <c r="T8" s="116"/>
      <c r="U8" s="116"/>
      <c r="V8" s="116"/>
      <c r="W8" s="116"/>
      <c r="X8" s="116"/>
      <c r="Y8" s="116"/>
      <c r="Z8" s="119"/>
      <c r="AA8" s="117"/>
      <c r="AB8" s="117"/>
      <c r="AC8" s="117"/>
      <c r="AD8" s="117"/>
      <c r="AE8" s="117"/>
      <c r="AF8" s="117"/>
      <c r="AG8" s="117"/>
      <c r="AH8" s="119"/>
      <c r="AI8" s="116"/>
      <c r="AJ8" s="116"/>
      <c r="AK8" s="116"/>
      <c r="AL8" s="116"/>
      <c r="AM8" s="116"/>
      <c r="AN8" s="116"/>
      <c r="AO8" s="116"/>
      <c r="AP8" s="119"/>
      <c r="AQ8" s="116"/>
      <c r="AR8" s="117"/>
      <c r="AS8" s="117"/>
      <c r="AT8" s="117"/>
      <c r="AU8" s="117"/>
      <c r="AV8" s="117"/>
      <c r="AW8" s="117"/>
      <c r="AX8" s="119"/>
      <c r="AY8" s="117"/>
      <c r="BA8" s="117"/>
      <c r="BB8" s="117"/>
      <c r="BC8" s="117"/>
      <c r="BD8" s="117"/>
      <c r="BE8" s="117"/>
      <c r="BF8" s="119"/>
      <c r="BG8" s="117"/>
      <c r="BH8" s="117"/>
      <c r="BI8" s="117"/>
      <c r="BJ8" s="117"/>
      <c r="BK8" s="117"/>
      <c r="BL8" s="117"/>
      <c r="BM8" s="117"/>
      <c r="BN8" s="119"/>
      <c r="BO8" s="117"/>
      <c r="BP8" s="117"/>
      <c r="BQ8" s="117"/>
      <c r="BR8" s="117"/>
      <c r="BS8" s="117"/>
      <c r="BT8" s="117"/>
      <c r="BU8" s="117"/>
      <c r="BV8" s="119"/>
      <c r="BW8" s="117"/>
      <c r="BX8" s="117"/>
      <c r="BY8" s="117"/>
      <c r="BZ8" s="117"/>
      <c r="CA8" s="117"/>
      <c r="CB8" s="117"/>
      <c r="CC8" s="117"/>
      <c r="CD8" s="119"/>
      <c r="CE8" s="117"/>
      <c r="CF8" s="117"/>
      <c r="CG8" s="117"/>
      <c r="CH8" s="117"/>
      <c r="CI8" s="117"/>
      <c r="CJ8" s="117"/>
      <c r="CK8" s="117"/>
      <c r="CL8" s="119"/>
      <c r="CM8" s="117"/>
      <c r="CN8" s="117"/>
      <c r="CO8" s="117"/>
      <c r="CP8" s="117"/>
      <c r="CQ8" s="117"/>
      <c r="CR8" s="117"/>
      <c r="CS8" s="117"/>
      <c r="CT8" s="119"/>
    </row>
    <row r="9">
      <c r="A9" s="156" t="s">
        <v>594</v>
      </c>
      <c r="B9" s="119"/>
      <c r="C9" s="117"/>
      <c r="D9" s="117"/>
      <c r="E9" s="121"/>
      <c r="F9" s="121"/>
      <c r="G9" s="121"/>
      <c r="H9" s="121"/>
      <c r="I9" s="117"/>
      <c r="J9" s="119"/>
      <c r="K9" s="117"/>
      <c r="L9" s="158" t="s">
        <v>582</v>
      </c>
      <c r="M9" s="118" t="s">
        <v>595</v>
      </c>
      <c r="N9" s="118" t="s">
        <v>595</v>
      </c>
      <c r="O9" s="161" t="s">
        <v>589</v>
      </c>
      <c r="P9" s="158" t="s">
        <v>582</v>
      </c>
      <c r="Q9" s="158" t="s">
        <v>582</v>
      </c>
      <c r="R9" s="119"/>
      <c r="S9" s="164" t="s">
        <v>590</v>
      </c>
      <c r="T9" s="165" t="s">
        <v>596</v>
      </c>
      <c r="U9" s="165" t="s">
        <v>588</v>
      </c>
      <c r="V9" s="165" t="s">
        <v>588</v>
      </c>
      <c r="W9" s="165" t="s">
        <v>588</v>
      </c>
      <c r="X9" s="165" t="s">
        <v>596</v>
      </c>
      <c r="Y9" s="121" t="s">
        <v>590</v>
      </c>
      <c r="Z9" s="119"/>
      <c r="AA9" s="117"/>
      <c r="AB9" s="165" t="s">
        <v>596</v>
      </c>
      <c r="AC9" s="166" t="s">
        <v>583</v>
      </c>
      <c r="AD9" s="166" t="s">
        <v>583</v>
      </c>
      <c r="AE9" s="166" t="s">
        <v>583</v>
      </c>
      <c r="AF9" s="166" t="s">
        <v>583</v>
      </c>
      <c r="AG9" s="166" t="s">
        <v>583</v>
      </c>
      <c r="AH9" s="119"/>
      <c r="AI9" s="116"/>
      <c r="AJ9" s="165" t="s">
        <v>596</v>
      </c>
      <c r="AK9" s="165" t="s">
        <v>596</v>
      </c>
      <c r="AL9" s="165" t="s">
        <v>588</v>
      </c>
      <c r="AM9" s="165" t="s">
        <v>588</v>
      </c>
      <c r="AN9" s="165" t="s">
        <v>596</v>
      </c>
      <c r="AO9" s="116" t="s">
        <v>583</v>
      </c>
      <c r="AP9" s="119"/>
      <c r="AQ9" s="116"/>
      <c r="AR9" s="165" t="s">
        <v>596</v>
      </c>
      <c r="AS9" s="165" t="s">
        <v>596</v>
      </c>
      <c r="AT9" s="165" t="s">
        <v>588</v>
      </c>
      <c r="AU9" s="165" t="s">
        <v>588</v>
      </c>
      <c r="AV9" s="165" t="s">
        <v>596</v>
      </c>
      <c r="AW9" s="117"/>
      <c r="AX9" s="119"/>
      <c r="AY9" s="117"/>
      <c r="AZ9" s="117"/>
      <c r="BA9" s="117"/>
      <c r="BB9" s="117"/>
      <c r="BC9" s="117"/>
      <c r="BD9" s="117"/>
      <c r="BE9" s="117"/>
      <c r="BF9" s="119"/>
      <c r="BG9" s="117"/>
      <c r="BH9" s="117"/>
      <c r="BI9" s="117"/>
      <c r="BJ9" s="117"/>
      <c r="BK9" s="117"/>
      <c r="BL9" s="117"/>
      <c r="BM9" s="117"/>
      <c r="BN9" s="119"/>
      <c r="BO9" s="117"/>
      <c r="BP9" s="117"/>
      <c r="BQ9" s="117"/>
      <c r="BR9" s="117"/>
      <c r="BS9" s="117"/>
      <c r="BT9" s="117"/>
      <c r="BU9" s="117"/>
      <c r="BV9" s="119"/>
      <c r="BW9" s="117"/>
      <c r="BX9" s="117"/>
      <c r="BY9" s="117"/>
      <c r="BZ9" s="117"/>
      <c r="CA9" s="117"/>
      <c r="CB9" s="117"/>
      <c r="CC9" s="117"/>
      <c r="CD9" s="119"/>
      <c r="CE9" s="117"/>
      <c r="CF9" s="117"/>
      <c r="CG9" s="117"/>
      <c r="CH9" s="117"/>
      <c r="CI9" s="117"/>
      <c r="CJ9" s="117"/>
      <c r="CK9" s="117"/>
      <c r="CL9" s="119"/>
      <c r="CM9" s="117"/>
      <c r="CN9" s="117"/>
      <c r="CO9" s="117"/>
      <c r="CP9" s="117"/>
      <c r="CQ9" s="117"/>
      <c r="CR9" s="117"/>
      <c r="CS9" s="117"/>
      <c r="CT9" s="119"/>
    </row>
    <row r="10">
      <c r="A10" s="167"/>
      <c r="B10" s="119"/>
      <c r="C10" s="117"/>
      <c r="D10" s="117"/>
      <c r="E10" s="117"/>
      <c r="F10" s="117"/>
      <c r="G10" s="117"/>
      <c r="H10" s="117"/>
      <c r="I10" s="117"/>
      <c r="J10" s="119"/>
      <c r="K10" s="117"/>
      <c r="L10" s="117"/>
      <c r="M10" s="117"/>
      <c r="N10" s="117"/>
      <c r="O10" s="117"/>
      <c r="P10" s="116"/>
      <c r="Q10" s="116"/>
      <c r="R10" s="119"/>
      <c r="S10" s="116"/>
      <c r="T10" s="116"/>
      <c r="U10" s="116"/>
      <c r="V10" s="116"/>
      <c r="W10" s="116"/>
      <c r="X10" s="116"/>
      <c r="Y10" s="116"/>
      <c r="Z10" s="119"/>
      <c r="AA10" s="117"/>
      <c r="AB10" s="117"/>
      <c r="AC10" s="117"/>
      <c r="AD10" s="117"/>
      <c r="AE10" s="117"/>
      <c r="AF10" s="117"/>
      <c r="AG10" s="117"/>
      <c r="AH10" s="119"/>
      <c r="AI10" s="116"/>
      <c r="AJ10" s="116"/>
      <c r="AK10" s="116"/>
      <c r="AL10" s="116"/>
      <c r="AM10" s="116"/>
      <c r="AN10" s="116"/>
      <c r="AO10" s="116"/>
      <c r="AP10" s="119"/>
      <c r="AQ10" s="116"/>
      <c r="AR10" s="117"/>
      <c r="AS10" s="117"/>
      <c r="AT10" s="117"/>
      <c r="AU10" s="117"/>
      <c r="AV10" s="117"/>
      <c r="AW10" s="117"/>
      <c r="AX10" s="119"/>
      <c r="AY10" s="117"/>
      <c r="AZ10" s="117"/>
      <c r="BA10" s="117"/>
      <c r="BB10" s="117"/>
      <c r="BC10" s="117"/>
      <c r="BD10" s="117"/>
      <c r="BE10" s="117"/>
      <c r="BF10" s="119"/>
      <c r="BG10" s="117"/>
      <c r="BH10" s="117"/>
      <c r="BI10" s="117"/>
      <c r="BJ10" s="117"/>
      <c r="BK10" s="117"/>
      <c r="BL10" s="117"/>
      <c r="BM10" s="117"/>
      <c r="BN10" s="119"/>
      <c r="BO10" s="117"/>
      <c r="BP10" s="117"/>
      <c r="BQ10" s="117"/>
      <c r="BR10" s="117"/>
      <c r="BS10" s="117"/>
      <c r="BT10" s="117"/>
      <c r="BU10" s="117"/>
      <c r="BV10" s="119"/>
      <c r="BW10" s="117"/>
      <c r="BX10" s="117"/>
      <c r="BY10" s="117"/>
      <c r="BZ10" s="117"/>
      <c r="CA10" s="117"/>
      <c r="CB10" s="117"/>
      <c r="CC10" s="117"/>
      <c r="CD10" s="119"/>
      <c r="CE10" s="117"/>
      <c r="CF10" s="117"/>
      <c r="CG10" s="117"/>
      <c r="CH10" s="117"/>
      <c r="CI10" s="117"/>
      <c r="CJ10" s="117"/>
      <c r="CK10" s="117"/>
      <c r="CL10" s="119"/>
      <c r="CM10" s="117"/>
      <c r="CN10" s="117"/>
      <c r="CO10" s="117"/>
      <c r="CP10" s="117"/>
      <c r="CQ10" s="117"/>
      <c r="CR10" s="117"/>
      <c r="CS10" s="117"/>
      <c r="CT10" s="119"/>
    </row>
    <row r="11">
      <c r="A11" s="155"/>
      <c r="B11" s="96"/>
      <c r="C11" s="102" t="s">
        <v>486</v>
      </c>
      <c r="D11" s="102" t="s">
        <v>487</v>
      </c>
      <c r="E11" s="102" t="s">
        <v>488</v>
      </c>
      <c r="F11" s="102" t="s">
        <v>489</v>
      </c>
      <c r="G11" s="102" t="s">
        <v>490</v>
      </c>
      <c r="H11" s="102" t="s">
        <v>491</v>
      </c>
      <c r="I11" s="102" t="s">
        <v>492</v>
      </c>
      <c r="J11" s="89"/>
      <c r="K11" s="102" t="s">
        <v>486</v>
      </c>
      <c r="L11" s="102" t="s">
        <v>487</v>
      </c>
      <c r="M11" s="102" t="s">
        <v>488</v>
      </c>
      <c r="N11" s="102" t="s">
        <v>489</v>
      </c>
      <c r="O11" s="102" t="s">
        <v>490</v>
      </c>
      <c r="P11" s="102" t="s">
        <v>491</v>
      </c>
      <c r="Q11" s="102" t="s">
        <v>492</v>
      </c>
      <c r="R11" s="89"/>
      <c r="S11" s="102" t="s">
        <v>486</v>
      </c>
      <c r="T11" s="102" t="s">
        <v>487</v>
      </c>
      <c r="U11" s="102" t="s">
        <v>488</v>
      </c>
      <c r="V11" s="102" t="s">
        <v>489</v>
      </c>
      <c r="W11" s="102" t="s">
        <v>490</v>
      </c>
      <c r="X11" s="102" t="s">
        <v>491</v>
      </c>
      <c r="Y11" s="102" t="s">
        <v>492</v>
      </c>
      <c r="Z11" s="89"/>
      <c r="AA11" s="102" t="s">
        <v>486</v>
      </c>
      <c r="AB11" s="102" t="s">
        <v>487</v>
      </c>
      <c r="AC11" s="102" t="s">
        <v>488</v>
      </c>
      <c r="AD11" s="102" t="s">
        <v>489</v>
      </c>
      <c r="AE11" s="102" t="s">
        <v>490</v>
      </c>
      <c r="AF11" s="102" t="s">
        <v>491</v>
      </c>
      <c r="AG11" s="102" t="s">
        <v>492</v>
      </c>
      <c r="AH11" s="89"/>
      <c r="AI11" s="102" t="s">
        <v>486</v>
      </c>
      <c r="AJ11" s="102" t="s">
        <v>487</v>
      </c>
      <c r="AK11" s="102" t="s">
        <v>488</v>
      </c>
      <c r="AL11" s="102" t="s">
        <v>489</v>
      </c>
      <c r="AM11" s="102" t="s">
        <v>490</v>
      </c>
      <c r="AN11" s="102" t="s">
        <v>491</v>
      </c>
      <c r="AO11" s="102" t="s">
        <v>492</v>
      </c>
      <c r="AP11" s="99"/>
      <c r="AQ11" s="102" t="s">
        <v>486</v>
      </c>
      <c r="AR11" s="102" t="s">
        <v>487</v>
      </c>
      <c r="AS11" s="102" t="s">
        <v>488</v>
      </c>
      <c r="AT11" s="102" t="s">
        <v>489</v>
      </c>
      <c r="AU11" s="102" t="s">
        <v>490</v>
      </c>
      <c r="AV11" s="102" t="s">
        <v>491</v>
      </c>
      <c r="AW11" s="102" t="s">
        <v>492</v>
      </c>
      <c r="AX11" s="103"/>
      <c r="AY11" s="102" t="s">
        <v>486</v>
      </c>
      <c r="AZ11" s="102" t="s">
        <v>487</v>
      </c>
      <c r="BA11" s="102" t="s">
        <v>488</v>
      </c>
      <c r="BB11" s="102" t="s">
        <v>489</v>
      </c>
      <c r="BC11" s="102" t="s">
        <v>490</v>
      </c>
      <c r="BD11" s="102" t="s">
        <v>491</v>
      </c>
      <c r="BE11" s="102" t="s">
        <v>492</v>
      </c>
      <c r="BF11" s="105"/>
      <c r="BG11" s="102" t="s">
        <v>486</v>
      </c>
      <c r="BH11" s="102" t="s">
        <v>487</v>
      </c>
      <c r="BI11" s="102" t="s">
        <v>488</v>
      </c>
      <c r="BJ11" s="102" t="s">
        <v>489</v>
      </c>
      <c r="BK11" s="102" t="s">
        <v>490</v>
      </c>
      <c r="BL11" s="102" t="s">
        <v>491</v>
      </c>
      <c r="BM11" s="102" t="s">
        <v>492</v>
      </c>
      <c r="BN11" s="103"/>
      <c r="BO11" s="102" t="s">
        <v>486</v>
      </c>
      <c r="BP11" s="102" t="s">
        <v>487</v>
      </c>
      <c r="BQ11" s="102" t="s">
        <v>488</v>
      </c>
      <c r="BR11" s="102" t="s">
        <v>489</v>
      </c>
      <c r="BS11" s="102" t="s">
        <v>490</v>
      </c>
      <c r="BT11" s="102" t="s">
        <v>491</v>
      </c>
      <c r="BU11" s="102" t="s">
        <v>492</v>
      </c>
      <c r="BV11" s="106"/>
      <c r="BW11" s="102" t="s">
        <v>486</v>
      </c>
      <c r="BX11" s="102" t="s">
        <v>487</v>
      </c>
      <c r="BY11" s="102" t="s">
        <v>488</v>
      </c>
      <c r="BZ11" s="102" t="s">
        <v>489</v>
      </c>
      <c r="CA11" s="102" t="s">
        <v>490</v>
      </c>
      <c r="CB11" s="102" t="s">
        <v>491</v>
      </c>
      <c r="CC11" s="102" t="s">
        <v>492</v>
      </c>
      <c r="CD11" s="106"/>
      <c r="CE11" s="102" t="s">
        <v>486</v>
      </c>
      <c r="CF11" s="102" t="s">
        <v>487</v>
      </c>
      <c r="CG11" s="102" t="s">
        <v>488</v>
      </c>
      <c r="CH11" s="102" t="s">
        <v>489</v>
      </c>
      <c r="CI11" s="102" t="s">
        <v>490</v>
      </c>
      <c r="CJ11" s="102" t="s">
        <v>491</v>
      </c>
      <c r="CK11" s="102" t="s">
        <v>492</v>
      </c>
      <c r="CL11" s="106"/>
      <c r="CM11" s="102" t="s">
        <v>486</v>
      </c>
      <c r="CN11" s="102" t="s">
        <v>487</v>
      </c>
      <c r="CO11" s="102" t="s">
        <v>488</v>
      </c>
      <c r="CP11" s="102" t="s">
        <v>489</v>
      </c>
      <c r="CQ11" s="102" t="s">
        <v>490</v>
      </c>
      <c r="CR11" s="102" t="s">
        <v>491</v>
      </c>
      <c r="CS11" s="102" t="s">
        <v>492</v>
      </c>
      <c r="CT11" s="106"/>
    </row>
    <row r="12">
      <c r="A12" s="155"/>
      <c r="B12" s="96"/>
      <c r="C12" s="109">
        <f>I3+1</f>
        <v>4</v>
      </c>
      <c r="D12" s="109">
        <f t="shared" ref="D12:I12" si="1">C12+1</f>
        <v>5</v>
      </c>
      <c r="E12" s="109">
        <f t="shared" si="1"/>
        <v>6</v>
      </c>
      <c r="F12" s="109">
        <f t="shared" si="1"/>
        <v>7</v>
      </c>
      <c r="G12" s="109">
        <f t="shared" si="1"/>
        <v>8</v>
      </c>
      <c r="H12" s="109">
        <f t="shared" si="1"/>
        <v>9</v>
      </c>
      <c r="I12" s="109">
        <f t="shared" si="1"/>
        <v>10</v>
      </c>
      <c r="J12" s="89"/>
      <c r="K12" s="109">
        <f>Q3+1</f>
        <v>8</v>
      </c>
      <c r="L12" s="109">
        <f t="shared" ref="L12:Q12" si="2">K12+1</f>
        <v>9</v>
      </c>
      <c r="M12" s="109">
        <f t="shared" si="2"/>
        <v>10</v>
      </c>
      <c r="N12" s="109">
        <f t="shared" si="2"/>
        <v>11</v>
      </c>
      <c r="O12" s="109">
        <f t="shared" si="2"/>
        <v>12</v>
      </c>
      <c r="P12" s="109">
        <f t="shared" si="2"/>
        <v>13</v>
      </c>
      <c r="Q12" s="109">
        <f t="shared" si="2"/>
        <v>14</v>
      </c>
      <c r="R12" s="89"/>
      <c r="S12" s="109">
        <f>Y3+1</f>
        <v>8</v>
      </c>
      <c r="T12" s="109">
        <f t="shared" ref="T12:Y12" si="3">S12+1</f>
        <v>9</v>
      </c>
      <c r="U12" s="109">
        <f t="shared" si="3"/>
        <v>10</v>
      </c>
      <c r="V12" s="109">
        <f t="shared" si="3"/>
        <v>11</v>
      </c>
      <c r="W12" s="109">
        <f t="shared" si="3"/>
        <v>12</v>
      </c>
      <c r="X12" s="109">
        <f t="shared" si="3"/>
        <v>13</v>
      </c>
      <c r="Y12" s="109">
        <f t="shared" si="3"/>
        <v>14</v>
      </c>
      <c r="Z12" s="89"/>
      <c r="AA12" s="109">
        <f>AG3+1</f>
        <v>12</v>
      </c>
      <c r="AB12" s="109">
        <f t="shared" ref="AB12:AG12" si="4">AA12+1</f>
        <v>13</v>
      </c>
      <c r="AC12" s="109">
        <f t="shared" si="4"/>
        <v>14</v>
      </c>
      <c r="AD12" s="109">
        <f t="shared" si="4"/>
        <v>15</v>
      </c>
      <c r="AE12" s="109">
        <f t="shared" si="4"/>
        <v>16</v>
      </c>
      <c r="AF12" s="109">
        <f t="shared" si="4"/>
        <v>17</v>
      </c>
      <c r="AG12" s="109">
        <f t="shared" si="4"/>
        <v>18</v>
      </c>
      <c r="AH12" s="89"/>
      <c r="AI12" s="109">
        <f>AO3+1</f>
        <v>10</v>
      </c>
      <c r="AJ12" s="109">
        <f t="shared" ref="AJ12:AO12" si="5">AI12+1</f>
        <v>11</v>
      </c>
      <c r="AK12" s="109">
        <f t="shared" si="5"/>
        <v>12</v>
      </c>
      <c r="AL12" s="109">
        <f t="shared" si="5"/>
        <v>13</v>
      </c>
      <c r="AM12" s="109">
        <f t="shared" si="5"/>
        <v>14</v>
      </c>
      <c r="AN12" s="109">
        <f t="shared" si="5"/>
        <v>15</v>
      </c>
      <c r="AO12" s="109">
        <f t="shared" si="5"/>
        <v>16</v>
      </c>
      <c r="AP12" s="99"/>
      <c r="AQ12" s="109">
        <f>AW3+1</f>
        <v>7</v>
      </c>
      <c r="AR12" s="109">
        <f t="shared" ref="AR12:AW12" si="6">AQ12+1</f>
        <v>8</v>
      </c>
      <c r="AS12" s="109">
        <f t="shared" si="6"/>
        <v>9</v>
      </c>
      <c r="AT12" s="109">
        <f t="shared" si="6"/>
        <v>10</v>
      </c>
      <c r="AU12" s="109">
        <f t="shared" si="6"/>
        <v>11</v>
      </c>
      <c r="AV12" s="109">
        <f t="shared" si="6"/>
        <v>12</v>
      </c>
      <c r="AW12" s="109">
        <f t="shared" si="6"/>
        <v>13</v>
      </c>
      <c r="AX12" s="111"/>
      <c r="AY12" s="109">
        <f>BE3+1</f>
        <v>12</v>
      </c>
      <c r="AZ12" s="109">
        <f t="shared" ref="AZ12:BE12" si="7">AY12+1</f>
        <v>13</v>
      </c>
      <c r="BA12" s="109">
        <f t="shared" si="7"/>
        <v>14</v>
      </c>
      <c r="BB12" s="109">
        <f t="shared" si="7"/>
        <v>15</v>
      </c>
      <c r="BC12" s="109">
        <f t="shared" si="7"/>
        <v>16</v>
      </c>
      <c r="BD12" s="109">
        <f t="shared" si="7"/>
        <v>17</v>
      </c>
      <c r="BE12" s="109">
        <f t="shared" si="7"/>
        <v>18</v>
      </c>
      <c r="BF12" s="113"/>
      <c r="BG12" s="109">
        <f>BM3+1</f>
        <v>9</v>
      </c>
      <c r="BH12" s="109">
        <f t="shared" ref="BH12:BM12" si="8">BG12+1</f>
        <v>10</v>
      </c>
      <c r="BI12" s="109">
        <f t="shared" si="8"/>
        <v>11</v>
      </c>
      <c r="BJ12" s="109">
        <f t="shared" si="8"/>
        <v>12</v>
      </c>
      <c r="BK12" s="109">
        <f t="shared" si="8"/>
        <v>13</v>
      </c>
      <c r="BL12" s="109">
        <f t="shared" si="8"/>
        <v>14</v>
      </c>
      <c r="BM12" s="109">
        <f t="shared" si="8"/>
        <v>15</v>
      </c>
      <c r="BN12" s="111"/>
      <c r="BO12" s="109">
        <f>BU3+1</f>
        <v>6</v>
      </c>
      <c r="BP12" s="109">
        <f t="shared" ref="BP12:BU12" si="9">BO12+1</f>
        <v>7</v>
      </c>
      <c r="BQ12" s="109">
        <f t="shared" si="9"/>
        <v>8</v>
      </c>
      <c r="BR12" s="109">
        <f t="shared" si="9"/>
        <v>9</v>
      </c>
      <c r="BS12" s="109">
        <f t="shared" si="9"/>
        <v>10</v>
      </c>
      <c r="BT12" s="109">
        <f t="shared" si="9"/>
        <v>11</v>
      </c>
      <c r="BU12" s="109">
        <f t="shared" si="9"/>
        <v>12</v>
      </c>
      <c r="BV12" s="94"/>
      <c r="BW12" s="109">
        <f>CC3+1</f>
        <v>11</v>
      </c>
      <c r="BX12" s="109">
        <f t="shared" ref="BX12:CC12" si="10">BW12+1</f>
        <v>12</v>
      </c>
      <c r="BY12" s="109">
        <f t="shared" si="10"/>
        <v>13</v>
      </c>
      <c r="BZ12" s="109">
        <f t="shared" si="10"/>
        <v>14</v>
      </c>
      <c r="CA12" s="109">
        <f t="shared" si="10"/>
        <v>15</v>
      </c>
      <c r="CB12" s="109">
        <f t="shared" si="10"/>
        <v>16</v>
      </c>
      <c r="CC12" s="109">
        <f t="shared" si="10"/>
        <v>17</v>
      </c>
      <c r="CD12" s="94"/>
      <c r="CE12" s="109">
        <f>CK3+1</f>
        <v>8</v>
      </c>
      <c r="CF12" s="109">
        <f t="shared" ref="CF12:CK12" si="11">CE12+1</f>
        <v>9</v>
      </c>
      <c r="CG12" s="109">
        <f t="shared" si="11"/>
        <v>10</v>
      </c>
      <c r="CH12" s="109">
        <f t="shared" si="11"/>
        <v>11</v>
      </c>
      <c r="CI12" s="109">
        <f t="shared" si="11"/>
        <v>12</v>
      </c>
      <c r="CJ12" s="109">
        <f t="shared" si="11"/>
        <v>13</v>
      </c>
      <c r="CK12" s="109">
        <f t="shared" si="11"/>
        <v>14</v>
      </c>
      <c r="CL12" s="94"/>
      <c r="CM12" s="109">
        <f>CS3+1</f>
        <v>6</v>
      </c>
      <c r="CN12" s="109">
        <f t="shared" ref="CN12:CS12" si="12">CM12+1</f>
        <v>7</v>
      </c>
      <c r="CO12" s="109">
        <f t="shared" si="12"/>
        <v>8</v>
      </c>
      <c r="CP12" s="109">
        <f t="shared" si="12"/>
        <v>9</v>
      </c>
      <c r="CQ12" s="109">
        <f t="shared" si="12"/>
        <v>10</v>
      </c>
      <c r="CR12" s="109">
        <f t="shared" si="12"/>
        <v>11</v>
      </c>
      <c r="CS12" s="109">
        <f t="shared" si="12"/>
        <v>12</v>
      </c>
      <c r="CT12" s="94"/>
    </row>
    <row r="13">
      <c r="A13" s="156" t="s">
        <v>580</v>
      </c>
      <c r="B13" s="115"/>
      <c r="C13" s="157" t="s">
        <v>581</v>
      </c>
      <c r="D13" s="158" t="s">
        <v>582</v>
      </c>
      <c r="E13" s="158" t="s">
        <v>582</v>
      </c>
      <c r="F13" s="158" t="s">
        <v>582</v>
      </c>
      <c r="G13" s="158" t="s">
        <v>582</v>
      </c>
      <c r="H13" s="158" t="s">
        <v>582</v>
      </c>
      <c r="I13" s="157" t="s">
        <v>581</v>
      </c>
      <c r="J13" s="115"/>
      <c r="K13" s="157" t="s">
        <v>581</v>
      </c>
      <c r="L13" s="158" t="s">
        <v>582</v>
      </c>
      <c r="M13" s="158" t="s">
        <v>582</v>
      </c>
      <c r="N13" s="158" t="s">
        <v>582</v>
      </c>
      <c r="O13" s="158" t="s">
        <v>582</v>
      </c>
      <c r="P13" s="158" t="s">
        <v>582</v>
      </c>
      <c r="Q13" s="157" t="s">
        <v>581</v>
      </c>
      <c r="R13" s="115"/>
      <c r="S13" s="157" t="s">
        <v>581</v>
      </c>
      <c r="T13" s="158" t="s">
        <v>582</v>
      </c>
      <c r="U13" s="158" t="s">
        <v>582</v>
      </c>
      <c r="V13" s="158" t="s">
        <v>582</v>
      </c>
      <c r="W13" s="158" t="s">
        <v>582</v>
      </c>
      <c r="X13" s="158" t="s">
        <v>582</v>
      </c>
      <c r="Y13" s="157" t="s">
        <v>581</v>
      </c>
      <c r="Z13" s="115"/>
      <c r="AA13" s="157" t="s">
        <v>581</v>
      </c>
      <c r="AB13" s="116"/>
      <c r="AC13" s="116"/>
      <c r="AD13" s="116"/>
      <c r="AE13" s="116"/>
      <c r="AF13" s="116"/>
      <c r="AG13" s="157" t="s">
        <v>581</v>
      </c>
      <c r="AH13" s="115"/>
      <c r="AI13" s="157" t="s">
        <v>581</v>
      </c>
      <c r="AJ13" s="116"/>
      <c r="AK13" s="116"/>
      <c r="AL13" s="116"/>
      <c r="AM13" s="116"/>
      <c r="AN13" s="116"/>
      <c r="AO13" s="157" t="s">
        <v>581</v>
      </c>
      <c r="AP13" s="115"/>
      <c r="AQ13" s="157" t="s">
        <v>581</v>
      </c>
      <c r="AR13" s="116"/>
      <c r="AS13" s="116"/>
      <c r="AT13" s="116"/>
      <c r="AU13" s="116"/>
      <c r="AV13" s="116"/>
      <c r="AW13" s="157" t="s">
        <v>581</v>
      </c>
      <c r="AX13" s="115"/>
      <c r="AY13" s="157" t="s">
        <v>581</v>
      </c>
      <c r="AZ13" s="116"/>
      <c r="BA13" s="116"/>
      <c r="BB13" s="116"/>
      <c r="BC13" s="116"/>
      <c r="BD13" s="116"/>
      <c r="BE13" s="157" t="s">
        <v>581</v>
      </c>
      <c r="BF13" s="115"/>
      <c r="BG13" s="157" t="s">
        <v>581</v>
      </c>
      <c r="BH13" s="116"/>
      <c r="BI13" s="116"/>
      <c r="BJ13" s="116"/>
      <c r="BK13" s="116"/>
      <c r="BL13" s="116"/>
      <c r="BM13" s="157" t="s">
        <v>581</v>
      </c>
      <c r="BN13" s="115"/>
      <c r="BO13" s="157" t="s">
        <v>581</v>
      </c>
      <c r="BP13" s="116"/>
      <c r="BQ13" s="116"/>
      <c r="BR13" s="116"/>
      <c r="BS13" s="116"/>
      <c r="BT13" s="116"/>
      <c r="BU13" s="157" t="s">
        <v>581</v>
      </c>
      <c r="BV13" s="115"/>
      <c r="BW13" s="157" t="s">
        <v>581</v>
      </c>
      <c r="BX13" s="116"/>
      <c r="BY13" s="116"/>
      <c r="BZ13" s="116"/>
      <c r="CA13" s="116"/>
      <c r="CB13" s="116"/>
      <c r="CC13" s="157" t="s">
        <v>581</v>
      </c>
      <c r="CD13" s="115"/>
      <c r="CE13" s="157" t="s">
        <v>581</v>
      </c>
      <c r="CF13" s="116"/>
      <c r="CG13" s="116"/>
      <c r="CH13" s="116"/>
      <c r="CI13" s="116"/>
      <c r="CJ13" s="116"/>
      <c r="CK13" s="157" t="s">
        <v>581</v>
      </c>
      <c r="CL13" s="115"/>
      <c r="CM13" s="157" t="s">
        <v>581</v>
      </c>
      <c r="CN13" s="116"/>
      <c r="CO13" s="116"/>
      <c r="CP13" s="116"/>
      <c r="CQ13" s="116"/>
      <c r="CR13" s="116"/>
      <c r="CS13" s="157" t="s">
        <v>581</v>
      </c>
      <c r="CT13" s="115"/>
    </row>
    <row r="14">
      <c r="A14" s="156" t="s">
        <v>584</v>
      </c>
      <c r="B14" s="119"/>
      <c r="C14" s="122" t="s">
        <v>585</v>
      </c>
      <c r="D14" s="158" t="s">
        <v>582</v>
      </c>
      <c r="E14" s="158" t="s">
        <v>582</v>
      </c>
      <c r="F14" s="158" t="s">
        <v>582</v>
      </c>
      <c r="G14" s="158" t="s">
        <v>582</v>
      </c>
      <c r="H14" s="158" t="s">
        <v>582</v>
      </c>
      <c r="I14" s="122" t="s">
        <v>585</v>
      </c>
      <c r="J14" s="119"/>
      <c r="K14" s="117"/>
      <c r="L14" s="117"/>
      <c r="M14" s="117"/>
      <c r="N14" s="117"/>
      <c r="O14" s="117"/>
      <c r="P14" s="117"/>
      <c r="Q14" s="117"/>
      <c r="R14" s="119"/>
      <c r="S14" s="116"/>
      <c r="T14" s="117"/>
      <c r="U14" s="117"/>
      <c r="V14" s="116"/>
      <c r="W14" s="116"/>
      <c r="X14" s="116"/>
      <c r="Y14" s="116"/>
      <c r="Z14" s="119"/>
      <c r="AA14" s="116"/>
      <c r="AB14" s="158" t="s">
        <v>582</v>
      </c>
      <c r="AC14" s="158" t="s">
        <v>582</v>
      </c>
      <c r="AD14" s="158" t="s">
        <v>582</v>
      </c>
      <c r="AE14" s="158" t="s">
        <v>582</v>
      </c>
      <c r="AF14" s="158" t="s">
        <v>582</v>
      </c>
      <c r="AG14" s="117"/>
      <c r="AH14" s="119"/>
      <c r="AI14" s="117"/>
      <c r="AJ14" s="158" t="s">
        <v>582</v>
      </c>
      <c r="AK14" s="158" t="s">
        <v>582</v>
      </c>
      <c r="AL14" s="158" t="s">
        <v>582</v>
      </c>
      <c r="AM14" s="158" t="s">
        <v>582</v>
      </c>
      <c r="AN14" s="158" t="s">
        <v>582</v>
      </c>
      <c r="AO14" s="117"/>
      <c r="AP14" s="119"/>
      <c r="AQ14" s="117"/>
      <c r="AR14" s="117"/>
      <c r="AS14" s="117"/>
      <c r="AT14" s="117"/>
      <c r="AU14" s="117"/>
      <c r="AV14" s="117"/>
      <c r="AW14" s="117"/>
      <c r="AX14" s="119"/>
      <c r="AY14" s="117"/>
      <c r="AZ14" s="117"/>
      <c r="BA14" s="117"/>
      <c r="BB14" s="117"/>
      <c r="BC14" s="117"/>
      <c r="BD14" s="117"/>
      <c r="BE14" s="117"/>
      <c r="BF14" s="119"/>
      <c r="BG14" s="116"/>
      <c r="BH14" s="117"/>
      <c r="BI14" s="117"/>
      <c r="BJ14" s="117"/>
      <c r="BK14" s="117"/>
      <c r="BL14" s="117"/>
      <c r="BM14" s="116"/>
      <c r="BN14" s="119"/>
      <c r="BO14" s="117"/>
      <c r="BP14" s="117"/>
      <c r="BQ14" s="117"/>
      <c r="BR14" s="117"/>
      <c r="BS14" s="117"/>
      <c r="BT14" s="117"/>
      <c r="BU14" s="117"/>
      <c r="BV14" s="119"/>
      <c r="BW14" s="117"/>
      <c r="BX14" s="117"/>
      <c r="BY14" s="117"/>
      <c r="BZ14" s="117"/>
      <c r="CA14" s="117"/>
      <c r="CB14" s="117"/>
      <c r="CC14" s="117"/>
      <c r="CD14" s="119"/>
      <c r="CE14" s="120"/>
      <c r="CF14" s="120"/>
      <c r="CG14" s="117"/>
      <c r="CH14" s="117"/>
      <c r="CI14" s="117"/>
      <c r="CJ14" s="117"/>
      <c r="CK14" s="117"/>
      <c r="CL14" s="119"/>
      <c r="CM14" s="117"/>
      <c r="CN14" s="117"/>
      <c r="CO14" s="117"/>
      <c r="CP14" s="117"/>
      <c r="CQ14" s="117"/>
      <c r="CR14" s="117"/>
      <c r="CS14" s="117"/>
      <c r="CT14" s="119"/>
    </row>
    <row r="15">
      <c r="A15" s="156" t="s">
        <v>587</v>
      </c>
      <c r="B15" s="119"/>
      <c r="C15" s="121" t="s">
        <v>590</v>
      </c>
      <c r="D15" s="117" t="s">
        <v>588</v>
      </c>
      <c r="E15" s="117" t="s">
        <v>588</v>
      </c>
      <c r="F15" s="117" t="s">
        <v>588</v>
      </c>
      <c r="G15" s="161" t="s">
        <v>589</v>
      </c>
      <c r="H15" s="160" t="s">
        <v>586</v>
      </c>
      <c r="I15" s="160" t="s">
        <v>586</v>
      </c>
      <c r="J15" s="119"/>
      <c r="K15" s="121" t="s">
        <v>590</v>
      </c>
      <c r="L15" s="117" t="s">
        <v>588</v>
      </c>
      <c r="M15" s="117" t="s">
        <v>588</v>
      </c>
      <c r="N15" s="117" t="s">
        <v>588</v>
      </c>
      <c r="O15" s="117" t="s">
        <v>588</v>
      </c>
      <c r="P15" s="117" t="s">
        <v>588</v>
      </c>
      <c r="Q15" s="121" t="s">
        <v>590</v>
      </c>
      <c r="R15" s="119"/>
      <c r="S15" s="121" t="s">
        <v>590</v>
      </c>
      <c r="T15" s="117" t="s">
        <v>588</v>
      </c>
      <c r="U15" s="117" t="s">
        <v>588</v>
      </c>
      <c r="V15" s="117" t="s">
        <v>588</v>
      </c>
      <c r="W15" s="117" t="s">
        <v>588</v>
      </c>
      <c r="X15" s="117" t="s">
        <v>588</v>
      </c>
      <c r="Y15" s="121" t="s">
        <v>590</v>
      </c>
      <c r="Z15" s="119"/>
      <c r="AA15" s="160" t="s">
        <v>586</v>
      </c>
      <c r="AB15" s="117" t="s">
        <v>588</v>
      </c>
      <c r="AC15" s="117" t="s">
        <v>588</v>
      </c>
      <c r="AD15" s="117" t="s">
        <v>588</v>
      </c>
      <c r="AE15" s="117" t="s">
        <v>588</v>
      </c>
      <c r="AF15" s="117" t="s">
        <v>588</v>
      </c>
      <c r="AG15" s="168" t="s">
        <v>590</v>
      </c>
      <c r="AH15" s="119"/>
      <c r="AI15" s="168" t="s">
        <v>590</v>
      </c>
      <c r="AJ15" s="117" t="s">
        <v>588</v>
      </c>
      <c r="AK15" s="117" t="s">
        <v>588</v>
      </c>
      <c r="AL15" s="117" t="s">
        <v>588</v>
      </c>
      <c r="AM15" s="160" t="s">
        <v>586</v>
      </c>
      <c r="AN15" s="160" t="s">
        <v>586</v>
      </c>
      <c r="AO15" s="160" t="s">
        <v>586</v>
      </c>
      <c r="AP15" s="119"/>
      <c r="AQ15" s="162" t="s">
        <v>586</v>
      </c>
      <c r="AR15" s="117" t="s">
        <v>588</v>
      </c>
      <c r="AS15" s="117" t="s">
        <v>588</v>
      </c>
      <c r="AT15" s="117" t="s">
        <v>588</v>
      </c>
      <c r="AU15" s="117" t="s">
        <v>597</v>
      </c>
      <c r="AV15" s="117" t="s">
        <v>597</v>
      </c>
      <c r="AW15" s="121" t="s">
        <v>597</v>
      </c>
      <c r="AX15" s="119"/>
      <c r="AY15" s="162" t="s">
        <v>586</v>
      </c>
      <c r="AZ15" s="117" t="s">
        <v>588</v>
      </c>
      <c r="BA15" s="117" t="s">
        <v>588</v>
      </c>
      <c r="BB15" s="117" t="s">
        <v>588</v>
      </c>
      <c r="BC15" s="117" t="s">
        <v>588</v>
      </c>
      <c r="BD15" s="117" t="s">
        <v>588</v>
      </c>
      <c r="BE15" s="121" t="s">
        <v>590</v>
      </c>
      <c r="BF15" s="119"/>
      <c r="BG15" s="162" t="s">
        <v>586</v>
      </c>
      <c r="BH15" s="117" t="s">
        <v>588</v>
      </c>
      <c r="BI15" s="117" t="s">
        <v>588</v>
      </c>
      <c r="BJ15" s="117" t="s">
        <v>588</v>
      </c>
      <c r="BK15" s="117" t="s">
        <v>588</v>
      </c>
      <c r="BL15" s="117" t="s">
        <v>588</v>
      </c>
      <c r="BM15" s="121" t="s">
        <v>590</v>
      </c>
      <c r="BN15" s="119"/>
      <c r="BO15" s="163" t="s">
        <v>591</v>
      </c>
      <c r="BP15" s="163" t="s">
        <v>591</v>
      </c>
      <c r="BQ15" s="117" t="s">
        <v>588</v>
      </c>
      <c r="BR15" s="117" t="s">
        <v>588</v>
      </c>
      <c r="BS15" s="117" t="s">
        <v>588</v>
      </c>
      <c r="BT15" s="116"/>
      <c r="BU15" s="116"/>
      <c r="BV15" s="119"/>
      <c r="BW15" s="117"/>
      <c r="BX15" s="116"/>
      <c r="BY15" s="116"/>
      <c r="BZ15" s="116"/>
      <c r="CA15" s="116"/>
      <c r="CB15" s="116"/>
      <c r="CC15" s="116"/>
      <c r="CD15" s="119"/>
      <c r="CE15" s="116"/>
      <c r="CF15" s="116"/>
      <c r="CG15" s="116"/>
      <c r="CH15" s="116"/>
      <c r="CI15" s="116"/>
      <c r="CJ15" s="116"/>
      <c r="CK15" s="116"/>
      <c r="CL15" s="119"/>
      <c r="CM15" s="117"/>
      <c r="CN15" s="117"/>
      <c r="CO15" s="117"/>
      <c r="CP15" s="117"/>
      <c r="CQ15" s="117"/>
      <c r="CR15" s="117"/>
      <c r="CS15" s="117"/>
      <c r="CT15" s="119"/>
    </row>
    <row r="16">
      <c r="A16" s="156" t="s">
        <v>592</v>
      </c>
      <c r="B16" s="119"/>
      <c r="C16" s="116"/>
      <c r="D16" s="158" t="s">
        <v>582</v>
      </c>
      <c r="E16" s="158" t="s">
        <v>582</v>
      </c>
      <c r="F16" s="158" t="s">
        <v>582</v>
      </c>
      <c r="G16" s="158" t="s">
        <v>582</v>
      </c>
      <c r="H16" s="158" t="s">
        <v>582</v>
      </c>
      <c r="I16" s="158" t="s">
        <v>582</v>
      </c>
      <c r="J16" s="119"/>
      <c r="K16" s="117"/>
      <c r="L16" s="158" t="s">
        <v>582</v>
      </c>
      <c r="M16" s="158" t="s">
        <v>582</v>
      </c>
      <c r="N16" s="158" t="s">
        <v>582</v>
      </c>
      <c r="O16" s="158" t="s">
        <v>582</v>
      </c>
      <c r="P16" s="158" t="s">
        <v>582</v>
      </c>
      <c r="Q16" s="158" t="s">
        <v>582</v>
      </c>
      <c r="R16" s="119"/>
      <c r="S16" s="117"/>
      <c r="T16" s="158" t="s">
        <v>582</v>
      </c>
      <c r="U16" s="158" t="s">
        <v>582</v>
      </c>
      <c r="V16" s="158" t="s">
        <v>582</v>
      </c>
      <c r="W16" s="158" t="s">
        <v>582</v>
      </c>
      <c r="X16" s="158" t="s">
        <v>582</v>
      </c>
      <c r="Y16" s="158" t="s">
        <v>582</v>
      </c>
      <c r="Z16" s="119"/>
      <c r="AA16" s="116"/>
      <c r="AB16" s="158" t="s">
        <v>582</v>
      </c>
      <c r="AC16" s="158" t="s">
        <v>582</v>
      </c>
      <c r="AD16" s="158" t="s">
        <v>582</v>
      </c>
      <c r="AE16" s="158" t="s">
        <v>582</v>
      </c>
      <c r="AF16" s="158" t="s">
        <v>582</v>
      </c>
      <c r="AG16" s="158" t="s">
        <v>582</v>
      </c>
      <c r="AH16" s="119"/>
      <c r="AI16" s="116"/>
      <c r="AJ16" s="158" t="s">
        <v>582</v>
      </c>
      <c r="AK16" s="158" t="s">
        <v>582</v>
      </c>
      <c r="AL16" s="159" t="s">
        <v>583</v>
      </c>
      <c r="AM16" s="159" t="s">
        <v>583</v>
      </c>
      <c r="AN16" s="159" t="s">
        <v>583</v>
      </c>
      <c r="AO16" s="159" t="s">
        <v>583</v>
      </c>
      <c r="AP16" s="119"/>
      <c r="AQ16" s="116"/>
      <c r="AR16" s="116"/>
      <c r="AS16" s="116"/>
      <c r="AT16" s="116"/>
      <c r="AU16" s="116"/>
      <c r="AV16" s="116"/>
      <c r="AW16" s="116"/>
      <c r="AX16" s="119"/>
      <c r="AY16" s="116"/>
      <c r="AZ16" s="116"/>
      <c r="BA16" s="116"/>
      <c r="BB16" s="116"/>
      <c r="BC16" s="116"/>
      <c r="BD16" s="116"/>
      <c r="BE16" s="116"/>
      <c r="BF16" s="119"/>
      <c r="BG16" s="116"/>
      <c r="BH16" s="116"/>
      <c r="BI16" s="116"/>
      <c r="BJ16" s="116"/>
      <c r="BK16" s="116"/>
      <c r="BL16" s="116"/>
      <c r="BM16" s="116"/>
      <c r="BN16" s="119"/>
      <c r="BO16" s="117"/>
      <c r="BP16" s="116"/>
      <c r="BQ16" s="116"/>
      <c r="BR16" s="116"/>
      <c r="BS16" s="116"/>
      <c r="BT16" s="116"/>
      <c r="BU16" s="116"/>
      <c r="BV16" s="119"/>
      <c r="BW16" s="120"/>
      <c r="BX16" s="120"/>
      <c r="BY16" s="116"/>
      <c r="BZ16" s="116"/>
      <c r="CA16" s="116"/>
      <c r="CB16" s="116"/>
      <c r="CC16" s="116"/>
      <c r="CD16" s="119"/>
      <c r="CE16" s="116"/>
      <c r="CF16" s="116"/>
      <c r="CG16" s="116"/>
      <c r="CH16" s="116"/>
      <c r="CI16" s="116"/>
      <c r="CJ16" s="116"/>
      <c r="CK16" s="116"/>
      <c r="CL16" s="119"/>
      <c r="CM16" s="116"/>
      <c r="CN16" s="116"/>
      <c r="CO16" s="116"/>
      <c r="CP16" s="116"/>
      <c r="CQ16" s="116"/>
      <c r="CR16" s="116"/>
      <c r="CS16" s="116"/>
      <c r="CT16" s="119"/>
    </row>
    <row r="17">
      <c r="A17" s="156" t="s">
        <v>593</v>
      </c>
      <c r="B17" s="119"/>
      <c r="C17" s="117"/>
      <c r="D17" s="117"/>
      <c r="E17" s="117"/>
      <c r="F17" s="117"/>
      <c r="G17" s="117"/>
      <c r="H17" s="117"/>
      <c r="I17" s="117"/>
      <c r="J17" s="119"/>
      <c r="K17" s="118"/>
      <c r="L17" s="118"/>
      <c r="M17" s="118"/>
      <c r="N17" s="118"/>
      <c r="O17" s="118"/>
      <c r="P17" s="118"/>
      <c r="Q17" s="118"/>
      <c r="R17" s="119"/>
      <c r="S17" s="116"/>
      <c r="T17" s="116"/>
      <c r="U17" s="116"/>
      <c r="V17" s="117"/>
      <c r="W17" s="117"/>
      <c r="X17" s="116"/>
      <c r="Y17" s="116"/>
      <c r="Z17" s="119"/>
      <c r="AA17" s="117"/>
      <c r="AB17" s="117"/>
      <c r="AC17" s="116"/>
      <c r="AD17" s="117"/>
      <c r="AE17" s="117"/>
      <c r="AF17" s="117"/>
      <c r="AG17" s="117"/>
      <c r="AH17" s="119"/>
      <c r="AI17" s="117"/>
      <c r="AJ17" s="117"/>
      <c r="AK17" s="117"/>
      <c r="AL17" s="117"/>
      <c r="AM17" s="117"/>
      <c r="AN17" s="116"/>
      <c r="AO17" s="116"/>
      <c r="AP17" s="119"/>
      <c r="AQ17" s="117"/>
      <c r="AR17" s="117"/>
      <c r="AS17" s="117"/>
      <c r="AT17" s="117"/>
      <c r="AU17" s="117"/>
      <c r="AV17" s="117"/>
      <c r="AW17" s="117"/>
      <c r="AX17" s="119"/>
      <c r="AY17" s="117"/>
      <c r="AZ17" s="117"/>
      <c r="BA17" s="117"/>
      <c r="BB17" s="117"/>
      <c r="BC17" s="117"/>
      <c r="BD17" s="117"/>
      <c r="BE17" s="117"/>
      <c r="BF17" s="119"/>
      <c r="BG17" s="117"/>
      <c r="BH17" s="117"/>
      <c r="BI17" s="117"/>
      <c r="BJ17" s="117"/>
      <c r="BK17" s="117"/>
      <c r="BL17" s="117"/>
      <c r="BM17" s="117"/>
      <c r="BN17" s="119"/>
      <c r="BO17" s="117"/>
      <c r="BP17" s="117"/>
      <c r="BQ17" s="117"/>
      <c r="BR17" s="117"/>
      <c r="BS17" s="117"/>
      <c r="BT17" s="117"/>
      <c r="BU17" s="117"/>
      <c r="BV17" s="119"/>
      <c r="BW17" s="117"/>
      <c r="BX17" s="117"/>
      <c r="BY17" s="117"/>
      <c r="BZ17" s="117"/>
      <c r="CA17" s="117"/>
      <c r="CB17" s="117"/>
      <c r="CC17" s="117"/>
      <c r="CD17" s="119"/>
      <c r="CE17" s="117"/>
      <c r="CF17" s="117"/>
      <c r="CG17" s="117"/>
      <c r="CH17" s="117"/>
      <c r="CI17" s="117"/>
      <c r="CJ17" s="117"/>
      <c r="CK17" s="117"/>
      <c r="CL17" s="119"/>
      <c r="CM17" s="117"/>
      <c r="CN17" s="117"/>
      <c r="CO17" s="117"/>
      <c r="CP17" s="117"/>
      <c r="CQ17" s="117"/>
      <c r="CR17" s="117"/>
      <c r="CS17" s="117"/>
      <c r="CT17" s="119"/>
    </row>
    <row r="18">
      <c r="A18" s="156" t="s">
        <v>594</v>
      </c>
      <c r="B18" s="119"/>
      <c r="C18" s="158" t="s">
        <v>582</v>
      </c>
      <c r="D18" s="117"/>
      <c r="E18" s="158" t="s">
        <v>582</v>
      </c>
      <c r="F18" s="117" t="s">
        <v>597</v>
      </c>
      <c r="G18" s="117" t="s">
        <v>597</v>
      </c>
      <c r="H18" s="158" t="s">
        <v>582</v>
      </c>
      <c r="I18" s="122" t="s">
        <v>585</v>
      </c>
      <c r="J18" s="119"/>
      <c r="K18" s="160" t="s">
        <v>586</v>
      </c>
      <c r="L18" s="158" t="s">
        <v>582</v>
      </c>
      <c r="M18" s="158" t="s">
        <v>582</v>
      </c>
      <c r="N18" s="118" t="s">
        <v>595</v>
      </c>
      <c r="O18" s="118" t="s">
        <v>595</v>
      </c>
      <c r="P18" s="158" t="s">
        <v>582</v>
      </c>
      <c r="Q18" s="160" t="s">
        <v>586</v>
      </c>
      <c r="R18" s="119"/>
      <c r="S18" s="164"/>
      <c r="T18" s="165" t="s">
        <v>596</v>
      </c>
      <c r="U18" s="165" t="s">
        <v>588</v>
      </c>
      <c r="V18" s="165" t="s">
        <v>588</v>
      </c>
      <c r="W18" s="165" t="s">
        <v>588</v>
      </c>
      <c r="X18" s="165" t="s">
        <v>596</v>
      </c>
      <c r="Y18" s="121"/>
      <c r="Z18" s="119"/>
      <c r="AA18" s="166" t="s">
        <v>583</v>
      </c>
      <c r="AB18" s="166" t="s">
        <v>583</v>
      </c>
      <c r="AC18" s="166" t="s">
        <v>583</v>
      </c>
      <c r="AD18" s="166" t="s">
        <v>583</v>
      </c>
      <c r="AE18" s="166" t="s">
        <v>583</v>
      </c>
      <c r="AF18" s="165" t="s">
        <v>596</v>
      </c>
      <c r="AG18" s="117"/>
      <c r="AH18" s="119"/>
      <c r="AI18" s="116" t="s">
        <v>583</v>
      </c>
      <c r="AJ18" s="165" t="s">
        <v>596</v>
      </c>
      <c r="AK18" s="165" t="s">
        <v>596</v>
      </c>
      <c r="AL18" s="165" t="s">
        <v>588</v>
      </c>
      <c r="AM18" s="165" t="s">
        <v>588</v>
      </c>
      <c r="AN18" s="165" t="s">
        <v>596</v>
      </c>
      <c r="AO18" s="116"/>
      <c r="AP18" s="119"/>
      <c r="AQ18" s="117"/>
      <c r="AR18" s="165" t="s">
        <v>596</v>
      </c>
      <c r="AS18" s="165" t="s">
        <v>596</v>
      </c>
      <c r="AT18" s="165" t="s">
        <v>588</v>
      </c>
      <c r="AU18" s="165" t="s">
        <v>588</v>
      </c>
      <c r="AV18" s="165" t="s">
        <v>596</v>
      </c>
      <c r="AW18" s="117" t="s">
        <v>598</v>
      </c>
      <c r="AX18" s="119"/>
      <c r="AY18" s="117"/>
      <c r="AZ18" s="117"/>
      <c r="BA18" s="117"/>
      <c r="BB18" s="117"/>
      <c r="BC18" s="117"/>
      <c r="BD18" s="117"/>
      <c r="BE18" s="117"/>
      <c r="BF18" s="119"/>
      <c r="BG18" s="117"/>
      <c r="BH18" s="117"/>
      <c r="BI18" s="117"/>
      <c r="BJ18" s="117"/>
      <c r="BK18" s="117"/>
      <c r="BL18" s="117"/>
      <c r="BM18" s="117"/>
      <c r="BN18" s="119"/>
      <c r="BO18" s="117"/>
      <c r="BP18" s="117"/>
      <c r="BQ18" s="117"/>
      <c r="BR18" s="116"/>
      <c r="BS18" s="117"/>
      <c r="BT18" s="117"/>
      <c r="BU18" s="117"/>
      <c r="BV18" s="119"/>
      <c r="BW18" s="117"/>
      <c r="BX18" s="117"/>
      <c r="BY18" s="117"/>
      <c r="BZ18" s="117"/>
      <c r="CA18" s="117"/>
      <c r="CB18" s="117"/>
      <c r="CC18" s="117"/>
      <c r="CD18" s="119"/>
      <c r="CE18" s="117"/>
      <c r="CF18" s="117"/>
      <c r="CG18" s="117"/>
      <c r="CH18" s="117"/>
      <c r="CI18" s="117"/>
      <c r="CJ18" s="117"/>
      <c r="CK18" s="117"/>
      <c r="CL18" s="119"/>
      <c r="CM18" s="117"/>
      <c r="CN18" s="117"/>
      <c r="CO18" s="117"/>
      <c r="CP18" s="117"/>
      <c r="CQ18" s="117"/>
      <c r="CR18" s="117"/>
      <c r="CS18" s="117"/>
      <c r="CT18" s="119"/>
    </row>
    <row r="19">
      <c r="A19" s="167"/>
      <c r="B19" s="119"/>
      <c r="C19" s="117"/>
      <c r="D19" s="117"/>
      <c r="E19" s="116"/>
      <c r="F19" s="117"/>
      <c r="G19" s="116"/>
      <c r="H19" s="117"/>
      <c r="I19" s="117"/>
      <c r="J19" s="119"/>
      <c r="K19" s="117"/>
      <c r="L19" s="117"/>
      <c r="M19" s="117"/>
      <c r="N19" s="117"/>
      <c r="O19" s="117"/>
      <c r="P19" s="117"/>
      <c r="Q19" s="117"/>
      <c r="R19" s="119"/>
      <c r="S19" s="117"/>
      <c r="T19" s="117"/>
      <c r="U19" s="117"/>
      <c r="V19" s="117"/>
      <c r="W19" s="117"/>
      <c r="X19" s="116"/>
      <c r="Y19" s="117"/>
      <c r="Z19" s="119"/>
      <c r="AA19" s="117"/>
      <c r="AB19" s="117"/>
      <c r="AC19" s="117"/>
      <c r="AD19" s="117"/>
      <c r="AE19" s="117"/>
      <c r="AF19" s="117"/>
      <c r="AG19" s="117"/>
      <c r="AH19" s="119"/>
      <c r="AI19" s="117"/>
      <c r="AJ19" s="117"/>
      <c r="AK19" s="117"/>
      <c r="AL19" s="117"/>
      <c r="AM19" s="117"/>
      <c r="AN19" s="117"/>
      <c r="AO19" s="117"/>
      <c r="AP19" s="119"/>
      <c r="AQ19" s="116"/>
      <c r="AR19" s="116"/>
      <c r="AS19" s="117"/>
      <c r="AT19" s="117"/>
      <c r="AU19" s="117"/>
      <c r="AV19" s="117"/>
      <c r="AW19" s="117"/>
      <c r="AX19" s="119"/>
      <c r="AY19" s="117"/>
      <c r="AZ19" s="117"/>
      <c r="BA19" s="117"/>
      <c r="BB19" s="117"/>
      <c r="BC19" s="117"/>
      <c r="BD19" s="117"/>
      <c r="BE19" s="117"/>
      <c r="BF19" s="119"/>
      <c r="BG19" s="117"/>
      <c r="BH19" s="117"/>
      <c r="BI19" s="117"/>
      <c r="BJ19" s="117"/>
      <c r="BK19" s="117"/>
      <c r="BL19" s="117"/>
      <c r="BM19" s="117"/>
      <c r="BN19" s="119"/>
      <c r="BO19" s="117"/>
      <c r="BP19" s="117"/>
      <c r="BQ19" s="117"/>
      <c r="BR19" s="117"/>
      <c r="BS19" s="117"/>
      <c r="BT19" s="117"/>
      <c r="BU19" s="117"/>
      <c r="BV19" s="119"/>
      <c r="BW19" s="117"/>
      <c r="BX19" s="117"/>
      <c r="BY19" s="117"/>
      <c r="BZ19" s="117"/>
      <c r="CA19" s="117"/>
      <c r="CB19" s="117"/>
      <c r="CC19" s="117"/>
      <c r="CD19" s="119"/>
      <c r="CE19" s="116"/>
      <c r="CF19" s="116"/>
      <c r="CG19" s="116"/>
      <c r="CH19" s="117"/>
      <c r="CI19" s="117"/>
      <c r="CJ19" s="117"/>
      <c r="CK19" s="117"/>
      <c r="CL19" s="119"/>
      <c r="CM19" s="117"/>
      <c r="CN19" s="117"/>
      <c r="CO19" s="117"/>
      <c r="CP19" s="117"/>
      <c r="CQ19" s="117"/>
      <c r="CR19" s="117"/>
      <c r="CS19" s="117"/>
      <c r="CT19" s="119"/>
    </row>
    <row r="20">
      <c r="A20" s="155"/>
      <c r="B20" s="96"/>
      <c r="C20" s="102" t="s">
        <v>486</v>
      </c>
      <c r="D20" s="102" t="s">
        <v>487</v>
      </c>
      <c r="E20" s="102" t="s">
        <v>488</v>
      </c>
      <c r="F20" s="102" t="s">
        <v>489</v>
      </c>
      <c r="G20" s="102" t="s">
        <v>490</v>
      </c>
      <c r="H20" s="102" t="s">
        <v>491</v>
      </c>
      <c r="I20" s="102" t="s">
        <v>492</v>
      </c>
      <c r="J20" s="89"/>
      <c r="K20" s="102" t="s">
        <v>486</v>
      </c>
      <c r="L20" s="102" t="s">
        <v>487</v>
      </c>
      <c r="M20" s="102" t="s">
        <v>488</v>
      </c>
      <c r="N20" s="102" t="s">
        <v>489</v>
      </c>
      <c r="O20" s="102" t="s">
        <v>490</v>
      </c>
      <c r="P20" s="102" t="s">
        <v>491</v>
      </c>
      <c r="Q20" s="102" t="s">
        <v>492</v>
      </c>
      <c r="R20" s="89"/>
      <c r="S20" s="102" t="s">
        <v>486</v>
      </c>
      <c r="T20" s="102" t="s">
        <v>487</v>
      </c>
      <c r="U20" s="102" t="s">
        <v>488</v>
      </c>
      <c r="V20" s="102" t="s">
        <v>489</v>
      </c>
      <c r="W20" s="102" t="s">
        <v>490</v>
      </c>
      <c r="X20" s="102" t="s">
        <v>491</v>
      </c>
      <c r="Y20" s="102" t="s">
        <v>492</v>
      </c>
      <c r="Z20" s="89"/>
      <c r="AA20" s="102" t="s">
        <v>486</v>
      </c>
      <c r="AB20" s="102" t="s">
        <v>487</v>
      </c>
      <c r="AC20" s="102" t="s">
        <v>488</v>
      </c>
      <c r="AD20" s="102" t="s">
        <v>489</v>
      </c>
      <c r="AE20" s="102" t="s">
        <v>490</v>
      </c>
      <c r="AF20" s="102" t="s">
        <v>491</v>
      </c>
      <c r="AG20" s="102" t="s">
        <v>492</v>
      </c>
      <c r="AH20" s="89"/>
      <c r="AI20" s="102" t="s">
        <v>486</v>
      </c>
      <c r="AJ20" s="102" t="s">
        <v>487</v>
      </c>
      <c r="AK20" s="102" t="s">
        <v>488</v>
      </c>
      <c r="AL20" s="102" t="s">
        <v>489</v>
      </c>
      <c r="AM20" s="102" t="s">
        <v>490</v>
      </c>
      <c r="AN20" s="102" t="s">
        <v>491</v>
      </c>
      <c r="AO20" s="102" t="s">
        <v>492</v>
      </c>
      <c r="AP20" s="99"/>
      <c r="AQ20" s="102" t="s">
        <v>486</v>
      </c>
      <c r="AR20" s="102" t="s">
        <v>487</v>
      </c>
      <c r="AS20" s="102" t="s">
        <v>488</v>
      </c>
      <c r="AT20" s="102" t="s">
        <v>489</v>
      </c>
      <c r="AU20" s="102" t="s">
        <v>490</v>
      </c>
      <c r="AV20" s="102" t="s">
        <v>491</v>
      </c>
      <c r="AW20" s="102" t="s">
        <v>492</v>
      </c>
      <c r="AX20" s="103"/>
      <c r="AY20" s="102" t="s">
        <v>486</v>
      </c>
      <c r="AZ20" s="102" t="s">
        <v>487</v>
      </c>
      <c r="BA20" s="102" t="s">
        <v>488</v>
      </c>
      <c r="BB20" s="102" t="s">
        <v>489</v>
      </c>
      <c r="BC20" s="102" t="s">
        <v>490</v>
      </c>
      <c r="BD20" s="102" t="s">
        <v>491</v>
      </c>
      <c r="BE20" s="102" t="s">
        <v>492</v>
      </c>
      <c r="BF20" s="105"/>
      <c r="BG20" s="102" t="s">
        <v>486</v>
      </c>
      <c r="BH20" s="102" t="s">
        <v>487</v>
      </c>
      <c r="BI20" s="102" t="s">
        <v>488</v>
      </c>
      <c r="BJ20" s="102" t="s">
        <v>489</v>
      </c>
      <c r="BK20" s="102" t="s">
        <v>490</v>
      </c>
      <c r="BL20" s="102" t="s">
        <v>491</v>
      </c>
      <c r="BM20" s="102" t="s">
        <v>492</v>
      </c>
      <c r="BN20" s="103"/>
      <c r="BO20" s="102" t="s">
        <v>486</v>
      </c>
      <c r="BP20" s="102" t="s">
        <v>487</v>
      </c>
      <c r="BQ20" s="102" t="s">
        <v>488</v>
      </c>
      <c r="BR20" s="102" t="s">
        <v>489</v>
      </c>
      <c r="BS20" s="102" t="s">
        <v>490</v>
      </c>
      <c r="BT20" s="102" t="s">
        <v>491</v>
      </c>
      <c r="BU20" s="102" t="s">
        <v>492</v>
      </c>
      <c r="BV20" s="106"/>
      <c r="BW20" s="102" t="s">
        <v>486</v>
      </c>
      <c r="BX20" s="102" t="s">
        <v>487</v>
      </c>
      <c r="BY20" s="102" t="s">
        <v>488</v>
      </c>
      <c r="BZ20" s="102" t="s">
        <v>489</v>
      </c>
      <c r="CA20" s="102" t="s">
        <v>490</v>
      </c>
      <c r="CB20" s="102" t="s">
        <v>491</v>
      </c>
      <c r="CC20" s="102" t="s">
        <v>492</v>
      </c>
      <c r="CD20" s="106"/>
      <c r="CE20" s="102" t="s">
        <v>486</v>
      </c>
      <c r="CF20" s="102" t="s">
        <v>487</v>
      </c>
      <c r="CG20" s="102" t="s">
        <v>488</v>
      </c>
      <c r="CH20" s="102" t="s">
        <v>489</v>
      </c>
      <c r="CI20" s="102" t="s">
        <v>490</v>
      </c>
      <c r="CJ20" s="102" t="s">
        <v>491</v>
      </c>
      <c r="CK20" s="102" t="s">
        <v>492</v>
      </c>
      <c r="CL20" s="106"/>
      <c r="CM20" s="102" t="s">
        <v>486</v>
      </c>
      <c r="CN20" s="102" t="s">
        <v>487</v>
      </c>
      <c r="CO20" s="102" t="s">
        <v>488</v>
      </c>
      <c r="CP20" s="102" t="s">
        <v>489</v>
      </c>
      <c r="CQ20" s="102" t="s">
        <v>490</v>
      </c>
      <c r="CR20" s="102" t="s">
        <v>491</v>
      </c>
      <c r="CS20" s="102" t="s">
        <v>492</v>
      </c>
      <c r="CT20" s="106"/>
    </row>
    <row r="21">
      <c r="A21" s="155"/>
      <c r="B21" s="96"/>
      <c r="C21" s="109">
        <f>I12+1</f>
        <v>11</v>
      </c>
      <c r="D21" s="109">
        <f t="shared" ref="D21:I21" si="13">C21+1</f>
        <v>12</v>
      </c>
      <c r="E21" s="109">
        <f t="shared" si="13"/>
        <v>13</v>
      </c>
      <c r="F21" s="109">
        <f t="shared" si="13"/>
        <v>14</v>
      </c>
      <c r="G21" s="109">
        <f t="shared" si="13"/>
        <v>15</v>
      </c>
      <c r="H21" s="109">
        <f t="shared" si="13"/>
        <v>16</v>
      </c>
      <c r="I21" s="109">
        <f t="shared" si="13"/>
        <v>17</v>
      </c>
      <c r="J21" s="89"/>
      <c r="K21" s="109">
        <f>Q12+1</f>
        <v>15</v>
      </c>
      <c r="L21" s="109">
        <f t="shared" ref="L21:Q21" si="14">K21+1</f>
        <v>16</v>
      </c>
      <c r="M21" s="109">
        <f t="shared" si="14"/>
        <v>17</v>
      </c>
      <c r="N21" s="109">
        <f t="shared" si="14"/>
        <v>18</v>
      </c>
      <c r="O21" s="109">
        <f t="shared" si="14"/>
        <v>19</v>
      </c>
      <c r="P21" s="109">
        <f t="shared" si="14"/>
        <v>20</v>
      </c>
      <c r="Q21" s="109">
        <f t="shared" si="14"/>
        <v>21</v>
      </c>
      <c r="R21" s="89"/>
      <c r="S21" s="109">
        <f>Y12+1</f>
        <v>15</v>
      </c>
      <c r="T21" s="109">
        <f t="shared" ref="T21:Y21" si="15">S21+1</f>
        <v>16</v>
      </c>
      <c r="U21" s="109">
        <f t="shared" si="15"/>
        <v>17</v>
      </c>
      <c r="V21" s="109">
        <f t="shared" si="15"/>
        <v>18</v>
      </c>
      <c r="W21" s="109">
        <f t="shared" si="15"/>
        <v>19</v>
      </c>
      <c r="X21" s="109">
        <f t="shared" si="15"/>
        <v>20</v>
      </c>
      <c r="Y21" s="109">
        <f t="shared" si="15"/>
        <v>21</v>
      </c>
      <c r="Z21" s="89"/>
      <c r="AA21" s="109">
        <f>AG12+1</f>
        <v>19</v>
      </c>
      <c r="AB21" s="109">
        <f t="shared" ref="AB21:AG21" si="16">AA21+1</f>
        <v>20</v>
      </c>
      <c r="AC21" s="109">
        <f t="shared" si="16"/>
        <v>21</v>
      </c>
      <c r="AD21" s="109">
        <f t="shared" si="16"/>
        <v>22</v>
      </c>
      <c r="AE21" s="109">
        <f t="shared" si="16"/>
        <v>23</v>
      </c>
      <c r="AF21" s="109">
        <f t="shared" si="16"/>
        <v>24</v>
      </c>
      <c r="AG21" s="109">
        <f t="shared" si="16"/>
        <v>25</v>
      </c>
      <c r="AH21" s="89"/>
      <c r="AI21" s="109">
        <f>AO12+1</f>
        <v>17</v>
      </c>
      <c r="AJ21" s="109">
        <f t="shared" ref="AJ21:AO21" si="17">AI21+1</f>
        <v>18</v>
      </c>
      <c r="AK21" s="109">
        <f t="shared" si="17"/>
        <v>19</v>
      </c>
      <c r="AL21" s="109">
        <f t="shared" si="17"/>
        <v>20</v>
      </c>
      <c r="AM21" s="109">
        <f t="shared" si="17"/>
        <v>21</v>
      </c>
      <c r="AN21" s="109">
        <f t="shared" si="17"/>
        <v>22</v>
      </c>
      <c r="AO21" s="109">
        <f t="shared" si="17"/>
        <v>23</v>
      </c>
      <c r="AP21" s="99"/>
      <c r="AQ21" s="109">
        <f>AW12+1</f>
        <v>14</v>
      </c>
      <c r="AR21" s="109">
        <f t="shared" ref="AR21:AW21" si="18">AQ21+1</f>
        <v>15</v>
      </c>
      <c r="AS21" s="109">
        <f t="shared" si="18"/>
        <v>16</v>
      </c>
      <c r="AT21" s="109">
        <f t="shared" si="18"/>
        <v>17</v>
      </c>
      <c r="AU21" s="109">
        <f t="shared" si="18"/>
        <v>18</v>
      </c>
      <c r="AV21" s="109">
        <f t="shared" si="18"/>
        <v>19</v>
      </c>
      <c r="AW21" s="109">
        <f t="shared" si="18"/>
        <v>20</v>
      </c>
      <c r="AX21" s="111"/>
      <c r="AY21" s="109">
        <f>BE12+1</f>
        <v>19</v>
      </c>
      <c r="AZ21" s="109">
        <f t="shared" ref="AZ21:BE21" si="19">AY21+1</f>
        <v>20</v>
      </c>
      <c r="BA21" s="109">
        <f t="shared" si="19"/>
        <v>21</v>
      </c>
      <c r="BB21" s="109">
        <f t="shared" si="19"/>
        <v>22</v>
      </c>
      <c r="BC21" s="109">
        <f t="shared" si="19"/>
        <v>23</v>
      </c>
      <c r="BD21" s="109">
        <f t="shared" si="19"/>
        <v>24</v>
      </c>
      <c r="BE21" s="109">
        <f t="shared" si="19"/>
        <v>25</v>
      </c>
      <c r="BF21" s="113"/>
      <c r="BG21" s="109">
        <f>BM12+1</f>
        <v>16</v>
      </c>
      <c r="BH21" s="109">
        <f t="shared" ref="BH21:BM21" si="20">BG21+1</f>
        <v>17</v>
      </c>
      <c r="BI21" s="109">
        <f t="shared" si="20"/>
        <v>18</v>
      </c>
      <c r="BJ21" s="109">
        <f t="shared" si="20"/>
        <v>19</v>
      </c>
      <c r="BK21" s="109">
        <f t="shared" si="20"/>
        <v>20</v>
      </c>
      <c r="BL21" s="109">
        <f t="shared" si="20"/>
        <v>21</v>
      </c>
      <c r="BM21" s="109">
        <f t="shared" si="20"/>
        <v>22</v>
      </c>
      <c r="BN21" s="111"/>
      <c r="BO21" s="109">
        <f>BU12+1</f>
        <v>13</v>
      </c>
      <c r="BP21" s="109">
        <f t="shared" ref="BP21:BU21" si="21">BO21+1</f>
        <v>14</v>
      </c>
      <c r="BQ21" s="109">
        <f t="shared" si="21"/>
        <v>15</v>
      </c>
      <c r="BR21" s="109">
        <f t="shared" si="21"/>
        <v>16</v>
      </c>
      <c r="BS21" s="109">
        <f t="shared" si="21"/>
        <v>17</v>
      </c>
      <c r="BT21" s="109">
        <f t="shared" si="21"/>
        <v>18</v>
      </c>
      <c r="BU21" s="109">
        <f t="shared" si="21"/>
        <v>19</v>
      </c>
      <c r="BV21" s="94"/>
      <c r="BW21" s="109">
        <f>CC12+1</f>
        <v>18</v>
      </c>
      <c r="BX21" s="109">
        <f t="shared" ref="BX21:CC21" si="22">BW21+1</f>
        <v>19</v>
      </c>
      <c r="BY21" s="109">
        <f t="shared" si="22"/>
        <v>20</v>
      </c>
      <c r="BZ21" s="109">
        <f t="shared" si="22"/>
        <v>21</v>
      </c>
      <c r="CA21" s="109">
        <f t="shared" si="22"/>
        <v>22</v>
      </c>
      <c r="CB21" s="109">
        <f t="shared" si="22"/>
        <v>23</v>
      </c>
      <c r="CC21" s="109">
        <f t="shared" si="22"/>
        <v>24</v>
      </c>
      <c r="CD21" s="94"/>
      <c r="CE21" s="109">
        <f>CK12+1</f>
        <v>15</v>
      </c>
      <c r="CF21" s="109">
        <f t="shared" ref="CF21:CK21" si="23">CE21+1</f>
        <v>16</v>
      </c>
      <c r="CG21" s="109">
        <f t="shared" si="23"/>
        <v>17</v>
      </c>
      <c r="CH21" s="109">
        <f t="shared" si="23"/>
        <v>18</v>
      </c>
      <c r="CI21" s="109">
        <f t="shared" si="23"/>
        <v>19</v>
      </c>
      <c r="CJ21" s="109">
        <f t="shared" si="23"/>
        <v>20</v>
      </c>
      <c r="CK21" s="109">
        <f t="shared" si="23"/>
        <v>21</v>
      </c>
      <c r="CL21" s="94"/>
      <c r="CM21" s="109">
        <f>CS12+1</f>
        <v>13</v>
      </c>
      <c r="CN21" s="109">
        <f t="shared" ref="CN21:CS21" si="24">CM21+1</f>
        <v>14</v>
      </c>
      <c r="CO21" s="109">
        <f t="shared" si="24"/>
        <v>15</v>
      </c>
      <c r="CP21" s="109">
        <f t="shared" si="24"/>
        <v>16</v>
      </c>
      <c r="CQ21" s="109">
        <f t="shared" si="24"/>
        <v>17</v>
      </c>
      <c r="CR21" s="109">
        <f t="shared" si="24"/>
        <v>18</v>
      </c>
      <c r="CS21" s="109">
        <f t="shared" si="24"/>
        <v>19</v>
      </c>
      <c r="CT21" s="94"/>
    </row>
    <row r="22">
      <c r="A22" s="156" t="s">
        <v>580</v>
      </c>
      <c r="B22" s="115"/>
      <c r="C22" s="157" t="s">
        <v>581</v>
      </c>
      <c r="D22" s="158" t="s">
        <v>582</v>
      </c>
      <c r="E22" s="158" t="s">
        <v>582</v>
      </c>
      <c r="F22" s="159" t="s">
        <v>583</v>
      </c>
      <c r="G22" s="159" t="s">
        <v>583</v>
      </c>
      <c r="H22" s="159" t="s">
        <v>583</v>
      </c>
      <c r="I22" s="157" t="s">
        <v>581</v>
      </c>
      <c r="J22" s="126"/>
      <c r="K22" s="157" t="s">
        <v>581</v>
      </c>
      <c r="L22" s="158" t="s">
        <v>582</v>
      </c>
      <c r="M22" s="158" t="s">
        <v>582</v>
      </c>
      <c r="N22" s="158" t="s">
        <v>582</v>
      </c>
      <c r="O22" s="158" t="s">
        <v>582</v>
      </c>
      <c r="P22" s="158" t="s">
        <v>582</v>
      </c>
      <c r="Q22" s="157" t="s">
        <v>581</v>
      </c>
      <c r="R22" s="126"/>
      <c r="S22" s="157" t="s">
        <v>581</v>
      </c>
      <c r="T22" s="158" t="s">
        <v>582</v>
      </c>
      <c r="U22" s="158" t="s">
        <v>582</v>
      </c>
      <c r="V22" s="158" t="s">
        <v>582</v>
      </c>
      <c r="W22" s="158" t="s">
        <v>582</v>
      </c>
      <c r="X22" s="158" t="s">
        <v>582</v>
      </c>
      <c r="Y22" s="157" t="s">
        <v>581</v>
      </c>
      <c r="Z22" s="126"/>
      <c r="AA22" s="157" t="s">
        <v>581</v>
      </c>
      <c r="AB22" s="116"/>
      <c r="AC22" s="116"/>
      <c r="AD22" s="116"/>
      <c r="AE22" s="116"/>
      <c r="AF22" s="116"/>
      <c r="AG22" s="157" t="s">
        <v>581</v>
      </c>
      <c r="AH22" s="126"/>
      <c r="AI22" s="157" t="s">
        <v>581</v>
      </c>
      <c r="AJ22" s="116"/>
      <c r="AK22" s="116"/>
      <c r="AL22" s="116"/>
      <c r="AM22" s="116"/>
      <c r="AN22" s="160" t="s">
        <v>586</v>
      </c>
      <c r="AO22" s="160" t="s">
        <v>586</v>
      </c>
      <c r="AP22" s="126"/>
      <c r="AQ22" s="157" t="s">
        <v>581</v>
      </c>
      <c r="AR22" s="116"/>
      <c r="AS22" s="116"/>
      <c r="AT22" s="116"/>
      <c r="AU22" s="116"/>
      <c r="AV22" s="116"/>
      <c r="AW22" s="157" t="s">
        <v>581</v>
      </c>
      <c r="AX22" s="127"/>
      <c r="AY22" s="157" t="s">
        <v>581</v>
      </c>
      <c r="AZ22" s="116"/>
      <c r="BA22" s="116"/>
      <c r="BB22" s="116"/>
      <c r="BC22" s="116"/>
      <c r="BD22" s="116"/>
      <c r="BE22" s="157" t="s">
        <v>581</v>
      </c>
      <c r="BF22" s="115"/>
      <c r="BG22" s="157" t="s">
        <v>581</v>
      </c>
      <c r="BH22" s="116"/>
      <c r="BI22" s="116"/>
      <c r="BJ22" s="116"/>
      <c r="BK22" s="116"/>
      <c r="BL22" s="116"/>
      <c r="BM22" s="157" t="s">
        <v>581</v>
      </c>
      <c r="BN22" s="127"/>
      <c r="BO22" s="157" t="s">
        <v>581</v>
      </c>
      <c r="BP22" s="116"/>
      <c r="BQ22" s="116"/>
      <c r="BR22" s="116"/>
      <c r="BS22" s="116"/>
      <c r="BT22" s="116"/>
      <c r="BU22" s="157" t="s">
        <v>581</v>
      </c>
      <c r="BV22" s="115"/>
      <c r="BW22" s="157" t="s">
        <v>581</v>
      </c>
      <c r="BX22" s="116"/>
      <c r="BY22" s="116"/>
      <c r="BZ22" s="116"/>
      <c r="CA22" s="116"/>
      <c r="CB22" s="116"/>
      <c r="CC22" s="157" t="s">
        <v>581</v>
      </c>
      <c r="CD22" s="115"/>
      <c r="CE22" s="157" t="s">
        <v>581</v>
      </c>
      <c r="CF22" s="116"/>
      <c r="CG22" s="116"/>
      <c r="CH22" s="116"/>
      <c r="CI22" s="116"/>
      <c r="CJ22" s="116"/>
      <c r="CK22" s="157" t="s">
        <v>581</v>
      </c>
      <c r="CL22" s="115"/>
      <c r="CM22" s="157" t="s">
        <v>581</v>
      </c>
      <c r="CN22" s="116"/>
      <c r="CO22" s="116"/>
      <c r="CP22" s="116"/>
      <c r="CQ22" s="116"/>
      <c r="CR22" s="116"/>
      <c r="CS22" s="157" t="s">
        <v>581</v>
      </c>
      <c r="CT22" s="115"/>
    </row>
    <row r="23">
      <c r="A23" s="156" t="s">
        <v>584</v>
      </c>
      <c r="B23" s="115"/>
      <c r="C23" s="122" t="s">
        <v>585</v>
      </c>
      <c r="D23" s="158" t="s">
        <v>582</v>
      </c>
      <c r="E23" s="158" t="s">
        <v>582</v>
      </c>
      <c r="F23" s="158" t="s">
        <v>582</v>
      </c>
      <c r="G23" s="158" t="s">
        <v>582</v>
      </c>
      <c r="H23" s="158" t="s">
        <v>582</v>
      </c>
      <c r="I23" s="122" t="s">
        <v>585</v>
      </c>
      <c r="J23" s="115"/>
      <c r="K23" s="116"/>
      <c r="L23" s="117"/>
      <c r="M23" s="116"/>
      <c r="N23" s="116"/>
      <c r="O23" s="116"/>
      <c r="P23" s="116"/>
      <c r="Q23" s="116"/>
      <c r="R23" s="115"/>
      <c r="S23" s="116"/>
      <c r="T23" s="158" t="s">
        <v>582</v>
      </c>
      <c r="U23" s="158" t="s">
        <v>582</v>
      </c>
      <c r="V23" s="158" t="s">
        <v>582</v>
      </c>
      <c r="W23" s="158" t="s">
        <v>582</v>
      </c>
      <c r="X23" s="158" t="s">
        <v>582</v>
      </c>
      <c r="Y23" s="116"/>
      <c r="Z23" s="115"/>
      <c r="AA23" s="117"/>
      <c r="AB23" s="158" t="s">
        <v>582</v>
      </c>
      <c r="AC23" s="158" t="s">
        <v>582</v>
      </c>
      <c r="AD23" s="158" t="s">
        <v>582</v>
      </c>
      <c r="AE23" s="158" t="s">
        <v>582</v>
      </c>
      <c r="AF23" s="160" t="s">
        <v>586</v>
      </c>
      <c r="AG23" s="118"/>
      <c r="AH23" s="115"/>
      <c r="AI23" s="116"/>
      <c r="AJ23" s="158" t="s">
        <v>582</v>
      </c>
      <c r="AK23" s="158" t="s">
        <v>582</v>
      </c>
      <c r="AL23" s="158" t="s">
        <v>582</v>
      </c>
      <c r="AM23" s="158" t="s">
        <v>582</v>
      </c>
      <c r="AN23" s="158" t="s">
        <v>582</v>
      </c>
      <c r="AO23" s="117"/>
      <c r="AP23" s="115"/>
      <c r="AQ23" s="117"/>
      <c r="AR23" s="116"/>
      <c r="AS23" s="116"/>
      <c r="AT23" s="116"/>
      <c r="AU23" s="116"/>
      <c r="AV23" s="116"/>
      <c r="AW23" s="116"/>
      <c r="AX23" s="115"/>
      <c r="AY23" s="117"/>
      <c r="AZ23" s="117"/>
      <c r="BA23" s="116"/>
      <c r="BB23" s="116"/>
      <c r="BC23" s="116"/>
      <c r="BD23" s="116"/>
      <c r="BE23" s="116"/>
      <c r="BF23" s="115"/>
      <c r="BG23" s="116"/>
      <c r="BH23" s="116"/>
      <c r="BI23" s="116"/>
      <c r="BJ23" s="116"/>
      <c r="BK23" s="116"/>
      <c r="BL23" s="116"/>
      <c r="BM23" s="116"/>
      <c r="BN23" s="115"/>
      <c r="BO23" s="116"/>
      <c r="BP23" s="116"/>
      <c r="BQ23" s="116"/>
      <c r="BR23" s="116"/>
      <c r="BS23" s="116"/>
      <c r="BT23" s="116"/>
      <c r="BU23" s="116"/>
      <c r="BV23" s="115"/>
      <c r="BW23" s="117"/>
      <c r="BX23" s="117"/>
      <c r="BY23" s="116"/>
      <c r="BZ23" s="116"/>
      <c r="CA23" s="116"/>
      <c r="CB23" s="116"/>
      <c r="CC23" s="116"/>
      <c r="CD23" s="115"/>
      <c r="CE23" s="116"/>
      <c r="CF23" s="116"/>
      <c r="CG23" s="116"/>
      <c r="CH23" s="116"/>
      <c r="CI23" s="116"/>
      <c r="CJ23" s="116"/>
      <c r="CK23" s="116"/>
      <c r="CL23" s="115"/>
      <c r="CM23" s="116"/>
      <c r="CN23" s="116"/>
      <c r="CO23" s="116"/>
      <c r="CP23" s="116"/>
      <c r="CQ23" s="116"/>
      <c r="CR23" s="116"/>
      <c r="CS23" s="116"/>
      <c r="CT23" s="115"/>
    </row>
    <row r="24">
      <c r="A24" s="156" t="s">
        <v>587</v>
      </c>
      <c r="B24" s="119"/>
      <c r="C24" s="122" t="s">
        <v>585</v>
      </c>
      <c r="D24" s="117" t="s">
        <v>588</v>
      </c>
      <c r="E24" s="117" t="s">
        <v>588</v>
      </c>
      <c r="F24" s="117" t="s">
        <v>588</v>
      </c>
      <c r="G24" s="117" t="s">
        <v>588</v>
      </c>
      <c r="H24" s="117" t="s">
        <v>588</v>
      </c>
      <c r="I24" s="122" t="s">
        <v>585</v>
      </c>
      <c r="J24" s="119"/>
      <c r="K24" s="121" t="s">
        <v>590</v>
      </c>
      <c r="L24" s="117" t="s">
        <v>588</v>
      </c>
      <c r="M24" s="117" t="s">
        <v>588</v>
      </c>
      <c r="N24" s="117" t="s">
        <v>588</v>
      </c>
      <c r="O24" s="117" t="s">
        <v>588</v>
      </c>
      <c r="P24" s="117" t="s">
        <v>588</v>
      </c>
      <c r="Q24" s="121" t="s">
        <v>590</v>
      </c>
      <c r="R24" s="119"/>
      <c r="S24" s="121" t="s">
        <v>590</v>
      </c>
      <c r="T24" s="117" t="s">
        <v>588</v>
      </c>
      <c r="U24" s="117" t="s">
        <v>588</v>
      </c>
      <c r="V24" s="117" t="s">
        <v>588</v>
      </c>
      <c r="W24" s="117" t="s">
        <v>588</v>
      </c>
      <c r="X24" s="117" t="s">
        <v>588</v>
      </c>
      <c r="Y24" s="121" t="s">
        <v>590</v>
      </c>
      <c r="Z24" s="119"/>
      <c r="AA24" s="121" t="s">
        <v>590</v>
      </c>
      <c r="AB24" s="160" t="s">
        <v>586</v>
      </c>
      <c r="AC24" s="160" t="s">
        <v>586</v>
      </c>
      <c r="AD24" s="158" t="s">
        <v>596</v>
      </c>
      <c r="AE24" s="117" t="s">
        <v>588</v>
      </c>
      <c r="AF24" s="117" t="s">
        <v>588</v>
      </c>
      <c r="AG24" s="168" t="s">
        <v>590</v>
      </c>
      <c r="AH24" s="119"/>
      <c r="AI24" s="160" t="s">
        <v>586</v>
      </c>
      <c r="AJ24" s="160" t="s">
        <v>586</v>
      </c>
      <c r="AK24" s="117" t="s">
        <v>588</v>
      </c>
      <c r="AL24" s="117" t="s">
        <v>588</v>
      </c>
      <c r="AM24" s="117" t="s">
        <v>588</v>
      </c>
      <c r="AN24" s="117" t="s">
        <v>588</v>
      </c>
      <c r="AO24" s="121" t="s">
        <v>590</v>
      </c>
      <c r="AP24" s="119"/>
      <c r="AQ24" s="121" t="s">
        <v>590</v>
      </c>
      <c r="AR24" s="117" t="s">
        <v>588</v>
      </c>
      <c r="AS24" s="117" t="s">
        <v>588</v>
      </c>
      <c r="AT24" s="117" t="s">
        <v>588</v>
      </c>
      <c r="AU24" s="117" t="s">
        <v>588</v>
      </c>
      <c r="AV24" s="117" t="s">
        <v>588</v>
      </c>
      <c r="AW24" s="121" t="s">
        <v>590</v>
      </c>
      <c r="AX24" s="119"/>
      <c r="AY24" s="162" t="s">
        <v>586</v>
      </c>
      <c r="AZ24" s="117" t="s">
        <v>588</v>
      </c>
      <c r="BA24" s="117" t="s">
        <v>588</v>
      </c>
      <c r="BB24" s="117" t="s">
        <v>588</v>
      </c>
      <c r="BC24" s="117" t="s">
        <v>588</v>
      </c>
      <c r="BD24" s="117" t="s">
        <v>588</v>
      </c>
      <c r="BE24" s="121" t="s">
        <v>590</v>
      </c>
      <c r="BF24" s="119"/>
      <c r="BG24" s="162" t="s">
        <v>586</v>
      </c>
      <c r="BH24" s="117" t="s">
        <v>588</v>
      </c>
      <c r="BI24" s="117" t="s">
        <v>588</v>
      </c>
      <c r="BJ24" s="117" t="s">
        <v>588</v>
      </c>
      <c r="BK24" s="117" t="s">
        <v>588</v>
      </c>
      <c r="BL24" s="117" t="s">
        <v>588</v>
      </c>
      <c r="BM24" s="121" t="s">
        <v>590</v>
      </c>
      <c r="BN24" s="119"/>
      <c r="BO24" s="117"/>
      <c r="BP24" s="117" t="s">
        <v>588</v>
      </c>
      <c r="BQ24" s="117" t="s">
        <v>588</v>
      </c>
      <c r="BR24" s="117" t="s">
        <v>588</v>
      </c>
      <c r="BS24" s="117" t="s">
        <v>588</v>
      </c>
      <c r="BT24" s="117" t="s">
        <v>588</v>
      </c>
      <c r="BU24" s="117"/>
      <c r="BV24" s="119"/>
      <c r="BW24" s="117"/>
      <c r="BX24" s="117"/>
      <c r="BY24" s="117"/>
      <c r="BZ24" s="117"/>
      <c r="CA24" s="117"/>
      <c r="CB24" s="117"/>
      <c r="CC24" s="117"/>
      <c r="CD24" s="119"/>
      <c r="CE24" s="117"/>
      <c r="CF24" s="117"/>
      <c r="CG24" s="117"/>
      <c r="CH24" s="117"/>
      <c r="CI24" s="117"/>
      <c r="CJ24" s="117"/>
      <c r="CK24" s="117"/>
      <c r="CL24" s="119"/>
      <c r="CM24" s="117"/>
      <c r="CN24" s="117"/>
      <c r="CO24" s="117"/>
      <c r="CP24" s="117"/>
      <c r="CQ24" s="117"/>
      <c r="CR24" s="117"/>
      <c r="CS24" s="117"/>
      <c r="CT24" s="119"/>
    </row>
    <row r="25">
      <c r="A25" s="156" t="s">
        <v>592</v>
      </c>
      <c r="B25" s="119"/>
      <c r="C25" s="116"/>
      <c r="D25" s="158" t="s">
        <v>582</v>
      </c>
      <c r="E25" s="158" t="s">
        <v>582</v>
      </c>
      <c r="F25" s="158" t="s">
        <v>582</v>
      </c>
      <c r="G25" s="158" t="s">
        <v>582</v>
      </c>
      <c r="H25" s="158" t="s">
        <v>582</v>
      </c>
      <c r="I25" s="158" t="s">
        <v>582</v>
      </c>
      <c r="J25" s="119"/>
      <c r="K25" s="116"/>
      <c r="L25" s="158" t="s">
        <v>582</v>
      </c>
      <c r="M25" s="158" t="s">
        <v>582</v>
      </c>
      <c r="N25" s="158" t="s">
        <v>582</v>
      </c>
      <c r="O25" s="158" t="s">
        <v>582</v>
      </c>
      <c r="P25" s="158" t="s">
        <v>582</v>
      </c>
      <c r="Q25" s="158" t="s">
        <v>582</v>
      </c>
      <c r="R25" s="119"/>
      <c r="S25" s="117"/>
      <c r="T25" s="158" t="s">
        <v>582</v>
      </c>
      <c r="U25" s="158" t="s">
        <v>582</v>
      </c>
      <c r="V25" s="158" t="s">
        <v>582</v>
      </c>
      <c r="W25" s="159" t="s">
        <v>583</v>
      </c>
      <c r="X25" s="159" t="s">
        <v>583</v>
      </c>
      <c r="Y25" s="159" t="s">
        <v>583</v>
      </c>
      <c r="Z25" s="119"/>
      <c r="AA25" s="116"/>
      <c r="AB25" s="158" t="s">
        <v>582</v>
      </c>
      <c r="AC25" s="158" t="s">
        <v>582</v>
      </c>
      <c r="AD25" s="158" t="s">
        <v>582</v>
      </c>
      <c r="AE25" s="158" t="s">
        <v>582</v>
      </c>
      <c r="AF25" s="158" t="s">
        <v>582</v>
      </c>
      <c r="AG25" s="158" t="s">
        <v>582</v>
      </c>
      <c r="AH25" s="119"/>
      <c r="AI25" s="159" t="s">
        <v>583</v>
      </c>
      <c r="AJ25" s="159" t="s">
        <v>583</v>
      </c>
      <c r="AK25" s="159" t="s">
        <v>583</v>
      </c>
      <c r="AL25" s="159" t="s">
        <v>583</v>
      </c>
      <c r="AM25" s="159" t="s">
        <v>583</v>
      </c>
      <c r="AN25" s="159" t="s">
        <v>583</v>
      </c>
      <c r="AO25" s="159" t="s">
        <v>583</v>
      </c>
      <c r="AP25" s="119"/>
      <c r="AQ25" s="116"/>
      <c r="AR25" s="116"/>
      <c r="AS25" s="116"/>
      <c r="AT25" s="116"/>
      <c r="AU25" s="116"/>
      <c r="AV25" s="116"/>
      <c r="AW25" s="116"/>
      <c r="AX25" s="119"/>
      <c r="AY25" s="117"/>
      <c r="AZ25" s="117"/>
      <c r="BA25" s="117"/>
      <c r="BB25" s="117"/>
      <c r="BC25" s="116"/>
      <c r="BD25" s="116"/>
      <c r="BE25" s="116"/>
      <c r="BF25" s="119"/>
      <c r="BG25" s="116"/>
      <c r="BH25" s="116"/>
      <c r="BI25" s="116"/>
      <c r="BJ25" s="116"/>
      <c r="BK25" s="116"/>
      <c r="BL25" s="116"/>
      <c r="BM25" s="116"/>
      <c r="BN25" s="119"/>
      <c r="BO25" s="116"/>
      <c r="BP25" s="116"/>
      <c r="BQ25" s="116"/>
      <c r="BR25" s="116"/>
      <c r="BS25" s="116"/>
      <c r="BT25" s="116"/>
      <c r="BU25" s="116"/>
      <c r="BV25" s="119"/>
      <c r="BW25" s="117"/>
      <c r="BX25" s="117"/>
      <c r="BY25" s="116"/>
      <c r="BZ25" s="116"/>
      <c r="CA25" s="116"/>
      <c r="CB25" s="116"/>
      <c r="CC25" s="117"/>
      <c r="CD25" s="119"/>
      <c r="CE25" s="117"/>
      <c r="CF25" s="117"/>
      <c r="CG25" s="116"/>
      <c r="CH25" s="116"/>
      <c r="CI25" s="116"/>
      <c r="CJ25" s="116"/>
      <c r="CK25" s="116"/>
      <c r="CL25" s="119"/>
      <c r="CM25" s="116"/>
      <c r="CN25" s="116"/>
      <c r="CO25" s="116"/>
      <c r="CP25" s="116"/>
      <c r="CQ25" s="116"/>
      <c r="CR25" s="116"/>
      <c r="CS25" s="116"/>
      <c r="CT25" s="119"/>
    </row>
    <row r="26">
      <c r="A26" s="156" t="s">
        <v>593</v>
      </c>
      <c r="B26" s="119"/>
      <c r="C26" s="117"/>
      <c r="D26" s="116"/>
      <c r="E26" s="116"/>
      <c r="F26" s="116"/>
      <c r="G26" s="116"/>
      <c r="H26" s="116"/>
      <c r="I26" s="117"/>
      <c r="J26" s="119"/>
      <c r="K26" s="117"/>
      <c r="L26" s="117"/>
      <c r="M26" s="117"/>
      <c r="N26" s="117"/>
      <c r="O26" s="117"/>
      <c r="P26" s="116"/>
      <c r="Q26" s="116"/>
      <c r="R26" s="119"/>
      <c r="S26" s="117"/>
      <c r="T26" s="117"/>
      <c r="U26" s="117"/>
      <c r="V26" s="117"/>
      <c r="W26" s="117"/>
      <c r="X26" s="117"/>
      <c r="Y26" s="117"/>
      <c r="Z26" s="119"/>
      <c r="AA26" s="116"/>
      <c r="AB26" s="116"/>
      <c r="AC26" s="116"/>
      <c r="AD26" s="116"/>
      <c r="AE26" s="116"/>
      <c r="AF26" s="116"/>
      <c r="AG26" s="116"/>
      <c r="AH26" s="119"/>
      <c r="AI26" s="116"/>
      <c r="AJ26" s="116"/>
      <c r="AK26" s="117"/>
      <c r="AL26" s="116"/>
      <c r="AM26" s="116"/>
      <c r="AN26" s="116"/>
      <c r="AO26" s="116"/>
      <c r="AP26" s="119"/>
      <c r="AQ26" s="116"/>
      <c r="AR26" s="116"/>
      <c r="AS26" s="116"/>
      <c r="AT26" s="116"/>
      <c r="AU26" s="116"/>
      <c r="AV26" s="116"/>
      <c r="AW26" s="116"/>
      <c r="AX26" s="119"/>
      <c r="AY26" s="117"/>
      <c r="AZ26" s="117"/>
      <c r="BA26" s="117"/>
      <c r="BB26" s="117"/>
      <c r="BC26" s="116"/>
      <c r="BD26" s="116"/>
      <c r="BE26" s="116"/>
      <c r="BF26" s="119"/>
      <c r="BG26" s="116"/>
      <c r="BH26" s="116"/>
      <c r="BI26" s="116"/>
      <c r="BJ26" s="116"/>
      <c r="BK26" s="116"/>
      <c r="BL26" s="116"/>
      <c r="BM26" s="116"/>
      <c r="BN26" s="119"/>
      <c r="BO26" s="116"/>
      <c r="BP26" s="116"/>
      <c r="BQ26" s="116"/>
      <c r="BR26" s="116"/>
      <c r="BS26" s="116"/>
      <c r="BT26" s="116"/>
      <c r="BU26" s="116"/>
      <c r="BV26" s="119"/>
      <c r="BW26" s="117"/>
      <c r="BX26" s="117"/>
      <c r="BY26" s="116"/>
      <c r="BZ26" s="116"/>
      <c r="CA26" s="116"/>
      <c r="CB26" s="116"/>
      <c r="CC26" s="116"/>
      <c r="CD26" s="119"/>
      <c r="CE26" s="116"/>
      <c r="CF26" s="116"/>
      <c r="CG26" s="116"/>
      <c r="CH26" s="116"/>
      <c r="CI26" s="116"/>
      <c r="CJ26" s="116"/>
      <c r="CK26" s="116"/>
      <c r="CL26" s="119"/>
      <c r="CM26" s="117"/>
      <c r="CN26" s="117"/>
      <c r="CO26" s="116"/>
      <c r="CP26" s="116"/>
      <c r="CQ26" s="116"/>
      <c r="CR26" s="116"/>
      <c r="CS26" s="116"/>
      <c r="CT26" s="119"/>
    </row>
    <row r="27">
      <c r="A27" s="156" t="s">
        <v>594</v>
      </c>
      <c r="B27" s="119"/>
      <c r="C27" s="160" t="s">
        <v>586</v>
      </c>
      <c r="D27" s="158" t="s">
        <v>582</v>
      </c>
      <c r="E27" s="158" t="s">
        <v>582</v>
      </c>
      <c r="F27" s="158" t="s">
        <v>582</v>
      </c>
      <c r="G27" s="158" t="s">
        <v>582</v>
      </c>
      <c r="H27" s="158" t="s">
        <v>582</v>
      </c>
      <c r="I27" s="160" t="s">
        <v>586</v>
      </c>
      <c r="J27" s="119"/>
      <c r="K27" s="160" t="s">
        <v>586</v>
      </c>
      <c r="L27" s="158" t="s">
        <v>582</v>
      </c>
      <c r="M27" s="158" t="s">
        <v>582</v>
      </c>
      <c r="N27" s="118" t="s">
        <v>595</v>
      </c>
      <c r="O27" s="118" t="s">
        <v>595</v>
      </c>
      <c r="P27" s="158" t="s">
        <v>582</v>
      </c>
      <c r="Q27" s="122" t="s">
        <v>585</v>
      </c>
      <c r="R27" s="119"/>
      <c r="S27" s="164"/>
      <c r="T27" s="165" t="s">
        <v>596</v>
      </c>
      <c r="U27" s="165" t="s">
        <v>588</v>
      </c>
      <c r="V27" s="165" t="s">
        <v>588</v>
      </c>
      <c r="W27" s="165" t="s">
        <v>588</v>
      </c>
      <c r="X27" s="165" t="s">
        <v>596</v>
      </c>
      <c r="Y27" s="121" t="s">
        <v>599</v>
      </c>
      <c r="Z27" s="119"/>
      <c r="AA27" s="116"/>
      <c r="AB27" s="165" t="s">
        <v>596</v>
      </c>
      <c r="AC27" s="165" t="s">
        <v>596</v>
      </c>
      <c r="AD27" s="165" t="s">
        <v>588</v>
      </c>
      <c r="AE27" s="165" t="s">
        <v>588</v>
      </c>
      <c r="AF27" s="165" t="s">
        <v>596</v>
      </c>
      <c r="AG27" s="116"/>
      <c r="AH27" s="119"/>
      <c r="AI27" s="116" t="s">
        <v>600</v>
      </c>
      <c r="AJ27" s="165" t="s">
        <v>596</v>
      </c>
      <c r="AK27" s="165" t="s">
        <v>596</v>
      </c>
      <c r="AL27" s="165" t="s">
        <v>588</v>
      </c>
      <c r="AM27" s="165" t="s">
        <v>588</v>
      </c>
      <c r="AN27" s="165" t="s">
        <v>596</v>
      </c>
      <c r="AO27" s="116"/>
      <c r="AP27" s="119"/>
      <c r="AQ27" s="116"/>
      <c r="AR27" s="165" t="s">
        <v>596</v>
      </c>
      <c r="AS27" s="165" t="s">
        <v>596</v>
      </c>
      <c r="AT27" s="165" t="s">
        <v>588</v>
      </c>
      <c r="AU27" s="165" t="s">
        <v>588</v>
      </c>
      <c r="AV27" s="169" t="s">
        <v>601</v>
      </c>
      <c r="AW27" s="116"/>
      <c r="AX27" s="119"/>
      <c r="AY27" s="116"/>
      <c r="AZ27" s="116"/>
      <c r="BA27" s="116"/>
      <c r="BB27" s="116"/>
      <c r="BC27" s="116"/>
      <c r="BD27" s="116"/>
      <c r="BE27" s="116"/>
      <c r="BF27" s="119"/>
      <c r="BG27" s="117"/>
      <c r="BH27" s="117"/>
      <c r="BI27" s="117"/>
      <c r="BJ27" s="117"/>
      <c r="BK27" s="117"/>
      <c r="BL27" s="117"/>
      <c r="BM27" s="117"/>
      <c r="BN27" s="119"/>
      <c r="BO27" s="117"/>
      <c r="BP27" s="116"/>
      <c r="BQ27" s="116"/>
      <c r="BR27" s="116"/>
      <c r="BS27" s="116"/>
      <c r="BT27" s="116"/>
      <c r="BU27" s="116"/>
      <c r="BV27" s="119"/>
      <c r="BW27" s="117"/>
      <c r="BX27" s="117"/>
      <c r="BY27" s="116"/>
      <c r="BZ27" s="116"/>
      <c r="CA27" s="116"/>
      <c r="CB27" s="116"/>
      <c r="CC27" s="116"/>
      <c r="CD27" s="119"/>
      <c r="CE27" s="116"/>
      <c r="CF27" s="116"/>
      <c r="CG27" s="116"/>
      <c r="CH27" s="116"/>
      <c r="CI27" s="116"/>
      <c r="CJ27" s="116"/>
      <c r="CK27" s="116"/>
      <c r="CL27" s="119"/>
      <c r="CM27" s="117"/>
      <c r="CN27" s="116"/>
      <c r="CO27" s="116"/>
      <c r="CP27" s="116"/>
      <c r="CQ27" s="116"/>
      <c r="CR27" s="116"/>
      <c r="CS27" s="116"/>
      <c r="CT27" s="119"/>
    </row>
    <row r="28">
      <c r="A28" s="167"/>
      <c r="B28" s="119"/>
      <c r="C28" s="117"/>
      <c r="D28" s="117"/>
      <c r="E28" s="117"/>
      <c r="F28" s="117"/>
      <c r="G28" s="117"/>
      <c r="H28" s="117"/>
      <c r="I28" s="117"/>
      <c r="J28" s="119"/>
      <c r="K28" s="117"/>
      <c r="L28" s="117"/>
      <c r="M28" s="117"/>
      <c r="N28" s="117"/>
      <c r="O28" s="117"/>
      <c r="P28" s="117"/>
      <c r="Q28" s="117"/>
      <c r="R28" s="119"/>
      <c r="S28" s="117"/>
      <c r="T28" s="117"/>
      <c r="U28" s="117"/>
      <c r="V28" s="117"/>
      <c r="W28" s="117"/>
      <c r="X28" s="117"/>
      <c r="Y28" s="117"/>
      <c r="Z28" s="119"/>
      <c r="AA28" s="117"/>
      <c r="AB28" s="117"/>
      <c r="AC28" s="117"/>
      <c r="AD28" s="117"/>
      <c r="AE28" s="117"/>
      <c r="AF28" s="117"/>
      <c r="AG28" s="117"/>
      <c r="AH28" s="119"/>
      <c r="AI28" s="117"/>
      <c r="AJ28" s="117"/>
      <c r="AK28" s="117"/>
      <c r="AL28" s="117"/>
      <c r="AM28" s="117"/>
      <c r="AN28" s="117"/>
      <c r="AO28" s="117"/>
      <c r="AP28" s="119"/>
      <c r="AQ28" s="117"/>
      <c r="AR28" s="117"/>
      <c r="AS28" s="117"/>
      <c r="AT28" s="117"/>
      <c r="AU28" s="117"/>
      <c r="AV28" s="117"/>
      <c r="AW28" s="117"/>
      <c r="AX28" s="119"/>
      <c r="AY28" s="117"/>
      <c r="AZ28" s="117"/>
      <c r="BA28" s="117"/>
      <c r="BB28" s="117"/>
      <c r="BC28" s="117"/>
      <c r="BD28" s="117"/>
      <c r="BE28" s="117"/>
      <c r="BF28" s="119"/>
      <c r="BG28" s="117"/>
      <c r="BH28" s="117"/>
      <c r="BI28" s="117"/>
      <c r="BJ28" s="117"/>
      <c r="BK28" s="117"/>
      <c r="BL28" s="117"/>
      <c r="BM28" s="117"/>
      <c r="BN28" s="119"/>
      <c r="BO28" s="117"/>
      <c r="BP28" s="117"/>
      <c r="BQ28" s="117"/>
      <c r="BR28" s="117"/>
      <c r="BS28" s="117"/>
      <c r="BT28" s="117"/>
      <c r="BU28" s="117"/>
      <c r="BV28" s="119"/>
      <c r="BW28" s="117"/>
      <c r="BX28" s="117"/>
      <c r="BY28" s="117"/>
      <c r="BZ28" s="117"/>
      <c r="CA28" s="117"/>
      <c r="CB28" s="117"/>
      <c r="CC28" s="117"/>
      <c r="CD28" s="119"/>
      <c r="CE28" s="117"/>
      <c r="CF28" s="117"/>
      <c r="CG28" s="117"/>
      <c r="CH28" s="117"/>
      <c r="CI28" s="117"/>
      <c r="CJ28" s="117"/>
      <c r="CK28" s="117"/>
      <c r="CL28" s="119"/>
      <c r="CM28" s="117"/>
      <c r="CN28" s="117"/>
      <c r="CO28" s="117"/>
      <c r="CP28" s="117"/>
      <c r="CQ28" s="117"/>
      <c r="CR28" s="117"/>
      <c r="CS28" s="117"/>
      <c r="CT28" s="119"/>
    </row>
    <row r="29">
      <c r="A29" s="155"/>
      <c r="B29" s="96"/>
      <c r="C29" s="102" t="s">
        <v>486</v>
      </c>
      <c r="D29" s="102" t="s">
        <v>487</v>
      </c>
      <c r="E29" s="102" t="s">
        <v>488</v>
      </c>
      <c r="F29" s="102" t="s">
        <v>489</v>
      </c>
      <c r="G29" s="102" t="s">
        <v>490</v>
      </c>
      <c r="H29" s="102" t="s">
        <v>491</v>
      </c>
      <c r="I29" s="102" t="s">
        <v>492</v>
      </c>
      <c r="J29" s="89"/>
      <c r="K29" s="102" t="s">
        <v>486</v>
      </c>
      <c r="L29" s="102" t="s">
        <v>487</v>
      </c>
      <c r="M29" s="102" t="s">
        <v>488</v>
      </c>
      <c r="N29" s="102" t="s">
        <v>489</v>
      </c>
      <c r="O29" s="102" t="s">
        <v>490</v>
      </c>
      <c r="P29" s="102" t="s">
        <v>491</v>
      </c>
      <c r="Q29" s="102" t="s">
        <v>492</v>
      </c>
      <c r="R29" s="89"/>
      <c r="S29" s="102" t="s">
        <v>486</v>
      </c>
      <c r="T29" s="102" t="s">
        <v>487</v>
      </c>
      <c r="U29" s="102" t="s">
        <v>488</v>
      </c>
      <c r="V29" s="102" t="s">
        <v>489</v>
      </c>
      <c r="W29" s="102" t="s">
        <v>490</v>
      </c>
      <c r="X29" s="102" t="s">
        <v>491</v>
      </c>
      <c r="Y29" s="102" t="s">
        <v>492</v>
      </c>
      <c r="Z29" s="89"/>
      <c r="AA29" s="102" t="s">
        <v>486</v>
      </c>
      <c r="AB29" s="102" t="s">
        <v>487</v>
      </c>
      <c r="AC29" s="102" t="s">
        <v>488</v>
      </c>
      <c r="AD29" s="102" t="s">
        <v>489</v>
      </c>
      <c r="AE29" s="102" t="s">
        <v>490</v>
      </c>
      <c r="AF29" s="102" t="s">
        <v>491</v>
      </c>
      <c r="AG29" s="102" t="s">
        <v>492</v>
      </c>
      <c r="AH29" s="89"/>
      <c r="AI29" s="102" t="s">
        <v>486</v>
      </c>
      <c r="AJ29" s="102" t="s">
        <v>487</v>
      </c>
      <c r="AK29" s="102" t="s">
        <v>488</v>
      </c>
      <c r="AL29" s="102" t="s">
        <v>489</v>
      </c>
      <c r="AM29" s="102" t="s">
        <v>490</v>
      </c>
      <c r="AN29" s="102" t="s">
        <v>491</v>
      </c>
      <c r="AO29" s="102" t="s">
        <v>492</v>
      </c>
      <c r="AP29" s="99"/>
      <c r="AQ29" s="102" t="s">
        <v>486</v>
      </c>
      <c r="AR29" s="102" t="s">
        <v>487</v>
      </c>
      <c r="AS29" s="102" t="s">
        <v>488</v>
      </c>
      <c r="AT29" s="102" t="s">
        <v>489</v>
      </c>
      <c r="AU29" s="102" t="s">
        <v>490</v>
      </c>
      <c r="AV29" s="102" t="s">
        <v>491</v>
      </c>
      <c r="AW29" s="102" t="s">
        <v>492</v>
      </c>
      <c r="AX29" s="103"/>
      <c r="AY29" s="102" t="s">
        <v>486</v>
      </c>
      <c r="AZ29" s="102" t="s">
        <v>487</v>
      </c>
      <c r="BA29" s="102" t="s">
        <v>488</v>
      </c>
      <c r="BB29" s="102" t="s">
        <v>489</v>
      </c>
      <c r="BC29" s="102" t="s">
        <v>490</v>
      </c>
      <c r="BD29" s="102" t="s">
        <v>491</v>
      </c>
      <c r="BE29" s="102" t="s">
        <v>492</v>
      </c>
      <c r="BF29" s="105"/>
      <c r="BG29" s="102" t="s">
        <v>486</v>
      </c>
      <c r="BH29" s="102" t="s">
        <v>487</v>
      </c>
      <c r="BI29" s="102" t="s">
        <v>488</v>
      </c>
      <c r="BJ29" s="102" t="s">
        <v>489</v>
      </c>
      <c r="BK29" s="102" t="s">
        <v>490</v>
      </c>
      <c r="BL29" s="102" t="s">
        <v>491</v>
      </c>
      <c r="BM29" s="102" t="s">
        <v>492</v>
      </c>
      <c r="BN29" s="103"/>
      <c r="BO29" s="102" t="s">
        <v>486</v>
      </c>
      <c r="BP29" s="102" t="s">
        <v>487</v>
      </c>
      <c r="BQ29" s="102" t="s">
        <v>488</v>
      </c>
      <c r="BR29" s="102" t="s">
        <v>489</v>
      </c>
      <c r="BS29" s="102" t="s">
        <v>490</v>
      </c>
      <c r="BT29" s="102" t="s">
        <v>491</v>
      </c>
      <c r="BU29" s="102" t="s">
        <v>492</v>
      </c>
      <c r="BV29" s="106"/>
      <c r="BW29" s="102" t="s">
        <v>486</v>
      </c>
      <c r="BX29" s="102" t="s">
        <v>487</v>
      </c>
      <c r="BY29" s="102" t="s">
        <v>488</v>
      </c>
      <c r="BZ29" s="102" t="s">
        <v>489</v>
      </c>
      <c r="CA29" s="102" t="s">
        <v>490</v>
      </c>
      <c r="CB29" s="102" t="s">
        <v>491</v>
      </c>
      <c r="CC29" s="102" t="s">
        <v>492</v>
      </c>
      <c r="CD29" s="106"/>
      <c r="CE29" s="102" t="s">
        <v>486</v>
      </c>
      <c r="CF29" s="102" t="s">
        <v>487</v>
      </c>
      <c r="CG29" s="102" t="s">
        <v>488</v>
      </c>
      <c r="CH29" s="102" t="s">
        <v>489</v>
      </c>
      <c r="CI29" s="102" t="s">
        <v>490</v>
      </c>
      <c r="CJ29" s="102" t="s">
        <v>491</v>
      </c>
      <c r="CK29" s="102" t="s">
        <v>492</v>
      </c>
      <c r="CL29" s="106"/>
      <c r="CM29" s="102" t="s">
        <v>486</v>
      </c>
      <c r="CN29" s="102" t="s">
        <v>487</v>
      </c>
      <c r="CO29" s="102" t="s">
        <v>488</v>
      </c>
      <c r="CP29" s="102" t="s">
        <v>489</v>
      </c>
      <c r="CQ29" s="102" t="s">
        <v>490</v>
      </c>
      <c r="CR29" s="102" t="s">
        <v>491</v>
      </c>
      <c r="CS29" s="102" t="s">
        <v>492</v>
      </c>
      <c r="CT29" s="106"/>
    </row>
    <row r="30">
      <c r="A30" s="155"/>
      <c r="B30" s="96"/>
      <c r="C30" s="109">
        <f>I21+1</f>
        <v>18</v>
      </c>
      <c r="D30" s="109">
        <f t="shared" ref="D30:I30" si="25">C30+1</f>
        <v>19</v>
      </c>
      <c r="E30" s="109">
        <f t="shared" si="25"/>
        <v>20</v>
      </c>
      <c r="F30" s="109">
        <f t="shared" si="25"/>
        <v>21</v>
      </c>
      <c r="G30" s="109">
        <f t="shared" si="25"/>
        <v>22</v>
      </c>
      <c r="H30" s="109">
        <f t="shared" si="25"/>
        <v>23</v>
      </c>
      <c r="I30" s="109">
        <f t="shared" si="25"/>
        <v>24</v>
      </c>
      <c r="J30" s="89"/>
      <c r="K30" s="109">
        <f>Q21+1</f>
        <v>22</v>
      </c>
      <c r="L30" s="109">
        <f t="shared" ref="L30:Q30" si="26">K30+1</f>
        <v>23</v>
      </c>
      <c r="M30" s="109">
        <f t="shared" si="26"/>
        <v>24</v>
      </c>
      <c r="N30" s="109">
        <f t="shared" si="26"/>
        <v>25</v>
      </c>
      <c r="O30" s="109">
        <f t="shared" si="26"/>
        <v>26</v>
      </c>
      <c r="P30" s="109">
        <f t="shared" si="26"/>
        <v>27</v>
      </c>
      <c r="Q30" s="109">
        <f t="shared" si="26"/>
        <v>28</v>
      </c>
      <c r="R30" s="89"/>
      <c r="S30" s="109">
        <f>Y21+1</f>
        <v>22</v>
      </c>
      <c r="T30" s="109">
        <f t="shared" ref="T30:Y30" si="27">S30+1</f>
        <v>23</v>
      </c>
      <c r="U30" s="109">
        <f t="shared" si="27"/>
        <v>24</v>
      </c>
      <c r="V30" s="109">
        <f t="shared" si="27"/>
        <v>25</v>
      </c>
      <c r="W30" s="109">
        <f t="shared" si="27"/>
        <v>26</v>
      </c>
      <c r="X30" s="109">
        <f t="shared" si="27"/>
        <v>27</v>
      </c>
      <c r="Y30" s="109">
        <f t="shared" si="27"/>
        <v>28</v>
      </c>
      <c r="Z30" s="89"/>
      <c r="AA30" s="109">
        <f>AG21+1</f>
        <v>26</v>
      </c>
      <c r="AB30" s="109">
        <f t="shared" ref="AB30:AE30" si="28">AA30+1</f>
        <v>27</v>
      </c>
      <c r="AC30" s="109">
        <f t="shared" si="28"/>
        <v>28</v>
      </c>
      <c r="AD30" s="109">
        <f t="shared" si="28"/>
        <v>29</v>
      </c>
      <c r="AE30" s="109">
        <f t="shared" si="28"/>
        <v>30</v>
      </c>
      <c r="AF30" s="108">
        <v>1.0</v>
      </c>
      <c r="AG30" s="108">
        <v>2.0</v>
      </c>
      <c r="AH30" s="89"/>
      <c r="AI30" s="109">
        <f>AO21+1</f>
        <v>24</v>
      </c>
      <c r="AJ30" s="109">
        <f t="shared" ref="AJ30:AO30" si="29">AI30+1</f>
        <v>25</v>
      </c>
      <c r="AK30" s="109">
        <f t="shared" si="29"/>
        <v>26</v>
      </c>
      <c r="AL30" s="109">
        <f t="shared" si="29"/>
        <v>27</v>
      </c>
      <c r="AM30" s="109">
        <f t="shared" si="29"/>
        <v>28</v>
      </c>
      <c r="AN30" s="109">
        <f t="shared" si="29"/>
        <v>29</v>
      </c>
      <c r="AO30" s="109">
        <f t="shared" si="29"/>
        <v>30</v>
      </c>
      <c r="AP30" s="99"/>
      <c r="AQ30" s="109">
        <f>AW21+1</f>
        <v>21</v>
      </c>
      <c r="AR30" s="109">
        <f t="shared" ref="AR30:AW30" si="30">AQ30+1</f>
        <v>22</v>
      </c>
      <c r="AS30" s="109">
        <f t="shared" si="30"/>
        <v>23</v>
      </c>
      <c r="AT30" s="109">
        <f t="shared" si="30"/>
        <v>24</v>
      </c>
      <c r="AU30" s="109">
        <f t="shared" si="30"/>
        <v>25</v>
      </c>
      <c r="AV30" s="109">
        <f t="shared" si="30"/>
        <v>26</v>
      </c>
      <c r="AW30" s="109">
        <f t="shared" si="30"/>
        <v>27</v>
      </c>
      <c r="AX30" s="111"/>
      <c r="AY30" s="109">
        <f>BE21+1</f>
        <v>26</v>
      </c>
      <c r="AZ30" s="109">
        <f t="shared" ref="AZ30:BD30" si="31">AY30+1</f>
        <v>27</v>
      </c>
      <c r="BA30" s="109">
        <f t="shared" si="31"/>
        <v>28</v>
      </c>
      <c r="BB30" s="109">
        <f t="shared" si="31"/>
        <v>29</v>
      </c>
      <c r="BC30" s="109">
        <f t="shared" si="31"/>
        <v>30</v>
      </c>
      <c r="BD30" s="109">
        <f t="shared" si="31"/>
        <v>31</v>
      </c>
      <c r="BE30" s="108">
        <v>1.0</v>
      </c>
      <c r="BF30" s="113"/>
      <c r="BG30" s="109">
        <f>BM21+1</f>
        <v>23</v>
      </c>
      <c r="BH30" s="109">
        <f t="shared" ref="BH30:BM30" si="32">BG30+1</f>
        <v>24</v>
      </c>
      <c r="BI30" s="109">
        <f t="shared" si="32"/>
        <v>25</v>
      </c>
      <c r="BJ30" s="109">
        <f t="shared" si="32"/>
        <v>26</v>
      </c>
      <c r="BK30" s="109">
        <f t="shared" si="32"/>
        <v>27</v>
      </c>
      <c r="BL30" s="109">
        <f t="shared" si="32"/>
        <v>28</v>
      </c>
      <c r="BM30" s="109">
        <f t="shared" si="32"/>
        <v>29</v>
      </c>
      <c r="BN30" s="111"/>
      <c r="BO30" s="109">
        <f>BU21+1</f>
        <v>20</v>
      </c>
      <c r="BP30" s="109">
        <f t="shared" ref="BP30:BU30" si="33">BO30+1</f>
        <v>21</v>
      </c>
      <c r="BQ30" s="109">
        <f t="shared" si="33"/>
        <v>22</v>
      </c>
      <c r="BR30" s="109">
        <f t="shared" si="33"/>
        <v>23</v>
      </c>
      <c r="BS30" s="109">
        <f t="shared" si="33"/>
        <v>24</v>
      </c>
      <c r="BT30" s="109">
        <f t="shared" si="33"/>
        <v>25</v>
      </c>
      <c r="BU30" s="109">
        <f t="shared" si="33"/>
        <v>26</v>
      </c>
      <c r="BV30" s="94"/>
      <c r="BW30" s="109">
        <f>CC21+1</f>
        <v>25</v>
      </c>
      <c r="BX30" s="109">
        <f t="shared" ref="BX30:CC30" si="34">BW30+1</f>
        <v>26</v>
      </c>
      <c r="BY30" s="109">
        <f t="shared" si="34"/>
        <v>27</v>
      </c>
      <c r="BZ30" s="109">
        <f t="shared" si="34"/>
        <v>28</v>
      </c>
      <c r="CA30" s="109">
        <f t="shared" si="34"/>
        <v>29</v>
      </c>
      <c r="CB30" s="109">
        <f t="shared" si="34"/>
        <v>30</v>
      </c>
      <c r="CC30" s="109">
        <f t="shared" si="34"/>
        <v>31</v>
      </c>
      <c r="CD30" s="94"/>
      <c r="CE30" s="109">
        <f>CK21+1</f>
        <v>22</v>
      </c>
      <c r="CF30" s="109">
        <f t="shared" ref="CF30:CK30" si="35">CE30+1</f>
        <v>23</v>
      </c>
      <c r="CG30" s="109">
        <f t="shared" si="35"/>
        <v>24</v>
      </c>
      <c r="CH30" s="109">
        <f t="shared" si="35"/>
        <v>25</v>
      </c>
      <c r="CI30" s="109">
        <f t="shared" si="35"/>
        <v>26</v>
      </c>
      <c r="CJ30" s="109">
        <f t="shared" si="35"/>
        <v>27</v>
      </c>
      <c r="CK30" s="109">
        <f t="shared" si="35"/>
        <v>28</v>
      </c>
      <c r="CL30" s="94"/>
      <c r="CM30" s="109">
        <f>CS21+1</f>
        <v>20</v>
      </c>
      <c r="CN30" s="109">
        <f t="shared" ref="CN30:CS30" si="36">CM30+1</f>
        <v>21</v>
      </c>
      <c r="CO30" s="109">
        <f t="shared" si="36"/>
        <v>22</v>
      </c>
      <c r="CP30" s="109">
        <f t="shared" si="36"/>
        <v>23</v>
      </c>
      <c r="CQ30" s="109">
        <f t="shared" si="36"/>
        <v>24</v>
      </c>
      <c r="CR30" s="109">
        <f t="shared" si="36"/>
        <v>25</v>
      </c>
      <c r="CS30" s="109">
        <f t="shared" si="36"/>
        <v>26</v>
      </c>
      <c r="CT30" s="94"/>
    </row>
    <row r="31">
      <c r="A31" s="156" t="s">
        <v>580</v>
      </c>
      <c r="B31" s="115"/>
      <c r="C31" s="157" t="s">
        <v>581</v>
      </c>
      <c r="D31" s="158" t="s">
        <v>582</v>
      </c>
      <c r="E31" s="158" t="s">
        <v>582</v>
      </c>
      <c r="F31" s="158" t="s">
        <v>582</v>
      </c>
      <c r="G31" s="158" t="s">
        <v>582</v>
      </c>
      <c r="H31" s="158" t="s">
        <v>582</v>
      </c>
      <c r="I31" s="157" t="s">
        <v>581</v>
      </c>
      <c r="J31" s="115"/>
      <c r="K31" s="157" t="s">
        <v>581</v>
      </c>
      <c r="L31" s="158" t="s">
        <v>582</v>
      </c>
      <c r="M31" s="158" t="s">
        <v>582</v>
      </c>
      <c r="N31" s="158" t="s">
        <v>582</v>
      </c>
      <c r="O31" s="158" t="s">
        <v>582</v>
      </c>
      <c r="P31" s="158" t="s">
        <v>582</v>
      </c>
      <c r="Q31" s="157" t="s">
        <v>581</v>
      </c>
      <c r="R31" s="115"/>
      <c r="S31" s="157" t="s">
        <v>581</v>
      </c>
      <c r="T31" s="158" t="s">
        <v>582</v>
      </c>
      <c r="U31" s="158" t="s">
        <v>582</v>
      </c>
      <c r="V31" s="158" t="s">
        <v>582</v>
      </c>
      <c r="W31" s="158" t="s">
        <v>582</v>
      </c>
      <c r="X31" s="159" t="s">
        <v>583</v>
      </c>
      <c r="Y31" s="159" t="s">
        <v>583</v>
      </c>
      <c r="Z31" s="115"/>
      <c r="AA31" s="157" t="s">
        <v>581</v>
      </c>
      <c r="AB31" s="116"/>
      <c r="AC31" s="116"/>
      <c r="AD31" s="116"/>
      <c r="AE31" s="116"/>
      <c r="AF31" s="116"/>
      <c r="AG31" s="157" t="s">
        <v>581</v>
      </c>
      <c r="AH31" s="115"/>
      <c r="AI31" s="160" t="s">
        <v>586</v>
      </c>
      <c r="AJ31" s="116"/>
      <c r="AK31" s="116"/>
      <c r="AL31" s="116"/>
      <c r="AM31" s="116"/>
      <c r="AN31" s="116"/>
      <c r="AO31" s="157" t="s">
        <v>581</v>
      </c>
      <c r="AP31" s="115"/>
      <c r="AQ31" s="157" t="s">
        <v>581</v>
      </c>
      <c r="AR31" s="116"/>
      <c r="AS31" s="116"/>
      <c r="AT31" s="116"/>
      <c r="AU31" s="116"/>
      <c r="AV31" s="116"/>
      <c r="AW31" s="157" t="s">
        <v>581</v>
      </c>
      <c r="AX31" s="115"/>
      <c r="AY31" s="157" t="s">
        <v>581</v>
      </c>
      <c r="AZ31" s="116"/>
      <c r="BA31" s="116"/>
      <c r="BB31" s="116"/>
      <c r="BC31" s="116"/>
      <c r="BD31" s="116"/>
      <c r="BE31" s="157" t="s">
        <v>581</v>
      </c>
      <c r="BF31" s="115"/>
      <c r="BG31" s="157" t="s">
        <v>581</v>
      </c>
      <c r="BH31" s="116"/>
      <c r="BI31" s="116"/>
      <c r="BJ31" s="116"/>
      <c r="BK31" s="116"/>
      <c r="BL31" s="116"/>
      <c r="BM31" s="157" t="s">
        <v>581</v>
      </c>
      <c r="BN31" s="115"/>
      <c r="BO31" s="157" t="s">
        <v>581</v>
      </c>
      <c r="BP31" s="116"/>
      <c r="BQ31" s="116"/>
      <c r="BR31" s="116"/>
      <c r="BS31" s="116"/>
      <c r="BT31" s="116"/>
      <c r="BU31" s="157" t="s">
        <v>581</v>
      </c>
      <c r="BV31" s="115"/>
      <c r="BW31" s="157" t="s">
        <v>581</v>
      </c>
      <c r="BX31" s="116"/>
      <c r="BY31" s="116"/>
      <c r="BZ31" s="116"/>
      <c r="CA31" s="116"/>
      <c r="CB31" s="116"/>
      <c r="CC31" s="157" t="s">
        <v>581</v>
      </c>
      <c r="CD31" s="115"/>
      <c r="CE31" s="157" t="s">
        <v>581</v>
      </c>
      <c r="CF31" s="116"/>
      <c r="CG31" s="116"/>
      <c r="CH31" s="116"/>
      <c r="CI31" s="116"/>
      <c r="CJ31" s="116"/>
      <c r="CK31" s="157" t="s">
        <v>581</v>
      </c>
      <c r="CL31" s="115"/>
      <c r="CM31" s="157" t="s">
        <v>581</v>
      </c>
      <c r="CN31" s="116"/>
      <c r="CO31" s="116"/>
      <c r="CP31" s="116"/>
      <c r="CQ31" s="116"/>
      <c r="CR31" s="116"/>
      <c r="CS31" s="157" t="s">
        <v>581</v>
      </c>
      <c r="CT31" s="115"/>
    </row>
    <row r="32">
      <c r="A32" s="156" t="s">
        <v>584</v>
      </c>
      <c r="B32" s="119"/>
      <c r="C32" s="117"/>
      <c r="D32" s="158" t="s">
        <v>582</v>
      </c>
      <c r="E32" s="158" t="s">
        <v>582</v>
      </c>
      <c r="F32" s="158" t="s">
        <v>582</v>
      </c>
      <c r="G32" s="158" t="s">
        <v>582</v>
      </c>
      <c r="H32" s="158" t="s">
        <v>582</v>
      </c>
      <c r="I32" s="117"/>
      <c r="J32" s="119"/>
      <c r="K32" s="116"/>
      <c r="L32" s="116"/>
      <c r="M32" s="116"/>
      <c r="N32" s="116"/>
      <c r="O32" s="116"/>
      <c r="P32" s="116"/>
      <c r="Q32" s="117"/>
      <c r="R32" s="119"/>
      <c r="S32" s="117"/>
      <c r="T32" s="158" t="s">
        <v>582</v>
      </c>
      <c r="U32" s="158" t="s">
        <v>582</v>
      </c>
      <c r="V32" s="160" t="s">
        <v>586</v>
      </c>
      <c r="W32" s="160" t="s">
        <v>586</v>
      </c>
      <c r="X32" s="160" t="s">
        <v>586</v>
      </c>
      <c r="Y32" s="160" t="s">
        <v>586</v>
      </c>
      <c r="Z32" s="119"/>
      <c r="AA32" s="117"/>
      <c r="AB32" s="160" t="s">
        <v>586</v>
      </c>
      <c r="AC32" s="158" t="s">
        <v>582</v>
      </c>
      <c r="AD32" s="158" t="s">
        <v>582</v>
      </c>
      <c r="AE32" s="158" t="s">
        <v>582</v>
      </c>
      <c r="AF32" s="158" t="s">
        <v>582</v>
      </c>
      <c r="AG32" s="117"/>
      <c r="AH32" s="119"/>
      <c r="AI32" s="116"/>
      <c r="AJ32" s="158" t="s">
        <v>582</v>
      </c>
      <c r="AK32" s="158" t="s">
        <v>582</v>
      </c>
      <c r="AL32" s="158" t="s">
        <v>582</v>
      </c>
      <c r="AM32" s="158" t="s">
        <v>582</v>
      </c>
      <c r="AN32" s="158" t="s">
        <v>582</v>
      </c>
      <c r="AO32" s="116"/>
      <c r="AP32" s="119"/>
      <c r="AQ32" s="117"/>
      <c r="AR32" s="117"/>
      <c r="AS32" s="117"/>
      <c r="AT32" s="116"/>
      <c r="AU32" s="117"/>
      <c r="AV32" s="117"/>
      <c r="AW32" s="117"/>
      <c r="AX32" s="119"/>
      <c r="AY32" s="117"/>
      <c r="AZ32" s="117"/>
      <c r="BA32" s="117"/>
      <c r="BB32" s="117"/>
      <c r="BC32" s="117"/>
      <c r="BD32" s="117"/>
      <c r="BE32" s="117"/>
      <c r="BF32" s="119"/>
      <c r="BG32" s="117"/>
      <c r="BH32" s="117"/>
      <c r="BI32" s="117"/>
      <c r="BJ32" s="117"/>
      <c r="BK32" s="117"/>
      <c r="BL32" s="117"/>
      <c r="BM32" s="117"/>
      <c r="BN32" s="119"/>
      <c r="BO32" s="117"/>
      <c r="BP32" s="117"/>
      <c r="BQ32" s="117"/>
      <c r="BR32" s="116"/>
      <c r="BS32" s="117"/>
      <c r="BT32" s="117"/>
      <c r="BU32" s="117"/>
      <c r="BV32" s="119"/>
      <c r="BW32" s="117"/>
      <c r="BX32" s="117"/>
      <c r="BY32" s="117"/>
      <c r="BZ32" s="117"/>
      <c r="CA32" s="117"/>
      <c r="CB32" s="117"/>
      <c r="CC32" s="117"/>
      <c r="CD32" s="119"/>
      <c r="CE32" s="117"/>
      <c r="CF32" s="117"/>
      <c r="CG32" s="117"/>
      <c r="CH32" s="117"/>
      <c r="CI32" s="117"/>
      <c r="CJ32" s="117"/>
      <c r="CK32" s="116"/>
      <c r="CL32" s="119"/>
      <c r="CM32" s="117"/>
      <c r="CN32" s="117"/>
      <c r="CO32" s="117"/>
      <c r="CP32" s="117"/>
      <c r="CQ32" s="117"/>
      <c r="CR32" s="117"/>
      <c r="CS32" s="117"/>
      <c r="CT32" s="119"/>
    </row>
    <row r="33">
      <c r="A33" s="156" t="s">
        <v>587</v>
      </c>
      <c r="B33" s="119"/>
      <c r="C33" s="122" t="s">
        <v>585</v>
      </c>
      <c r="D33" s="117" t="s">
        <v>588</v>
      </c>
      <c r="E33" s="117" t="s">
        <v>588</v>
      </c>
      <c r="F33" s="117" t="s">
        <v>588</v>
      </c>
      <c r="G33" s="117" t="s">
        <v>588</v>
      </c>
      <c r="H33" s="117" t="s">
        <v>588</v>
      </c>
      <c r="I33" s="121" t="s">
        <v>590</v>
      </c>
      <c r="J33" s="119"/>
      <c r="K33" s="121" t="s">
        <v>590</v>
      </c>
      <c r="L33" s="117" t="s">
        <v>588</v>
      </c>
      <c r="M33" s="117" t="s">
        <v>588</v>
      </c>
      <c r="N33" s="117" t="s">
        <v>588</v>
      </c>
      <c r="O33" s="117" t="s">
        <v>588</v>
      </c>
      <c r="P33" s="117" t="s">
        <v>588</v>
      </c>
      <c r="Q33" s="121" t="s">
        <v>590</v>
      </c>
      <c r="R33" s="119"/>
      <c r="S33" s="121" t="s">
        <v>590</v>
      </c>
      <c r="T33" s="117" t="s">
        <v>588</v>
      </c>
      <c r="U33" s="117" t="s">
        <v>588</v>
      </c>
      <c r="V33" s="117" t="s">
        <v>588</v>
      </c>
      <c r="W33" s="117" t="s">
        <v>588</v>
      </c>
      <c r="X33" s="117" t="s">
        <v>588</v>
      </c>
      <c r="Y33" s="117" t="s">
        <v>588</v>
      </c>
      <c r="Z33" s="119"/>
      <c r="AA33" s="168" t="s">
        <v>590</v>
      </c>
      <c r="AB33" s="117" t="s">
        <v>588</v>
      </c>
      <c r="AC33" s="117" t="s">
        <v>588</v>
      </c>
      <c r="AD33" s="117" t="s">
        <v>597</v>
      </c>
      <c r="AE33" s="117" t="s">
        <v>588</v>
      </c>
      <c r="AF33" s="161" t="s">
        <v>589</v>
      </c>
      <c r="AG33" s="122" t="s">
        <v>585</v>
      </c>
      <c r="AH33" s="119"/>
      <c r="AI33" s="121" t="s">
        <v>590</v>
      </c>
      <c r="AJ33" s="117" t="s">
        <v>588</v>
      </c>
      <c r="AK33" s="117" t="s">
        <v>588</v>
      </c>
      <c r="AL33" s="117" t="s">
        <v>588</v>
      </c>
      <c r="AM33" s="117" t="s">
        <v>588</v>
      </c>
      <c r="AN33" s="117" t="s">
        <v>588</v>
      </c>
      <c r="AO33" s="121" t="s">
        <v>590</v>
      </c>
      <c r="AP33" s="119"/>
      <c r="AQ33" s="121" t="s">
        <v>590</v>
      </c>
      <c r="AR33" s="117" t="s">
        <v>588</v>
      </c>
      <c r="AS33" s="117" t="s">
        <v>588</v>
      </c>
      <c r="AT33" s="117" t="s">
        <v>588</v>
      </c>
      <c r="AU33" s="117" t="s">
        <v>588</v>
      </c>
      <c r="AV33" s="117" t="s">
        <v>588</v>
      </c>
      <c r="AW33" s="121" t="s">
        <v>590</v>
      </c>
      <c r="AX33" s="119"/>
      <c r="AY33" s="162" t="s">
        <v>586</v>
      </c>
      <c r="AZ33" s="117" t="s">
        <v>588</v>
      </c>
      <c r="BA33" s="117" t="s">
        <v>588</v>
      </c>
      <c r="BB33" s="117" t="s">
        <v>588</v>
      </c>
      <c r="BC33" s="117" t="s">
        <v>588</v>
      </c>
      <c r="BD33" s="117" t="s">
        <v>588</v>
      </c>
      <c r="BE33" s="121" t="s">
        <v>590</v>
      </c>
      <c r="BF33" s="119"/>
      <c r="BG33" s="121" t="s">
        <v>590</v>
      </c>
      <c r="BH33" s="117" t="s">
        <v>588</v>
      </c>
      <c r="BI33" s="163" t="s">
        <v>591</v>
      </c>
      <c r="BJ33" s="163" t="s">
        <v>591</v>
      </c>
      <c r="BK33" s="163" t="s">
        <v>591</v>
      </c>
      <c r="BL33" s="163" t="s">
        <v>591</v>
      </c>
      <c r="BM33" s="163" t="s">
        <v>591</v>
      </c>
      <c r="BN33" s="119"/>
      <c r="BO33" s="116"/>
      <c r="BP33" s="117" t="s">
        <v>588</v>
      </c>
      <c r="BQ33" s="117" t="s">
        <v>588</v>
      </c>
      <c r="BR33" s="117" t="s">
        <v>588</v>
      </c>
      <c r="BS33" s="170" t="s">
        <v>589</v>
      </c>
      <c r="BT33" s="162" t="s">
        <v>586</v>
      </c>
      <c r="BU33" s="162" t="s">
        <v>586</v>
      </c>
      <c r="BV33" s="119"/>
      <c r="BW33" s="116"/>
      <c r="BX33" s="116"/>
      <c r="BY33" s="116"/>
      <c r="BZ33" s="116"/>
      <c r="CA33" s="116"/>
      <c r="CB33" s="116"/>
      <c r="CC33" s="116"/>
      <c r="CD33" s="119"/>
      <c r="CE33" s="116"/>
      <c r="CF33" s="116"/>
      <c r="CG33" s="116"/>
      <c r="CH33" s="116"/>
      <c r="CI33" s="116"/>
      <c r="CJ33" s="116"/>
      <c r="CK33" s="116"/>
      <c r="CL33" s="119"/>
      <c r="CM33" s="116"/>
      <c r="CN33" s="116"/>
      <c r="CO33" s="116"/>
      <c r="CP33" s="116"/>
      <c r="CQ33" s="116"/>
      <c r="CR33" s="116"/>
      <c r="CS33" s="116"/>
      <c r="CT33" s="119"/>
    </row>
    <row r="34">
      <c r="A34" s="156" t="s">
        <v>592</v>
      </c>
      <c r="B34" s="119"/>
      <c r="C34" s="117"/>
      <c r="D34" s="158" t="s">
        <v>582</v>
      </c>
      <c r="E34" s="158" t="s">
        <v>582</v>
      </c>
      <c r="F34" s="158" t="s">
        <v>582</v>
      </c>
      <c r="G34" s="158" t="s">
        <v>582</v>
      </c>
      <c r="H34" s="158" t="s">
        <v>582</v>
      </c>
      <c r="I34" s="158" t="s">
        <v>582</v>
      </c>
      <c r="J34" s="119"/>
      <c r="K34" s="117"/>
      <c r="L34" s="158" t="s">
        <v>582</v>
      </c>
      <c r="M34" s="158" t="s">
        <v>582</v>
      </c>
      <c r="N34" s="158" t="s">
        <v>582</v>
      </c>
      <c r="O34" s="158" t="s">
        <v>582</v>
      </c>
      <c r="P34" s="158" t="s">
        <v>582</v>
      </c>
      <c r="Q34" s="158" t="s">
        <v>582</v>
      </c>
      <c r="R34" s="119"/>
      <c r="S34" s="117"/>
      <c r="T34" s="158" t="s">
        <v>582</v>
      </c>
      <c r="U34" s="158" t="s">
        <v>582</v>
      </c>
      <c r="V34" s="158" t="s">
        <v>582</v>
      </c>
      <c r="W34" s="158" t="s">
        <v>582</v>
      </c>
      <c r="X34" s="158" t="s">
        <v>582</v>
      </c>
      <c r="Y34" s="158" t="s">
        <v>582</v>
      </c>
      <c r="Z34" s="119"/>
      <c r="AA34" s="116"/>
      <c r="AB34" s="158" t="s">
        <v>582</v>
      </c>
      <c r="AC34" s="158" t="s">
        <v>582</v>
      </c>
      <c r="AD34" s="158" t="s">
        <v>582</v>
      </c>
      <c r="AE34" s="158" t="s">
        <v>582</v>
      </c>
      <c r="AF34" s="158" t="s">
        <v>582</v>
      </c>
      <c r="AG34" s="158" t="s">
        <v>582</v>
      </c>
      <c r="AH34" s="119"/>
      <c r="AI34" s="159" t="s">
        <v>583</v>
      </c>
      <c r="AJ34" s="159" t="s">
        <v>583</v>
      </c>
      <c r="AK34" s="159" t="s">
        <v>583</v>
      </c>
      <c r="AL34" s="158" t="s">
        <v>582</v>
      </c>
      <c r="AM34" s="158" t="s">
        <v>582</v>
      </c>
      <c r="AN34" s="158" t="s">
        <v>582</v>
      </c>
      <c r="AO34" s="158" t="s">
        <v>582</v>
      </c>
      <c r="AP34" s="119"/>
      <c r="AQ34" s="117"/>
      <c r="AR34" s="117"/>
      <c r="AS34" s="117"/>
      <c r="AT34" s="117"/>
      <c r="AU34" s="117"/>
      <c r="AV34" s="117"/>
      <c r="AW34" s="117"/>
      <c r="AX34" s="119"/>
      <c r="AY34" s="116"/>
      <c r="AZ34" s="116"/>
      <c r="BA34" s="116"/>
      <c r="BB34" s="116"/>
      <c r="BC34" s="116"/>
      <c r="BD34" s="116"/>
      <c r="BE34" s="116"/>
      <c r="BF34" s="119"/>
      <c r="BG34" s="116"/>
      <c r="BH34" s="116"/>
      <c r="BI34" s="116"/>
      <c r="BJ34" s="116"/>
      <c r="BK34" s="116"/>
      <c r="BL34" s="116"/>
      <c r="BM34" s="116"/>
      <c r="BN34" s="119"/>
      <c r="BO34" s="116"/>
      <c r="BP34" s="116"/>
      <c r="BQ34" s="116"/>
      <c r="BR34" s="116"/>
      <c r="BS34" s="116"/>
      <c r="BT34" s="116"/>
      <c r="BU34" s="116"/>
      <c r="BV34" s="119"/>
      <c r="BW34" s="120"/>
      <c r="BX34" s="120"/>
      <c r="BY34" s="120"/>
      <c r="BZ34" s="120"/>
      <c r="CA34" s="120"/>
      <c r="CB34" s="120"/>
      <c r="CC34" s="120"/>
      <c r="CD34" s="119"/>
      <c r="CE34" s="116"/>
      <c r="CF34" s="116"/>
      <c r="CG34" s="116"/>
      <c r="CH34" s="116"/>
      <c r="CI34" s="116"/>
      <c r="CJ34" s="116"/>
      <c r="CK34" s="116"/>
      <c r="CL34" s="119"/>
      <c r="CM34" s="116"/>
      <c r="CN34" s="116"/>
      <c r="CO34" s="116"/>
      <c r="CP34" s="116"/>
      <c r="CQ34" s="116"/>
      <c r="CR34" s="116"/>
      <c r="CS34" s="116"/>
      <c r="CT34" s="119"/>
    </row>
    <row r="35">
      <c r="A35" s="156" t="s">
        <v>593</v>
      </c>
      <c r="B35" s="119"/>
      <c r="C35" s="116"/>
      <c r="D35" s="116"/>
      <c r="E35" s="116"/>
      <c r="F35" s="116"/>
      <c r="G35" s="116"/>
      <c r="H35" s="116"/>
      <c r="I35" s="116"/>
      <c r="J35" s="119"/>
      <c r="K35" s="117"/>
      <c r="L35" s="117"/>
      <c r="M35" s="117"/>
      <c r="N35" s="117"/>
      <c r="O35" s="117"/>
      <c r="P35" s="117"/>
      <c r="Q35" s="117"/>
      <c r="R35" s="119"/>
      <c r="S35" s="117"/>
      <c r="T35" s="117"/>
      <c r="U35" s="116"/>
      <c r="V35" s="116"/>
      <c r="W35" s="116"/>
      <c r="X35" s="116"/>
      <c r="Y35" s="116"/>
      <c r="Z35" s="119"/>
      <c r="AA35" s="116"/>
      <c r="AB35" s="116"/>
      <c r="AC35" s="116"/>
      <c r="AD35" s="116"/>
      <c r="AE35" s="116"/>
      <c r="AF35" s="116"/>
      <c r="AG35" s="116"/>
      <c r="AH35" s="119"/>
      <c r="AI35" s="116"/>
      <c r="AJ35" s="117"/>
      <c r="AK35" s="117"/>
      <c r="AL35" s="117"/>
      <c r="AM35" s="117"/>
      <c r="AN35" s="117"/>
      <c r="AO35" s="116"/>
      <c r="AP35" s="119"/>
      <c r="AQ35" s="117"/>
      <c r="AR35" s="117"/>
      <c r="AS35" s="117"/>
      <c r="AT35" s="117"/>
      <c r="AU35" s="116"/>
      <c r="AV35" s="116"/>
      <c r="AW35" s="116"/>
      <c r="AX35" s="119"/>
      <c r="AY35" s="116"/>
      <c r="AZ35" s="116"/>
      <c r="BA35" s="116"/>
      <c r="BB35" s="116"/>
      <c r="BC35" s="116"/>
      <c r="BD35" s="116"/>
      <c r="BE35" s="116"/>
      <c r="BF35" s="119"/>
      <c r="BG35" s="116"/>
      <c r="BH35" s="116"/>
      <c r="BI35" s="116"/>
      <c r="BJ35" s="116"/>
      <c r="BK35" s="116"/>
      <c r="BL35" s="116"/>
      <c r="BM35" s="116"/>
      <c r="BN35" s="119"/>
      <c r="BO35" s="116"/>
      <c r="BP35" s="116"/>
      <c r="BQ35" s="116"/>
      <c r="BR35" s="116"/>
      <c r="BS35" s="116"/>
      <c r="BT35" s="116"/>
      <c r="BU35" s="116"/>
      <c r="BV35" s="119"/>
      <c r="BW35" s="116"/>
      <c r="BX35" s="116"/>
      <c r="BY35" s="116"/>
      <c r="BZ35" s="116"/>
      <c r="CA35" s="116"/>
      <c r="CB35" s="117"/>
      <c r="CC35" s="116"/>
      <c r="CD35" s="119"/>
      <c r="CE35" s="117"/>
      <c r="CF35" s="117"/>
      <c r="CG35" s="116"/>
      <c r="CH35" s="116"/>
      <c r="CI35" s="116"/>
      <c r="CJ35" s="116"/>
      <c r="CK35" s="116"/>
      <c r="CL35" s="119"/>
      <c r="CM35" s="117"/>
      <c r="CN35" s="117"/>
      <c r="CO35" s="117"/>
      <c r="CP35" s="117"/>
      <c r="CQ35" s="117"/>
      <c r="CR35" s="117"/>
      <c r="CS35" s="117"/>
      <c r="CT35" s="119"/>
    </row>
    <row r="36">
      <c r="A36" s="156" t="s">
        <v>594</v>
      </c>
      <c r="B36" s="119"/>
      <c r="C36" s="159" t="s">
        <v>583</v>
      </c>
      <c r="D36" s="159" t="s">
        <v>583</v>
      </c>
      <c r="E36" s="159" t="s">
        <v>583</v>
      </c>
      <c r="F36" s="159" t="s">
        <v>583</v>
      </c>
      <c r="G36" s="159" t="s">
        <v>583</v>
      </c>
      <c r="H36" s="159" t="s">
        <v>583</v>
      </c>
      <c r="I36" s="159" t="s">
        <v>583</v>
      </c>
      <c r="J36" s="119"/>
      <c r="K36" s="160" t="s">
        <v>586</v>
      </c>
      <c r="L36" s="158" t="s">
        <v>582</v>
      </c>
      <c r="M36" s="158" t="s">
        <v>582</v>
      </c>
      <c r="N36" s="118" t="s">
        <v>595</v>
      </c>
      <c r="O36" s="118" t="s">
        <v>595</v>
      </c>
      <c r="P36" s="158" t="s">
        <v>582</v>
      </c>
      <c r="Q36" s="122" t="s">
        <v>585</v>
      </c>
      <c r="R36" s="119"/>
      <c r="S36" s="164"/>
      <c r="T36" s="165" t="s">
        <v>596</v>
      </c>
      <c r="U36" s="165" t="s">
        <v>588</v>
      </c>
      <c r="V36" s="165" t="s">
        <v>588</v>
      </c>
      <c r="W36" s="165" t="s">
        <v>588</v>
      </c>
      <c r="X36" s="165" t="s">
        <v>596</v>
      </c>
      <c r="Y36" s="121"/>
      <c r="Z36" s="119"/>
      <c r="AA36" s="116" t="s">
        <v>600</v>
      </c>
      <c r="AB36" s="165" t="s">
        <v>596</v>
      </c>
      <c r="AC36" s="165" t="s">
        <v>596</v>
      </c>
      <c r="AD36" s="165" t="s">
        <v>588</v>
      </c>
      <c r="AE36" s="165" t="s">
        <v>588</v>
      </c>
      <c r="AF36" s="165" t="s">
        <v>596</v>
      </c>
      <c r="AG36" s="116"/>
      <c r="AH36" s="119"/>
      <c r="AI36" s="117"/>
      <c r="AJ36" s="165" t="s">
        <v>596</v>
      </c>
      <c r="AK36" s="165" t="s">
        <v>596</v>
      </c>
      <c r="AL36" s="165" t="s">
        <v>588</v>
      </c>
      <c r="AM36" s="165" t="s">
        <v>588</v>
      </c>
      <c r="AN36" s="165" t="s">
        <v>596</v>
      </c>
      <c r="AO36" s="117"/>
      <c r="AP36" s="119"/>
      <c r="AQ36" s="117"/>
      <c r="AR36" s="117"/>
      <c r="AS36" s="117"/>
      <c r="AT36" s="117"/>
      <c r="AU36" s="117"/>
      <c r="AV36" s="117"/>
      <c r="AW36" s="117"/>
      <c r="AX36" s="119"/>
      <c r="AY36" s="117"/>
      <c r="AZ36" s="117"/>
      <c r="BA36" s="117"/>
      <c r="BB36" s="117"/>
      <c r="BC36" s="117"/>
      <c r="BD36" s="117"/>
      <c r="BE36" s="117"/>
      <c r="BF36" s="119"/>
      <c r="BG36" s="117"/>
      <c r="BH36" s="117"/>
      <c r="BI36" s="117"/>
      <c r="BJ36" s="117"/>
      <c r="BK36" s="117"/>
      <c r="BL36" s="117"/>
      <c r="BM36" s="117"/>
      <c r="BN36" s="119"/>
      <c r="BO36" s="117"/>
      <c r="BP36" s="117"/>
      <c r="BQ36" s="117"/>
      <c r="BR36" s="117"/>
      <c r="BS36" s="117"/>
      <c r="BT36" s="117"/>
      <c r="BU36" s="117"/>
      <c r="BV36" s="119"/>
      <c r="BW36" s="117"/>
      <c r="BX36" s="117"/>
      <c r="BY36" s="117"/>
      <c r="BZ36" s="117"/>
      <c r="CA36" s="117"/>
      <c r="CB36" s="117"/>
      <c r="CC36" s="116"/>
      <c r="CD36" s="119"/>
      <c r="CE36" s="117"/>
      <c r="CF36" s="117"/>
      <c r="CG36" s="117"/>
      <c r="CH36" s="124"/>
      <c r="CI36" s="117"/>
      <c r="CJ36" s="116"/>
      <c r="CK36" s="116"/>
      <c r="CL36" s="119"/>
      <c r="CM36" s="117"/>
      <c r="CN36" s="117"/>
      <c r="CO36" s="117"/>
      <c r="CP36" s="117"/>
      <c r="CQ36" s="117"/>
      <c r="CR36" s="117"/>
      <c r="CS36" s="117"/>
      <c r="CT36" s="119"/>
    </row>
    <row r="37">
      <c r="A37" s="167"/>
      <c r="B37" s="119"/>
      <c r="C37" s="117"/>
      <c r="D37" s="117"/>
      <c r="E37" s="117"/>
      <c r="F37" s="117"/>
      <c r="G37" s="117"/>
      <c r="H37" s="117"/>
      <c r="I37" s="117"/>
      <c r="J37" s="119"/>
      <c r="K37" s="117"/>
      <c r="L37" s="117"/>
      <c r="M37" s="117"/>
      <c r="N37" s="117"/>
      <c r="O37" s="117"/>
      <c r="P37" s="117"/>
      <c r="Q37" s="117"/>
      <c r="R37" s="119"/>
      <c r="S37" s="117"/>
      <c r="T37" s="131"/>
      <c r="U37" s="117"/>
      <c r="V37" s="117"/>
      <c r="W37" s="117"/>
      <c r="X37" s="117"/>
      <c r="Y37" s="117"/>
      <c r="Z37" s="119"/>
      <c r="AA37" s="117"/>
      <c r="AB37" s="117"/>
      <c r="AC37" s="117"/>
      <c r="AD37" s="117"/>
      <c r="AE37" s="117"/>
      <c r="AF37" s="117"/>
      <c r="AG37" s="117"/>
      <c r="AH37" s="119"/>
      <c r="AI37" s="117"/>
      <c r="AJ37" s="117"/>
      <c r="AK37" s="117"/>
      <c r="AL37" s="117"/>
      <c r="AM37" s="117"/>
      <c r="AN37" s="117"/>
      <c r="AO37" s="117"/>
      <c r="AP37" s="119"/>
      <c r="AQ37" s="117"/>
      <c r="AR37" s="166" t="s">
        <v>583</v>
      </c>
      <c r="AS37" s="166" t="s">
        <v>583</v>
      </c>
      <c r="AT37" s="166" t="s">
        <v>583</v>
      </c>
      <c r="AU37" s="166" t="s">
        <v>583</v>
      </c>
      <c r="AV37" s="166" t="s">
        <v>583</v>
      </c>
      <c r="AW37" s="117"/>
      <c r="AX37" s="119"/>
      <c r="AY37" s="117"/>
      <c r="AZ37" s="117"/>
      <c r="BA37" s="117"/>
      <c r="BB37" s="117"/>
      <c r="BC37" s="117"/>
      <c r="BD37" s="116"/>
      <c r="BE37" s="116"/>
      <c r="BF37" s="119"/>
      <c r="BG37" s="117"/>
      <c r="BH37" s="117"/>
      <c r="BI37" s="117"/>
      <c r="BJ37" s="117"/>
      <c r="BK37" s="117"/>
      <c r="BL37" s="117"/>
      <c r="BM37" s="117"/>
      <c r="BN37" s="119"/>
      <c r="BO37" s="116"/>
      <c r="BP37" s="116"/>
      <c r="BQ37" s="116"/>
      <c r="BR37" s="116"/>
      <c r="BS37" s="116"/>
      <c r="BT37" s="116"/>
      <c r="BU37" s="116"/>
      <c r="BV37" s="119"/>
      <c r="BW37" s="117"/>
      <c r="BX37" s="117"/>
      <c r="BY37" s="117"/>
      <c r="BZ37" s="117"/>
      <c r="CA37" s="117"/>
      <c r="CB37" s="117"/>
      <c r="CC37" s="117"/>
      <c r="CD37" s="119"/>
      <c r="CE37" s="117"/>
      <c r="CF37" s="117"/>
      <c r="CG37" s="117"/>
      <c r="CH37" s="117"/>
      <c r="CI37" s="117"/>
      <c r="CJ37" s="117"/>
      <c r="CK37" s="117"/>
      <c r="CL37" s="119"/>
      <c r="CM37" s="117"/>
      <c r="CN37" s="117"/>
      <c r="CO37" s="117"/>
      <c r="CP37" s="117"/>
      <c r="CQ37" s="117"/>
      <c r="CR37" s="117"/>
      <c r="CS37" s="117"/>
      <c r="CT37" s="119"/>
    </row>
    <row r="38">
      <c r="A38" s="155"/>
      <c r="B38" s="96"/>
      <c r="C38" s="102" t="s">
        <v>486</v>
      </c>
      <c r="D38" s="102" t="s">
        <v>487</v>
      </c>
      <c r="E38" s="102" t="s">
        <v>488</v>
      </c>
      <c r="F38" s="102" t="s">
        <v>489</v>
      </c>
      <c r="G38" s="102" t="s">
        <v>490</v>
      </c>
      <c r="H38" s="102" t="s">
        <v>491</v>
      </c>
      <c r="I38" s="102" t="s">
        <v>492</v>
      </c>
      <c r="J38" s="89"/>
      <c r="K38" s="102" t="s">
        <v>486</v>
      </c>
      <c r="L38" s="102" t="s">
        <v>487</v>
      </c>
      <c r="M38" s="102" t="s">
        <v>488</v>
      </c>
      <c r="N38" s="102" t="s">
        <v>489</v>
      </c>
      <c r="O38" s="102" t="s">
        <v>490</v>
      </c>
      <c r="P38" s="102" t="s">
        <v>491</v>
      </c>
      <c r="Q38" s="102" t="s">
        <v>492</v>
      </c>
      <c r="R38" s="89"/>
      <c r="S38" s="102" t="s">
        <v>486</v>
      </c>
      <c r="T38" s="102" t="s">
        <v>487</v>
      </c>
      <c r="U38" s="102" t="s">
        <v>488</v>
      </c>
      <c r="V38" s="102" t="s">
        <v>489</v>
      </c>
      <c r="W38" s="102" t="s">
        <v>490</v>
      </c>
      <c r="X38" s="102" t="s">
        <v>491</v>
      </c>
      <c r="Y38" s="102" t="s">
        <v>492</v>
      </c>
      <c r="Z38" s="89"/>
      <c r="AA38" s="102" t="s">
        <v>486</v>
      </c>
      <c r="AB38" s="102" t="s">
        <v>487</v>
      </c>
      <c r="AC38" s="102" t="s">
        <v>488</v>
      </c>
      <c r="AD38" s="102" t="s">
        <v>489</v>
      </c>
      <c r="AE38" s="102" t="s">
        <v>490</v>
      </c>
      <c r="AF38" s="102" t="s">
        <v>491</v>
      </c>
      <c r="AG38" s="102" t="s">
        <v>492</v>
      </c>
      <c r="AH38" s="89"/>
      <c r="AI38" s="102" t="s">
        <v>486</v>
      </c>
      <c r="AJ38" s="102" t="s">
        <v>487</v>
      </c>
      <c r="AK38" s="102" t="s">
        <v>488</v>
      </c>
      <c r="AL38" s="102" t="s">
        <v>489</v>
      </c>
      <c r="AM38" s="102" t="s">
        <v>490</v>
      </c>
      <c r="AN38" s="102" t="s">
        <v>491</v>
      </c>
      <c r="AO38" s="102" t="s">
        <v>492</v>
      </c>
      <c r="AP38" s="99"/>
      <c r="AQ38" s="102" t="s">
        <v>486</v>
      </c>
      <c r="AR38" s="102" t="s">
        <v>487</v>
      </c>
      <c r="AS38" s="102" t="s">
        <v>488</v>
      </c>
      <c r="AT38" s="102" t="s">
        <v>489</v>
      </c>
      <c r="AU38" s="102" t="s">
        <v>490</v>
      </c>
      <c r="AV38" s="102" t="s">
        <v>491</v>
      </c>
      <c r="AW38" s="102" t="s">
        <v>492</v>
      </c>
      <c r="AX38" s="103"/>
      <c r="AY38" s="102" t="s">
        <v>486</v>
      </c>
      <c r="AZ38" s="102" t="s">
        <v>487</v>
      </c>
      <c r="BA38" s="102" t="s">
        <v>488</v>
      </c>
      <c r="BB38" s="102" t="s">
        <v>489</v>
      </c>
      <c r="BC38" s="102" t="s">
        <v>490</v>
      </c>
      <c r="BD38" s="102" t="s">
        <v>491</v>
      </c>
      <c r="BE38" s="102" t="s">
        <v>492</v>
      </c>
      <c r="BF38" s="105"/>
      <c r="BG38" s="102" t="s">
        <v>486</v>
      </c>
      <c r="BH38" s="102" t="s">
        <v>487</v>
      </c>
      <c r="BI38" s="102" t="s">
        <v>488</v>
      </c>
      <c r="BJ38" s="102" t="s">
        <v>489</v>
      </c>
      <c r="BK38" s="102" t="s">
        <v>490</v>
      </c>
      <c r="BL38" s="102" t="s">
        <v>491</v>
      </c>
      <c r="BM38" s="102" t="s">
        <v>492</v>
      </c>
      <c r="BN38" s="103"/>
      <c r="BO38" s="102" t="s">
        <v>486</v>
      </c>
      <c r="BP38" s="102" t="s">
        <v>487</v>
      </c>
      <c r="BQ38" s="102" t="s">
        <v>488</v>
      </c>
      <c r="BR38" s="102" t="s">
        <v>489</v>
      </c>
      <c r="BS38" s="102" t="s">
        <v>490</v>
      </c>
      <c r="BT38" s="102" t="s">
        <v>491</v>
      </c>
      <c r="BU38" s="102" t="s">
        <v>492</v>
      </c>
      <c r="BV38" s="106"/>
      <c r="BW38" s="102" t="s">
        <v>486</v>
      </c>
      <c r="BX38" s="102" t="s">
        <v>487</v>
      </c>
      <c r="BY38" s="102" t="s">
        <v>488</v>
      </c>
      <c r="BZ38" s="102" t="s">
        <v>489</v>
      </c>
      <c r="CA38" s="102" t="s">
        <v>490</v>
      </c>
      <c r="CB38" s="102" t="s">
        <v>491</v>
      </c>
      <c r="CC38" s="102" t="s">
        <v>492</v>
      </c>
      <c r="CD38" s="106"/>
      <c r="CE38" s="102" t="s">
        <v>486</v>
      </c>
      <c r="CF38" s="102" t="s">
        <v>487</v>
      </c>
      <c r="CG38" s="102" t="s">
        <v>488</v>
      </c>
      <c r="CH38" s="102" t="s">
        <v>489</v>
      </c>
      <c r="CI38" s="102" t="s">
        <v>490</v>
      </c>
      <c r="CJ38" s="102" t="s">
        <v>491</v>
      </c>
      <c r="CK38" s="102" t="s">
        <v>492</v>
      </c>
      <c r="CL38" s="106"/>
      <c r="CM38" s="102" t="s">
        <v>486</v>
      </c>
      <c r="CN38" s="102" t="s">
        <v>487</v>
      </c>
      <c r="CO38" s="102" t="s">
        <v>488</v>
      </c>
      <c r="CP38" s="102" t="s">
        <v>489</v>
      </c>
      <c r="CQ38" s="102" t="s">
        <v>490</v>
      </c>
      <c r="CR38" s="102" t="s">
        <v>491</v>
      </c>
      <c r="CS38" s="102" t="s">
        <v>492</v>
      </c>
      <c r="CT38" s="106"/>
    </row>
    <row r="39">
      <c r="A39" s="155"/>
      <c r="B39" s="96"/>
      <c r="C39" s="109">
        <f>I30+1</f>
        <v>25</v>
      </c>
      <c r="D39" s="109">
        <f t="shared" ref="D39:I39" si="37">C39+1</f>
        <v>26</v>
      </c>
      <c r="E39" s="109">
        <f t="shared" si="37"/>
        <v>27</v>
      </c>
      <c r="F39" s="109">
        <f t="shared" si="37"/>
        <v>28</v>
      </c>
      <c r="G39" s="109">
        <f t="shared" si="37"/>
        <v>29</v>
      </c>
      <c r="H39" s="109">
        <f t="shared" si="37"/>
        <v>30</v>
      </c>
      <c r="I39" s="109">
        <f t="shared" si="37"/>
        <v>31</v>
      </c>
      <c r="J39" s="89"/>
      <c r="K39" s="108"/>
      <c r="L39" s="108"/>
      <c r="M39" s="108"/>
      <c r="N39" s="108"/>
      <c r="O39" s="108"/>
      <c r="P39" s="108"/>
      <c r="Q39" s="108"/>
      <c r="R39" s="89"/>
      <c r="S39" s="109">
        <f>Y30+1</f>
        <v>29</v>
      </c>
      <c r="T39" s="109">
        <f t="shared" ref="T39:U39" si="38">S39+1</f>
        <v>30</v>
      </c>
      <c r="U39" s="109">
        <f t="shared" si="38"/>
        <v>31</v>
      </c>
      <c r="V39" s="108">
        <v>1.0</v>
      </c>
      <c r="W39" s="108">
        <v>2.0</v>
      </c>
      <c r="X39" s="108">
        <v>3.0</v>
      </c>
      <c r="Y39" s="108">
        <v>4.0</v>
      </c>
      <c r="Z39" s="89"/>
      <c r="AA39" s="108"/>
      <c r="AB39" s="108"/>
      <c r="AC39" s="108"/>
      <c r="AD39" s="108"/>
      <c r="AE39" s="108"/>
      <c r="AF39" s="108"/>
      <c r="AG39" s="108"/>
      <c r="AH39" s="89"/>
      <c r="AI39" s="108"/>
      <c r="AJ39" s="108"/>
      <c r="AK39" s="108"/>
      <c r="AL39" s="108"/>
      <c r="AM39" s="108"/>
      <c r="AN39" s="108"/>
      <c r="AO39" s="108"/>
      <c r="AP39" s="99"/>
      <c r="AQ39" s="109">
        <f>AW30+1</f>
        <v>28</v>
      </c>
      <c r="AR39" s="109">
        <f t="shared" ref="AR39:AS39" si="39">AQ39+1</f>
        <v>29</v>
      </c>
      <c r="AS39" s="109">
        <f t="shared" si="39"/>
        <v>30</v>
      </c>
      <c r="AT39" s="108">
        <v>1.0</v>
      </c>
      <c r="AU39" s="108">
        <v>2.0</v>
      </c>
      <c r="AV39" s="108">
        <v>3.0</v>
      </c>
      <c r="AW39" s="108">
        <v>4.0</v>
      </c>
      <c r="AX39" s="111"/>
      <c r="AY39" s="108"/>
      <c r="AZ39" s="108"/>
      <c r="BA39" s="108"/>
      <c r="BB39" s="108"/>
      <c r="BC39" s="108"/>
      <c r="BD39" s="108"/>
      <c r="BE39" s="108"/>
      <c r="BF39" s="113"/>
      <c r="BG39" s="108"/>
      <c r="BH39" s="108"/>
      <c r="BI39" s="108"/>
      <c r="BJ39" s="108"/>
      <c r="BK39" s="108"/>
      <c r="BL39" s="108"/>
      <c r="BM39" s="108"/>
      <c r="BN39" s="111"/>
      <c r="BO39" s="109">
        <f>BU30+1</f>
        <v>27</v>
      </c>
      <c r="BP39" s="109">
        <f t="shared" ref="BP39:BR39" si="40">BO39+1</f>
        <v>28</v>
      </c>
      <c r="BQ39" s="109">
        <f t="shared" si="40"/>
        <v>29</v>
      </c>
      <c r="BR39" s="109">
        <f t="shared" si="40"/>
        <v>30</v>
      </c>
      <c r="BS39" s="108">
        <v>1.0</v>
      </c>
      <c r="BT39" s="108">
        <v>2.0</v>
      </c>
      <c r="BU39" s="108">
        <v>3.0</v>
      </c>
      <c r="BV39" s="94"/>
      <c r="BW39" s="108"/>
      <c r="BX39" s="108"/>
      <c r="BY39" s="108"/>
      <c r="BZ39" s="108"/>
      <c r="CA39" s="108"/>
      <c r="CB39" s="108"/>
      <c r="CC39" s="108"/>
      <c r="CD39" s="94"/>
      <c r="CE39" s="108"/>
      <c r="CF39" s="108"/>
      <c r="CG39" s="108"/>
      <c r="CH39" s="108"/>
      <c r="CI39" s="108"/>
      <c r="CJ39" s="108"/>
      <c r="CK39" s="108"/>
      <c r="CL39" s="94"/>
      <c r="CM39" s="109">
        <f>CS30+1</f>
        <v>27</v>
      </c>
      <c r="CN39" s="109">
        <f t="shared" ref="CN39:CQ39" si="41">CM39+1</f>
        <v>28</v>
      </c>
      <c r="CO39" s="109">
        <f t="shared" si="41"/>
        <v>29</v>
      </c>
      <c r="CP39" s="109">
        <f t="shared" si="41"/>
        <v>30</v>
      </c>
      <c r="CQ39" s="109">
        <f t="shared" si="41"/>
        <v>31</v>
      </c>
      <c r="CR39" s="108">
        <v>1.0</v>
      </c>
      <c r="CS39" s="108">
        <v>2.0</v>
      </c>
      <c r="CT39" s="94"/>
    </row>
    <row r="40">
      <c r="A40" s="156" t="s">
        <v>580</v>
      </c>
      <c r="B40" s="115"/>
      <c r="C40" s="157" t="s">
        <v>581</v>
      </c>
      <c r="D40" s="158" t="s">
        <v>582</v>
      </c>
      <c r="E40" s="158" t="s">
        <v>582</v>
      </c>
      <c r="F40" s="158" t="s">
        <v>582</v>
      </c>
      <c r="G40" s="158" t="s">
        <v>582</v>
      </c>
      <c r="H40" s="158" t="s">
        <v>582</v>
      </c>
      <c r="I40" s="157" t="s">
        <v>581</v>
      </c>
      <c r="J40" s="115"/>
      <c r="K40" s="132"/>
      <c r="L40" s="132"/>
      <c r="M40" s="132"/>
      <c r="N40" s="132"/>
      <c r="O40" s="133"/>
      <c r="P40" s="134"/>
      <c r="Q40" s="134"/>
      <c r="R40" s="115"/>
      <c r="S40" s="159" t="s">
        <v>583</v>
      </c>
      <c r="T40" s="159" t="s">
        <v>583</v>
      </c>
      <c r="U40" s="159" t="s">
        <v>583</v>
      </c>
      <c r="V40" s="159" t="s">
        <v>583</v>
      </c>
      <c r="W40" s="159" t="s">
        <v>583</v>
      </c>
      <c r="X40" s="159" t="s">
        <v>583</v>
      </c>
      <c r="Y40" s="159" t="s">
        <v>583</v>
      </c>
      <c r="Z40" s="115"/>
      <c r="AA40" s="132"/>
      <c r="AB40" s="132"/>
      <c r="AC40" s="132"/>
      <c r="AD40" s="132"/>
      <c r="AE40" s="133"/>
      <c r="AF40" s="134"/>
      <c r="AG40" s="134"/>
      <c r="AH40" s="115"/>
      <c r="AI40" s="132"/>
      <c r="AJ40" s="132"/>
      <c r="AK40" s="132"/>
      <c r="AL40" s="132"/>
      <c r="AM40" s="133"/>
      <c r="AN40" s="134"/>
      <c r="AO40" s="134"/>
      <c r="AP40" s="115"/>
      <c r="AQ40" s="157" t="s">
        <v>581</v>
      </c>
      <c r="AR40" s="116"/>
      <c r="AS40" s="116"/>
      <c r="AT40" s="116"/>
      <c r="AU40" s="116"/>
      <c r="AV40" s="116"/>
      <c r="AW40" s="157" t="s">
        <v>581</v>
      </c>
      <c r="AX40" s="115"/>
      <c r="AY40" s="135"/>
      <c r="AZ40" s="135"/>
      <c r="BA40" s="135"/>
      <c r="BB40" s="135"/>
      <c r="BC40" s="136"/>
      <c r="BD40" s="137"/>
      <c r="BE40" s="137"/>
      <c r="BF40" s="115"/>
      <c r="BG40" s="135"/>
      <c r="BH40" s="135"/>
      <c r="BI40" s="135"/>
      <c r="BJ40" s="135"/>
      <c r="BK40" s="136"/>
      <c r="BL40" s="137"/>
      <c r="BM40" s="137"/>
      <c r="BN40" s="115"/>
      <c r="BO40" s="157" t="s">
        <v>581</v>
      </c>
      <c r="BP40" s="116"/>
      <c r="BQ40" s="116"/>
      <c r="BR40" s="116"/>
      <c r="BS40" s="116"/>
      <c r="BT40" s="116"/>
      <c r="BU40" s="157" t="s">
        <v>581</v>
      </c>
      <c r="BV40" s="115"/>
      <c r="BW40" s="132"/>
      <c r="BX40" s="132"/>
      <c r="BY40" s="132"/>
      <c r="BZ40" s="132"/>
      <c r="CA40" s="132"/>
      <c r="CB40" s="132"/>
      <c r="CC40" s="132"/>
      <c r="CD40" s="115"/>
      <c r="CE40" s="135"/>
      <c r="CF40" s="135"/>
      <c r="CG40" s="135"/>
      <c r="CH40" s="135"/>
      <c r="CI40" s="136"/>
      <c r="CJ40" s="137"/>
      <c r="CK40" s="137"/>
      <c r="CL40" s="115"/>
      <c r="CM40" s="157" t="s">
        <v>581</v>
      </c>
      <c r="CN40" s="116"/>
      <c r="CO40" s="116"/>
      <c r="CP40" s="116"/>
      <c r="CQ40" s="116"/>
      <c r="CR40" s="116"/>
      <c r="CS40" s="157" t="s">
        <v>581</v>
      </c>
      <c r="CT40" s="115"/>
    </row>
    <row r="41">
      <c r="A41" s="156" t="s">
        <v>584</v>
      </c>
      <c r="B41" s="119"/>
      <c r="C41" s="117"/>
      <c r="D41" s="158" t="s">
        <v>582</v>
      </c>
      <c r="E41" s="158" t="s">
        <v>582</v>
      </c>
      <c r="F41" s="158" t="s">
        <v>582</v>
      </c>
      <c r="G41" s="158" t="s">
        <v>582</v>
      </c>
      <c r="H41" s="158" t="s">
        <v>582</v>
      </c>
      <c r="I41" s="117"/>
      <c r="J41" s="119"/>
      <c r="K41" s="138"/>
      <c r="L41" s="138"/>
      <c r="M41" s="138"/>
      <c r="N41" s="138"/>
      <c r="O41" s="138"/>
      <c r="P41" s="138"/>
      <c r="Q41" s="138"/>
      <c r="R41" s="119"/>
      <c r="S41" s="160" t="s">
        <v>586</v>
      </c>
      <c r="T41" s="160" t="s">
        <v>586</v>
      </c>
      <c r="U41" s="160" t="s">
        <v>586</v>
      </c>
      <c r="V41" s="160" t="s">
        <v>586</v>
      </c>
      <c r="W41" s="160" t="s">
        <v>586</v>
      </c>
      <c r="X41" s="160" t="s">
        <v>586</v>
      </c>
      <c r="Y41" s="160" t="s">
        <v>586</v>
      </c>
      <c r="Z41" s="119"/>
      <c r="AA41" s="138"/>
      <c r="AB41" s="138"/>
      <c r="AC41" s="138"/>
      <c r="AD41" s="138"/>
      <c r="AE41" s="138"/>
      <c r="AF41" s="138"/>
      <c r="AG41" s="138"/>
      <c r="AH41" s="119"/>
      <c r="AI41" s="138"/>
      <c r="AJ41" s="138"/>
      <c r="AK41" s="138"/>
      <c r="AL41" s="138"/>
      <c r="AM41" s="138"/>
      <c r="AN41" s="138"/>
      <c r="AO41" s="138"/>
      <c r="AP41" s="119"/>
      <c r="AQ41" s="117"/>
      <c r="AR41" s="117"/>
      <c r="AS41" s="117"/>
      <c r="AT41" s="117"/>
      <c r="AU41" s="117"/>
      <c r="AV41" s="117"/>
      <c r="AW41" s="117"/>
      <c r="AX41" s="119"/>
      <c r="AY41" s="135"/>
      <c r="AZ41" s="135"/>
      <c r="BA41" s="135"/>
      <c r="BB41" s="135"/>
      <c r="BC41" s="136"/>
      <c r="BD41" s="137"/>
      <c r="BE41" s="137"/>
      <c r="BF41" s="119"/>
      <c r="BG41" s="135"/>
      <c r="BH41" s="135"/>
      <c r="BI41" s="135"/>
      <c r="BJ41" s="135"/>
      <c r="BK41" s="136"/>
      <c r="BL41" s="137"/>
      <c r="BM41" s="137"/>
      <c r="BN41" s="119"/>
      <c r="BO41" s="116"/>
      <c r="BP41" s="116"/>
      <c r="BQ41" s="117"/>
      <c r="BR41" s="117"/>
      <c r="BS41" s="117"/>
      <c r="BT41" s="117"/>
      <c r="BU41" s="117"/>
      <c r="BV41" s="119"/>
      <c r="BW41" s="138"/>
      <c r="BX41" s="138"/>
      <c r="BY41" s="138"/>
      <c r="BZ41" s="138"/>
      <c r="CA41" s="138"/>
      <c r="CB41" s="138"/>
      <c r="CC41" s="138"/>
      <c r="CD41" s="119"/>
      <c r="CE41" s="135"/>
      <c r="CF41" s="135"/>
      <c r="CG41" s="135"/>
      <c r="CH41" s="135"/>
      <c r="CI41" s="136"/>
      <c r="CJ41" s="137"/>
      <c r="CK41" s="137"/>
      <c r="CL41" s="119"/>
      <c r="CM41" s="116"/>
      <c r="CN41" s="116"/>
      <c r="CO41" s="116"/>
      <c r="CP41" s="116"/>
      <c r="CQ41" s="116"/>
      <c r="CR41" s="116"/>
      <c r="CS41" s="116"/>
      <c r="CT41" s="119"/>
    </row>
    <row r="42">
      <c r="A42" s="156" t="s">
        <v>587</v>
      </c>
      <c r="B42" s="119"/>
      <c r="C42" s="121" t="s">
        <v>590</v>
      </c>
      <c r="D42" s="117" t="s">
        <v>588</v>
      </c>
      <c r="E42" s="117" t="s">
        <v>588</v>
      </c>
      <c r="F42" s="117" t="s">
        <v>588</v>
      </c>
      <c r="G42" s="117" t="s">
        <v>588</v>
      </c>
      <c r="H42" s="117" t="s">
        <v>588</v>
      </c>
      <c r="I42" s="121" t="s">
        <v>590</v>
      </c>
      <c r="J42" s="119"/>
      <c r="K42" s="132"/>
      <c r="L42" s="132"/>
      <c r="M42" s="132"/>
      <c r="N42" s="138"/>
      <c r="O42" s="140"/>
      <c r="P42" s="138"/>
      <c r="Q42" s="140"/>
      <c r="R42" s="119"/>
      <c r="S42" s="121" t="s">
        <v>590</v>
      </c>
      <c r="T42" s="117" t="s">
        <v>588</v>
      </c>
      <c r="U42" s="117" t="s">
        <v>588</v>
      </c>
      <c r="V42" s="117" t="s">
        <v>588</v>
      </c>
      <c r="W42" s="117" t="s">
        <v>588</v>
      </c>
      <c r="X42" s="117" t="s">
        <v>588</v>
      </c>
      <c r="Y42" s="158" t="s">
        <v>582</v>
      </c>
      <c r="Z42" s="119"/>
      <c r="AA42" s="132"/>
      <c r="AB42" s="132"/>
      <c r="AC42" s="132"/>
      <c r="AD42" s="138"/>
      <c r="AE42" s="140"/>
      <c r="AF42" s="138"/>
      <c r="AG42" s="140"/>
      <c r="AH42" s="119"/>
      <c r="AI42" s="132"/>
      <c r="AJ42" s="132"/>
      <c r="AK42" s="132"/>
      <c r="AL42" s="138"/>
      <c r="AM42" s="140"/>
      <c r="AN42" s="138"/>
      <c r="AO42" s="140"/>
      <c r="AP42" s="119"/>
      <c r="AQ42" s="162" t="s">
        <v>586</v>
      </c>
      <c r="AR42" s="117" t="s">
        <v>588</v>
      </c>
      <c r="AS42" s="117" t="s">
        <v>588</v>
      </c>
      <c r="AT42" s="117" t="s">
        <v>588</v>
      </c>
      <c r="AU42" s="117" t="s">
        <v>588</v>
      </c>
      <c r="AV42" s="117" t="s">
        <v>588</v>
      </c>
      <c r="AW42" s="121" t="s">
        <v>590</v>
      </c>
      <c r="AX42" s="119"/>
      <c r="AY42" s="135"/>
      <c r="AZ42" s="135"/>
      <c r="BA42" s="135"/>
      <c r="BB42" s="135"/>
      <c r="BC42" s="136"/>
      <c r="BD42" s="137"/>
      <c r="BE42" s="137"/>
      <c r="BF42" s="119"/>
      <c r="BG42" s="135"/>
      <c r="BH42" s="135"/>
      <c r="BI42" s="135"/>
      <c r="BJ42" s="135"/>
      <c r="BK42" s="136"/>
      <c r="BL42" s="137"/>
      <c r="BM42" s="137"/>
      <c r="BN42" s="119"/>
      <c r="BO42" s="162" t="s">
        <v>586</v>
      </c>
      <c r="BP42" s="162" t="s">
        <v>586</v>
      </c>
      <c r="BQ42" s="117" t="s">
        <v>588</v>
      </c>
      <c r="BR42" s="117" t="s">
        <v>588</v>
      </c>
      <c r="BS42" s="117" t="s">
        <v>588</v>
      </c>
      <c r="BT42" s="117" t="s">
        <v>588</v>
      </c>
      <c r="BU42" s="116"/>
      <c r="BV42" s="119"/>
      <c r="BW42" s="132"/>
      <c r="BX42" s="132"/>
      <c r="BY42" s="132"/>
      <c r="BZ42" s="132"/>
      <c r="CA42" s="132"/>
      <c r="CB42" s="132"/>
      <c r="CC42" s="132"/>
      <c r="CD42" s="119"/>
      <c r="CE42" s="135"/>
      <c r="CF42" s="135"/>
      <c r="CG42" s="135"/>
      <c r="CH42" s="135"/>
      <c r="CI42" s="136"/>
      <c r="CJ42" s="137"/>
      <c r="CK42" s="137"/>
      <c r="CL42" s="119"/>
      <c r="CM42" s="120"/>
      <c r="CN42" s="120"/>
      <c r="CO42" s="120"/>
      <c r="CP42" s="120"/>
      <c r="CQ42" s="120"/>
      <c r="CR42" s="120"/>
      <c r="CS42" s="120"/>
      <c r="CT42" s="119"/>
    </row>
    <row r="43">
      <c r="A43" s="156" t="s">
        <v>592</v>
      </c>
      <c r="B43" s="119"/>
      <c r="C43" s="117"/>
      <c r="D43" s="158" t="s">
        <v>582</v>
      </c>
      <c r="E43" s="158" t="s">
        <v>582</v>
      </c>
      <c r="F43" s="158" t="s">
        <v>582</v>
      </c>
      <c r="G43" s="158" t="s">
        <v>582</v>
      </c>
      <c r="H43" s="158" t="s">
        <v>582</v>
      </c>
      <c r="I43" s="158" t="s">
        <v>582</v>
      </c>
      <c r="J43" s="119"/>
      <c r="K43" s="132"/>
      <c r="L43" s="132"/>
      <c r="M43" s="132"/>
      <c r="N43" s="141"/>
      <c r="O43" s="141"/>
      <c r="P43" s="140"/>
      <c r="Q43" s="140"/>
      <c r="R43" s="119"/>
      <c r="S43" s="116"/>
      <c r="T43" s="158" t="s">
        <v>582</v>
      </c>
      <c r="U43" s="158" t="s">
        <v>582</v>
      </c>
      <c r="V43" s="158" t="s">
        <v>582</v>
      </c>
      <c r="W43" s="158" t="s">
        <v>582</v>
      </c>
      <c r="X43" s="158" t="s">
        <v>582</v>
      </c>
      <c r="Y43" s="158" t="s">
        <v>582</v>
      </c>
      <c r="Z43" s="119"/>
      <c r="AA43" s="132"/>
      <c r="AB43" s="132"/>
      <c r="AC43" s="132"/>
      <c r="AD43" s="141"/>
      <c r="AE43" s="141"/>
      <c r="AF43" s="140"/>
      <c r="AG43" s="140"/>
      <c r="AH43" s="119"/>
      <c r="AI43" s="132"/>
      <c r="AJ43" s="132"/>
      <c r="AK43" s="132"/>
      <c r="AL43" s="141"/>
      <c r="AM43" s="141"/>
      <c r="AN43" s="140"/>
      <c r="AO43" s="140"/>
      <c r="AP43" s="119"/>
      <c r="AQ43" s="117"/>
      <c r="AR43" s="117"/>
      <c r="AS43" s="117"/>
      <c r="AT43" s="117"/>
      <c r="AU43" s="117"/>
      <c r="AV43" s="117"/>
      <c r="AW43" s="117"/>
      <c r="AX43" s="119"/>
      <c r="AY43" s="135"/>
      <c r="AZ43" s="135"/>
      <c r="BA43" s="135"/>
      <c r="BB43" s="135"/>
      <c r="BC43" s="136"/>
      <c r="BD43" s="137"/>
      <c r="BE43" s="137"/>
      <c r="BF43" s="119"/>
      <c r="BG43" s="135"/>
      <c r="BH43" s="135"/>
      <c r="BI43" s="135"/>
      <c r="BJ43" s="135"/>
      <c r="BK43" s="136"/>
      <c r="BL43" s="137"/>
      <c r="BM43" s="137"/>
      <c r="BN43" s="119"/>
      <c r="BO43" s="116"/>
      <c r="BP43" s="116"/>
      <c r="BQ43" s="116"/>
      <c r="BR43" s="116"/>
      <c r="BS43" s="116"/>
      <c r="BT43" s="116"/>
      <c r="BU43" s="116"/>
      <c r="BV43" s="119"/>
      <c r="BW43" s="132"/>
      <c r="BX43" s="132"/>
      <c r="BY43" s="132"/>
      <c r="BZ43" s="132"/>
      <c r="CA43" s="132"/>
      <c r="CB43" s="132"/>
      <c r="CC43" s="132"/>
      <c r="CD43" s="119"/>
      <c r="CE43" s="135"/>
      <c r="CF43" s="135"/>
      <c r="CG43" s="135"/>
      <c r="CH43" s="135"/>
      <c r="CI43" s="136"/>
      <c r="CJ43" s="137"/>
      <c r="CK43" s="137"/>
      <c r="CL43" s="119"/>
      <c r="CM43" s="117"/>
      <c r="CN43" s="117"/>
      <c r="CO43" s="117"/>
      <c r="CP43" s="117"/>
      <c r="CQ43" s="117"/>
      <c r="CR43" s="117"/>
      <c r="CS43" s="117"/>
      <c r="CT43" s="119"/>
    </row>
    <row r="44">
      <c r="A44" s="156" t="s">
        <v>593</v>
      </c>
      <c r="B44" s="119"/>
      <c r="C44" s="117"/>
      <c r="D44" s="117"/>
      <c r="E44" s="117"/>
      <c r="F44" s="117"/>
      <c r="G44" s="117"/>
      <c r="H44" s="117"/>
      <c r="I44" s="117"/>
      <c r="J44" s="119"/>
      <c r="K44" s="138"/>
      <c r="L44" s="138"/>
      <c r="M44" s="138"/>
      <c r="N44" s="138"/>
      <c r="O44" s="138"/>
      <c r="P44" s="140"/>
      <c r="Q44" s="140"/>
      <c r="R44" s="119"/>
      <c r="S44" s="117"/>
      <c r="T44" s="117"/>
      <c r="U44" s="117"/>
      <c r="V44" s="117"/>
      <c r="W44" s="117"/>
      <c r="X44" s="117"/>
      <c r="Y44" s="117"/>
      <c r="Z44" s="119"/>
      <c r="AA44" s="138"/>
      <c r="AB44" s="138"/>
      <c r="AC44" s="138"/>
      <c r="AD44" s="138"/>
      <c r="AE44" s="138"/>
      <c r="AF44" s="140"/>
      <c r="AG44" s="140"/>
      <c r="AH44" s="119"/>
      <c r="AI44" s="138"/>
      <c r="AJ44" s="138"/>
      <c r="AK44" s="138"/>
      <c r="AL44" s="138"/>
      <c r="AM44" s="138"/>
      <c r="AN44" s="140"/>
      <c r="AO44" s="140"/>
      <c r="AP44" s="119"/>
      <c r="AQ44" s="117"/>
      <c r="AR44" s="117"/>
      <c r="AS44" s="117"/>
      <c r="AT44" s="117"/>
      <c r="AU44" s="117"/>
      <c r="AV44" s="117"/>
      <c r="AW44" s="117"/>
      <c r="AX44" s="119"/>
      <c r="AY44" s="135"/>
      <c r="AZ44" s="135"/>
      <c r="BA44" s="135"/>
      <c r="BB44" s="135"/>
      <c r="BC44" s="136"/>
      <c r="BD44" s="137"/>
      <c r="BE44" s="137"/>
      <c r="BF44" s="119"/>
      <c r="BG44" s="135"/>
      <c r="BH44" s="135"/>
      <c r="BI44" s="135"/>
      <c r="BJ44" s="135"/>
      <c r="BK44" s="136"/>
      <c r="BL44" s="137"/>
      <c r="BM44" s="137"/>
      <c r="BN44" s="119"/>
      <c r="BO44" s="117"/>
      <c r="BP44" s="117"/>
      <c r="BQ44" s="117"/>
      <c r="BR44" s="117"/>
      <c r="BS44" s="117"/>
      <c r="BT44" s="117"/>
      <c r="BU44" s="117"/>
      <c r="BV44" s="119"/>
      <c r="BW44" s="138"/>
      <c r="BX44" s="138"/>
      <c r="BY44" s="138"/>
      <c r="BZ44" s="138"/>
      <c r="CA44" s="138"/>
      <c r="CB44" s="138"/>
      <c r="CC44" s="138"/>
      <c r="CD44" s="119"/>
      <c r="CE44" s="135"/>
      <c r="CF44" s="135"/>
      <c r="CG44" s="135"/>
      <c r="CH44" s="135"/>
      <c r="CI44" s="136"/>
      <c r="CJ44" s="137"/>
      <c r="CK44" s="137"/>
      <c r="CL44" s="119"/>
      <c r="CM44" s="117"/>
      <c r="CN44" s="117"/>
      <c r="CO44" s="120"/>
      <c r="CP44" s="120"/>
      <c r="CQ44" s="120"/>
      <c r="CR44" s="120"/>
      <c r="CS44" s="120"/>
      <c r="CT44" s="119"/>
    </row>
    <row r="45">
      <c r="A45" s="156" t="s">
        <v>594</v>
      </c>
      <c r="B45" s="119"/>
      <c r="C45" s="159" t="s">
        <v>583</v>
      </c>
      <c r="D45" s="158" t="s">
        <v>582</v>
      </c>
      <c r="E45" s="158" t="s">
        <v>582</v>
      </c>
      <c r="F45" s="117" t="s">
        <v>597</v>
      </c>
      <c r="G45" s="117" t="s">
        <v>597</v>
      </c>
      <c r="H45" s="158" t="s">
        <v>582</v>
      </c>
      <c r="I45" s="158" t="s">
        <v>582</v>
      </c>
      <c r="J45" s="119"/>
      <c r="K45" s="142"/>
      <c r="L45" s="142"/>
      <c r="M45" s="140"/>
      <c r="N45" s="140"/>
      <c r="O45" s="142"/>
      <c r="P45" s="142"/>
      <c r="Q45" s="142"/>
      <c r="R45" s="119"/>
      <c r="S45" s="164" t="s">
        <v>590</v>
      </c>
      <c r="T45" s="165" t="s">
        <v>596</v>
      </c>
      <c r="U45" s="165" t="s">
        <v>588</v>
      </c>
      <c r="V45" s="165" t="s">
        <v>588</v>
      </c>
      <c r="W45" s="165" t="s">
        <v>588</v>
      </c>
      <c r="X45" s="165" t="s">
        <v>596</v>
      </c>
      <c r="Y45" s="121"/>
      <c r="Z45" s="119"/>
      <c r="AA45" s="142"/>
      <c r="AB45" s="142"/>
      <c r="AC45" s="140"/>
      <c r="AD45" s="140"/>
      <c r="AE45" s="142"/>
      <c r="AF45" s="142"/>
      <c r="AG45" s="142"/>
      <c r="AH45" s="119"/>
      <c r="AI45" s="142"/>
      <c r="AJ45" s="142"/>
      <c r="AK45" s="140"/>
      <c r="AL45" s="140"/>
      <c r="AM45" s="142"/>
      <c r="AN45" s="142"/>
      <c r="AO45" s="142"/>
      <c r="AP45" s="119"/>
      <c r="AQ45" s="116"/>
      <c r="AR45" s="116"/>
      <c r="AS45" s="117"/>
      <c r="AT45" s="117"/>
      <c r="AU45" s="117"/>
      <c r="AV45" s="117"/>
      <c r="AW45" s="117"/>
      <c r="AX45" s="119"/>
      <c r="AY45" s="135"/>
      <c r="AZ45" s="135"/>
      <c r="BA45" s="135"/>
      <c r="BB45" s="135"/>
      <c r="BC45" s="136"/>
      <c r="BD45" s="137"/>
      <c r="BE45" s="137"/>
      <c r="BF45" s="119"/>
      <c r="BG45" s="135"/>
      <c r="BH45" s="135"/>
      <c r="BI45" s="135"/>
      <c r="BJ45" s="135"/>
      <c r="BK45" s="136"/>
      <c r="BL45" s="137"/>
      <c r="BM45" s="137"/>
      <c r="BN45" s="119"/>
      <c r="BO45" s="117"/>
      <c r="BP45" s="117"/>
      <c r="BQ45" s="117"/>
      <c r="BR45" s="117"/>
      <c r="BS45" s="117"/>
      <c r="BT45" s="117"/>
      <c r="BU45" s="117"/>
      <c r="BV45" s="119"/>
      <c r="BW45" s="138"/>
      <c r="BX45" s="138"/>
      <c r="BY45" s="138"/>
      <c r="BZ45" s="138"/>
      <c r="CA45" s="138"/>
      <c r="CB45" s="138"/>
      <c r="CC45" s="138"/>
      <c r="CD45" s="119"/>
      <c r="CE45" s="135"/>
      <c r="CF45" s="135"/>
      <c r="CG45" s="135"/>
      <c r="CH45" s="135"/>
      <c r="CI45" s="136"/>
      <c r="CJ45" s="137"/>
      <c r="CK45" s="137"/>
      <c r="CL45" s="119"/>
      <c r="CM45" s="117"/>
      <c r="CN45" s="117"/>
      <c r="CO45" s="117"/>
      <c r="CP45" s="120"/>
      <c r="CQ45" s="120"/>
      <c r="CR45" s="120"/>
      <c r="CS45" s="120"/>
      <c r="CT45" s="119"/>
    </row>
    <row r="46">
      <c r="A46" s="167"/>
      <c r="B46" s="119"/>
      <c r="C46" s="117"/>
      <c r="D46" s="117"/>
      <c r="E46" s="117"/>
      <c r="F46" s="117"/>
      <c r="G46" s="117"/>
      <c r="H46" s="117"/>
      <c r="I46" s="117"/>
      <c r="J46" s="119"/>
      <c r="K46" s="138"/>
      <c r="L46" s="138"/>
      <c r="M46" s="138"/>
      <c r="N46" s="140"/>
      <c r="O46" s="140"/>
      <c r="P46" s="140"/>
      <c r="Q46" s="140"/>
      <c r="R46" s="119"/>
      <c r="S46" s="117"/>
      <c r="T46" s="117"/>
      <c r="U46" s="117"/>
      <c r="V46" s="117"/>
      <c r="W46" s="117"/>
      <c r="X46" s="117"/>
      <c r="Y46" s="117"/>
      <c r="Z46" s="119"/>
      <c r="AA46" s="138"/>
      <c r="AB46" s="138"/>
      <c r="AC46" s="138"/>
      <c r="AD46" s="140"/>
      <c r="AE46" s="140"/>
      <c r="AF46" s="140"/>
      <c r="AG46" s="140"/>
      <c r="AH46" s="119"/>
      <c r="AI46" s="138"/>
      <c r="AJ46" s="138"/>
      <c r="AK46" s="138"/>
      <c r="AL46" s="140"/>
      <c r="AM46" s="140"/>
      <c r="AN46" s="140"/>
      <c r="AO46" s="140"/>
      <c r="AP46" s="119"/>
      <c r="AQ46" s="117"/>
      <c r="AR46" s="117"/>
      <c r="AS46" s="117"/>
      <c r="AT46" s="117"/>
      <c r="AU46" s="117"/>
      <c r="AV46" s="117"/>
      <c r="AW46" s="117"/>
      <c r="AX46" s="119"/>
      <c r="AY46" s="135"/>
      <c r="AZ46" s="135"/>
      <c r="BA46" s="135"/>
      <c r="BB46" s="135"/>
      <c r="BC46" s="136"/>
      <c r="BD46" s="137"/>
      <c r="BE46" s="137"/>
      <c r="BF46" s="119"/>
      <c r="BG46" s="135"/>
      <c r="BH46" s="135"/>
      <c r="BI46" s="135"/>
      <c r="BJ46" s="135"/>
      <c r="BK46" s="136"/>
      <c r="BL46" s="137"/>
      <c r="BM46" s="137"/>
      <c r="BN46" s="119"/>
      <c r="BO46" s="117"/>
      <c r="BP46" s="117"/>
      <c r="BQ46" s="117"/>
      <c r="BR46" s="117"/>
      <c r="BS46" s="117"/>
      <c r="BT46" s="117"/>
      <c r="BU46" s="117"/>
      <c r="BV46" s="119"/>
      <c r="BW46" s="138"/>
      <c r="BX46" s="138"/>
      <c r="BY46" s="138"/>
      <c r="BZ46" s="138"/>
      <c r="CA46" s="138"/>
      <c r="CB46" s="138"/>
      <c r="CC46" s="138"/>
      <c r="CD46" s="119"/>
      <c r="CE46" s="135"/>
      <c r="CF46" s="135"/>
      <c r="CG46" s="135"/>
      <c r="CH46" s="135"/>
      <c r="CI46" s="136"/>
      <c r="CJ46" s="137"/>
      <c r="CK46" s="137"/>
      <c r="CL46" s="119"/>
      <c r="CM46" s="117"/>
      <c r="CN46" s="120"/>
      <c r="CO46" s="120"/>
      <c r="CP46" s="120"/>
      <c r="CQ46" s="120"/>
      <c r="CR46" s="120"/>
      <c r="CS46" s="120"/>
      <c r="CT46" s="119"/>
    </row>
    <row r="47">
      <c r="A47" s="171"/>
    </row>
    <row r="48">
      <c r="A48" s="171"/>
    </row>
    <row r="49">
      <c r="A49" s="171"/>
    </row>
    <row r="50">
      <c r="A50" s="171"/>
    </row>
    <row r="51">
      <c r="A51" s="171"/>
    </row>
    <row r="52">
      <c r="A52" s="171"/>
    </row>
    <row r="53">
      <c r="A53" s="171"/>
    </row>
    <row r="54">
      <c r="A54" s="171"/>
    </row>
    <row r="55">
      <c r="A55" s="171"/>
    </row>
    <row r="56">
      <c r="A56" s="171"/>
    </row>
    <row r="57">
      <c r="A57" s="171"/>
    </row>
    <row r="58">
      <c r="A58" s="171"/>
    </row>
    <row r="59">
      <c r="A59" s="171"/>
    </row>
    <row r="60">
      <c r="A60" s="171"/>
    </row>
    <row r="61">
      <c r="A61" s="171"/>
    </row>
    <row r="62">
      <c r="A62" s="171"/>
    </row>
    <row r="63">
      <c r="A63" s="171"/>
    </row>
    <row r="64">
      <c r="A64" s="171"/>
    </row>
    <row r="65">
      <c r="A65" s="171"/>
    </row>
    <row r="66">
      <c r="A66" s="171"/>
    </row>
    <row r="67">
      <c r="A67" s="171"/>
    </row>
    <row r="68">
      <c r="A68" s="171"/>
    </row>
    <row r="69">
      <c r="A69" s="171"/>
    </row>
    <row r="70">
      <c r="A70" s="171"/>
    </row>
    <row r="71">
      <c r="A71" s="171"/>
    </row>
    <row r="72">
      <c r="A72" s="171"/>
    </row>
    <row r="73">
      <c r="A73" s="171"/>
    </row>
    <row r="74">
      <c r="A74" s="171"/>
    </row>
    <row r="75">
      <c r="A75" s="171"/>
    </row>
    <row r="76">
      <c r="A76" s="171"/>
    </row>
    <row r="77">
      <c r="A77" s="171"/>
    </row>
    <row r="78">
      <c r="A78" s="171"/>
    </row>
    <row r="79">
      <c r="A79" s="171"/>
    </row>
    <row r="80">
      <c r="A80" s="171"/>
    </row>
    <row r="81">
      <c r="A81" s="171"/>
    </row>
    <row r="82">
      <c r="A82" s="171"/>
    </row>
    <row r="83">
      <c r="A83" s="171"/>
    </row>
    <row r="84">
      <c r="A84" s="171"/>
    </row>
    <row r="85">
      <c r="A85" s="171"/>
    </row>
    <row r="86">
      <c r="A86" s="171"/>
    </row>
    <row r="87">
      <c r="A87" s="171"/>
    </row>
    <row r="88">
      <c r="A88" s="171"/>
    </row>
    <row r="89">
      <c r="A89" s="171"/>
    </row>
    <row r="90">
      <c r="A90" s="171"/>
    </row>
    <row r="91">
      <c r="A91" s="171"/>
    </row>
    <row r="92">
      <c r="A92" s="171"/>
    </row>
    <row r="93">
      <c r="A93" s="171"/>
    </row>
    <row r="94">
      <c r="A94" s="171"/>
    </row>
    <row r="95">
      <c r="A95" s="171"/>
    </row>
    <row r="96">
      <c r="A96" s="171"/>
    </row>
    <row r="97">
      <c r="A97" s="171"/>
    </row>
    <row r="98">
      <c r="A98" s="171"/>
    </row>
    <row r="99">
      <c r="A99" s="171"/>
    </row>
    <row r="100">
      <c r="A100" s="171"/>
    </row>
    <row r="101">
      <c r="A101" s="171"/>
    </row>
    <row r="102">
      <c r="A102" s="171"/>
    </row>
    <row r="103">
      <c r="A103" s="171"/>
    </row>
    <row r="104">
      <c r="A104" s="171"/>
    </row>
    <row r="105">
      <c r="A105" s="171"/>
    </row>
    <row r="106">
      <c r="A106" s="171"/>
    </row>
    <row r="107">
      <c r="A107" s="171"/>
    </row>
    <row r="108">
      <c r="A108" s="171"/>
    </row>
    <row r="109">
      <c r="A109" s="171"/>
    </row>
    <row r="110">
      <c r="A110" s="171"/>
    </row>
    <row r="111">
      <c r="A111" s="171"/>
    </row>
    <row r="112">
      <c r="A112" s="171"/>
    </row>
    <row r="113">
      <c r="A113" s="171"/>
    </row>
    <row r="114">
      <c r="A114" s="171"/>
    </row>
    <row r="115">
      <c r="A115" s="171"/>
    </row>
    <row r="116">
      <c r="A116" s="171"/>
    </row>
    <row r="117">
      <c r="A117" s="171"/>
    </row>
    <row r="118">
      <c r="A118" s="171"/>
    </row>
    <row r="119">
      <c r="A119" s="171"/>
    </row>
    <row r="120">
      <c r="A120" s="171"/>
    </row>
    <row r="121">
      <c r="A121" s="171"/>
    </row>
    <row r="122">
      <c r="A122" s="171"/>
    </row>
    <row r="123">
      <c r="A123" s="171"/>
    </row>
    <row r="124">
      <c r="A124" s="171"/>
    </row>
    <row r="125">
      <c r="A125" s="171"/>
    </row>
    <row r="126">
      <c r="A126" s="171"/>
    </row>
    <row r="127">
      <c r="A127" s="171"/>
    </row>
    <row r="128">
      <c r="A128" s="171"/>
    </row>
    <row r="129">
      <c r="A129" s="171"/>
    </row>
    <row r="130">
      <c r="A130" s="171"/>
    </row>
    <row r="131">
      <c r="A131" s="171"/>
    </row>
    <row r="132">
      <c r="A132" s="171"/>
    </row>
    <row r="133">
      <c r="A133" s="171"/>
    </row>
    <row r="134">
      <c r="A134" s="171"/>
    </row>
    <row r="135">
      <c r="A135" s="171"/>
    </row>
    <row r="136">
      <c r="A136" s="171"/>
    </row>
    <row r="137">
      <c r="A137" s="171"/>
    </row>
    <row r="138">
      <c r="A138" s="171"/>
    </row>
    <row r="139">
      <c r="A139" s="171"/>
    </row>
    <row r="140">
      <c r="A140" s="171"/>
    </row>
    <row r="141">
      <c r="A141" s="171"/>
    </row>
    <row r="142">
      <c r="A142" s="171"/>
    </row>
    <row r="143">
      <c r="A143" s="171"/>
    </row>
    <row r="144">
      <c r="A144" s="171"/>
    </row>
    <row r="145">
      <c r="A145" s="171"/>
    </row>
    <row r="146">
      <c r="A146" s="171"/>
    </row>
    <row r="147">
      <c r="A147" s="171"/>
    </row>
    <row r="148">
      <c r="A148" s="171"/>
    </row>
    <row r="149">
      <c r="A149" s="171"/>
    </row>
    <row r="150">
      <c r="A150" s="171"/>
    </row>
    <row r="151">
      <c r="A151" s="171"/>
    </row>
    <row r="152">
      <c r="A152" s="171"/>
    </row>
    <row r="153">
      <c r="A153" s="171"/>
    </row>
    <row r="154">
      <c r="A154" s="171"/>
    </row>
    <row r="155">
      <c r="A155" s="171"/>
    </row>
    <row r="156">
      <c r="A156" s="171"/>
    </row>
    <row r="157">
      <c r="A157" s="171"/>
    </row>
    <row r="158">
      <c r="A158" s="171"/>
    </row>
    <row r="159">
      <c r="A159" s="171"/>
    </row>
    <row r="160">
      <c r="A160" s="171"/>
    </row>
    <row r="161">
      <c r="A161" s="171"/>
    </row>
    <row r="162">
      <c r="A162" s="171"/>
    </row>
    <row r="163">
      <c r="A163" s="171"/>
    </row>
    <row r="164">
      <c r="A164" s="171"/>
    </row>
    <row r="165">
      <c r="A165" s="171"/>
    </row>
    <row r="166">
      <c r="A166" s="171"/>
    </row>
    <row r="167">
      <c r="A167" s="171"/>
    </row>
    <row r="168">
      <c r="A168" s="171"/>
    </row>
    <row r="169">
      <c r="A169" s="171"/>
    </row>
    <row r="170">
      <c r="A170" s="171"/>
    </row>
    <row r="171">
      <c r="A171" s="171"/>
    </row>
    <row r="172">
      <c r="A172" s="171"/>
    </row>
    <row r="173">
      <c r="A173" s="171"/>
    </row>
    <row r="174">
      <c r="A174" s="171"/>
    </row>
    <row r="175">
      <c r="A175" s="171"/>
    </row>
    <row r="176">
      <c r="A176" s="171"/>
    </row>
    <row r="177">
      <c r="A177" s="171"/>
    </row>
    <row r="178">
      <c r="A178" s="171"/>
    </row>
    <row r="179">
      <c r="A179" s="171"/>
    </row>
    <row r="180">
      <c r="A180" s="171"/>
    </row>
    <row r="181">
      <c r="A181" s="171"/>
    </row>
    <row r="182">
      <c r="A182" s="171"/>
    </row>
    <row r="183">
      <c r="A183" s="171"/>
    </row>
    <row r="184">
      <c r="A184" s="171"/>
    </row>
    <row r="185">
      <c r="A185" s="171"/>
    </row>
    <row r="186">
      <c r="A186" s="171"/>
    </row>
    <row r="187">
      <c r="A187" s="171"/>
    </row>
    <row r="188">
      <c r="A188" s="171"/>
    </row>
    <row r="189">
      <c r="A189" s="171"/>
    </row>
    <row r="190">
      <c r="A190" s="171"/>
    </row>
    <row r="191">
      <c r="A191" s="171"/>
    </row>
    <row r="192">
      <c r="A192" s="171"/>
    </row>
    <row r="193">
      <c r="A193" s="171"/>
    </row>
    <row r="194">
      <c r="A194" s="171"/>
    </row>
    <row r="195">
      <c r="A195" s="171"/>
    </row>
    <row r="196">
      <c r="A196" s="171"/>
    </row>
    <row r="197">
      <c r="A197" s="171"/>
    </row>
    <row r="198">
      <c r="A198" s="171"/>
    </row>
    <row r="199">
      <c r="A199" s="171"/>
    </row>
    <row r="200">
      <c r="A200" s="171"/>
    </row>
    <row r="201">
      <c r="A201" s="171"/>
    </row>
    <row r="202">
      <c r="A202" s="171"/>
    </row>
    <row r="203">
      <c r="A203" s="171"/>
    </row>
    <row r="204">
      <c r="A204" s="171"/>
    </row>
    <row r="205">
      <c r="A205" s="171"/>
    </row>
    <row r="206">
      <c r="A206" s="171"/>
    </row>
    <row r="207">
      <c r="A207" s="171"/>
    </row>
    <row r="208">
      <c r="A208" s="171"/>
    </row>
    <row r="209">
      <c r="A209" s="171"/>
    </row>
    <row r="210">
      <c r="A210" s="171"/>
    </row>
    <row r="211">
      <c r="A211" s="171"/>
    </row>
    <row r="212">
      <c r="A212" s="171"/>
    </row>
    <row r="213">
      <c r="A213" s="171"/>
    </row>
    <row r="214">
      <c r="A214" s="171"/>
    </row>
    <row r="215">
      <c r="A215" s="171"/>
    </row>
    <row r="216">
      <c r="A216" s="171"/>
    </row>
    <row r="217">
      <c r="A217" s="171"/>
    </row>
    <row r="218">
      <c r="A218" s="171"/>
    </row>
    <row r="219">
      <c r="A219" s="171"/>
    </row>
    <row r="220">
      <c r="A220" s="171"/>
    </row>
    <row r="221">
      <c r="A221" s="171"/>
    </row>
    <row r="222">
      <c r="A222" s="171"/>
    </row>
    <row r="223">
      <c r="A223" s="171"/>
    </row>
    <row r="224">
      <c r="A224" s="171"/>
    </row>
    <row r="225">
      <c r="A225" s="171"/>
    </row>
    <row r="226">
      <c r="A226" s="171"/>
    </row>
    <row r="227">
      <c r="A227" s="171"/>
    </row>
    <row r="228">
      <c r="A228" s="171"/>
    </row>
    <row r="229">
      <c r="A229" s="171"/>
    </row>
    <row r="230">
      <c r="A230" s="171"/>
    </row>
    <row r="231">
      <c r="A231" s="171"/>
    </row>
    <row r="232">
      <c r="A232" s="171"/>
    </row>
    <row r="233">
      <c r="A233" s="171"/>
    </row>
    <row r="234">
      <c r="A234" s="171"/>
    </row>
    <row r="235">
      <c r="A235" s="171"/>
    </row>
    <row r="236">
      <c r="A236" s="171"/>
    </row>
    <row r="237">
      <c r="A237" s="171"/>
    </row>
    <row r="238">
      <c r="A238" s="171"/>
    </row>
    <row r="239">
      <c r="A239" s="171"/>
    </row>
    <row r="240">
      <c r="A240" s="171"/>
    </row>
    <row r="241">
      <c r="A241" s="171"/>
    </row>
    <row r="242">
      <c r="A242" s="171"/>
    </row>
    <row r="243">
      <c r="A243" s="171"/>
    </row>
    <row r="244">
      <c r="A244" s="171"/>
    </row>
    <row r="245">
      <c r="A245" s="171"/>
    </row>
    <row r="246">
      <c r="A246" s="171"/>
    </row>
    <row r="247">
      <c r="A247" s="171"/>
    </row>
    <row r="248">
      <c r="A248" s="171"/>
    </row>
    <row r="249">
      <c r="A249" s="171"/>
    </row>
    <row r="250">
      <c r="A250" s="171"/>
    </row>
    <row r="251">
      <c r="A251" s="171"/>
    </row>
    <row r="252">
      <c r="A252" s="171"/>
    </row>
    <row r="253">
      <c r="A253" s="171"/>
    </row>
    <row r="254">
      <c r="A254" s="171"/>
    </row>
    <row r="255">
      <c r="A255" s="171"/>
    </row>
    <row r="256">
      <c r="A256" s="171"/>
    </row>
    <row r="257">
      <c r="A257" s="171"/>
    </row>
    <row r="258">
      <c r="A258" s="171"/>
    </row>
    <row r="259">
      <c r="A259" s="171"/>
    </row>
    <row r="260">
      <c r="A260" s="171"/>
    </row>
    <row r="261">
      <c r="A261" s="171"/>
    </row>
    <row r="262">
      <c r="A262" s="171"/>
    </row>
    <row r="263">
      <c r="A263" s="171"/>
    </row>
    <row r="264">
      <c r="A264" s="171"/>
    </row>
    <row r="265">
      <c r="A265" s="171"/>
    </row>
    <row r="266">
      <c r="A266" s="171"/>
    </row>
    <row r="267">
      <c r="A267" s="171"/>
    </row>
    <row r="268">
      <c r="A268" s="171"/>
    </row>
    <row r="269">
      <c r="A269" s="171"/>
    </row>
    <row r="270">
      <c r="A270" s="171"/>
    </row>
    <row r="271">
      <c r="A271" s="171"/>
    </row>
    <row r="272">
      <c r="A272" s="171"/>
    </row>
    <row r="273">
      <c r="A273" s="171"/>
    </row>
    <row r="274">
      <c r="A274" s="171"/>
    </row>
    <row r="275">
      <c r="A275" s="171"/>
    </row>
    <row r="276">
      <c r="A276" s="171"/>
    </row>
    <row r="277">
      <c r="A277" s="171"/>
    </row>
    <row r="278">
      <c r="A278" s="171"/>
    </row>
    <row r="279">
      <c r="A279" s="171"/>
    </row>
    <row r="280">
      <c r="A280" s="171"/>
    </row>
    <row r="281">
      <c r="A281" s="171"/>
    </row>
    <row r="282">
      <c r="A282" s="171"/>
    </row>
    <row r="283">
      <c r="A283" s="171"/>
    </row>
    <row r="284">
      <c r="A284" s="171"/>
    </row>
    <row r="285">
      <c r="A285" s="171"/>
    </row>
    <row r="286">
      <c r="A286" s="171"/>
    </row>
    <row r="287">
      <c r="A287" s="171"/>
    </row>
    <row r="288">
      <c r="A288" s="171"/>
    </row>
    <row r="289">
      <c r="A289" s="171"/>
    </row>
    <row r="290">
      <c r="A290" s="171"/>
    </row>
    <row r="291">
      <c r="A291" s="171"/>
    </row>
    <row r="292">
      <c r="A292" s="171"/>
    </row>
    <row r="293">
      <c r="A293" s="171"/>
    </row>
    <row r="294">
      <c r="A294" s="171"/>
    </row>
    <row r="295">
      <c r="A295" s="171"/>
    </row>
    <row r="296">
      <c r="A296" s="171"/>
    </row>
    <row r="297">
      <c r="A297" s="171"/>
    </row>
    <row r="298">
      <c r="A298" s="171"/>
    </row>
    <row r="299">
      <c r="A299" s="171"/>
    </row>
    <row r="300">
      <c r="A300" s="171"/>
    </row>
    <row r="301">
      <c r="A301" s="171"/>
    </row>
    <row r="302">
      <c r="A302" s="171"/>
    </row>
    <row r="303">
      <c r="A303" s="171"/>
    </row>
    <row r="304">
      <c r="A304" s="171"/>
    </row>
    <row r="305">
      <c r="A305" s="171"/>
    </row>
    <row r="306">
      <c r="A306" s="171"/>
    </row>
    <row r="307">
      <c r="A307" s="171"/>
    </row>
    <row r="308">
      <c r="A308" s="171"/>
    </row>
    <row r="309">
      <c r="A309" s="171"/>
    </row>
    <row r="310">
      <c r="A310" s="171"/>
    </row>
    <row r="311">
      <c r="A311" s="171"/>
    </row>
    <row r="312">
      <c r="A312" s="171"/>
    </row>
    <row r="313">
      <c r="A313" s="171"/>
    </row>
    <row r="314">
      <c r="A314" s="171"/>
    </row>
    <row r="315">
      <c r="A315" s="171"/>
    </row>
    <row r="316">
      <c r="A316" s="171"/>
    </row>
    <row r="317">
      <c r="A317" s="171"/>
    </row>
    <row r="318">
      <c r="A318" s="171"/>
    </row>
    <row r="319">
      <c r="A319" s="171"/>
    </row>
    <row r="320">
      <c r="A320" s="171"/>
    </row>
    <row r="321">
      <c r="A321" s="171"/>
    </row>
    <row r="322">
      <c r="A322" s="171"/>
    </row>
    <row r="323">
      <c r="A323" s="171"/>
    </row>
    <row r="324">
      <c r="A324" s="171"/>
    </row>
    <row r="325">
      <c r="A325" s="171"/>
    </row>
    <row r="326">
      <c r="A326" s="171"/>
    </row>
    <row r="327">
      <c r="A327" s="171"/>
    </row>
    <row r="328">
      <c r="A328" s="171"/>
    </row>
    <row r="329">
      <c r="A329" s="171"/>
    </row>
    <row r="330">
      <c r="A330" s="171"/>
    </row>
    <row r="331">
      <c r="A331" s="171"/>
    </row>
    <row r="332">
      <c r="A332" s="171"/>
    </row>
    <row r="333">
      <c r="A333" s="171"/>
    </row>
    <row r="334">
      <c r="A334" s="171"/>
    </row>
    <row r="335">
      <c r="A335" s="171"/>
    </row>
    <row r="336">
      <c r="A336" s="171"/>
    </row>
    <row r="337">
      <c r="A337" s="171"/>
    </row>
    <row r="338">
      <c r="A338" s="171"/>
    </row>
    <row r="339">
      <c r="A339" s="171"/>
    </row>
    <row r="340">
      <c r="A340" s="171"/>
    </row>
    <row r="341">
      <c r="A341" s="171"/>
    </row>
    <row r="342">
      <c r="A342" s="171"/>
    </row>
    <row r="343">
      <c r="A343" s="171"/>
    </row>
    <row r="344">
      <c r="A344" s="171"/>
    </row>
    <row r="345">
      <c r="A345" s="171"/>
    </row>
    <row r="346">
      <c r="A346" s="171"/>
    </row>
    <row r="347">
      <c r="A347" s="171"/>
    </row>
    <row r="348">
      <c r="A348" s="171"/>
    </row>
    <row r="349">
      <c r="A349" s="171"/>
    </row>
    <row r="350">
      <c r="A350" s="171"/>
    </row>
    <row r="351">
      <c r="A351" s="171"/>
    </row>
    <row r="352">
      <c r="A352" s="171"/>
    </row>
    <row r="353">
      <c r="A353" s="171"/>
    </row>
    <row r="354">
      <c r="A354" s="171"/>
    </row>
    <row r="355">
      <c r="A355" s="171"/>
    </row>
    <row r="356">
      <c r="A356" s="171"/>
    </row>
    <row r="357">
      <c r="A357" s="171"/>
    </row>
    <row r="358">
      <c r="A358" s="171"/>
    </row>
    <row r="359">
      <c r="A359" s="171"/>
    </row>
    <row r="360">
      <c r="A360" s="171"/>
    </row>
    <row r="361">
      <c r="A361" s="171"/>
    </row>
    <row r="362">
      <c r="A362" s="171"/>
    </row>
    <row r="363">
      <c r="A363" s="171"/>
    </row>
    <row r="364">
      <c r="A364" s="171"/>
    </row>
    <row r="365">
      <c r="A365" s="171"/>
    </row>
    <row r="366">
      <c r="A366" s="171"/>
    </row>
    <row r="367">
      <c r="A367" s="171"/>
    </row>
    <row r="368">
      <c r="A368" s="171"/>
    </row>
    <row r="369">
      <c r="A369" s="171"/>
    </row>
    <row r="370">
      <c r="A370" s="171"/>
    </row>
    <row r="371">
      <c r="A371" s="171"/>
    </row>
    <row r="372">
      <c r="A372" s="171"/>
    </row>
    <row r="373">
      <c r="A373" s="171"/>
    </row>
    <row r="374">
      <c r="A374" s="171"/>
    </row>
    <row r="375">
      <c r="A375" s="171"/>
    </row>
    <row r="376">
      <c r="A376" s="171"/>
    </row>
    <row r="377">
      <c r="A377" s="171"/>
    </row>
    <row r="378">
      <c r="A378" s="171"/>
    </row>
    <row r="379">
      <c r="A379" s="171"/>
    </row>
    <row r="380">
      <c r="A380" s="171"/>
    </row>
    <row r="381">
      <c r="A381" s="171"/>
    </row>
    <row r="382">
      <c r="A382" s="171"/>
    </row>
    <row r="383">
      <c r="A383" s="171"/>
    </row>
    <row r="384">
      <c r="A384" s="171"/>
    </row>
    <row r="385">
      <c r="A385" s="171"/>
    </row>
    <row r="386">
      <c r="A386" s="171"/>
    </row>
    <row r="387">
      <c r="A387" s="171"/>
    </row>
    <row r="388">
      <c r="A388" s="171"/>
    </row>
    <row r="389">
      <c r="A389" s="171"/>
    </row>
    <row r="390">
      <c r="A390" s="171"/>
    </row>
    <row r="391">
      <c r="A391" s="171"/>
    </row>
    <row r="392">
      <c r="A392" s="171"/>
    </row>
    <row r="393">
      <c r="A393" s="171"/>
    </row>
    <row r="394">
      <c r="A394" s="171"/>
    </row>
    <row r="395">
      <c r="A395" s="171"/>
    </row>
    <row r="396">
      <c r="A396" s="171"/>
    </row>
    <row r="397">
      <c r="A397" s="171"/>
    </row>
    <row r="398">
      <c r="A398" s="171"/>
    </row>
    <row r="399">
      <c r="A399" s="171"/>
    </row>
    <row r="400">
      <c r="A400" s="171"/>
    </row>
    <row r="401">
      <c r="A401" s="171"/>
    </row>
    <row r="402">
      <c r="A402" s="171"/>
    </row>
    <row r="403">
      <c r="A403" s="171"/>
    </row>
    <row r="404">
      <c r="A404" s="171"/>
    </row>
    <row r="405">
      <c r="A405" s="171"/>
    </row>
    <row r="406">
      <c r="A406" s="171"/>
    </row>
    <row r="407">
      <c r="A407" s="171"/>
    </row>
    <row r="408">
      <c r="A408" s="171"/>
    </row>
    <row r="409">
      <c r="A409" s="171"/>
    </row>
    <row r="410">
      <c r="A410" s="171"/>
    </row>
    <row r="411">
      <c r="A411" s="171"/>
    </row>
    <row r="412">
      <c r="A412" s="171"/>
    </row>
    <row r="413">
      <c r="A413" s="171"/>
    </row>
    <row r="414">
      <c r="A414" s="171"/>
    </row>
    <row r="415">
      <c r="A415" s="171"/>
    </row>
    <row r="416">
      <c r="A416" s="171"/>
    </row>
    <row r="417">
      <c r="A417" s="171"/>
    </row>
    <row r="418">
      <c r="A418" s="171"/>
    </row>
    <row r="419">
      <c r="A419" s="171"/>
    </row>
    <row r="420">
      <c r="A420" s="171"/>
    </row>
    <row r="421">
      <c r="A421" s="171"/>
    </row>
    <row r="422">
      <c r="A422" s="171"/>
    </row>
    <row r="423">
      <c r="A423" s="171"/>
    </row>
    <row r="424">
      <c r="A424" s="171"/>
    </row>
    <row r="425">
      <c r="A425" s="171"/>
    </row>
    <row r="426">
      <c r="A426" s="171"/>
    </row>
    <row r="427">
      <c r="A427" s="171"/>
    </row>
    <row r="428">
      <c r="A428" s="171"/>
    </row>
    <row r="429">
      <c r="A429" s="171"/>
    </row>
    <row r="430">
      <c r="A430" s="171"/>
    </row>
    <row r="431">
      <c r="A431" s="171"/>
    </row>
    <row r="432">
      <c r="A432" s="171"/>
    </row>
    <row r="433">
      <c r="A433" s="171"/>
    </row>
    <row r="434">
      <c r="A434" s="171"/>
    </row>
    <row r="435">
      <c r="A435" s="171"/>
    </row>
    <row r="436">
      <c r="A436" s="171"/>
    </row>
    <row r="437">
      <c r="A437" s="171"/>
    </row>
    <row r="438">
      <c r="A438" s="171"/>
    </row>
    <row r="439">
      <c r="A439" s="171"/>
    </row>
    <row r="440">
      <c r="A440" s="171"/>
    </row>
    <row r="441">
      <c r="A441" s="171"/>
    </row>
    <row r="442">
      <c r="A442" s="171"/>
    </row>
    <row r="443">
      <c r="A443" s="171"/>
    </row>
    <row r="444">
      <c r="A444" s="171"/>
    </row>
    <row r="445">
      <c r="A445" s="171"/>
    </row>
    <row r="446">
      <c r="A446" s="171"/>
    </row>
    <row r="447">
      <c r="A447" s="171"/>
    </row>
    <row r="448">
      <c r="A448" s="171"/>
    </row>
    <row r="449">
      <c r="A449" s="171"/>
    </row>
    <row r="450">
      <c r="A450" s="171"/>
    </row>
    <row r="451">
      <c r="A451" s="171"/>
    </row>
    <row r="452">
      <c r="A452" s="171"/>
    </row>
    <row r="453">
      <c r="A453" s="171"/>
    </row>
    <row r="454">
      <c r="A454" s="171"/>
    </row>
    <row r="455">
      <c r="A455" s="171"/>
    </row>
    <row r="456">
      <c r="A456" s="171"/>
    </row>
    <row r="457">
      <c r="A457" s="171"/>
    </row>
    <row r="458">
      <c r="A458" s="171"/>
    </row>
    <row r="459">
      <c r="A459" s="171"/>
    </row>
    <row r="460">
      <c r="A460" s="171"/>
    </row>
    <row r="461">
      <c r="A461" s="171"/>
    </row>
    <row r="462">
      <c r="A462" s="171"/>
    </row>
    <row r="463">
      <c r="A463" s="171"/>
    </row>
    <row r="464">
      <c r="A464" s="171"/>
    </row>
    <row r="465">
      <c r="A465" s="171"/>
    </row>
    <row r="466">
      <c r="A466" s="171"/>
    </row>
    <row r="467">
      <c r="A467" s="171"/>
    </row>
    <row r="468">
      <c r="A468" s="171"/>
    </row>
    <row r="469">
      <c r="A469" s="171"/>
    </row>
    <row r="470">
      <c r="A470" s="171"/>
    </row>
    <row r="471">
      <c r="A471" s="171"/>
    </row>
    <row r="472">
      <c r="A472" s="171"/>
    </row>
    <row r="473">
      <c r="A473" s="171"/>
    </row>
    <row r="474">
      <c r="A474" s="171"/>
    </row>
    <row r="475">
      <c r="A475" s="171"/>
    </row>
    <row r="476">
      <c r="A476" s="171"/>
    </row>
    <row r="477">
      <c r="A477" s="171"/>
    </row>
    <row r="478">
      <c r="A478" s="171"/>
    </row>
    <row r="479">
      <c r="A479" s="171"/>
    </row>
    <row r="480">
      <c r="A480" s="171"/>
    </row>
    <row r="481">
      <c r="A481" s="171"/>
    </row>
    <row r="482">
      <c r="A482" s="171"/>
    </row>
    <row r="483">
      <c r="A483" s="171"/>
    </row>
    <row r="484">
      <c r="A484" s="171"/>
    </row>
    <row r="485">
      <c r="A485" s="171"/>
    </row>
    <row r="486">
      <c r="A486" s="171"/>
    </row>
    <row r="487">
      <c r="A487" s="171"/>
    </row>
    <row r="488">
      <c r="A488" s="171"/>
    </row>
    <row r="489">
      <c r="A489" s="171"/>
    </row>
    <row r="490">
      <c r="A490" s="171"/>
    </row>
    <row r="491">
      <c r="A491" s="171"/>
    </row>
    <row r="492">
      <c r="A492" s="171"/>
    </row>
    <row r="493">
      <c r="A493" s="171"/>
    </row>
    <row r="494">
      <c r="A494" s="171"/>
    </row>
    <row r="495">
      <c r="A495" s="171"/>
    </row>
    <row r="496">
      <c r="A496" s="171"/>
    </row>
    <row r="497">
      <c r="A497" s="171"/>
    </row>
    <row r="498">
      <c r="A498" s="171"/>
    </row>
    <row r="499">
      <c r="A499" s="171"/>
    </row>
    <row r="500">
      <c r="A500" s="171"/>
    </row>
    <row r="501">
      <c r="A501" s="171"/>
    </row>
    <row r="502">
      <c r="A502" s="171"/>
    </row>
    <row r="503">
      <c r="A503" s="171"/>
    </row>
    <row r="504">
      <c r="A504" s="171"/>
    </row>
    <row r="505">
      <c r="A505" s="171"/>
    </row>
    <row r="506">
      <c r="A506" s="171"/>
    </row>
    <row r="507">
      <c r="A507" s="171"/>
    </row>
    <row r="508">
      <c r="A508" s="171"/>
    </row>
    <row r="509">
      <c r="A509" s="171"/>
    </row>
    <row r="510">
      <c r="A510" s="171"/>
    </row>
    <row r="511">
      <c r="A511" s="171"/>
    </row>
    <row r="512">
      <c r="A512" s="171"/>
    </row>
    <row r="513">
      <c r="A513" s="171"/>
    </row>
    <row r="514">
      <c r="A514" s="171"/>
    </row>
    <row r="515">
      <c r="A515" s="171"/>
    </row>
    <row r="516">
      <c r="A516" s="171"/>
    </row>
    <row r="517">
      <c r="A517" s="171"/>
    </row>
    <row r="518">
      <c r="A518" s="171"/>
    </row>
    <row r="519">
      <c r="A519" s="171"/>
    </row>
    <row r="520">
      <c r="A520" s="171"/>
    </row>
    <row r="521">
      <c r="A521" s="171"/>
    </row>
    <row r="522">
      <c r="A522" s="171"/>
    </row>
    <row r="523">
      <c r="A523" s="171"/>
    </row>
    <row r="524">
      <c r="A524" s="171"/>
    </row>
    <row r="525">
      <c r="A525" s="171"/>
    </row>
    <row r="526">
      <c r="A526" s="171"/>
    </row>
    <row r="527">
      <c r="A527" s="171"/>
    </row>
    <row r="528">
      <c r="A528" s="171"/>
    </row>
    <row r="529">
      <c r="A529" s="171"/>
    </row>
    <row r="530">
      <c r="A530" s="171"/>
    </row>
    <row r="531">
      <c r="A531" s="171"/>
    </row>
    <row r="532">
      <c r="A532" s="171"/>
    </row>
    <row r="533">
      <c r="A533" s="171"/>
    </row>
    <row r="534">
      <c r="A534" s="171"/>
    </row>
    <row r="535">
      <c r="A535" s="171"/>
    </row>
    <row r="536">
      <c r="A536" s="171"/>
    </row>
    <row r="537">
      <c r="A537" s="171"/>
    </row>
    <row r="538">
      <c r="A538" s="171"/>
    </row>
    <row r="539">
      <c r="A539" s="171"/>
    </row>
    <row r="540">
      <c r="A540" s="171"/>
    </row>
    <row r="541">
      <c r="A541" s="171"/>
    </row>
    <row r="542">
      <c r="A542" s="171"/>
    </row>
    <row r="543">
      <c r="A543" s="171"/>
    </row>
    <row r="544">
      <c r="A544" s="171"/>
    </row>
    <row r="545">
      <c r="A545" s="171"/>
    </row>
    <row r="546">
      <c r="A546" s="171"/>
    </row>
    <row r="547">
      <c r="A547" s="171"/>
    </row>
    <row r="548">
      <c r="A548" s="171"/>
    </row>
    <row r="549">
      <c r="A549" s="171"/>
    </row>
    <row r="550">
      <c r="A550" s="171"/>
    </row>
    <row r="551">
      <c r="A551" s="171"/>
    </row>
    <row r="552">
      <c r="A552" s="171"/>
    </row>
    <row r="553">
      <c r="A553" s="171"/>
    </row>
    <row r="554">
      <c r="A554" s="171"/>
    </row>
    <row r="555">
      <c r="A555" s="171"/>
    </row>
    <row r="556">
      <c r="A556" s="171"/>
    </row>
    <row r="557">
      <c r="A557" s="171"/>
    </row>
    <row r="558">
      <c r="A558" s="171"/>
    </row>
    <row r="559">
      <c r="A559" s="171"/>
    </row>
    <row r="560">
      <c r="A560" s="171"/>
    </row>
    <row r="561">
      <c r="A561" s="171"/>
    </row>
    <row r="562">
      <c r="A562" s="171"/>
    </row>
    <row r="563">
      <c r="A563" s="171"/>
    </row>
    <row r="564">
      <c r="A564" s="171"/>
    </row>
    <row r="565">
      <c r="A565" s="171"/>
    </row>
    <row r="566">
      <c r="A566" s="171"/>
    </row>
    <row r="567">
      <c r="A567" s="171"/>
    </row>
    <row r="568">
      <c r="A568" s="171"/>
    </row>
    <row r="569">
      <c r="A569" s="171"/>
    </row>
    <row r="570">
      <c r="A570" s="171"/>
    </row>
    <row r="571">
      <c r="A571" s="171"/>
    </row>
    <row r="572">
      <c r="A572" s="171"/>
    </row>
    <row r="573">
      <c r="A573" s="171"/>
    </row>
    <row r="574">
      <c r="A574" s="171"/>
    </row>
    <row r="575">
      <c r="A575" s="171"/>
    </row>
    <row r="576">
      <c r="A576" s="171"/>
    </row>
    <row r="577">
      <c r="A577" s="171"/>
    </row>
    <row r="578">
      <c r="A578" s="171"/>
    </row>
    <row r="579">
      <c r="A579" s="171"/>
    </row>
    <row r="580">
      <c r="A580" s="171"/>
    </row>
    <row r="581">
      <c r="A581" s="171"/>
    </row>
    <row r="582">
      <c r="A582" s="171"/>
    </row>
    <row r="583">
      <c r="A583" s="171"/>
    </row>
    <row r="584">
      <c r="A584" s="171"/>
    </row>
    <row r="585">
      <c r="A585" s="171"/>
    </row>
    <row r="586">
      <c r="A586" s="171"/>
    </row>
    <row r="587">
      <c r="A587" s="171"/>
    </row>
    <row r="588">
      <c r="A588" s="171"/>
    </row>
    <row r="589">
      <c r="A589" s="171"/>
    </row>
    <row r="590">
      <c r="A590" s="171"/>
    </row>
    <row r="591">
      <c r="A591" s="171"/>
    </row>
    <row r="592">
      <c r="A592" s="171"/>
    </row>
    <row r="593">
      <c r="A593" s="171"/>
    </row>
    <row r="594">
      <c r="A594" s="171"/>
    </row>
    <row r="595">
      <c r="A595" s="171"/>
    </row>
    <row r="596">
      <c r="A596" s="171"/>
    </row>
    <row r="597">
      <c r="A597" s="171"/>
    </row>
    <row r="598">
      <c r="A598" s="171"/>
    </row>
    <row r="599">
      <c r="A599" s="171"/>
    </row>
    <row r="600">
      <c r="A600" s="171"/>
    </row>
    <row r="601">
      <c r="A601" s="171"/>
    </row>
    <row r="602">
      <c r="A602" s="171"/>
    </row>
    <row r="603">
      <c r="A603" s="171"/>
    </row>
    <row r="604">
      <c r="A604" s="171"/>
    </row>
    <row r="605">
      <c r="A605" s="171"/>
    </row>
    <row r="606">
      <c r="A606" s="171"/>
    </row>
    <row r="607">
      <c r="A607" s="171"/>
    </row>
    <row r="608">
      <c r="A608" s="171"/>
    </row>
    <row r="609">
      <c r="A609" s="171"/>
    </row>
    <row r="610">
      <c r="A610" s="171"/>
    </row>
    <row r="611">
      <c r="A611" s="171"/>
    </row>
    <row r="612">
      <c r="A612" s="171"/>
    </row>
    <row r="613">
      <c r="A613" s="171"/>
    </row>
    <row r="614">
      <c r="A614" s="171"/>
    </row>
    <row r="615">
      <c r="A615" s="171"/>
    </row>
    <row r="616">
      <c r="A616" s="171"/>
    </row>
    <row r="617">
      <c r="A617" s="171"/>
    </row>
    <row r="618">
      <c r="A618" s="171"/>
    </row>
    <row r="619">
      <c r="A619" s="171"/>
    </row>
    <row r="620">
      <c r="A620" s="171"/>
    </row>
    <row r="621">
      <c r="A621" s="171"/>
    </row>
    <row r="622">
      <c r="A622" s="171"/>
    </row>
    <row r="623">
      <c r="A623" s="171"/>
    </row>
    <row r="624">
      <c r="A624" s="171"/>
    </row>
    <row r="625">
      <c r="A625" s="171"/>
    </row>
    <row r="626">
      <c r="A626" s="171"/>
    </row>
    <row r="627">
      <c r="A627" s="171"/>
    </row>
    <row r="628">
      <c r="A628" s="171"/>
    </row>
    <row r="629">
      <c r="A629" s="171"/>
    </row>
    <row r="630">
      <c r="A630" s="171"/>
    </row>
    <row r="631">
      <c r="A631" s="171"/>
    </row>
    <row r="632">
      <c r="A632" s="171"/>
    </row>
    <row r="633">
      <c r="A633" s="171"/>
    </row>
    <row r="634">
      <c r="A634" s="171"/>
    </row>
    <row r="635">
      <c r="A635" s="171"/>
    </row>
    <row r="636">
      <c r="A636" s="171"/>
    </row>
    <row r="637">
      <c r="A637" s="171"/>
    </row>
    <row r="638">
      <c r="A638" s="171"/>
    </row>
    <row r="639">
      <c r="A639" s="171"/>
    </row>
    <row r="640">
      <c r="A640" s="171"/>
    </row>
    <row r="641">
      <c r="A641" s="171"/>
    </row>
    <row r="642">
      <c r="A642" s="171"/>
    </row>
    <row r="643">
      <c r="A643" s="171"/>
    </row>
    <row r="644">
      <c r="A644" s="171"/>
    </row>
    <row r="645">
      <c r="A645" s="171"/>
    </row>
    <row r="646">
      <c r="A646" s="171"/>
    </row>
    <row r="647">
      <c r="A647" s="171"/>
    </row>
    <row r="648">
      <c r="A648" s="171"/>
    </row>
    <row r="649">
      <c r="A649" s="171"/>
    </row>
    <row r="650">
      <c r="A650" s="171"/>
    </row>
    <row r="651">
      <c r="A651" s="171"/>
    </row>
    <row r="652">
      <c r="A652" s="171"/>
    </row>
    <row r="653">
      <c r="A653" s="171"/>
    </row>
    <row r="654">
      <c r="A654" s="171"/>
    </row>
    <row r="655">
      <c r="A655" s="171"/>
    </row>
    <row r="656">
      <c r="A656" s="171"/>
    </row>
    <row r="657">
      <c r="A657" s="171"/>
    </row>
    <row r="658">
      <c r="A658" s="171"/>
    </row>
    <row r="659">
      <c r="A659" s="171"/>
    </row>
    <row r="660">
      <c r="A660" s="171"/>
    </row>
    <row r="661">
      <c r="A661" s="171"/>
    </row>
    <row r="662">
      <c r="A662" s="171"/>
    </row>
    <row r="663">
      <c r="A663" s="171"/>
    </row>
    <row r="664">
      <c r="A664" s="171"/>
    </row>
    <row r="665">
      <c r="A665" s="171"/>
    </row>
    <row r="666">
      <c r="A666" s="171"/>
    </row>
    <row r="667">
      <c r="A667" s="171"/>
    </row>
    <row r="668">
      <c r="A668" s="171"/>
    </row>
    <row r="669">
      <c r="A669" s="171"/>
    </row>
    <row r="670">
      <c r="A670" s="171"/>
    </row>
    <row r="671">
      <c r="A671" s="171"/>
    </row>
    <row r="672">
      <c r="A672" s="171"/>
    </row>
    <row r="673">
      <c r="A673" s="171"/>
    </row>
    <row r="674">
      <c r="A674" s="171"/>
    </row>
    <row r="675">
      <c r="A675" s="171"/>
    </row>
    <row r="676">
      <c r="A676" s="171"/>
    </row>
    <row r="677">
      <c r="A677" s="171"/>
    </row>
    <row r="678">
      <c r="A678" s="171"/>
    </row>
    <row r="679">
      <c r="A679" s="171"/>
    </row>
    <row r="680">
      <c r="A680" s="171"/>
    </row>
    <row r="681">
      <c r="A681" s="171"/>
    </row>
    <row r="682">
      <c r="A682" s="171"/>
    </row>
    <row r="683">
      <c r="A683" s="171"/>
    </row>
    <row r="684">
      <c r="A684" s="171"/>
    </row>
    <row r="685">
      <c r="A685" s="171"/>
    </row>
    <row r="686">
      <c r="A686" s="171"/>
    </row>
    <row r="687">
      <c r="A687" s="171"/>
    </row>
    <row r="688">
      <c r="A688" s="171"/>
    </row>
    <row r="689">
      <c r="A689" s="171"/>
    </row>
    <row r="690">
      <c r="A690" s="171"/>
    </row>
    <row r="691">
      <c r="A691" s="171"/>
    </row>
    <row r="692">
      <c r="A692" s="171"/>
    </row>
    <row r="693">
      <c r="A693" s="171"/>
    </row>
    <row r="694">
      <c r="A694" s="171"/>
    </row>
    <row r="695">
      <c r="A695" s="171"/>
    </row>
    <row r="696">
      <c r="A696" s="171"/>
    </row>
    <row r="697">
      <c r="A697" s="171"/>
    </row>
    <row r="698">
      <c r="A698" s="171"/>
    </row>
    <row r="699">
      <c r="A699" s="171"/>
    </row>
    <row r="700">
      <c r="A700" s="171"/>
    </row>
    <row r="701">
      <c r="A701" s="171"/>
    </row>
    <row r="702">
      <c r="A702" s="171"/>
    </row>
    <row r="703">
      <c r="A703" s="171"/>
    </row>
    <row r="704">
      <c r="A704" s="171"/>
    </row>
    <row r="705">
      <c r="A705" s="171"/>
    </row>
    <row r="706">
      <c r="A706" s="171"/>
    </row>
    <row r="707">
      <c r="A707" s="171"/>
    </row>
    <row r="708">
      <c r="A708" s="171"/>
    </row>
    <row r="709">
      <c r="A709" s="171"/>
    </row>
    <row r="710">
      <c r="A710" s="171"/>
    </row>
    <row r="711">
      <c r="A711" s="171"/>
    </row>
    <row r="712">
      <c r="A712" s="171"/>
    </row>
    <row r="713">
      <c r="A713" s="171"/>
    </row>
    <row r="714">
      <c r="A714" s="171"/>
    </row>
    <row r="715">
      <c r="A715" s="171"/>
    </row>
    <row r="716">
      <c r="A716" s="171"/>
    </row>
    <row r="717">
      <c r="A717" s="171"/>
    </row>
    <row r="718">
      <c r="A718" s="171"/>
    </row>
    <row r="719">
      <c r="A719" s="171"/>
    </row>
    <row r="720">
      <c r="A720" s="171"/>
    </row>
    <row r="721">
      <c r="A721" s="171"/>
    </row>
    <row r="722">
      <c r="A722" s="171"/>
    </row>
    <row r="723">
      <c r="A723" s="171"/>
    </row>
    <row r="724">
      <c r="A724" s="171"/>
    </row>
    <row r="725">
      <c r="A725" s="171"/>
    </row>
    <row r="726">
      <c r="A726" s="171"/>
    </row>
    <row r="727">
      <c r="A727" s="171"/>
    </row>
    <row r="728">
      <c r="A728" s="171"/>
    </row>
    <row r="729">
      <c r="A729" s="171"/>
    </row>
    <row r="730">
      <c r="A730" s="171"/>
    </row>
    <row r="731">
      <c r="A731" s="171"/>
    </row>
    <row r="732">
      <c r="A732" s="171"/>
    </row>
    <row r="733">
      <c r="A733" s="171"/>
    </row>
    <row r="734">
      <c r="A734" s="171"/>
    </row>
    <row r="735">
      <c r="A735" s="171"/>
    </row>
    <row r="736">
      <c r="A736" s="171"/>
    </row>
    <row r="737">
      <c r="A737" s="171"/>
    </row>
    <row r="738">
      <c r="A738" s="171"/>
    </row>
    <row r="739">
      <c r="A739" s="171"/>
    </row>
    <row r="740">
      <c r="A740" s="171"/>
    </row>
    <row r="741">
      <c r="A741" s="171"/>
    </row>
    <row r="742">
      <c r="A742" s="171"/>
    </row>
    <row r="743">
      <c r="A743" s="171"/>
    </row>
    <row r="744">
      <c r="A744" s="171"/>
    </row>
    <row r="745">
      <c r="A745" s="171"/>
    </row>
    <row r="746">
      <c r="A746" s="171"/>
    </row>
    <row r="747">
      <c r="A747" s="171"/>
    </row>
    <row r="748">
      <c r="A748" s="171"/>
    </row>
    <row r="749">
      <c r="A749" s="171"/>
    </row>
    <row r="750">
      <c r="A750" s="171"/>
    </row>
    <row r="751">
      <c r="A751" s="171"/>
    </row>
    <row r="752">
      <c r="A752" s="171"/>
    </row>
    <row r="753">
      <c r="A753" s="171"/>
    </row>
    <row r="754">
      <c r="A754" s="171"/>
    </row>
    <row r="755">
      <c r="A755" s="171"/>
    </row>
    <row r="756">
      <c r="A756" s="171"/>
    </row>
    <row r="757">
      <c r="A757" s="171"/>
    </row>
    <row r="758">
      <c r="A758" s="171"/>
    </row>
    <row r="759">
      <c r="A759" s="171"/>
    </row>
    <row r="760">
      <c r="A760" s="171"/>
    </row>
    <row r="761">
      <c r="A761" s="171"/>
    </row>
    <row r="762">
      <c r="A762" s="171"/>
    </row>
    <row r="763">
      <c r="A763" s="171"/>
    </row>
    <row r="764">
      <c r="A764" s="171"/>
    </row>
    <row r="765">
      <c r="A765" s="171"/>
    </row>
    <row r="766">
      <c r="A766" s="171"/>
    </row>
    <row r="767">
      <c r="A767" s="171"/>
    </row>
    <row r="768">
      <c r="A768" s="171"/>
    </row>
    <row r="769">
      <c r="A769" s="171"/>
    </row>
    <row r="770">
      <c r="A770" s="171"/>
    </row>
    <row r="771">
      <c r="A771" s="171"/>
    </row>
    <row r="772">
      <c r="A772" s="171"/>
    </row>
    <row r="773">
      <c r="A773" s="171"/>
    </row>
    <row r="774">
      <c r="A774" s="171"/>
    </row>
    <row r="775">
      <c r="A775" s="171"/>
    </row>
    <row r="776">
      <c r="A776" s="171"/>
    </row>
    <row r="777">
      <c r="A777" s="171"/>
    </row>
    <row r="778">
      <c r="A778" s="171"/>
    </row>
    <row r="779">
      <c r="A779" s="171"/>
    </row>
    <row r="780">
      <c r="A780" s="171"/>
    </row>
    <row r="781">
      <c r="A781" s="171"/>
    </row>
    <row r="782">
      <c r="A782" s="171"/>
    </row>
    <row r="783">
      <c r="A783" s="171"/>
    </row>
    <row r="784">
      <c r="A784" s="171"/>
    </row>
    <row r="785">
      <c r="A785" s="171"/>
    </row>
    <row r="786">
      <c r="A786" s="171"/>
    </row>
    <row r="787">
      <c r="A787" s="171"/>
    </row>
    <row r="788">
      <c r="A788" s="171"/>
    </row>
    <row r="789">
      <c r="A789" s="171"/>
    </row>
    <row r="790">
      <c r="A790" s="171"/>
    </row>
    <row r="791">
      <c r="A791" s="171"/>
    </row>
    <row r="792">
      <c r="A792" s="171"/>
    </row>
    <row r="793">
      <c r="A793" s="171"/>
    </row>
    <row r="794">
      <c r="A794" s="171"/>
    </row>
    <row r="795">
      <c r="A795" s="171"/>
    </row>
    <row r="796">
      <c r="A796" s="171"/>
    </row>
    <row r="797">
      <c r="A797" s="171"/>
    </row>
    <row r="798">
      <c r="A798" s="171"/>
    </row>
    <row r="799">
      <c r="A799" s="171"/>
    </row>
    <row r="800">
      <c r="A800" s="171"/>
    </row>
    <row r="801">
      <c r="A801" s="171"/>
    </row>
    <row r="802">
      <c r="A802" s="171"/>
    </row>
    <row r="803">
      <c r="A803" s="171"/>
    </row>
    <row r="804">
      <c r="A804" s="171"/>
    </row>
    <row r="805">
      <c r="A805" s="171"/>
    </row>
    <row r="806">
      <c r="A806" s="171"/>
    </row>
    <row r="807">
      <c r="A807" s="171"/>
    </row>
    <row r="808">
      <c r="A808" s="171"/>
    </row>
    <row r="809">
      <c r="A809" s="171"/>
    </row>
    <row r="810">
      <c r="A810" s="171"/>
    </row>
    <row r="811">
      <c r="A811" s="171"/>
    </row>
    <row r="812">
      <c r="A812" s="171"/>
    </row>
    <row r="813">
      <c r="A813" s="171"/>
    </row>
    <row r="814">
      <c r="A814" s="171"/>
    </row>
    <row r="815">
      <c r="A815" s="171"/>
    </row>
    <row r="816">
      <c r="A816" s="171"/>
    </row>
    <row r="817">
      <c r="A817" s="171"/>
    </row>
    <row r="818">
      <c r="A818" s="171"/>
    </row>
    <row r="819">
      <c r="A819" s="171"/>
    </row>
    <row r="820">
      <c r="A820" s="171"/>
    </row>
    <row r="821">
      <c r="A821" s="171"/>
    </row>
    <row r="822">
      <c r="A822" s="171"/>
    </row>
    <row r="823">
      <c r="A823" s="171"/>
    </row>
    <row r="824">
      <c r="A824" s="171"/>
    </row>
    <row r="825">
      <c r="A825" s="171"/>
    </row>
    <row r="826">
      <c r="A826" s="171"/>
    </row>
    <row r="827">
      <c r="A827" s="171"/>
    </row>
    <row r="828">
      <c r="A828" s="171"/>
    </row>
    <row r="829">
      <c r="A829" s="171"/>
    </row>
    <row r="830">
      <c r="A830" s="171"/>
    </row>
    <row r="831">
      <c r="A831" s="171"/>
    </row>
    <row r="832">
      <c r="A832" s="171"/>
    </row>
    <row r="833">
      <c r="A833" s="171"/>
    </row>
    <row r="834">
      <c r="A834" s="171"/>
    </row>
    <row r="835">
      <c r="A835" s="171"/>
    </row>
    <row r="836">
      <c r="A836" s="171"/>
    </row>
    <row r="837">
      <c r="A837" s="171"/>
    </row>
    <row r="838">
      <c r="A838" s="171"/>
    </row>
    <row r="839">
      <c r="A839" s="171"/>
    </row>
    <row r="840">
      <c r="A840" s="171"/>
    </row>
    <row r="841">
      <c r="A841" s="171"/>
    </row>
    <row r="842">
      <c r="A842" s="171"/>
    </row>
    <row r="843">
      <c r="A843" s="171"/>
    </row>
    <row r="844">
      <c r="A844" s="171"/>
    </row>
    <row r="845">
      <c r="A845" s="171"/>
    </row>
    <row r="846">
      <c r="A846" s="171"/>
    </row>
    <row r="847">
      <c r="A847" s="171"/>
    </row>
    <row r="848">
      <c r="A848" s="171"/>
    </row>
    <row r="849">
      <c r="A849" s="171"/>
    </row>
    <row r="850">
      <c r="A850" s="171"/>
    </row>
    <row r="851">
      <c r="A851" s="171"/>
    </row>
    <row r="852">
      <c r="A852" s="171"/>
    </row>
    <row r="853">
      <c r="A853" s="171"/>
    </row>
    <row r="854">
      <c r="A854" s="171"/>
    </row>
    <row r="855">
      <c r="A855" s="171"/>
    </row>
    <row r="856">
      <c r="A856" s="171"/>
    </row>
    <row r="857">
      <c r="A857" s="171"/>
    </row>
    <row r="858">
      <c r="A858" s="171"/>
    </row>
    <row r="859">
      <c r="A859" s="171"/>
    </row>
    <row r="860">
      <c r="A860" s="171"/>
    </row>
    <row r="861">
      <c r="A861" s="171"/>
    </row>
    <row r="862">
      <c r="A862" s="171"/>
    </row>
    <row r="863">
      <c r="A863" s="171"/>
    </row>
    <row r="864">
      <c r="A864" s="171"/>
    </row>
    <row r="865">
      <c r="A865" s="171"/>
    </row>
    <row r="866">
      <c r="A866" s="171"/>
    </row>
    <row r="867">
      <c r="A867" s="171"/>
    </row>
    <row r="868">
      <c r="A868" s="171"/>
    </row>
    <row r="869">
      <c r="A869" s="171"/>
    </row>
    <row r="870">
      <c r="A870" s="171"/>
    </row>
    <row r="871">
      <c r="A871" s="171"/>
    </row>
    <row r="872">
      <c r="A872" s="171"/>
    </row>
    <row r="873">
      <c r="A873" s="171"/>
    </row>
    <row r="874">
      <c r="A874" s="171"/>
    </row>
    <row r="875">
      <c r="A875" s="171"/>
    </row>
    <row r="876">
      <c r="A876" s="171"/>
    </row>
    <row r="877">
      <c r="A877" s="171"/>
    </row>
    <row r="878">
      <c r="A878" s="171"/>
    </row>
    <row r="879">
      <c r="A879" s="171"/>
    </row>
    <row r="880">
      <c r="A880" s="171"/>
    </row>
    <row r="881">
      <c r="A881" s="171"/>
    </row>
    <row r="882">
      <c r="A882" s="171"/>
    </row>
    <row r="883">
      <c r="A883" s="171"/>
    </row>
    <row r="884">
      <c r="A884" s="171"/>
    </row>
    <row r="885">
      <c r="A885" s="171"/>
    </row>
    <row r="886">
      <c r="A886" s="171"/>
    </row>
    <row r="887">
      <c r="A887" s="171"/>
    </row>
    <row r="888">
      <c r="A888" s="171"/>
    </row>
    <row r="889">
      <c r="A889" s="171"/>
    </row>
    <row r="890">
      <c r="A890" s="171"/>
    </row>
    <row r="891">
      <c r="A891" s="171"/>
    </row>
    <row r="892">
      <c r="A892" s="171"/>
    </row>
    <row r="893">
      <c r="A893" s="171"/>
    </row>
    <row r="894">
      <c r="A894" s="171"/>
    </row>
    <row r="895">
      <c r="A895" s="171"/>
    </row>
    <row r="896">
      <c r="A896" s="171"/>
    </row>
    <row r="897">
      <c r="A897" s="171"/>
    </row>
    <row r="898">
      <c r="A898" s="171"/>
    </row>
    <row r="899">
      <c r="A899" s="171"/>
    </row>
    <row r="900">
      <c r="A900" s="171"/>
    </row>
    <row r="901">
      <c r="A901" s="171"/>
    </row>
    <row r="902">
      <c r="A902" s="171"/>
    </row>
    <row r="903">
      <c r="A903" s="171"/>
    </row>
    <row r="904">
      <c r="A904" s="171"/>
    </row>
    <row r="905">
      <c r="A905" s="171"/>
    </row>
    <row r="906">
      <c r="A906" s="171"/>
    </row>
    <row r="907">
      <c r="A907" s="171"/>
    </row>
    <row r="908">
      <c r="A908" s="171"/>
    </row>
    <row r="909">
      <c r="A909" s="171"/>
    </row>
    <row r="910">
      <c r="A910" s="171"/>
    </row>
    <row r="911">
      <c r="A911" s="171"/>
    </row>
    <row r="912">
      <c r="A912" s="171"/>
    </row>
    <row r="913">
      <c r="A913" s="171"/>
    </row>
    <row r="914">
      <c r="A914" s="171"/>
    </row>
    <row r="915">
      <c r="A915" s="171"/>
    </row>
    <row r="916">
      <c r="A916" s="171"/>
    </row>
    <row r="917">
      <c r="A917" s="171"/>
    </row>
    <row r="918">
      <c r="A918" s="171"/>
    </row>
    <row r="919">
      <c r="A919" s="171"/>
    </row>
    <row r="920">
      <c r="A920" s="171"/>
    </row>
    <row r="921">
      <c r="A921" s="171"/>
    </row>
    <row r="922">
      <c r="A922" s="171"/>
    </row>
    <row r="923">
      <c r="A923" s="171"/>
    </row>
    <row r="924">
      <c r="A924" s="171"/>
    </row>
    <row r="925">
      <c r="A925" s="171"/>
    </row>
    <row r="926">
      <c r="A926" s="171"/>
    </row>
    <row r="927">
      <c r="A927" s="171"/>
    </row>
    <row r="928">
      <c r="A928" s="171"/>
    </row>
    <row r="929">
      <c r="A929" s="171"/>
    </row>
    <row r="930">
      <c r="A930" s="171"/>
    </row>
    <row r="931">
      <c r="A931" s="171"/>
    </row>
    <row r="932">
      <c r="A932" s="171"/>
    </row>
    <row r="933">
      <c r="A933" s="171"/>
    </row>
    <row r="934">
      <c r="A934" s="171"/>
    </row>
    <row r="935">
      <c r="A935" s="171"/>
    </row>
    <row r="936">
      <c r="A936" s="171"/>
    </row>
    <row r="937">
      <c r="A937" s="171"/>
    </row>
    <row r="938">
      <c r="A938" s="171"/>
    </row>
    <row r="939">
      <c r="A939" s="171"/>
    </row>
    <row r="940">
      <c r="A940" s="171"/>
    </row>
    <row r="941">
      <c r="A941" s="171"/>
    </row>
    <row r="942">
      <c r="A942" s="171"/>
    </row>
    <row r="943">
      <c r="A943" s="171"/>
    </row>
    <row r="944">
      <c r="A944" s="171"/>
    </row>
    <row r="945">
      <c r="A945" s="171"/>
    </row>
    <row r="946">
      <c r="A946" s="171"/>
    </row>
    <row r="947">
      <c r="A947" s="171"/>
    </row>
    <row r="948">
      <c r="A948" s="171"/>
    </row>
    <row r="949">
      <c r="A949" s="171"/>
    </row>
    <row r="950">
      <c r="A950" s="171"/>
    </row>
    <row r="951">
      <c r="A951" s="171"/>
    </row>
    <row r="952">
      <c r="A952" s="171"/>
    </row>
    <row r="953">
      <c r="A953" s="171"/>
    </row>
    <row r="954">
      <c r="A954" s="171"/>
    </row>
    <row r="955">
      <c r="A955" s="171"/>
    </row>
    <row r="956">
      <c r="A956" s="171"/>
    </row>
    <row r="957">
      <c r="A957" s="171"/>
    </row>
    <row r="958">
      <c r="A958" s="171"/>
    </row>
    <row r="959">
      <c r="A959" s="171"/>
    </row>
    <row r="960">
      <c r="A960" s="171"/>
    </row>
    <row r="961">
      <c r="A961" s="171"/>
    </row>
    <row r="962">
      <c r="A962" s="171"/>
    </row>
    <row r="963">
      <c r="A963" s="171"/>
    </row>
    <row r="964">
      <c r="A964" s="171"/>
    </row>
    <row r="965">
      <c r="A965" s="171"/>
    </row>
    <row r="966">
      <c r="A966" s="171"/>
    </row>
    <row r="967">
      <c r="A967" s="171"/>
    </row>
    <row r="968">
      <c r="A968" s="171"/>
    </row>
    <row r="969">
      <c r="A969" s="171"/>
    </row>
    <row r="970">
      <c r="A970" s="171"/>
    </row>
    <row r="971">
      <c r="A971" s="171"/>
    </row>
  </sheetData>
  <mergeCells count="12">
    <mergeCell ref="BG1:BM1"/>
    <mergeCell ref="BO1:BU1"/>
    <mergeCell ref="BW1:CC1"/>
    <mergeCell ref="CE1:CK1"/>
    <mergeCell ref="CM1:CS1"/>
    <mergeCell ref="C1:I1"/>
    <mergeCell ref="K1:Q1"/>
    <mergeCell ref="S1:Y1"/>
    <mergeCell ref="AA1:AG1"/>
    <mergeCell ref="AI1:AO1"/>
    <mergeCell ref="AQ1:AW1"/>
    <mergeCell ref="AY1:BE1"/>
  </mergeCells>
  <conditionalFormatting sqref="M45:N45 AC45:AD45 AK45:AL45">
    <cfRule type="cellIs" dxfId="8" priority="1" operator="equal">
      <formula>1</formula>
    </cfRule>
  </conditionalFormatting>
  <conditionalFormatting sqref="O42 Q42:Q44 AE42 AG42:AG44 AM42 AO42:AO44 P43:P44 AF43:AF44 AN43:AN44 M45 N45:N46 AC45 AD45:AD46 AK45 AL45:AL46 O46:Q46 AE46:AG46 AM46:AO46">
    <cfRule type="cellIs" dxfId="9" priority="2" operator="greaterThan">
      <formula>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.5"/>
    <col customWidth="1" min="2" max="2" width="18.0"/>
    <col customWidth="1" min="3" max="3" width="10.88"/>
    <col customWidth="1" min="4" max="4" width="8.0"/>
    <col customWidth="1" min="5" max="5" width="1.75"/>
    <col customWidth="1" min="6" max="6" width="14.75"/>
    <col customWidth="1" min="7" max="7" width="0.88"/>
    <col customWidth="1" min="8" max="8" width="15.13"/>
    <col customWidth="1" min="9" max="9" width="0.88"/>
    <col customWidth="1" min="10" max="10" width="14.75"/>
    <col customWidth="1" min="11" max="11" width="0.88"/>
    <col customWidth="1" min="12" max="12" width="1.75"/>
    <col customWidth="1" min="13" max="13" width="15.63"/>
    <col customWidth="1" min="14" max="14" width="0.88"/>
    <col customWidth="1" min="15" max="15" width="15.63"/>
    <col customWidth="1" min="16" max="16" width="0.88"/>
    <col customWidth="1" min="17" max="17" width="14.75"/>
    <col customWidth="1" min="18" max="18" width="0.88"/>
    <col customWidth="1" min="19" max="19" width="1.75"/>
    <col customWidth="1" min="20" max="20" width="16.38"/>
    <col customWidth="1" min="21" max="21" width="0.88"/>
    <col customWidth="1" min="22" max="22" width="14.25"/>
    <col customWidth="1" min="23" max="23" width="0.88"/>
    <col customWidth="1" min="24" max="24" width="14.75"/>
    <col customWidth="1" min="25" max="25" width="0.88"/>
    <col customWidth="1" min="26" max="26" width="1.75"/>
    <col customWidth="1" min="27" max="27" width="16.38"/>
    <col customWidth="1" min="28" max="28" width="0.88"/>
    <col customWidth="1" min="29" max="29" width="16.38"/>
    <col customWidth="1" min="30" max="30" width="0.88"/>
    <col customWidth="1" min="31" max="31" width="14.75"/>
    <col customWidth="1" min="32" max="32" width="0.88"/>
    <col customWidth="1" min="33" max="33" width="1.75"/>
    <col customWidth="1" min="34" max="34" width="16.38"/>
    <col customWidth="1" min="35" max="35" width="0.88"/>
    <col customWidth="1" min="36" max="36" width="16.38"/>
    <col customWidth="1" min="37" max="37" width="0.88"/>
    <col customWidth="1" min="38" max="38" width="14.75"/>
    <col customWidth="1" min="39" max="39" width="0.88"/>
    <col customWidth="1" min="40" max="40" width="1.75"/>
    <col customWidth="1" min="41" max="41" width="16.38"/>
    <col customWidth="1" min="42" max="42" width="0.88"/>
    <col customWidth="1" min="43" max="43" width="16.38"/>
    <col customWidth="1" min="44" max="44" width="0.88"/>
    <col customWidth="1" min="45" max="45" width="14.75"/>
    <col customWidth="1" min="46" max="46" width="0.88"/>
    <col customWidth="1" min="47" max="47" width="1.5"/>
    <col customWidth="1" min="48" max="48" width="2.75"/>
    <col customWidth="1" min="49" max="49" width="15.5"/>
    <col customWidth="1" min="50" max="54" width="4.13"/>
    <col customWidth="1" min="55" max="55" width="5.25"/>
    <col customWidth="1" min="56" max="57" width="8.25"/>
  </cols>
  <sheetData>
    <row r="1" ht="9.75" customHeight="1">
      <c r="A1" s="172" t="s">
        <v>602</v>
      </c>
      <c r="B1" s="173" t="s">
        <v>603</v>
      </c>
      <c r="C1" s="174"/>
      <c r="D1" s="174"/>
      <c r="E1" s="175"/>
      <c r="F1" s="176"/>
      <c r="G1" s="176"/>
      <c r="H1" s="176"/>
      <c r="I1" s="177"/>
      <c r="J1" s="177"/>
      <c r="K1" s="177"/>
      <c r="L1" s="177"/>
      <c r="M1" s="178" t="s">
        <v>474</v>
      </c>
      <c r="W1" s="179"/>
      <c r="AU1" s="176"/>
      <c r="AV1" s="176"/>
      <c r="AW1" s="172"/>
      <c r="AX1" s="176"/>
      <c r="AY1" s="176"/>
      <c r="AZ1" s="176"/>
      <c r="BA1" s="176"/>
      <c r="BB1" s="176"/>
      <c r="BC1" s="176"/>
      <c r="BD1" s="176"/>
      <c r="BE1" s="176"/>
    </row>
    <row r="2" ht="9.75" customHeight="1">
      <c r="A2" s="176"/>
      <c r="B2" s="176"/>
      <c r="C2" s="176"/>
      <c r="D2" s="176"/>
      <c r="E2" s="180"/>
      <c r="F2" s="176"/>
      <c r="G2" s="176"/>
      <c r="H2" s="176"/>
      <c r="I2" s="181"/>
      <c r="J2" s="181"/>
      <c r="K2" s="181"/>
      <c r="L2" s="181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</row>
    <row r="3">
      <c r="A3" s="182"/>
      <c r="B3" s="183" t="s">
        <v>604</v>
      </c>
      <c r="C3" s="184" t="s">
        <v>605</v>
      </c>
      <c r="D3" s="185" t="s">
        <v>486</v>
      </c>
      <c r="E3" s="186"/>
      <c r="F3" s="185" t="s">
        <v>487</v>
      </c>
      <c r="M3" s="185" t="s">
        <v>488</v>
      </c>
      <c r="T3" s="185" t="s">
        <v>489</v>
      </c>
      <c r="AA3" s="185" t="s">
        <v>490</v>
      </c>
      <c r="AH3" s="185" t="s">
        <v>491</v>
      </c>
      <c r="AO3" s="185" t="s">
        <v>492</v>
      </c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</row>
    <row r="4">
      <c r="A4" s="182"/>
      <c r="B4" s="187"/>
      <c r="C4" s="187"/>
      <c r="D4" s="188">
        <v>4.0</v>
      </c>
      <c r="E4" s="189"/>
      <c r="F4" s="188">
        <v>5.0</v>
      </c>
      <c r="M4" s="188">
        <v>6.0</v>
      </c>
      <c r="T4" s="188">
        <v>7.0</v>
      </c>
      <c r="AA4" s="188">
        <v>8.0</v>
      </c>
      <c r="AH4" s="188">
        <v>9.0</v>
      </c>
      <c r="AO4" s="188">
        <v>10.0</v>
      </c>
      <c r="AU4" s="182"/>
      <c r="AV4" s="182"/>
      <c r="AW4" s="190" t="s">
        <v>606</v>
      </c>
      <c r="BB4" s="190"/>
      <c r="BC4" s="191" t="s">
        <v>607</v>
      </c>
      <c r="BD4" s="191"/>
      <c r="BE4" s="192"/>
    </row>
    <row r="5">
      <c r="A5" s="182"/>
      <c r="B5" s="193" t="s">
        <v>608</v>
      </c>
      <c r="C5" s="193" t="s">
        <v>609</v>
      </c>
      <c r="D5" s="187"/>
      <c r="E5" s="189"/>
      <c r="F5" s="194" t="s">
        <v>610</v>
      </c>
      <c r="G5" s="195"/>
      <c r="H5" s="193" t="s">
        <v>611</v>
      </c>
      <c r="J5" s="194" t="s">
        <v>612</v>
      </c>
      <c r="M5" s="194" t="s">
        <v>610</v>
      </c>
      <c r="N5" s="195"/>
      <c r="O5" s="193" t="s">
        <v>611</v>
      </c>
      <c r="P5" s="195"/>
      <c r="Q5" s="194" t="s">
        <v>612</v>
      </c>
      <c r="S5" s="193"/>
      <c r="T5" s="194" t="s">
        <v>610</v>
      </c>
      <c r="U5" s="195"/>
      <c r="V5" s="193" t="s">
        <v>611</v>
      </c>
      <c r="W5" s="195"/>
      <c r="X5" s="194" t="s">
        <v>612</v>
      </c>
      <c r="Z5" s="193"/>
      <c r="AA5" s="194" t="s">
        <v>610</v>
      </c>
      <c r="AB5" s="195"/>
      <c r="AC5" s="193" t="s">
        <v>611</v>
      </c>
      <c r="AD5" s="195"/>
      <c r="AE5" s="194" t="s">
        <v>612</v>
      </c>
      <c r="AG5" s="193"/>
      <c r="AH5" s="194" t="s">
        <v>610</v>
      </c>
      <c r="AI5" s="195"/>
      <c r="AJ5" s="193" t="s">
        <v>611</v>
      </c>
      <c r="AK5" s="195"/>
      <c r="AL5" s="194" t="s">
        <v>612</v>
      </c>
      <c r="AN5" s="193"/>
      <c r="AO5" s="194" t="s">
        <v>610</v>
      </c>
      <c r="AP5" s="195"/>
      <c r="AQ5" s="193" t="s">
        <v>611</v>
      </c>
      <c r="AR5" s="195"/>
      <c r="AS5" s="194" t="s">
        <v>612</v>
      </c>
      <c r="AU5" s="182"/>
      <c r="AV5" s="182"/>
      <c r="AW5" s="196" t="s">
        <v>613</v>
      </c>
      <c r="AX5" s="197" t="s">
        <v>614</v>
      </c>
      <c r="AY5" s="197" t="s">
        <v>615</v>
      </c>
      <c r="AZ5" s="197" t="s">
        <v>616</v>
      </c>
      <c r="BA5" s="197" t="s">
        <v>617</v>
      </c>
      <c r="BB5" s="197" t="s">
        <v>618</v>
      </c>
      <c r="BC5" s="197" t="s">
        <v>619</v>
      </c>
      <c r="BD5" s="197"/>
      <c r="BE5" s="198"/>
    </row>
    <row r="6" ht="15.0" customHeight="1">
      <c r="A6" s="199"/>
      <c r="B6" s="200" t="s">
        <v>620</v>
      </c>
      <c r="C6" s="201"/>
      <c r="D6" s="201"/>
      <c r="E6" s="202"/>
      <c r="F6" s="203" t="s">
        <v>621</v>
      </c>
      <c r="G6" s="204"/>
      <c r="H6" s="203" t="s">
        <v>622</v>
      </c>
      <c r="I6" s="204"/>
      <c r="J6" s="203" t="s">
        <v>622</v>
      </c>
      <c r="K6" s="204"/>
      <c r="L6" s="205"/>
      <c r="M6" s="203" t="s">
        <v>621</v>
      </c>
      <c r="N6" s="204"/>
      <c r="O6" s="203"/>
      <c r="P6" s="204"/>
      <c r="Q6" s="203"/>
      <c r="R6" s="204"/>
      <c r="S6" s="205"/>
      <c r="T6" s="203"/>
      <c r="U6" s="204"/>
      <c r="V6" s="203"/>
      <c r="W6" s="204"/>
      <c r="X6" s="203"/>
      <c r="Y6" s="204"/>
      <c r="Z6" s="205"/>
      <c r="AA6" s="203" t="s">
        <v>621</v>
      </c>
      <c r="AB6" s="204"/>
      <c r="AC6" s="203"/>
      <c r="AD6" s="204"/>
      <c r="AE6" s="203"/>
      <c r="AF6" s="204"/>
      <c r="AG6" s="205"/>
      <c r="AH6" s="203"/>
      <c r="AI6" s="204"/>
      <c r="AJ6" s="203"/>
      <c r="AK6" s="204"/>
      <c r="AL6" s="203"/>
      <c r="AM6" s="204"/>
      <c r="AN6" s="205"/>
      <c r="AO6" s="203" t="s">
        <v>621</v>
      </c>
      <c r="AP6" s="204"/>
      <c r="AQ6" s="203"/>
      <c r="AR6" s="204"/>
      <c r="AS6" s="203"/>
      <c r="AT6" s="204"/>
      <c r="AU6" s="199"/>
      <c r="AV6" s="199"/>
      <c r="AW6" s="206" t="str">
        <f t="shared" ref="AW6:AW20" si="1">TEAM!B6</f>
        <v>#REF!</v>
      </c>
      <c r="AX6" s="207">
        <f t="shared" ref="AX6:AX87" si="2">countif($D$14:$AS$84, AW6)</f>
        <v>49</v>
      </c>
      <c r="AY6" s="208">
        <f t="shared" ref="AY6:AY87" si="3">countif(D$99:AS$170, AW6)</f>
        <v>52</v>
      </c>
      <c r="AZ6" s="208">
        <f t="shared" ref="AZ6:AZ87" si="4">countif(D$185:AS$256, AW6)</f>
        <v>45</v>
      </c>
      <c r="BA6" s="208">
        <f t="shared" ref="BA6:BA87" si="5">countif(D$271:AS$342, AW6)</f>
        <v>43</v>
      </c>
      <c r="BB6" s="209">
        <f t="shared" ref="BB6:BB87" si="6">countif(A$357:AS$424, AW6)</f>
        <v>0</v>
      </c>
      <c r="BC6" s="210">
        <f t="shared" ref="BC6:BC87" si="7">sum(AX6:BB6)*8</f>
        <v>1512</v>
      </c>
      <c r="BD6" s="211"/>
      <c r="BE6" s="212"/>
    </row>
    <row r="7" ht="15.0" customHeight="1">
      <c r="A7" s="199"/>
      <c r="B7" s="213" t="s">
        <v>623</v>
      </c>
      <c r="C7" s="214"/>
      <c r="D7" s="215"/>
      <c r="E7" s="216"/>
      <c r="F7" s="217"/>
      <c r="G7" s="218"/>
      <c r="H7" s="219" t="s">
        <v>624</v>
      </c>
      <c r="I7" s="220"/>
      <c r="J7" s="219" t="s">
        <v>624</v>
      </c>
      <c r="K7" s="221"/>
      <c r="L7" s="216"/>
      <c r="M7" s="217"/>
      <c r="N7" s="218"/>
      <c r="O7" s="222" t="s">
        <v>625</v>
      </c>
      <c r="P7" s="220"/>
      <c r="Q7" s="219" t="s">
        <v>626</v>
      </c>
      <c r="R7" s="221"/>
      <c r="S7" s="216"/>
      <c r="T7" s="219" t="s">
        <v>627</v>
      </c>
      <c r="U7" s="218"/>
      <c r="V7" s="223" t="s">
        <v>628</v>
      </c>
      <c r="W7" s="220"/>
      <c r="X7" s="219" t="s">
        <v>626</v>
      </c>
      <c r="Y7" s="221"/>
      <c r="Z7" s="216"/>
      <c r="AA7" s="219"/>
      <c r="AB7" s="218"/>
      <c r="AC7" s="222" t="s">
        <v>625</v>
      </c>
      <c r="AD7" s="220"/>
      <c r="AE7" s="219" t="s">
        <v>626</v>
      </c>
      <c r="AF7" s="221"/>
      <c r="AG7" s="216"/>
      <c r="AH7" s="219" t="s">
        <v>627</v>
      </c>
      <c r="AI7" s="218"/>
      <c r="AJ7" s="223" t="s">
        <v>628</v>
      </c>
      <c r="AK7" s="220"/>
      <c r="AL7" s="219" t="s">
        <v>626</v>
      </c>
      <c r="AM7" s="221"/>
      <c r="AN7" s="216"/>
      <c r="AO7" s="217"/>
      <c r="AP7" s="218"/>
      <c r="AQ7" s="224" t="s">
        <v>625</v>
      </c>
      <c r="AR7" s="220"/>
      <c r="AS7" s="219" t="s">
        <v>626</v>
      </c>
      <c r="AT7" s="221"/>
      <c r="AU7" s="225">
        <f>counta(F7:AT7)*20</f>
        <v>280</v>
      </c>
      <c r="AW7" s="206" t="str">
        <f t="shared" si="1"/>
        <v>#REF!</v>
      </c>
      <c r="AX7" s="207">
        <f t="shared" si="2"/>
        <v>49</v>
      </c>
      <c r="AY7" s="208">
        <f t="shared" si="3"/>
        <v>52</v>
      </c>
      <c r="AZ7" s="208">
        <f t="shared" si="4"/>
        <v>45</v>
      </c>
      <c r="BA7" s="208">
        <f t="shared" si="5"/>
        <v>43</v>
      </c>
      <c r="BB7" s="209">
        <f t="shared" si="6"/>
        <v>0</v>
      </c>
      <c r="BC7" s="210">
        <f t="shared" si="7"/>
        <v>1512</v>
      </c>
      <c r="BD7" s="211"/>
      <c r="BE7" s="212"/>
    </row>
    <row r="8" ht="15.0" customHeight="1">
      <c r="A8" s="199"/>
      <c r="B8" s="226" t="s">
        <v>629</v>
      </c>
      <c r="C8" s="214"/>
      <c r="D8" s="215"/>
      <c r="E8" s="216"/>
      <c r="F8" s="227"/>
      <c r="G8" s="218"/>
      <c r="H8" s="227">
        <v>0.0</v>
      </c>
      <c r="I8" s="220"/>
      <c r="J8" s="227">
        <v>3.0</v>
      </c>
      <c r="K8" s="221"/>
      <c r="L8" s="216"/>
      <c r="M8" s="227"/>
      <c r="N8" s="218"/>
      <c r="O8" s="227">
        <v>4.0</v>
      </c>
      <c r="P8" s="220"/>
      <c r="Q8" s="227">
        <v>4.0</v>
      </c>
      <c r="R8" s="221"/>
      <c r="S8" s="216"/>
      <c r="T8" s="227">
        <v>0.0</v>
      </c>
      <c r="U8" s="218"/>
      <c r="V8" s="227">
        <v>4.0</v>
      </c>
      <c r="W8" s="220"/>
      <c r="X8" s="227">
        <v>4.0</v>
      </c>
      <c r="Y8" s="221"/>
      <c r="Z8" s="216"/>
      <c r="AA8" s="227"/>
      <c r="AB8" s="218"/>
      <c r="AC8" s="227">
        <v>2.0</v>
      </c>
      <c r="AD8" s="220"/>
      <c r="AE8" s="227">
        <v>5.0</v>
      </c>
      <c r="AF8" s="221"/>
      <c r="AG8" s="216"/>
      <c r="AH8" s="227">
        <v>0.0</v>
      </c>
      <c r="AI8" s="218"/>
      <c r="AJ8" s="227">
        <v>4.0</v>
      </c>
      <c r="AK8" s="220"/>
      <c r="AL8" s="227">
        <v>4.0</v>
      </c>
      <c r="AM8" s="221"/>
      <c r="AN8" s="216"/>
      <c r="AO8" s="227"/>
      <c r="AP8" s="218"/>
      <c r="AQ8" s="227">
        <v>3.0</v>
      </c>
      <c r="AR8" s="220"/>
      <c r="AS8" s="227">
        <v>3.0</v>
      </c>
      <c r="AT8" s="221"/>
      <c r="AU8" s="225">
        <f>sum(F8:AK8)</f>
        <v>30</v>
      </c>
      <c r="AW8" s="206" t="str">
        <f t="shared" si="1"/>
        <v>#REF!</v>
      </c>
      <c r="AX8" s="207">
        <f t="shared" si="2"/>
        <v>49</v>
      </c>
      <c r="AY8" s="208">
        <f t="shared" si="3"/>
        <v>52</v>
      </c>
      <c r="AZ8" s="208">
        <f t="shared" si="4"/>
        <v>45</v>
      </c>
      <c r="BA8" s="208">
        <f t="shared" si="5"/>
        <v>43</v>
      </c>
      <c r="BB8" s="209">
        <f t="shared" si="6"/>
        <v>0</v>
      </c>
      <c r="BC8" s="210">
        <f t="shared" si="7"/>
        <v>1512</v>
      </c>
      <c r="BD8" s="211"/>
      <c r="BE8" s="212"/>
    </row>
    <row r="9" ht="15.0" customHeight="1">
      <c r="A9" s="199"/>
      <c r="B9" s="213" t="s">
        <v>630</v>
      </c>
      <c r="C9" s="214"/>
      <c r="D9" s="215"/>
      <c r="E9" s="216"/>
      <c r="F9" s="215"/>
      <c r="G9" s="218"/>
      <c r="H9" s="228" t="s">
        <v>631</v>
      </c>
      <c r="I9" s="220"/>
      <c r="J9" s="215"/>
      <c r="K9" s="221"/>
      <c r="L9" s="216"/>
      <c r="M9" s="215"/>
      <c r="N9" s="218"/>
      <c r="O9" s="215"/>
      <c r="P9" s="220"/>
      <c r="Q9" s="215"/>
      <c r="R9" s="221"/>
      <c r="S9" s="216"/>
      <c r="T9" s="215"/>
      <c r="U9" s="218"/>
      <c r="V9" s="228" t="s">
        <v>631</v>
      </c>
      <c r="W9" s="220"/>
      <c r="X9" s="215"/>
      <c r="Y9" s="221"/>
      <c r="Z9" s="216"/>
      <c r="AA9" s="215"/>
      <c r="AB9" s="218"/>
      <c r="AC9" s="215"/>
      <c r="AD9" s="220"/>
      <c r="AE9" s="215"/>
      <c r="AF9" s="221"/>
      <c r="AG9" s="216"/>
      <c r="AH9" s="215"/>
      <c r="AI9" s="218"/>
      <c r="AJ9" s="215"/>
      <c r="AK9" s="220"/>
      <c r="AL9" s="215"/>
      <c r="AM9" s="221"/>
      <c r="AN9" s="216"/>
      <c r="AO9" s="215"/>
      <c r="AP9" s="218"/>
      <c r="AQ9" s="215"/>
      <c r="AR9" s="220"/>
      <c r="AS9" s="215"/>
      <c r="AT9" s="221"/>
      <c r="AU9" s="225">
        <f>countA(F9:AJ9)*5</f>
        <v>10</v>
      </c>
      <c r="AW9" s="206" t="str">
        <f t="shared" si="1"/>
        <v>#REF!</v>
      </c>
      <c r="AX9" s="207">
        <f t="shared" si="2"/>
        <v>49</v>
      </c>
      <c r="AY9" s="208">
        <f t="shared" si="3"/>
        <v>52</v>
      </c>
      <c r="AZ9" s="208">
        <f t="shared" si="4"/>
        <v>45</v>
      </c>
      <c r="BA9" s="208">
        <f t="shared" si="5"/>
        <v>43</v>
      </c>
      <c r="BB9" s="209">
        <f t="shared" si="6"/>
        <v>0</v>
      </c>
      <c r="BC9" s="210">
        <f t="shared" si="7"/>
        <v>1512</v>
      </c>
      <c r="BD9" s="211"/>
      <c r="BE9" s="212"/>
    </row>
    <row r="10" ht="15.0" customHeight="1">
      <c r="A10" s="199"/>
      <c r="B10" s="229" t="s">
        <v>632</v>
      </c>
      <c r="C10" s="214"/>
      <c r="D10" s="215"/>
      <c r="E10" s="216"/>
      <c r="F10" s="215"/>
      <c r="G10" s="221"/>
      <c r="H10" s="215"/>
      <c r="I10" s="220"/>
      <c r="J10" s="215"/>
      <c r="K10" s="221"/>
      <c r="L10" s="216"/>
      <c r="M10" s="215"/>
      <c r="N10" s="221"/>
      <c r="O10" s="215"/>
      <c r="P10" s="220"/>
      <c r="Q10" s="215"/>
      <c r="R10" s="221"/>
      <c r="S10" s="216"/>
      <c r="T10" s="215"/>
      <c r="U10" s="221"/>
      <c r="V10" s="215"/>
      <c r="W10" s="220"/>
      <c r="X10" s="215"/>
      <c r="Y10" s="221"/>
      <c r="Z10" s="216"/>
      <c r="AA10" s="215"/>
      <c r="AB10" s="221"/>
      <c r="AC10" s="215"/>
      <c r="AD10" s="220"/>
      <c r="AE10" s="215"/>
      <c r="AF10" s="221"/>
      <c r="AG10" s="216"/>
      <c r="AH10" s="215"/>
      <c r="AI10" s="221"/>
      <c r="AJ10" s="215"/>
      <c r="AK10" s="220"/>
      <c r="AL10" s="215"/>
      <c r="AM10" s="221"/>
      <c r="AN10" s="216"/>
      <c r="AO10" s="215"/>
      <c r="AP10" s="221"/>
      <c r="AQ10" s="215"/>
      <c r="AR10" s="220"/>
      <c r="AS10" s="215"/>
      <c r="AT10" s="221"/>
      <c r="AU10" s="225">
        <f>countA(F10:AK10)*12</f>
        <v>0</v>
      </c>
      <c r="AW10" s="206" t="str">
        <f t="shared" si="1"/>
        <v>#REF!</v>
      </c>
      <c r="AX10" s="207">
        <f t="shared" si="2"/>
        <v>49</v>
      </c>
      <c r="AY10" s="208">
        <f t="shared" si="3"/>
        <v>52</v>
      </c>
      <c r="AZ10" s="208">
        <f t="shared" si="4"/>
        <v>45</v>
      </c>
      <c r="BA10" s="208">
        <f t="shared" si="5"/>
        <v>43</v>
      </c>
      <c r="BB10" s="209">
        <f t="shared" si="6"/>
        <v>0</v>
      </c>
      <c r="BC10" s="210">
        <f t="shared" si="7"/>
        <v>1512</v>
      </c>
      <c r="BD10" s="211"/>
      <c r="BE10" s="212"/>
    </row>
    <row r="11" ht="15.0" customHeight="1">
      <c r="A11" s="199"/>
      <c r="B11" s="213" t="s">
        <v>633</v>
      </c>
      <c r="C11" s="214"/>
      <c r="D11" s="215"/>
      <c r="E11" s="216"/>
      <c r="F11" s="215"/>
      <c r="G11" s="230"/>
      <c r="H11" s="215"/>
      <c r="I11" s="231"/>
      <c r="J11" s="215"/>
      <c r="K11" s="216"/>
      <c r="L11" s="216"/>
      <c r="M11" s="215"/>
      <c r="N11" s="230"/>
      <c r="O11" s="232" t="s">
        <v>634</v>
      </c>
      <c r="P11" s="231"/>
      <c r="Q11" s="215"/>
      <c r="R11" s="216"/>
      <c r="S11" s="216"/>
      <c r="T11" s="215"/>
      <c r="U11" s="230"/>
      <c r="V11" s="215"/>
      <c r="W11" s="231"/>
      <c r="X11" s="232" t="s">
        <v>635</v>
      </c>
      <c r="Y11" s="216"/>
      <c r="Z11" s="216"/>
      <c r="AA11" s="215"/>
      <c r="AB11" s="230"/>
      <c r="AC11" s="215"/>
      <c r="AD11" s="231"/>
      <c r="AE11" s="233" t="s">
        <v>636</v>
      </c>
      <c r="AF11" s="216"/>
      <c r="AG11" s="216"/>
      <c r="AH11" s="215"/>
      <c r="AI11" s="230"/>
      <c r="AJ11" s="215"/>
      <c r="AK11" s="231"/>
      <c r="AL11" s="215"/>
      <c r="AM11" s="216"/>
      <c r="AN11" s="216"/>
      <c r="AO11" s="215"/>
      <c r="AP11" s="230"/>
      <c r="AQ11" s="215"/>
      <c r="AR11" s="231"/>
      <c r="AS11" s="215"/>
      <c r="AT11" s="216"/>
      <c r="AU11" s="225">
        <f>counta(F11:AT11)*4</f>
        <v>12</v>
      </c>
      <c r="AW11" s="206" t="str">
        <f t="shared" si="1"/>
        <v>#REF!</v>
      </c>
      <c r="AX11" s="207">
        <f t="shared" si="2"/>
        <v>49</v>
      </c>
      <c r="AY11" s="208">
        <f t="shared" si="3"/>
        <v>52</v>
      </c>
      <c r="AZ11" s="208">
        <f t="shared" si="4"/>
        <v>45</v>
      </c>
      <c r="BA11" s="208">
        <f t="shared" si="5"/>
        <v>43</v>
      </c>
      <c r="BB11" s="209">
        <f t="shared" si="6"/>
        <v>0</v>
      </c>
      <c r="BC11" s="210">
        <f t="shared" si="7"/>
        <v>1512</v>
      </c>
      <c r="BD11" s="211"/>
      <c r="BE11" s="212"/>
    </row>
    <row r="12" ht="15.0" customHeight="1">
      <c r="A12" s="199"/>
      <c r="B12" s="213" t="s">
        <v>637</v>
      </c>
      <c r="C12" s="214"/>
      <c r="D12" s="215"/>
      <c r="E12" s="216"/>
      <c r="F12" s="215"/>
      <c r="G12" s="230"/>
      <c r="H12" s="215"/>
      <c r="I12" s="231"/>
      <c r="J12" s="215"/>
      <c r="K12" s="216"/>
      <c r="L12" s="216"/>
      <c r="M12" s="215"/>
      <c r="N12" s="230"/>
      <c r="O12" s="215"/>
      <c r="P12" s="231"/>
      <c r="Q12" s="215"/>
      <c r="R12" s="216"/>
      <c r="S12" s="216"/>
      <c r="T12" s="215"/>
      <c r="U12" s="230"/>
      <c r="V12" s="215"/>
      <c r="W12" s="231"/>
      <c r="X12" s="215"/>
      <c r="Y12" s="216"/>
      <c r="Z12" s="216"/>
      <c r="AA12" s="215"/>
      <c r="AB12" s="230"/>
      <c r="AC12" s="215"/>
      <c r="AD12" s="231"/>
      <c r="AE12" s="215"/>
      <c r="AF12" s="216"/>
      <c r="AG12" s="216"/>
      <c r="AH12" s="215"/>
      <c r="AI12" s="230"/>
      <c r="AJ12" s="215"/>
      <c r="AK12" s="231"/>
      <c r="AL12" s="215"/>
      <c r="AM12" s="216"/>
      <c r="AN12" s="216"/>
      <c r="AO12" s="215"/>
      <c r="AP12" s="230"/>
      <c r="AQ12" s="215"/>
      <c r="AR12" s="231"/>
      <c r="AS12" s="215"/>
      <c r="AT12" s="216"/>
      <c r="AU12" s="225">
        <f>sum(F12:AT12)</f>
        <v>0</v>
      </c>
      <c r="AW12" s="206" t="str">
        <f t="shared" si="1"/>
        <v>#REF!</v>
      </c>
      <c r="AX12" s="207">
        <f t="shared" si="2"/>
        <v>49</v>
      </c>
      <c r="AY12" s="208">
        <f t="shared" si="3"/>
        <v>52</v>
      </c>
      <c r="AZ12" s="208">
        <f t="shared" si="4"/>
        <v>45</v>
      </c>
      <c r="BA12" s="208">
        <f t="shared" si="5"/>
        <v>43</v>
      </c>
      <c r="BB12" s="209">
        <f t="shared" si="6"/>
        <v>0</v>
      </c>
      <c r="BC12" s="210">
        <f t="shared" si="7"/>
        <v>1512</v>
      </c>
      <c r="BD12" s="211"/>
      <c r="BE12" s="212"/>
    </row>
    <row r="13">
      <c r="A13" s="234"/>
      <c r="B13" s="235" t="s">
        <v>608</v>
      </c>
      <c r="C13" s="195" t="s">
        <v>609</v>
      </c>
      <c r="D13" s="236"/>
      <c r="E13" s="237"/>
      <c r="F13" s="238"/>
      <c r="G13" s="182"/>
      <c r="H13" s="238"/>
      <c r="I13" s="239"/>
      <c r="J13" s="238"/>
      <c r="K13" s="239"/>
      <c r="L13" s="237"/>
      <c r="M13" s="238"/>
      <c r="N13" s="182"/>
      <c r="O13" s="238"/>
      <c r="P13" s="239"/>
      <c r="Q13" s="238"/>
      <c r="R13" s="239"/>
      <c r="S13" s="237"/>
      <c r="T13" s="238"/>
      <c r="U13" s="182"/>
      <c r="V13" s="238"/>
      <c r="W13" s="239"/>
      <c r="X13" s="238"/>
      <c r="Y13" s="239"/>
      <c r="Z13" s="237"/>
      <c r="AA13" s="238"/>
      <c r="AB13" s="182"/>
      <c r="AC13" s="238"/>
      <c r="AD13" s="239"/>
      <c r="AE13" s="238"/>
      <c r="AF13" s="239"/>
      <c r="AG13" s="237"/>
      <c r="AH13" s="238"/>
      <c r="AI13" s="182"/>
      <c r="AJ13" s="238"/>
      <c r="AK13" s="239"/>
      <c r="AL13" s="238"/>
      <c r="AM13" s="239"/>
      <c r="AN13" s="237"/>
      <c r="AO13" s="238"/>
      <c r="AP13" s="182"/>
      <c r="AQ13" s="238"/>
      <c r="AR13" s="239"/>
      <c r="AS13" s="238"/>
      <c r="AT13" s="239"/>
      <c r="AU13" s="236"/>
      <c r="AV13" s="236"/>
      <c r="AW13" s="206" t="str">
        <f t="shared" si="1"/>
        <v>#REF!</v>
      </c>
      <c r="AX13" s="207">
        <f t="shared" si="2"/>
        <v>49</v>
      </c>
      <c r="AY13" s="208">
        <f t="shared" si="3"/>
        <v>52</v>
      </c>
      <c r="AZ13" s="208">
        <f t="shared" si="4"/>
        <v>45</v>
      </c>
      <c r="BA13" s="208">
        <f t="shared" si="5"/>
        <v>43</v>
      </c>
      <c r="BB13" s="209">
        <f t="shared" si="6"/>
        <v>0</v>
      </c>
      <c r="BC13" s="210">
        <f t="shared" si="7"/>
        <v>1512</v>
      </c>
      <c r="BD13" s="211"/>
      <c r="BE13" s="212"/>
    </row>
    <row r="14" ht="14.25" customHeight="1">
      <c r="A14" s="240"/>
      <c r="B14" s="241" t="s">
        <v>638</v>
      </c>
      <c r="C14" s="242" t="s">
        <v>639</v>
      </c>
      <c r="D14" s="243"/>
      <c r="E14" s="244"/>
      <c r="F14" s="245"/>
      <c r="G14" s="246"/>
      <c r="H14" s="247"/>
      <c r="I14" s="246"/>
      <c r="J14" s="248" t="s">
        <v>640</v>
      </c>
      <c r="K14" s="246"/>
      <c r="L14" s="249"/>
      <c r="M14" s="250"/>
      <c r="N14" s="246"/>
      <c r="O14" s="248" t="s">
        <v>640</v>
      </c>
      <c r="P14" s="246"/>
      <c r="R14" s="246"/>
      <c r="S14" s="249"/>
      <c r="T14" s="247"/>
      <c r="U14" s="246"/>
      <c r="V14" s="247"/>
      <c r="W14" s="246"/>
      <c r="X14" s="251" t="s">
        <v>405</v>
      </c>
      <c r="Y14" s="246"/>
      <c r="Z14" s="249"/>
      <c r="AA14" s="252"/>
      <c r="AB14" s="246"/>
      <c r="AC14" s="247"/>
      <c r="AD14" s="246"/>
      <c r="AE14" s="253" t="s">
        <v>419</v>
      </c>
      <c r="AF14" s="246"/>
      <c r="AG14" s="249"/>
      <c r="AH14" s="247"/>
      <c r="AI14" s="246"/>
      <c r="AJ14" s="248"/>
      <c r="AK14" s="246"/>
      <c r="AL14" s="248" t="s">
        <v>640</v>
      </c>
      <c r="AM14" s="246"/>
      <c r="AN14" s="249"/>
      <c r="AO14" s="250"/>
      <c r="AP14" s="246"/>
      <c r="AQ14" s="252"/>
      <c r="AR14" s="246"/>
      <c r="AT14" s="254" t="str">
        <f>IF(COUNTIF($AO$85:$AT$87, #REF!) &gt; 0, "X", "")</f>
        <v/>
      </c>
      <c r="AU14" s="255"/>
      <c r="AV14" s="255"/>
      <c r="AW14" s="206" t="str">
        <f t="shared" si="1"/>
        <v>#REF!</v>
      </c>
      <c r="AX14" s="207">
        <f t="shared" si="2"/>
        <v>49</v>
      </c>
      <c r="AY14" s="208">
        <f t="shared" si="3"/>
        <v>52</v>
      </c>
      <c r="AZ14" s="208">
        <f t="shared" si="4"/>
        <v>45</v>
      </c>
      <c r="BA14" s="208">
        <f t="shared" si="5"/>
        <v>43</v>
      </c>
      <c r="BB14" s="209">
        <f t="shared" si="6"/>
        <v>0</v>
      </c>
      <c r="BC14" s="210">
        <f t="shared" si="7"/>
        <v>1512</v>
      </c>
      <c r="BD14" s="211"/>
      <c r="BE14" s="212"/>
    </row>
    <row r="15" ht="13.5" customHeight="1">
      <c r="A15" s="94"/>
      <c r="B15" s="256" t="s">
        <v>638</v>
      </c>
      <c r="C15" s="257" t="s">
        <v>639</v>
      </c>
      <c r="D15" s="258" t="s">
        <v>641</v>
      </c>
      <c r="E15" s="259"/>
      <c r="F15" s="260"/>
      <c r="G15" s="246"/>
      <c r="H15" s="247"/>
      <c r="I15" s="246"/>
      <c r="J15" s="251"/>
      <c r="K15" s="246"/>
      <c r="L15" s="261"/>
      <c r="M15" s="262"/>
      <c r="N15" s="246"/>
      <c r="O15" s="263" t="s">
        <v>419</v>
      </c>
      <c r="P15" s="246"/>
      <c r="R15" s="246"/>
      <c r="S15" s="261"/>
      <c r="T15" s="264"/>
      <c r="U15" s="246"/>
      <c r="V15" s="265"/>
      <c r="W15" s="246"/>
      <c r="X15" s="253" t="s">
        <v>419</v>
      </c>
      <c r="Y15" s="246"/>
      <c r="Z15" s="261"/>
      <c r="AA15" s="266"/>
      <c r="AB15" s="246"/>
      <c r="AD15" s="246"/>
      <c r="AE15" s="251" t="s">
        <v>405</v>
      </c>
      <c r="AF15" s="246"/>
      <c r="AG15" s="261"/>
      <c r="AH15" s="264"/>
      <c r="AI15" s="246"/>
      <c r="AK15" s="246"/>
      <c r="AM15" s="246"/>
      <c r="AN15" s="261"/>
      <c r="AO15" s="262"/>
      <c r="AP15" s="246"/>
      <c r="AQ15" s="267"/>
      <c r="AR15" s="246"/>
      <c r="AS15" s="268"/>
      <c r="AT15" s="254" t="str">
        <f>IF(COUNTIF($AO$85:$AT$87, AS20) &gt; 0, "X", "")</f>
        <v/>
      </c>
      <c r="AU15" s="269"/>
      <c r="AV15" s="269"/>
      <c r="AW15" s="206" t="str">
        <f t="shared" si="1"/>
        <v>#REF!</v>
      </c>
      <c r="AX15" s="207">
        <f t="shared" si="2"/>
        <v>49</v>
      </c>
      <c r="AY15" s="208">
        <f t="shared" si="3"/>
        <v>52</v>
      </c>
      <c r="AZ15" s="208">
        <f t="shared" si="4"/>
        <v>45</v>
      </c>
      <c r="BA15" s="208">
        <f t="shared" si="5"/>
        <v>43</v>
      </c>
      <c r="BB15" s="209">
        <f t="shared" si="6"/>
        <v>0</v>
      </c>
      <c r="BC15" s="210">
        <f t="shared" si="7"/>
        <v>1512</v>
      </c>
      <c r="BD15" s="211"/>
      <c r="BE15" s="212"/>
    </row>
    <row r="16" ht="13.5" customHeight="1">
      <c r="A16" s="270"/>
      <c r="B16" s="271" t="s">
        <v>642</v>
      </c>
      <c r="C16" s="272" t="s">
        <v>639</v>
      </c>
      <c r="D16" s="258" t="s">
        <v>643</v>
      </c>
      <c r="E16" s="259"/>
      <c r="F16" s="273"/>
      <c r="G16" s="246"/>
      <c r="H16" s="247"/>
      <c r="I16" s="246"/>
      <c r="K16" s="246"/>
      <c r="L16" s="261"/>
      <c r="M16" s="250"/>
      <c r="N16" s="246"/>
      <c r="O16" s="274" t="s">
        <v>414</v>
      </c>
      <c r="P16" s="246"/>
      <c r="R16" s="246"/>
      <c r="S16" s="261"/>
      <c r="T16" s="275"/>
      <c r="U16" s="246"/>
      <c r="W16" s="246"/>
      <c r="X16" s="248" t="s">
        <v>640</v>
      </c>
      <c r="Y16" s="246"/>
      <c r="Z16" s="261"/>
      <c r="AA16" s="252"/>
      <c r="AB16" s="246"/>
      <c r="AC16" s="274" t="s">
        <v>406</v>
      </c>
      <c r="AD16" s="246"/>
      <c r="AF16" s="246"/>
      <c r="AG16" s="261"/>
      <c r="AH16" s="275"/>
      <c r="AI16" s="246"/>
      <c r="AJ16" s="275"/>
      <c r="AK16" s="246"/>
      <c r="AL16" s="251" t="s">
        <v>405</v>
      </c>
      <c r="AM16" s="246"/>
      <c r="AN16" s="261"/>
      <c r="AO16" s="250"/>
      <c r="AP16" s="246"/>
      <c r="AQ16" s="276"/>
      <c r="AR16" s="246"/>
      <c r="AS16" s="276"/>
      <c r="AT16" s="254" t="str">
        <f>IF(COUNTIF($AO$85:$AT$87, #REF!) &gt; 0, "X", "")</f>
        <v/>
      </c>
      <c r="AU16" s="269"/>
      <c r="AV16" s="269"/>
      <c r="AW16" s="206" t="str">
        <f t="shared" si="1"/>
        <v>#REF!</v>
      </c>
      <c r="AX16" s="207">
        <f t="shared" si="2"/>
        <v>49</v>
      </c>
      <c r="AY16" s="208">
        <f t="shared" si="3"/>
        <v>52</v>
      </c>
      <c r="AZ16" s="208">
        <f t="shared" si="4"/>
        <v>45</v>
      </c>
      <c r="BA16" s="208">
        <f t="shared" si="5"/>
        <v>43</v>
      </c>
      <c r="BB16" s="209">
        <f t="shared" si="6"/>
        <v>0</v>
      </c>
      <c r="BC16" s="210">
        <f t="shared" si="7"/>
        <v>1512</v>
      </c>
      <c r="BD16" s="211"/>
      <c r="BE16" s="212"/>
    </row>
    <row r="17">
      <c r="A17" s="94"/>
      <c r="B17" s="277" t="s">
        <v>644</v>
      </c>
      <c r="C17" s="278" t="s">
        <v>645</v>
      </c>
      <c r="D17" s="243"/>
      <c r="E17" s="259"/>
      <c r="F17" s="279"/>
      <c r="G17" s="246"/>
      <c r="I17" s="246"/>
      <c r="J17" s="280" t="s">
        <v>400</v>
      </c>
      <c r="K17" s="246"/>
      <c r="L17" s="261"/>
      <c r="M17" s="250"/>
      <c r="N17" s="246"/>
      <c r="O17" s="251" t="s">
        <v>405</v>
      </c>
      <c r="P17" s="246"/>
      <c r="R17" s="246"/>
      <c r="S17" s="261"/>
      <c r="T17" s="281"/>
      <c r="U17" s="246"/>
      <c r="W17" s="246"/>
      <c r="X17" s="280" t="s">
        <v>400</v>
      </c>
      <c r="Y17" s="246"/>
      <c r="Z17" s="261"/>
      <c r="AB17" s="246"/>
      <c r="AC17" s="281"/>
      <c r="AD17" s="246"/>
      <c r="AE17" s="280" t="s">
        <v>400</v>
      </c>
      <c r="AF17" s="246"/>
      <c r="AG17" s="261"/>
      <c r="AH17" s="282"/>
      <c r="AI17" s="246"/>
      <c r="AJ17" s="280" t="s">
        <v>400</v>
      </c>
      <c r="AK17" s="246"/>
      <c r="AL17" s="281"/>
      <c r="AM17" s="246"/>
      <c r="AN17" s="261"/>
      <c r="AO17" s="250"/>
      <c r="AP17" s="246"/>
      <c r="AQ17" s="283"/>
      <c r="AR17" s="246"/>
      <c r="AS17" s="276"/>
      <c r="AT17" s="254" t="str">
        <f t="shared" ref="AT17:AT19" si="8">IF(COUNTIF($AO$85:$AT$87, AS17) &gt; 0, "X", "")</f>
        <v/>
      </c>
      <c r="AU17" s="269"/>
      <c r="AV17" s="269"/>
      <c r="AW17" s="206" t="str">
        <f t="shared" si="1"/>
        <v>#REF!</v>
      </c>
      <c r="AX17" s="207">
        <f t="shared" si="2"/>
        <v>49</v>
      </c>
      <c r="AY17" s="208">
        <f t="shared" si="3"/>
        <v>52</v>
      </c>
      <c r="AZ17" s="208">
        <f t="shared" si="4"/>
        <v>45</v>
      </c>
      <c r="BA17" s="208">
        <f t="shared" si="5"/>
        <v>43</v>
      </c>
      <c r="BB17" s="209">
        <f t="shared" si="6"/>
        <v>0</v>
      </c>
      <c r="BC17" s="210">
        <f t="shared" si="7"/>
        <v>1512</v>
      </c>
      <c r="BD17" s="211"/>
      <c r="BE17" s="212"/>
    </row>
    <row r="18">
      <c r="A18" s="270"/>
      <c r="B18" s="284" t="s">
        <v>646</v>
      </c>
      <c r="C18" s="285" t="s">
        <v>647</v>
      </c>
      <c r="D18" s="243"/>
      <c r="E18" s="259"/>
      <c r="F18" s="286"/>
      <c r="G18" s="246"/>
      <c r="I18" s="246"/>
      <c r="J18" s="287" t="s">
        <v>427</v>
      </c>
      <c r="K18" s="246"/>
      <c r="L18" s="261"/>
      <c r="M18" s="288"/>
      <c r="N18" s="246"/>
      <c r="O18" s="289"/>
      <c r="P18" s="246"/>
      <c r="Q18" s="287" t="s">
        <v>427</v>
      </c>
      <c r="R18" s="246"/>
      <c r="S18" s="261"/>
      <c r="T18" s="287" t="s">
        <v>427</v>
      </c>
      <c r="U18" s="246"/>
      <c r="W18" s="246"/>
      <c r="X18" s="289"/>
      <c r="Y18" s="246"/>
      <c r="Z18" s="261"/>
      <c r="AB18" s="246"/>
      <c r="AC18" s="290" t="s">
        <v>432</v>
      </c>
      <c r="AD18" s="246"/>
      <c r="AE18" s="287" t="s">
        <v>427</v>
      </c>
      <c r="AF18" s="246"/>
      <c r="AG18" s="261"/>
      <c r="AH18" s="287" t="s">
        <v>427</v>
      </c>
      <c r="AI18" s="246"/>
      <c r="AJ18" s="289"/>
      <c r="AK18" s="246"/>
      <c r="AL18" s="265"/>
      <c r="AM18" s="246"/>
      <c r="AN18" s="261"/>
      <c r="AO18" s="288"/>
      <c r="AP18" s="246"/>
      <c r="AQ18" s="266"/>
      <c r="AR18" s="246"/>
      <c r="AS18" s="266"/>
      <c r="AT18" s="254" t="str">
        <f t="shared" si="8"/>
        <v/>
      </c>
      <c r="AU18" s="269"/>
      <c r="AV18" s="269"/>
      <c r="AW18" s="206" t="str">
        <f t="shared" si="1"/>
        <v>#REF!</v>
      </c>
      <c r="AX18" s="207">
        <f t="shared" si="2"/>
        <v>49</v>
      </c>
      <c r="AY18" s="208">
        <f t="shared" si="3"/>
        <v>52</v>
      </c>
      <c r="AZ18" s="208">
        <f t="shared" si="4"/>
        <v>45</v>
      </c>
      <c r="BA18" s="208">
        <f t="shared" si="5"/>
        <v>43</v>
      </c>
      <c r="BB18" s="209">
        <f t="shared" si="6"/>
        <v>0</v>
      </c>
      <c r="BC18" s="210">
        <f t="shared" si="7"/>
        <v>1512</v>
      </c>
      <c r="BD18" s="211"/>
      <c r="BE18" s="212"/>
    </row>
    <row r="19">
      <c r="A19" s="94"/>
      <c r="B19" s="291" t="s">
        <v>648</v>
      </c>
      <c r="C19" s="292" t="s">
        <v>649</v>
      </c>
      <c r="D19" s="243"/>
      <c r="E19" s="259"/>
      <c r="F19" s="250"/>
      <c r="G19" s="246"/>
      <c r="H19" s="293" t="s">
        <v>418</v>
      </c>
      <c r="I19" s="246"/>
      <c r="J19" s="294"/>
      <c r="K19" s="246"/>
      <c r="L19" s="261"/>
      <c r="M19" s="250"/>
      <c r="N19" s="246"/>
      <c r="O19" s="293" t="s">
        <v>418</v>
      </c>
      <c r="P19" s="246"/>
      <c r="Q19" s="294"/>
      <c r="R19" s="246"/>
      <c r="S19" s="261"/>
      <c r="T19" s="294"/>
      <c r="U19" s="246"/>
      <c r="V19" s="294"/>
      <c r="W19" s="246"/>
      <c r="X19" s="294"/>
      <c r="Y19" s="246"/>
      <c r="Z19" s="261"/>
      <c r="AA19" s="295"/>
      <c r="AB19" s="246"/>
      <c r="AC19" s="294"/>
      <c r="AD19" s="246"/>
      <c r="AE19" s="293" t="s">
        <v>418</v>
      </c>
      <c r="AF19" s="246"/>
      <c r="AG19" s="261"/>
      <c r="AH19" s="294"/>
      <c r="AI19" s="246"/>
      <c r="AJ19" s="294"/>
      <c r="AK19" s="246"/>
      <c r="AL19" s="294"/>
      <c r="AM19" s="246"/>
      <c r="AN19" s="261"/>
      <c r="AO19" s="250"/>
      <c r="AP19" s="246"/>
      <c r="AQ19" s="294"/>
      <c r="AR19" s="246"/>
      <c r="AS19" s="294"/>
      <c r="AT19" s="254" t="str">
        <f t="shared" si="8"/>
        <v/>
      </c>
      <c r="AU19" s="269"/>
      <c r="AV19" s="269"/>
      <c r="AW19" s="206" t="str">
        <f t="shared" si="1"/>
        <v>#REF!</v>
      </c>
      <c r="AX19" s="207">
        <f t="shared" si="2"/>
        <v>49</v>
      </c>
      <c r="AY19" s="208">
        <f t="shared" si="3"/>
        <v>52</v>
      </c>
      <c r="AZ19" s="208">
        <f t="shared" si="4"/>
        <v>45</v>
      </c>
      <c r="BA19" s="208">
        <f t="shared" si="5"/>
        <v>43</v>
      </c>
      <c r="BB19" s="209">
        <f t="shared" si="6"/>
        <v>0</v>
      </c>
      <c r="BC19" s="210">
        <f t="shared" si="7"/>
        <v>1512</v>
      </c>
      <c r="BD19" s="211"/>
      <c r="BE19" s="212"/>
    </row>
    <row r="20">
      <c r="A20" s="94"/>
      <c r="B20" s="296" t="s">
        <v>650</v>
      </c>
      <c r="C20" s="297" t="s">
        <v>649</v>
      </c>
      <c r="D20" s="243"/>
      <c r="E20" s="259"/>
      <c r="F20" s="245"/>
      <c r="G20" s="298"/>
      <c r="H20" s="299"/>
      <c r="I20" s="298"/>
      <c r="J20" s="299"/>
      <c r="K20" s="298"/>
      <c r="L20" s="261"/>
      <c r="M20" s="250"/>
      <c r="N20" s="298"/>
      <c r="O20" s="299"/>
      <c r="P20" s="298"/>
      <c r="Q20" s="299"/>
      <c r="R20" s="298"/>
      <c r="S20" s="261"/>
      <c r="T20" s="299"/>
      <c r="U20" s="298"/>
      <c r="V20" s="299"/>
      <c r="W20" s="298"/>
      <c r="X20" s="299"/>
      <c r="Y20" s="298"/>
      <c r="Z20" s="261"/>
      <c r="AA20" s="295"/>
      <c r="AB20" s="298"/>
      <c r="AC20" s="299"/>
      <c r="AD20" s="298"/>
      <c r="AE20" s="299"/>
      <c r="AF20" s="298"/>
      <c r="AG20" s="261"/>
      <c r="AH20" s="299"/>
      <c r="AI20" s="298"/>
      <c r="AJ20" s="299"/>
      <c r="AK20" s="298"/>
      <c r="AL20" s="299"/>
      <c r="AM20" s="298"/>
      <c r="AN20" s="261"/>
      <c r="AO20" s="250"/>
      <c r="AP20" s="298"/>
      <c r="AQ20" s="299"/>
      <c r="AR20" s="298"/>
      <c r="AS20" s="300"/>
      <c r="AT20" s="254" t="str">
        <f t="shared" ref="AT20:AT21" si="9">IF(COUNTIF($AO$85:$AT$87, #REF!) &gt; 0, "X", "")</f>
        <v/>
      </c>
      <c r="AU20" s="269"/>
      <c r="AV20" s="269"/>
      <c r="AW20" s="206" t="str">
        <f t="shared" si="1"/>
        <v>#REF!</v>
      </c>
      <c r="AX20" s="207">
        <f t="shared" si="2"/>
        <v>49</v>
      </c>
      <c r="AY20" s="208">
        <f t="shared" si="3"/>
        <v>52</v>
      </c>
      <c r="AZ20" s="208">
        <f t="shared" si="4"/>
        <v>45</v>
      </c>
      <c r="BA20" s="208">
        <f t="shared" si="5"/>
        <v>43</v>
      </c>
      <c r="BB20" s="209">
        <f t="shared" si="6"/>
        <v>0</v>
      </c>
      <c r="BC20" s="210">
        <f t="shared" si="7"/>
        <v>1512</v>
      </c>
      <c r="BD20" s="211"/>
      <c r="BE20" s="212"/>
    </row>
    <row r="21">
      <c r="A21" s="94"/>
      <c r="B21" s="301" t="s">
        <v>651</v>
      </c>
      <c r="C21" s="302" t="s">
        <v>652</v>
      </c>
      <c r="D21" s="243"/>
      <c r="E21" s="259"/>
      <c r="F21" s="279"/>
      <c r="G21" s="298"/>
      <c r="H21" s="303"/>
      <c r="I21" s="298"/>
      <c r="J21" s="303"/>
      <c r="K21" s="298"/>
      <c r="L21" s="261"/>
      <c r="M21" s="250"/>
      <c r="N21" s="298"/>
      <c r="O21" s="303"/>
      <c r="P21" s="298"/>
      <c r="Q21" s="303"/>
      <c r="R21" s="298"/>
      <c r="S21" s="261"/>
      <c r="T21" s="303"/>
      <c r="U21" s="298"/>
      <c r="V21" s="303"/>
      <c r="W21" s="298"/>
      <c r="X21" s="303"/>
      <c r="Y21" s="298"/>
      <c r="Z21" s="261"/>
      <c r="AA21" s="295"/>
      <c r="AB21" s="298"/>
      <c r="AC21" s="303"/>
      <c r="AD21" s="298"/>
      <c r="AE21" s="303"/>
      <c r="AF21" s="298"/>
      <c r="AG21" s="261"/>
      <c r="AH21" s="303"/>
      <c r="AI21" s="298"/>
      <c r="AJ21" s="303"/>
      <c r="AK21" s="298"/>
      <c r="AL21" s="303"/>
      <c r="AM21" s="298"/>
      <c r="AN21" s="261"/>
      <c r="AO21" s="250"/>
      <c r="AP21" s="298"/>
      <c r="AQ21" s="303"/>
      <c r="AR21" s="298"/>
      <c r="AS21" s="304"/>
      <c r="AT21" s="254" t="str">
        <f t="shared" si="9"/>
        <v/>
      </c>
      <c r="AU21" s="269"/>
      <c r="AV21" s="269"/>
      <c r="AW21" s="206" t="str">
        <f>#REF!</f>
        <v>#REF!</v>
      </c>
      <c r="AX21" s="207">
        <f t="shared" si="2"/>
        <v>49</v>
      </c>
      <c r="AY21" s="208">
        <f t="shared" si="3"/>
        <v>52</v>
      </c>
      <c r="AZ21" s="208">
        <f t="shared" si="4"/>
        <v>45</v>
      </c>
      <c r="BA21" s="208">
        <f t="shared" si="5"/>
        <v>43</v>
      </c>
      <c r="BB21" s="209">
        <f t="shared" si="6"/>
        <v>0</v>
      </c>
      <c r="BC21" s="210">
        <f t="shared" si="7"/>
        <v>1512</v>
      </c>
      <c r="BD21" s="211"/>
      <c r="BE21" s="212"/>
    </row>
    <row r="22">
      <c r="A22" s="94"/>
      <c r="B22" s="305" t="s">
        <v>653</v>
      </c>
      <c r="C22" s="306" t="s">
        <v>654</v>
      </c>
      <c r="D22" s="243"/>
      <c r="E22" s="259"/>
      <c r="F22" s="250"/>
      <c r="G22" s="298"/>
      <c r="H22" s="307"/>
      <c r="I22" s="298"/>
      <c r="J22" s="307"/>
      <c r="K22" s="298"/>
      <c r="L22" s="261"/>
      <c r="M22" s="250"/>
      <c r="N22" s="298"/>
      <c r="O22" s="308" t="s">
        <v>434</v>
      </c>
      <c r="P22" s="298"/>
      <c r="Q22" s="307"/>
      <c r="R22" s="298"/>
      <c r="S22" s="261"/>
      <c r="T22" s="307"/>
      <c r="U22" s="298"/>
      <c r="V22" s="307"/>
      <c r="W22" s="298"/>
      <c r="X22" s="307"/>
      <c r="Y22" s="298"/>
      <c r="Z22" s="261"/>
      <c r="AA22" s="295"/>
      <c r="AB22" s="298"/>
      <c r="AC22" s="307"/>
      <c r="AD22" s="298"/>
      <c r="AE22" s="309" t="s">
        <v>655</v>
      </c>
      <c r="AF22" s="298"/>
      <c r="AG22" s="261"/>
      <c r="AH22" s="307"/>
      <c r="AI22" s="298"/>
      <c r="AJ22" s="307"/>
      <c r="AK22" s="298"/>
      <c r="AL22" s="307"/>
      <c r="AM22" s="298"/>
      <c r="AN22" s="261"/>
      <c r="AO22" s="250"/>
      <c r="AP22" s="298"/>
      <c r="AQ22" s="307"/>
      <c r="AR22" s="298"/>
      <c r="AS22" s="307"/>
      <c r="AT22" s="254" t="str">
        <f t="shared" ref="AT22:AT23" si="10">IF(COUNTIF($AO$85:$AT$87, AS22) &gt; 0, "X", "")</f>
        <v/>
      </c>
      <c r="AU22" s="269"/>
      <c r="AV22" s="269"/>
      <c r="AW22" s="206" t="str">
        <f>TEAM!B94</f>
        <v>#REF!</v>
      </c>
      <c r="AX22" s="207">
        <f t="shared" si="2"/>
        <v>49</v>
      </c>
      <c r="AY22" s="208">
        <f t="shared" si="3"/>
        <v>52</v>
      </c>
      <c r="AZ22" s="208">
        <f t="shared" si="4"/>
        <v>45</v>
      </c>
      <c r="BA22" s="208">
        <f t="shared" si="5"/>
        <v>43</v>
      </c>
      <c r="BB22" s="209">
        <f t="shared" si="6"/>
        <v>0</v>
      </c>
      <c r="BC22" s="210">
        <f t="shared" si="7"/>
        <v>1512</v>
      </c>
      <c r="BD22" s="211"/>
      <c r="BE22" s="212"/>
    </row>
    <row r="23">
      <c r="A23" s="94"/>
      <c r="B23" s="310" t="s">
        <v>656</v>
      </c>
      <c r="C23" s="278" t="s">
        <v>657</v>
      </c>
      <c r="D23" s="243"/>
      <c r="E23" s="259"/>
      <c r="F23" s="279"/>
      <c r="G23" s="246"/>
      <c r="H23" s="274" t="s">
        <v>458</v>
      </c>
      <c r="I23" s="246"/>
      <c r="K23" s="246"/>
      <c r="L23" s="261"/>
      <c r="M23" s="250"/>
      <c r="N23" s="246"/>
      <c r="O23" s="274" t="s">
        <v>458</v>
      </c>
      <c r="P23" s="246"/>
      <c r="Q23" s="281"/>
      <c r="R23" s="246"/>
      <c r="S23" s="261"/>
      <c r="T23" s="281"/>
      <c r="U23" s="246"/>
      <c r="V23" s="282"/>
      <c r="W23" s="246"/>
      <c r="Y23" s="246"/>
      <c r="Z23" s="261"/>
      <c r="AA23" s="295"/>
      <c r="AB23" s="246"/>
      <c r="AD23" s="246"/>
      <c r="AE23" s="311" t="s">
        <v>434</v>
      </c>
      <c r="AF23" s="246"/>
      <c r="AG23" s="261"/>
      <c r="AH23" s="282"/>
      <c r="AI23" s="246"/>
      <c r="AJ23" s="282"/>
      <c r="AK23" s="246"/>
      <c r="AM23" s="246"/>
      <c r="AN23" s="261"/>
      <c r="AO23" s="250"/>
      <c r="AP23" s="246"/>
      <c r="AQ23" s="282"/>
      <c r="AR23" s="246"/>
      <c r="AS23" s="276"/>
      <c r="AT23" s="254" t="str">
        <f t="shared" si="10"/>
        <v/>
      </c>
      <c r="AU23" s="269"/>
      <c r="AV23" s="269"/>
      <c r="AW23" s="206" t="str">
        <f t="shared" ref="AW23:AW39" si="11">TEAM!B22</f>
        <v>#REF!</v>
      </c>
      <c r="AX23" s="207">
        <f t="shared" si="2"/>
        <v>49</v>
      </c>
      <c r="AY23" s="208">
        <f t="shared" si="3"/>
        <v>52</v>
      </c>
      <c r="AZ23" s="208">
        <f t="shared" si="4"/>
        <v>45</v>
      </c>
      <c r="BA23" s="208">
        <f t="shared" si="5"/>
        <v>43</v>
      </c>
      <c r="BB23" s="209">
        <f t="shared" si="6"/>
        <v>0</v>
      </c>
      <c r="BC23" s="210">
        <f t="shared" si="7"/>
        <v>1512</v>
      </c>
      <c r="BD23" s="211"/>
      <c r="BE23" s="212"/>
    </row>
    <row r="24">
      <c r="A24" s="94"/>
      <c r="B24" s="277" t="s">
        <v>658</v>
      </c>
      <c r="C24" s="278" t="s">
        <v>657</v>
      </c>
      <c r="D24" s="243"/>
      <c r="E24" s="259"/>
      <c r="F24" s="312"/>
      <c r="G24" s="246"/>
      <c r="H24" s="282"/>
      <c r="I24" s="246"/>
      <c r="K24" s="246"/>
      <c r="L24" s="261"/>
      <c r="M24" s="250"/>
      <c r="N24" s="246"/>
      <c r="P24" s="246"/>
      <c r="Q24" s="282"/>
      <c r="R24" s="246"/>
      <c r="S24" s="261"/>
      <c r="T24" s="282"/>
      <c r="U24" s="246"/>
      <c r="V24" s="282"/>
      <c r="W24" s="246"/>
      <c r="X24" s="281"/>
      <c r="Y24" s="246"/>
      <c r="Z24" s="261"/>
      <c r="AA24" s="295"/>
      <c r="AB24" s="246"/>
      <c r="AC24" s="282"/>
      <c r="AD24" s="246"/>
      <c r="AE24" s="282"/>
      <c r="AF24" s="246"/>
      <c r="AG24" s="261"/>
      <c r="AH24" s="282"/>
      <c r="AI24" s="246"/>
      <c r="AJ24" s="313" t="s">
        <v>659</v>
      </c>
      <c r="AK24" s="246"/>
      <c r="AL24" s="282"/>
      <c r="AM24" s="246"/>
      <c r="AN24" s="261"/>
      <c r="AO24" s="250"/>
      <c r="AP24" s="246"/>
      <c r="AQ24" s="282"/>
      <c r="AR24" s="246"/>
      <c r="AS24" s="276"/>
      <c r="AT24" s="254" t="str">
        <f t="shared" ref="AT24:AT26" si="12">IF(COUNTIF($AO$85:$AT$87, #REF!) &gt; 0, "X", "")</f>
        <v/>
      </c>
      <c r="AU24" s="269"/>
      <c r="AV24" s="269"/>
      <c r="AW24" s="206" t="str">
        <f t="shared" si="11"/>
        <v>#REF!</v>
      </c>
      <c r="AX24" s="207">
        <f t="shared" si="2"/>
        <v>49</v>
      </c>
      <c r="AY24" s="208">
        <f t="shared" si="3"/>
        <v>52</v>
      </c>
      <c r="AZ24" s="208">
        <f t="shared" si="4"/>
        <v>45</v>
      </c>
      <c r="BA24" s="208">
        <f t="shared" si="5"/>
        <v>43</v>
      </c>
      <c r="BB24" s="209">
        <f t="shared" si="6"/>
        <v>0</v>
      </c>
      <c r="BC24" s="210">
        <f t="shared" si="7"/>
        <v>1512</v>
      </c>
      <c r="BD24" s="211"/>
      <c r="BE24" s="212"/>
    </row>
    <row r="25">
      <c r="A25" s="94"/>
      <c r="B25" s="314" t="s">
        <v>660</v>
      </c>
      <c r="C25" s="315" t="s">
        <v>649</v>
      </c>
      <c r="D25" s="243"/>
      <c r="E25" s="259"/>
      <c r="F25" s="316"/>
      <c r="G25" s="246"/>
      <c r="H25" s="286"/>
      <c r="I25" s="246"/>
      <c r="J25" s="293" t="s">
        <v>424</v>
      </c>
      <c r="K25" s="246"/>
      <c r="L25" s="261"/>
      <c r="M25" s="316"/>
      <c r="N25" s="246"/>
      <c r="O25" s="253" t="s">
        <v>417</v>
      </c>
      <c r="P25" s="246"/>
      <c r="Q25" s="293" t="s">
        <v>424</v>
      </c>
      <c r="R25" s="246"/>
      <c r="S25" s="261"/>
      <c r="T25" s="317"/>
      <c r="U25" s="246"/>
      <c r="V25" s="253" t="s">
        <v>417</v>
      </c>
      <c r="W25" s="246"/>
      <c r="X25" s="293" t="s">
        <v>418</v>
      </c>
      <c r="Y25" s="246"/>
      <c r="Z25" s="261"/>
      <c r="AA25" s="295"/>
      <c r="AB25" s="246"/>
      <c r="AC25" s="253" t="s">
        <v>417</v>
      </c>
      <c r="AD25" s="246"/>
      <c r="AE25" s="293" t="s">
        <v>416</v>
      </c>
      <c r="AF25" s="246"/>
      <c r="AG25" s="261"/>
      <c r="AH25" s="317"/>
      <c r="AI25" s="246"/>
      <c r="AJ25" s="293" t="s">
        <v>418</v>
      </c>
      <c r="AK25" s="246"/>
      <c r="AL25" s="293" t="s">
        <v>426</v>
      </c>
      <c r="AM25" s="246"/>
      <c r="AN25" s="261"/>
      <c r="AO25" s="316"/>
      <c r="AP25" s="246"/>
      <c r="AQ25" s="293" t="s">
        <v>416</v>
      </c>
      <c r="AR25" s="246"/>
      <c r="AS25" s="293" t="s">
        <v>426</v>
      </c>
      <c r="AT25" s="254" t="str">
        <f t="shared" si="12"/>
        <v/>
      </c>
      <c r="AU25" s="269"/>
      <c r="AV25" s="269"/>
      <c r="AW25" s="206" t="str">
        <f t="shared" si="11"/>
        <v>#REF!</v>
      </c>
      <c r="AX25" s="207">
        <f t="shared" si="2"/>
        <v>49</v>
      </c>
      <c r="AY25" s="208">
        <f t="shared" si="3"/>
        <v>52</v>
      </c>
      <c r="AZ25" s="208">
        <f t="shared" si="4"/>
        <v>45</v>
      </c>
      <c r="BA25" s="208">
        <f t="shared" si="5"/>
        <v>43</v>
      </c>
      <c r="BB25" s="209">
        <f t="shared" si="6"/>
        <v>0</v>
      </c>
      <c r="BC25" s="210">
        <f t="shared" si="7"/>
        <v>1512</v>
      </c>
      <c r="BD25" s="211"/>
      <c r="BE25" s="212"/>
    </row>
    <row r="26">
      <c r="A26" s="94"/>
      <c r="B26" s="296" t="s">
        <v>650</v>
      </c>
      <c r="C26" s="297" t="s">
        <v>649</v>
      </c>
      <c r="D26" s="243"/>
      <c r="E26" s="259"/>
      <c r="F26" s="250"/>
      <c r="G26" s="298"/>
      <c r="H26" s="250"/>
      <c r="I26" s="298"/>
      <c r="J26" s="318"/>
      <c r="K26" s="298"/>
      <c r="L26" s="261"/>
      <c r="M26" s="250"/>
      <c r="N26" s="298"/>
      <c r="O26" s="300"/>
      <c r="P26" s="298"/>
      <c r="Q26" s="318"/>
      <c r="R26" s="298"/>
      <c r="S26" s="261"/>
      <c r="T26" s="317"/>
      <c r="U26" s="298"/>
      <c r="V26" s="300"/>
      <c r="W26" s="298"/>
      <c r="X26" s="300"/>
      <c r="Y26" s="298"/>
      <c r="Z26" s="261"/>
      <c r="AA26" s="295"/>
      <c r="AB26" s="298"/>
      <c r="AC26" s="319"/>
      <c r="AD26" s="298"/>
      <c r="AE26" s="319"/>
      <c r="AF26" s="298"/>
      <c r="AG26" s="261"/>
      <c r="AH26" s="317"/>
      <c r="AI26" s="298"/>
      <c r="AJ26" s="300"/>
      <c r="AK26" s="298"/>
      <c r="AL26" s="300"/>
      <c r="AM26" s="298"/>
      <c r="AN26" s="261"/>
      <c r="AO26" s="250"/>
      <c r="AP26" s="298"/>
      <c r="AQ26" s="300"/>
      <c r="AR26" s="298"/>
      <c r="AS26" s="299"/>
      <c r="AT26" s="254" t="str">
        <f t="shared" si="12"/>
        <v/>
      </c>
      <c r="AU26" s="269"/>
      <c r="AV26" s="269"/>
      <c r="AW26" s="206" t="str">
        <f t="shared" si="11"/>
        <v>#REF!</v>
      </c>
      <c r="AX26" s="207">
        <f t="shared" si="2"/>
        <v>49</v>
      </c>
      <c r="AY26" s="208">
        <f t="shared" si="3"/>
        <v>52</v>
      </c>
      <c r="AZ26" s="208">
        <f t="shared" si="4"/>
        <v>45</v>
      </c>
      <c r="BA26" s="208">
        <f t="shared" si="5"/>
        <v>43</v>
      </c>
      <c r="BB26" s="209">
        <f t="shared" si="6"/>
        <v>0</v>
      </c>
      <c r="BC26" s="210">
        <f t="shared" si="7"/>
        <v>1512</v>
      </c>
      <c r="BD26" s="211"/>
      <c r="BE26" s="212"/>
    </row>
    <row r="27">
      <c r="A27" s="94"/>
      <c r="B27" s="301" t="s">
        <v>651</v>
      </c>
      <c r="C27" s="302" t="s">
        <v>652</v>
      </c>
      <c r="D27" s="243"/>
      <c r="E27" s="259"/>
      <c r="F27" s="279"/>
      <c r="G27" s="298"/>
      <c r="H27" s="279"/>
      <c r="I27" s="298"/>
      <c r="J27" s="303"/>
      <c r="K27" s="298"/>
      <c r="L27" s="261"/>
      <c r="M27" s="250"/>
      <c r="N27" s="298"/>
      <c r="O27" s="303"/>
      <c r="P27" s="298"/>
      <c r="Q27" s="303"/>
      <c r="R27" s="298"/>
      <c r="S27" s="261"/>
      <c r="T27" s="320"/>
      <c r="U27" s="298"/>
      <c r="V27" s="321" t="s">
        <v>661</v>
      </c>
      <c r="W27" s="298"/>
      <c r="X27" s="303"/>
      <c r="Y27" s="298"/>
      <c r="Z27" s="261"/>
      <c r="AA27" s="295"/>
      <c r="AB27" s="298"/>
      <c r="AC27" s="303"/>
      <c r="AD27" s="298"/>
      <c r="AE27" s="321" t="s">
        <v>661</v>
      </c>
      <c r="AF27" s="298"/>
      <c r="AG27" s="261"/>
      <c r="AH27" s="320"/>
      <c r="AI27" s="298"/>
      <c r="AJ27" s="303"/>
      <c r="AK27" s="298"/>
      <c r="AL27" s="321" t="s">
        <v>661</v>
      </c>
      <c r="AM27" s="298"/>
      <c r="AN27" s="261"/>
      <c r="AO27" s="250"/>
      <c r="AP27" s="298"/>
      <c r="AQ27" s="303"/>
      <c r="AR27" s="298"/>
      <c r="AS27" s="303"/>
      <c r="AT27" s="254" t="str">
        <f>IF(COUNTIF($AO$85:$AT$87, AS27) &gt; 0, "X", "")</f>
        <v/>
      </c>
      <c r="AU27" s="269"/>
      <c r="AV27" s="269"/>
      <c r="AW27" s="206" t="str">
        <f t="shared" si="11"/>
        <v>#REF!</v>
      </c>
      <c r="AX27" s="207">
        <f t="shared" si="2"/>
        <v>49</v>
      </c>
      <c r="AY27" s="208">
        <f t="shared" si="3"/>
        <v>52</v>
      </c>
      <c r="AZ27" s="208">
        <f t="shared" si="4"/>
        <v>45</v>
      </c>
      <c r="BA27" s="208">
        <f t="shared" si="5"/>
        <v>43</v>
      </c>
      <c r="BB27" s="209">
        <f t="shared" si="6"/>
        <v>0</v>
      </c>
      <c r="BC27" s="210">
        <f t="shared" si="7"/>
        <v>1512</v>
      </c>
      <c r="BD27" s="211"/>
      <c r="BE27" s="212"/>
    </row>
    <row r="28">
      <c r="A28" s="94"/>
      <c r="B28" s="322" t="s">
        <v>662</v>
      </c>
      <c r="C28" s="306" t="s">
        <v>663</v>
      </c>
      <c r="D28" s="323"/>
      <c r="E28" s="259"/>
      <c r="F28" s="250"/>
      <c r="G28" s="298"/>
      <c r="H28" s="250"/>
      <c r="I28" s="298"/>
      <c r="J28" s="307"/>
      <c r="K28" s="298"/>
      <c r="L28" s="261"/>
      <c r="M28" s="324"/>
      <c r="N28" s="298"/>
      <c r="O28" s="325" t="s">
        <v>664</v>
      </c>
      <c r="P28" s="298"/>
      <c r="Q28" s="307"/>
      <c r="R28" s="298"/>
      <c r="S28" s="261"/>
      <c r="T28" s="317"/>
      <c r="U28" s="298"/>
      <c r="V28" s="307"/>
      <c r="W28" s="298"/>
      <c r="X28" s="326" t="s">
        <v>414</v>
      </c>
      <c r="Y28" s="298"/>
      <c r="Z28" s="261"/>
      <c r="AA28" s="295"/>
      <c r="AB28" s="298"/>
      <c r="AC28" s="307"/>
      <c r="AD28" s="298"/>
      <c r="AE28" s="309" t="s">
        <v>414</v>
      </c>
      <c r="AF28" s="298"/>
      <c r="AG28" s="261"/>
      <c r="AH28" s="317"/>
      <c r="AI28" s="298"/>
      <c r="AJ28" s="307"/>
      <c r="AK28" s="298"/>
      <c r="AL28" s="327"/>
      <c r="AM28" s="298"/>
      <c r="AN28" s="261"/>
      <c r="AO28" s="324"/>
      <c r="AP28" s="298"/>
      <c r="AQ28" s="307"/>
      <c r="AR28" s="298"/>
      <c r="AS28" s="307"/>
      <c r="AT28" s="254" t="str">
        <f t="shared" ref="AT28:AT29" si="13">IF(COUNTIF($AO$85:$AT$87, #REF!) &gt; 0, "X", "")</f>
        <v/>
      </c>
      <c r="AU28" s="269"/>
      <c r="AV28" s="269"/>
      <c r="AW28" s="206" t="str">
        <f t="shared" si="11"/>
        <v>#REF!</v>
      </c>
      <c r="AX28" s="207">
        <f t="shared" si="2"/>
        <v>49</v>
      </c>
      <c r="AY28" s="208">
        <f t="shared" si="3"/>
        <v>52</v>
      </c>
      <c r="AZ28" s="208">
        <f t="shared" si="4"/>
        <v>45</v>
      </c>
      <c r="BA28" s="208">
        <f t="shared" si="5"/>
        <v>43</v>
      </c>
      <c r="BB28" s="209">
        <f t="shared" si="6"/>
        <v>0</v>
      </c>
      <c r="BC28" s="210">
        <f t="shared" si="7"/>
        <v>1512</v>
      </c>
      <c r="BD28" s="211"/>
      <c r="BE28" s="212"/>
    </row>
    <row r="29">
      <c r="A29" s="94"/>
      <c r="B29" s="328" t="s">
        <v>665</v>
      </c>
      <c r="C29" s="329" t="s">
        <v>654</v>
      </c>
      <c r="D29" s="330"/>
      <c r="E29" s="259"/>
      <c r="F29" s="331"/>
      <c r="G29" s="246"/>
      <c r="H29" s="332"/>
      <c r="I29" s="246"/>
      <c r="J29" s="274" t="s">
        <v>655</v>
      </c>
      <c r="K29" s="246"/>
      <c r="L29" s="261"/>
      <c r="M29" s="333"/>
      <c r="N29" s="246"/>
      <c r="O29" s="334" t="s">
        <v>450</v>
      </c>
      <c r="P29" s="246"/>
      <c r="Q29" s="274" t="s">
        <v>443</v>
      </c>
      <c r="R29" s="246"/>
      <c r="S29" s="261"/>
      <c r="T29" s="320"/>
      <c r="U29" s="246"/>
      <c r="V29" s="274" t="s">
        <v>458</v>
      </c>
      <c r="W29" s="246"/>
      <c r="X29" s="335" t="s">
        <v>409</v>
      </c>
      <c r="Y29" s="246"/>
      <c r="Z29" s="261"/>
      <c r="AA29" s="295"/>
      <c r="AB29" s="246"/>
      <c r="AC29" s="336" t="s">
        <v>450</v>
      </c>
      <c r="AD29" s="246"/>
      <c r="AE29" s="274" t="s">
        <v>443</v>
      </c>
      <c r="AF29" s="246"/>
      <c r="AG29" s="261"/>
      <c r="AH29" s="320"/>
      <c r="AI29" s="246"/>
      <c r="AJ29" s="336" t="s">
        <v>398</v>
      </c>
      <c r="AK29" s="246"/>
      <c r="AL29" s="311" t="s">
        <v>434</v>
      </c>
      <c r="AM29" s="246"/>
      <c r="AN29" s="261"/>
      <c r="AO29" s="333"/>
      <c r="AP29" s="246"/>
      <c r="AQ29" s="336" t="s">
        <v>398</v>
      </c>
      <c r="AR29" s="246"/>
      <c r="AS29" s="325" t="s">
        <v>666</v>
      </c>
      <c r="AT29" s="254" t="str">
        <f t="shared" si="13"/>
        <v/>
      </c>
      <c r="AU29" s="269"/>
      <c r="AV29" s="269"/>
      <c r="AW29" s="206" t="str">
        <f t="shared" si="11"/>
        <v>#REF!</v>
      </c>
      <c r="AX29" s="207">
        <f t="shared" si="2"/>
        <v>49</v>
      </c>
      <c r="AY29" s="208">
        <f t="shared" si="3"/>
        <v>52</v>
      </c>
      <c r="AZ29" s="208">
        <f t="shared" si="4"/>
        <v>45</v>
      </c>
      <c r="BA29" s="208">
        <f t="shared" si="5"/>
        <v>43</v>
      </c>
      <c r="BB29" s="209">
        <f t="shared" si="6"/>
        <v>0</v>
      </c>
      <c r="BC29" s="210">
        <f t="shared" si="7"/>
        <v>1512</v>
      </c>
      <c r="BD29" s="211"/>
      <c r="BE29" s="212"/>
    </row>
    <row r="30">
      <c r="A30" s="94"/>
      <c r="B30" s="337" t="s">
        <v>665</v>
      </c>
      <c r="C30" s="338" t="s">
        <v>657</v>
      </c>
      <c r="D30" s="330"/>
      <c r="E30" s="259"/>
      <c r="F30" s="332"/>
      <c r="G30" s="246"/>
      <c r="H30" s="324"/>
      <c r="I30" s="246"/>
      <c r="J30" s="335" t="s">
        <v>409</v>
      </c>
      <c r="K30" s="246"/>
      <c r="L30" s="261"/>
      <c r="M30" s="324"/>
      <c r="N30" s="246"/>
      <c r="P30" s="246"/>
      <c r="Q30" s="274" t="s">
        <v>655</v>
      </c>
      <c r="R30" s="246"/>
      <c r="S30" s="261"/>
      <c r="T30" s="320"/>
      <c r="U30" s="246"/>
      <c r="V30" s="336" t="s">
        <v>450</v>
      </c>
      <c r="W30" s="246"/>
      <c r="X30" s="274" t="s">
        <v>448</v>
      </c>
      <c r="Y30" s="246"/>
      <c r="Z30" s="261"/>
      <c r="AA30" s="295"/>
      <c r="AB30" s="246"/>
      <c r="AC30" s="339" t="s">
        <v>459</v>
      </c>
      <c r="AD30" s="246"/>
      <c r="AE30" s="274" t="s">
        <v>448</v>
      </c>
      <c r="AF30" s="246"/>
      <c r="AG30" s="261"/>
      <c r="AH30" s="320"/>
      <c r="AI30" s="246"/>
      <c r="AJ30" s="340" t="s">
        <v>414</v>
      </c>
      <c r="AK30" s="246"/>
      <c r="AL30" s="274" t="s">
        <v>448</v>
      </c>
      <c r="AM30" s="246"/>
      <c r="AN30" s="261"/>
      <c r="AO30" s="324"/>
      <c r="AP30" s="246"/>
      <c r="AQ30" s="274" t="s">
        <v>458</v>
      </c>
      <c r="AR30" s="246"/>
      <c r="AS30" s="274" t="s">
        <v>415</v>
      </c>
      <c r="AT30" s="254" t="str">
        <f>IF(COUNTIF($AO$85:$AT$87, AH37) &gt; 0, "X", "")</f>
        <v/>
      </c>
      <c r="AU30" s="269"/>
      <c r="AV30" s="269"/>
      <c r="AW30" s="206" t="str">
        <f t="shared" si="11"/>
        <v>#REF!</v>
      </c>
      <c r="AX30" s="207">
        <f t="shared" si="2"/>
        <v>49</v>
      </c>
      <c r="AY30" s="208">
        <f t="shared" si="3"/>
        <v>52</v>
      </c>
      <c r="AZ30" s="208">
        <f t="shared" si="4"/>
        <v>45</v>
      </c>
      <c r="BA30" s="208">
        <f t="shared" si="5"/>
        <v>43</v>
      </c>
      <c r="BB30" s="209">
        <f t="shared" si="6"/>
        <v>0</v>
      </c>
      <c r="BC30" s="210">
        <f t="shared" si="7"/>
        <v>1512</v>
      </c>
      <c r="BD30" s="211"/>
      <c r="BE30" s="212"/>
    </row>
    <row r="31">
      <c r="A31" s="94"/>
      <c r="B31" s="256" t="s">
        <v>665</v>
      </c>
      <c r="C31" s="257" t="s">
        <v>663</v>
      </c>
      <c r="D31" s="330"/>
      <c r="E31" s="259"/>
      <c r="F31" s="312"/>
      <c r="G31" s="246"/>
      <c r="H31" s="312"/>
      <c r="I31" s="246"/>
      <c r="J31" s="274" t="s">
        <v>448</v>
      </c>
      <c r="K31" s="246"/>
      <c r="L31" s="261"/>
      <c r="M31" s="341"/>
      <c r="N31" s="246"/>
      <c r="O31" s="339" t="s">
        <v>459</v>
      </c>
      <c r="P31" s="246"/>
      <c r="R31" s="246"/>
      <c r="S31" s="261"/>
      <c r="T31" s="320"/>
      <c r="U31" s="246"/>
      <c r="W31" s="246"/>
      <c r="X31" s="274" t="s">
        <v>415</v>
      </c>
      <c r="Y31" s="246"/>
      <c r="Z31" s="261"/>
      <c r="AA31" s="295"/>
      <c r="AB31" s="246"/>
      <c r="AD31" s="246"/>
      <c r="AF31" s="246"/>
      <c r="AG31" s="261"/>
      <c r="AH31" s="320"/>
      <c r="AI31" s="246"/>
      <c r="AJ31" s="339" t="s">
        <v>459</v>
      </c>
      <c r="AK31" s="246"/>
      <c r="AM31" s="246"/>
      <c r="AN31" s="261"/>
      <c r="AO31" s="341"/>
      <c r="AP31" s="246"/>
      <c r="AQ31" s="339" t="s">
        <v>459</v>
      </c>
      <c r="AR31" s="246"/>
      <c r="AS31" s="274" t="s">
        <v>443</v>
      </c>
      <c r="AT31" s="254" t="str">
        <f t="shared" ref="AT31:AT35" si="14">IF(COUNTIF($AO$85:$AT$87, #REF!) &gt; 0, "X", "")</f>
        <v/>
      </c>
      <c r="AU31" s="269"/>
      <c r="AV31" s="269"/>
      <c r="AW31" s="206" t="str">
        <f t="shared" si="11"/>
        <v>#REF!</v>
      </c>
      <c r="AX31" s="207">
        <f t="shared" si="2"/>
        <v>49</v>
      </c>
      <c r="AY31" s="208">
        <f t="shared" si="3"/>
        <v>52</v>
      </c>
      <c r="AZ31" s="208">
        <f t="shared" si="4"/>
        <v>45</v>
      </c>
      <c r="BA31" s="208">
        <f t="shared" si="5"/>
        <v>43</v>
      </c>
      <c r="BB31" s="209">
        <f t="shared" si="6"/>
        <v>0</v>
      </c>
      <c r="BC31" s="210">
        <f t="shared" si="7"/>
        <v>1512</v>
      </c>
      <c r="BD31" s="211"/>
      <c r="BE31" s="212"/>
    </row>
    <row r="32">
      <c r="A32" s="94"/>
      <c r="B32" s="328" t="s">
        <v>665</v>
      </c>
      <c r="C32" s="329" t="s">
        <v>645</v>
      </c>
      <c r="D32" s="330"/>
      <c r="E32" s="259"/>
      <c r="F32" s="332"/>
      <c r="G32" s="246"/>
      <c r="H32" s="312"/>
      <c r="I32" s="246"/>
      <c r="K32" s="246"/>
      <c r="L32" s="261"/>
      <c r="M32" s="341"/>
      <c r="N32" s="246"/>
      <c r="O32" s="340" t="s">
        <v>409</v>
      </c>
      <c r="P32" s="246"/>
      <c r="Q32" s="274" t="s">
        <v>448</v>
      </c>
      <c r="R32" s="246"/>
      <c r="S32" s="261"/>
      <c r="T32" s="320"/>
      <c r="U32" s="246"/>
      <c r="V32" s="339" t="s">
        <v>459</v>
      </c>
      <c r="W32" s="246"/>
      <c r="X32" s="274" t="s">
        <v>443</v>
      </c>
      <c r="Y32" s="246"/>
      <c r="Z32" s="261"/>
      <c r="AA32" s="295"/>
      <c r="AB32" s="246"/>
      <c r="AD32" s="246"/>
      <c r="AE32" s="340" t="s">
        <v>415</v>
      </c>
      <c r="AF32" s="246"/>
      <c r="AG32" s="261"/>
      <c r="AH32" s="320"/>
      <c r="AI32" s="246"/>
      <c r="AJ32" s="336" t="s">
        <v>450</v>
      </c>
      <c r="AK32" s="246"/>
      <c r="AL32" s="274" t="s">
        <v>415</v>
      </c>
      <c r="AM32" s="246"/>
      <c r="AN32" s="261"/>
      <c r="AO32" s="341"/>
      <c r="AP32" s="246"/>
      <c r="AQ32" s="336" t="s">
        <v>450</v>
      </c>
      <c r="AR32" s="246"/>
      <c r="AS32" s="340" t="s">
        <v>414</v>
      </c>
      <c r="AT32" s="254" t="str">
        <f t="shared" si="14"/>
        <v/>
      </c>
      <c r="AU32" s="269"/>
      <c r="AV32" s="269"/>
      <c r="AW32" s="206" t="str">
        <f t="shared" si="11"/>
        <v>#REF!</v>
      </c>
      <c r="AX32" s="207">
        <f t="shared" si="2"/>
        <v>49</v>
      </c>
      <c r="AY32" s="208">
        <f t="shared" si="3"/>
        <v>52</v>
      </c>
      <c r="AZ32" s="208">
        <f t="shared" si="4"/>
        <v>45</v>
      </c>
      <c r="BA32" s="208">
        <f t="shared" si="5"/>
        <v>43</v>
      </c>
      <c r="BB32" s="209">
        <f t="shared" si="6"/>
        <v>0</v>
      </c>
      <c r="BC32" s="210">
        <f t="shared" si="7"/>
        <v>1512</v>
      </c>
      <c r="BD32" s="211"/>
      <c r="BE32" s="212"/>
    </row>
    <row r="33">
      <c r="A33" s="94"/>
      <c r="B33" s="342" t="s">
        <v>667</v>
      </c>
      <c r="C33" s="343" t="s">
        <v>657</v>
      </c>
      <c r="D33" s="323"/>
      <c r="E33" s="261"/>
      <c r="F33" s="344"/>
      <c r="G33" s="246"/>
      <c r="H33" s="312"/>
      <c r="I33" s="246"/>
      <c r="J33" s="345" t="s">
        <v>401</v>
      </c>
      <c r="K33" s="246"/>
      <c r="L33" s="261"/>
      <c r="M33" s="346"/>
      <c r="N33" s="246"/>
      <c r="O33" s="345" t="s">
        <v>401</v>
      </c>
      <c r="P33" s="246"/>
      <c r="R33" s="246"/>
      <c r="S33" s="261"/>
      <c r="T33" s="345" t="s">
        <v>401</v>
      </c>
      <c r="U33" s="246"/>
      <c r="W33" s="246"/>
      <c r="Y33" s="246"/>
      <c r="Z33" s="261"/>
      <c r="AA33" s="295"/>
      <c r="AB33" s="246"/>
      <c r="AC33" s="347" t="s">
        <v>401</v>
      </c>
      <c r="AD33" s="246"/>
      <c r="AF33" s="246"/>
      <c r="AG33" s="261"/>
      <c r="AH33" s="345" t="s">
        <v>401</v>
      </c>
      <c r="AI33" s="246"/>
      <c r="AJ33" s="348" t="s">
        <v>668</v>
      </c>
      <c r="AK33" s="246"/>
      <c r="AL33" s="282"/>
      <c r="AM33" s="246"/>
      <c r="AN33" s="261"/>
      <c r="AO33" s="346"/>
      <c r="AP33" s="246"/>
      <c r="AQ33" s="345" t="s">
        <v>401</v>
      </c>
      <c r="AR33" s="246"/>
      <c r="AS33" s="282"/>
      <c r="AT33" s="254" t="str">
        <f t="shared" si="14"/>
        <v/>
      </c>
      <c r="AU33" s="269"/>
      <c r="AV33" s="269"/>
      <c r="AW33" s="206" t="str">
        <f t="shared" si="11"/>
        <v>#REF!</v>
      </c>
      <c r="AX33" s="207">
        <f t="shared" si="2"/>
        <v>49</v>
      </c>
      <c r="AY33" s="208">
        <f t="shared" si="3"/>
        <v>52</v>
      </c>
      <c r="AZ33" s="208">
        <f t="shared" si="4"/>
        <v>45</v>
      </c>
      <c r="BA33" s="208">
        <f t="shared" si="5"/>
        <v>43</v>
      </c>
      <c r="BB33" s="209">
        <f t="shared" si="6"/>
        <v>0</v>
      </c>
      <c r="BC33" s="210">
        <f t="shared" si="7"/>
        <v>1512</v>
      </c>
      <c r="BD33" s="211"/>
      <c r="BE33" s="212"/>
    </row>
    <row r="34">
      <c r="A34" s="234"/>
      <c r="B34" s="349" t="s">
        <v>669</v>
      </c>
      <c r="C34" s="350" t="s">
        <v>649</v>
      </c>
      <c r="D34" s="351"/>
      <c r="E34" s="259"/>
      <c r="F34" s="352"/>
      <c r="G34" s="246"/>
      <c r="H34" s="293" t="s">
        <v>416</v>
      </c>
      <c r="I34" s="246"/>
      <c r="J34" s="353" t="s">
        <v>422</v>
      </c>
      <c r="K34" s="246"/>
      <c r="L34" s="261"/>
      <c r="M34" s="354"/>
      <c r="N34" s="246"/>
      <c r="O34" s="355" t="s">
        <v>420</v>
      </c>
      <c r="P34" s="246"/>
      <c r="Q34" s="356" t="s">
        <v>423</v>
      </c>
      <c r="R34" s="246"/>
      <c r="S34" s="261"/>
      <c r="T34" s="293" t="s">
        <v>424</v>
      </c>
      <c r="U34" s="246"/>
      <c r="V34" s="356" t="s">
        <v>423</v>
      </c>
      <c r="W34" s="246"/>
      <c r="X34" s="355" t="s">
        <v>670</v>
      </c>
      <c r="Y34" s="246"/>
      <c r="Z34" s="261"/>
      <c r="AA34" s="295"/>
      <c r="AB34" s="246"/>
      <c r="AC34" s="357" t="s">
        <v>420</v>
      </c>
      <c r="AD34" s="246"/>
      <c r="AE34" s="356" t="s">
        <v>423</v>
      </c>
      <c r="AF34" s="246"/>
      <c r="AG34" s="261"/>
      <c r="AH34" s="356" t="s">
        <v>423</v>
      </c>
      <c r="AI34" s="246"/>
      <c r="AJ34" s="357" t="s">
        <v>420</v>
      </c>
      <c r="AK34" s="246"/>
      <c r="AL34" s="253" t="s">
        <v>417</v>
      </c>
      <c r="AM34" s="246"/>
      <c r="AN34" s="261"/>
      <c r="AO34" s="354"/>
      <c r="AP34" s="246"/>
      <c r="AQ34" s="253" t="s">
        <v>417</v>
      </c>
      <c r="AR34" s="246"/>
      <c r="AS34" s="356" t="s">
        <v>423</v>
      </c>
      <c r="AT34" s="254" t="str">
        <f t="shared" si="14"/>
        <v/>
      </c>
      <c r="AU34" s="269"/>
      <c r="AV34" s="269"/>
      <c r="AW34" s="206" t="str">
        <f t="shared" si="11"/>
        <v>#REF!</v>
      </c>
      <c r="AX34" s="207">
        <f t="shared" si="2"/>
        <v>49</v>
      </c>
      <c r="AY34" s="208">
        <f t="shared" si="3"/>
        <v>52</v>
      </c>
      <c r="AZ34" s="208">
        <f t="shared" si="4"/>
        <v>45</v>
      </c>
      <c r="BA34" s="208">
        <f t="shared" si="5"/>
        <v>43</v>
      </c>
      <c r="BB34" s="209">
        <f t="shared" si="6"/>
        <v>0</v>
      </c>
      <c r="BC34" s="210">
        <f t="shared" si="7"/>
        <v>1512</v>
      </c>
      <c r="BD34" s="211"/>
      <c r="BE34" s="212"/>
    </row>
    <row r="35">
      <c r="A35" s="94"/>
      <c r="B35" s="296" t="s">
        <v>650</v>
      </c>
      <c r="C35" s="297" t="s">
        <v>649</v>
      </c>
      <c r="D35" s="323"/>
      <c r="E35" s="259"/>
      <c r="F35" s="245"/>
      <c r="G35" s="298"/>
      <c r="H35" s="299"/>
      <c r="I35" s="298"/>
      <c r="J35" s="299"/>
      <c r="K35" s="298"/>
      <c r="L35" s="261"/>
      <c r="M35" s="324"/>
      <c r="N35" s="298"/>
      <c r="O35" s="358" t="s">
        <v>397</v>
      </c>
      <c r="P35" s="298"/>
      <c r="Q35" s="318"/>
      <c r="R35" s="298"/>
      <c r="S35" s="261"/>
      <c r="T35" s="319"/>
      <c r="U35" s="298"/>
      <c r="V35" s="319"/>
      <c r="W35" s="298"/>
      <c r="X35" s="358" t="s">
        <v>397</v>
      </c>
      <c r="Y35" s="298"/>
      <c r="Z35" s="261"/>
      <c r="AA35" s="295"/>
      <c r="AB35" s="298"/>
      <c r="AC35" s="319"/>
      <c r="AD35" s="298"/>
      <c r="AE35" s="319"/>
      <c r="AF35" s="298"/>
      <c r="AG35" s="261"/>
      <c r="AH35" s="319"/>
      <c r="AI35" s="298"/>
      <c r="AJ35" s="319"/>
      <c r="AK35" s="298"/>
      <c r="AL35" s="319"/>
      <c r="AM35" s="298"/>
      <c r="AN35" s="261"/>
      <c r="AO35" s="324"/>
      <c r="AP35" s="298"/>
      <c r="AQ35" s="358" t="s">
        <v>397</v>
      </c>
      <c r="AR35" s="298"/>
      <c r="AS35" s="359"/>
      <c r="AT35" s="254" t="str">
        <f t="shared" si="14"/>
        <v/>
      </c>
      <c r="AU35" s="269"/>
      <c r="AV35" s="269"/>
      <c r="AW35" s="206" t="str">
        <f t="shared" si="11"/>
        <v>#REF!</v>
      </c>
      <c r="AX35" s="207">
        <f t="shared" si="2"/>
        <v>49</v>
      </c>
      <c r="AY35" s="208">
        <f t="shared" si="3"/>
        <v>52</v>
      </c>
      <c r="AZ35" s="208">
        <f t="shared" si="4"/>
        <v>45</v>
      </c>
      <c r="BA35" s="208">
        <f t="shared" si="5"/>
        <v>43</v>
      </c>
      <c r="BB35" s="209">
        <f t="shared" si="6"/>
        <v>0</v>
      </c>
      <c r="BC35" s="210">
        <f t="shared" si="7"/>
        <v>1512</v>
      </c>
      <c r="BD35" s="211"/>
      <c r="BE35" s="212"/>
    </row>
    <row r="36">
      <c r="A36" s="94"/>
      <c r="B36" s="301" t="s">
        <v>651</v>
      </c>
      <c r="C36" s="302" t="s">
        <v>652</v>
      </c>
      <c r="D36" s="330"/>
      <c r="E36" s="259"/>
      <c r="F36" s="279"/>
      <c r="G36" s="298"/>
      <c r="H36" s="321" t="s">
        <v>661</v>
      </c>
      <c r="I36" s="298"/>
      <c r="J36" s="303"/>
      <c r="K36" s="298"/>
      <c r="L36" s="261"/>
      <c r="M36" s="250"/>
      <c r="N36" s="298"/>
      <c r="O36" s="321" t="s">
        <v>661</v>
      </c>
      <c r="P36" s="298"/>
      <c r="Q36" s="321" t="s">
        <v>671</v>
      </c>
      <c r="R36" s="298"/>
      <c r="S36" s="261"/>
      <c r="T36" s="303"/>
      <c r="U36" s="298"/>
      <c r="V36" s="303"/>
      <c r="W36" s="298"/>
      <c r="X36" s="321" t="s">
        <v>671</v>
      </c>
      <c r="Y36" s="298"/>
      <c r="Z36" s="261"/>
      <c r="AA36" s="295"/>
      <c r="AB36" s="298"/>
      <c r="AC36" s="360" t="s">
        <v>672</v>
      </c>
      <c r="AD36" s="298"/>
      <c r="AE36" s="303"/>
      <c r="AF36" s="298"/>
      <c r="AG36" s="261"/>
      <c r="AH36" s="321" t="s">
        <v>671</v>
      </c>
      <c r="AI36" s="298"/>
      <c r="AJ36" s="360" t="s">
        <v>672</v>
      </c>
      <c r="AK36" s="298"/>
      <c r="AL36" s="303"/>
      <c r="AM36" s="298"/>
      <c r="AN36" s="261"/>
      <c r="AO36" s="250"/>
      <c r="AP36" s="298"/>
      <c r="AQ36" s="303"/>
      <c r="AR36" s="298"/>
      <c r="AS36" s="321" t="s">
        <v>671</v>
      </c>
      <c r="AT36" s="254" t="str">
        <f>IF(COUNTIF($AO$85:$AT$87, AS36) &gt; 0, "X", "")</f>
        <v/>
      </c>
      <c r="AU36" s="269"/>
      <c r="AV36" s="269"/>
      <c r="AW36" s="206" t="str">
        <f t="shared" si="11"/>
        <v>#REF!</v>
      </c>
      <c r="AX36" s="207">
        <f t="shared" si="2"/>
        <v>49</v>
      </c>
      <c r="AY36" s="208">
        <f t="shared" si="3"/>
        <v>52</v>
      </c>
      <c r="AZ36" s="208">
        <f t="shared" si="4"/>
        <v>45</v>
      </c>
      <c r="BA36" s="208">
        <f t="shared" si="5"/>
        <v>43</v>
      </c>
      <c r="BB36" s="209">
        <f t="shared" si="6"/>
        <v>0</v>
      </c>
      <c r="BC36" s="210">
        <f t="shared" si="7"/>
        <v>1512</v>
      </c>
      <c r="BD36" s="211"/>
      <c r="BE36" s="212"/>
    </row>
    <row r="37">
      <c r="A37" s="94"/>
      <c r="B37" s="361" t="s">
        <v>673</v>
      </c>
      <c r="C37" s="362" t="s">
        <v>674</v>
      </c>
      <c r="D37" s="363"/>
      <c r="E37" s="259"/>
      <c r="F37" s="332"/>
      <c r="G37" s="298"/>
      <c r="H37" s="364" t="s">
        <v>675</v>
      </c>
      <c r="I37" s="298"/>
      <c r="J37" s="251" t="s">
        <v>405</v>
      </c>
      <c r="K37" s="298"/>
      <c r="L37" s="261"/>
      <c r="M37" s="324"/>
      <c r="N37" s="298"/>
      <c r="O37" s="251" t="s">
        <v>412</v>
      </c>
      <c r="P37" s="298"/>
      <c r="Q37" s="365" t="s">
        <v>433</v>
      </c>
      <c r="R37" s="298"/>
      <c r="S37" s="261"/>
      <c r="T37" s="366" t="s">
        <v>676</v>
      </c>
      <c r="U37" s="298"/>
      <c r="V37" s="251" t="s">
        <v>412</v>
      </c>
      <c r="W37" s="298"/>
      <c r="X37" s="251" t="s">
        <v>457</v>
      </c>
      <c r="Y37" s="298"/>
      <c r="Z37" s="261"/>
      <c r="AA37" s="295"/>
      <c r="AB37" s="298"/>
      <c r="AC37" s="251" t="s">
        <v>412</v>
      </c>
      <c r="AD37" s="298"/>
      <c r="AE37" s="251" t="s">
        <v>457</v>
      </c>
      <c r="AF37" s="298"/>
      <c r="AG37" s="261"/>
      <c r="AH37" s="366" t="s">
        <v>676</v>
      </c>
      <c r="AI37" s="298"/>
      <c r="AJ37" s="251" t="s">
        <v>412</v>
      </c>
      <c r="AK37" s="298"/>
      <c r="AL37" s="251" t="s">
        <v>457</v>
      </c>
      <c r="AM37" s="298"/>
      <c r="AN37" s="261"/>
      <c r="AO37" s="324"/>
      <c r="AP37" s="298"/>
      <c r="AQ37" s="251" t="s">
        <v>457</v>
      </c>
      <c r="AR37" s="298"/>
      <c r="AS37" s="365" t="s">
        <v>433</v>
      </c>
      <c r="AT37" s="254" t="str">
        <f t="shared" ref="AT37:AT38" si="15">IF(COUNTIF($AO$85:$AT$87, #REF!) &gt; 0, "X", "")</f>
        <v/>
      </c>
      <c r="AU37" s="269"/>
      <c r="AV37" s="269"/>
      <c r="AW37" s="206" t="str">
        <f t="shared" si="11"/>
        <v>#REF!</v>
      </c>
      <c r="AX37" s="207">
        <f t="shared" si="2"/>
        <v>49</v>
      </c>
      <c r="AY37" s="208">
        <f t="shared" si="3"/>
        <v>52</v>
      </c>
      <c r="AZ37" s="208">
        <f t="shared" si="4"/>
        <v>45</v>
      </c>
      <c r="BA37" s="208">
        <f t="shared" si="5"/>
        <v>43</v>
      </c>
      <c r="BB37" s="209">
        <f t="shared" si="6"/>
        <v>0</v>
      </c>
      <c r="BC37" s="210">
        <f t="shared" si="7"/>
        <v>1512</v>
      </c>
      <c r="BD37" s="211"/>
      <c r="BE37" s="212"/>
    </row>
    <row r="38">
      <c r="A38" s="94"/>
      <c r="B38" s="367" t="s">
        <v>677</v>
      </c>
      <c r="C38" s="368" t="s">
        <v>674</v>
      </c>
      <c r="D38" s="369"/>
      <c r="E38" s="259"/>
      <c r="F38" s="312"/>
      <c r="G38" s="246"/>
      <c r="H38" s="282"/>
      <c r="I38" s="246"/>
      <c r="J38" s="370" t="s">
        <v>678</v>
      </c>
      <c r="K38" s="246"/>
      <c r="L38" s="261"/>
      <c r="M38" s="250"/>
      <c r="N38" s="246"/>
      <c r="P38" s="246"/>
      <c r="Q38" s="282"/>
      <c r="R38" s="246"/>
      <c r="S38" s="261"/>
      <c r="U38" s="246"/>
      <c r="W38" s="246"/>
      <c r="Y38" s="246"/>
      <c r="Z38" s="261"/>
      <c r="AA38" s="295"/>
      <c r="AB38" s="246"/>
      <c r="AD38" s="246"/>
      <c r="AF38" s="246"/>
      <c r="AG38" s="261"/>
      <c r="AH38" s="371"/>
      <c r="AI38" s="246"/>
      <c r="AK38" s="246"/>
      <c r="AL38" s="282"/>
      <c r="AM38" s="246"/>
      <c r="AN38" s="261"/>
      <c r="AO38" s="250"/>
      <c r="AP38" s="246"/>
      <c r="AR38" s="246"/>
      <c r="AS38" s="274"/>
      <c r="AT38" s="254" t="str">
        <f t="shared" si="15"/>
        <v/>
      </c>
      <c r="AU38" s="269"/>
      <c r="AV38" s="269"/>
      <c r="AW38" s="206" t="str">
        <f t="shared" si="11"/>
        <v>#REF!</v>
      </c>
      <c r="AX38" s="207">
        <f t="shared" si="2"/>
        <v>49</v>
      </c>
      <c r="AY38" s="208">
        <f t="shared" si="3"/>
        <v>52</v>
      </c>
      <c r="AZ38" s="208">
        <f t="shared" si="4"/>
        <v>45</v>
      </c>
      <c r="BA38" s="208">
        <f t="shared" si="5"/>
        <v>43</v>
      </c>
      <c r="BB38" s="209">
        <f t="shared" si="6"/>
        <v>0</v>
      </c>
      <c r="BC38" s="210">
        <f t="shared" si="7"/>
        <v>1512</v>
      </c>
      <c r="BD38" s="211"/>
      <c r="BE38" s="212"/>
    </row>
    <row r="39">
      <c r="A39" s="372"/>
      <c r="B39" s="256" t="s">
        <v>679</v>
      </c>
      <c r="C39" s="257" t="s">
        <v>680</v>
      </c>
      <c r="D39" s="330"/>
      <c r="E39" s="259"/>
      <c r="F39" s="373"/>
      <c r="G39" s="246"/>
      <c r="H39" s="374" t="s">
        <v>436</v>
      </c>
      <c r="I39" s="246"/>
      <c r="J39" s="274" t="s">
        <v>437</v>
      </c>
      <c r="K39" s="246"/>
      <c r="L39" s="261"/>
      <c r="M39" s="333"/>
      <c r="N39" s="246"/>
      <c r="O39" s="374" t="s">
        <v>436</v>
      </c>
      <c r="P39" s="246"/>
      <c r="Q39" s="366" t="s">
        <v>676</v>
      </c>
      <c r="R39" s="246"/>
      <c r="S39" s="261"/>
      <c r="T39" s="311" t="s">
        <v>393</v>
      </c>
      <c r="U39" s="246"/>
      <c r="V39" s="374" t="s">
        <v>436</v>
      </c>
      <c r="W39" s="246"/>
      <c r="X39" s="274" t="s">
        <v>439</v>
      </c>
      <c r="Y39" s="246"/>
      <c r="Z39" s="261"/>
      <c r="AA39" s="295"/>
      <c r="AB39" s="246"/>
      <c r="AC39" s="374" t="s">
        <v>436</v>
      </c>
      <c r="AD39" s="246"/>
      <c r="AE39" s="251" t="s">
        <v>433</v>
      </c>
      <c r="AF39" s="246"/>
      <c r="AG39" s="261"/>
      <c r="AH39" s="311" t="s">
        <v>393</v>
      </c>
      <c r="AI39" s="246"/>
      <c r="AJ39" s="311" t="s">
        <v>439</v>
      </c>
      <c r="AK39" s="246"/>
      <c r="AL39" s="274" t="s">
        <v>443</v>
      </c>
      <c r="AM39" s="246"/>
      <c r="AN39" s="261"/>
      <c r="AO39" s="333"/>
      <c r="AP39" s="246"/>
      <c r="AQ39" s="311" t="s">
        <v>439</v>
      </c>
      <c r="AR39" s="246"/>
      <c r="AS39" s="311" t="s">
        <v>436</v>
      </c>
      <c r="AT39" s="254" t="str">
        <f>IF(COUNTIF($AO$85:$AT$87, AS38) &gt; 0, "X", "")</f>
        <v/>
      </c>
      <c r="AU39" s="269"/>
      <c r="AV39" s="269"/>
      <c r="AW39" s="206" t="str">
        <f t="shared" si="11"/>
        <v>#REF!</v>
      </c>
      <c r="AX39" s="207">
        <f t="shared" si="2"/>
        <v>49</v>
      </c>
      <c r="AY39" s="208">
        <f t="shared" si="3"/>
        <v>52</v>
      </c>
      <c r="AZ39" s="208">
        <f t="shared" si="4"/>
        <v>45</v>
      </c>
      <c r="BA39" s="208">
        <f t="shared" si="5"/>
        <v>43</v>
      </c>
      <c r="BB39" s="209">
        <f t="shared" si="6"/>
        <v>0</v>
      </c>
      <c r="BC39" s="210">
        <f t="shared" si="7"/>
        <v>1512</v>
      </c>
      <c r="BD39" s="211"/>
      <c r="BE39" s="212"/>
    </row>
    <row r="40">
      <c r="A40" s="94"/>
      <c r="B40" s="328" t="s">
        <v>679</v>
      </c>
      <c r="C40" s="329" t="s">
        <v>652</v>
      </c>
      <c r="D40" s="330"/>
      <c r="E40" s="259"/>
      <c r="F40" s="375"/>
      <c r="G40" s="246"/>
      <c r="I40" s="246"/>
      <c r="J40" s="311" t="s">
        <v>434</v>
      </c>
      <c r="K40" s="246"/>
      <c r="L40" s="261"/>
      <c r="M40" s="346"/>
      <c r="N40" s="246"/>
      <c r="O40" s="376" t="s">
        <v>681</v>
      </c>
      <c r="P40" s="246"/>
      <c r="R40" s="246"/>
      <c r="S40" s="261"/>
      <c r="U40" s="246"/>
      <c r="V40" s="348" t="s">
        <v>682</v>
      </c>
      <c r="W40" s="246"/>
      <c r="Y40" s="246"/>
      <c r="Z40" s="261"/>
      <c r="AA40" s="295"/>
      <c r="AB40" s="246"/>
      <c r="AC40" s="287" t="s">
        <v>397</v>
      </c>
      <c r="AD40" s="246"/>
      <c r="AF40" s="246"/>
      <c r="AG40" s="261"/>
      <c r="AI40" s="246"/>
      <c r="AJ40" s="274" t="s">
        <v>406</v>
      </c>
      <c r="AK40" s="246"/>
      <c r="AL40" s="251" t="s">
        <v>433</v>
      </c>
      <c r="AM40" s="246"/>
      <c r="AN40" s="261"/>
      <c r="AO40" s="346"/>
      <c r="AP40" s="246"/>
      <c r="AR40" s="246"/>
      <c r="AS40" s="274" t="s">
        <v>437</v>
      </c>
      <c r="AT40" s="254" t="str">
        <f t="shared" ref="AT40:AT44" si="16">IF(COUNTIF($AO$85:$AT$87, #REF!) &gt; 0, "X", "")</f>
        <v/>
      </c>
      <c r="AU40" s="269"/>
      <c r="AV40" s="269"/>
      <c r="AW40" s="206" t="str">
        <f t="shared" ref="AW40:AW58" si="17">TEAM!B41</f>
        <v>#REF!</v>
      </c>
      <c r="AX40" s="207">
        <f t="shared" si="2"/>
        <v>49</v>
      </c>
      <c r="AY40" s="208">
        <f t="shared" si="3"/>
        <v>52</v>
      </c>
      <c r="AZ40" s="208">
        <f t="shared" si="4"/>
        <v>45</v>
      </c>
      <c r="BA40" s="208">
        <f t="shared" si="5"/>
        <v>43</v>
      </c>
      <c r="BB40" s="209">
        <f t="shared" si="6"/>
        <v>0</v>
      </c>
      <c r="BC40" s="210">
        <f t="shared" si="7"/>
        <v>1512</v>
      </c>
      <c r="BD40" s="211"/>
      <c r="BE40" s="212"/>
    </row>
    <row r="41">
      <c r="A41" s="94"/>
      <c r="B41" s="328" t="s">
        <v>679</v>
      </c>
      <c r="C41" s="329" t="s">
        <v>683</v>
      </c>
      <c r="D41" s="330"/>
      <c r="E41" s="259"/>
      <c r="F41" s="312"/>
      <c r="G41" s="246"/>
      <c r="H41" s="274" t="s">
        <v>406</v>
      </c>
      <c r="I41" s="246"/>
      <c r="J41" s="311" t="s">
        <v>455</v>
      </c>
      <c r="K41" s="246"/>
      <c r="L41" s="261"/>
      <c r="M41" s="341"/>
      <c r="N41" s="246"/>
      <c r="O41" s="274" t="s">
        <v>406</v>
      </c>
      <c r="P41" s="246"/>
      <c r="Q41" s="311" t="s">
        <v>455</v>
      </c>
      <c r="R41" s="246"/>
      <c r="S41" s="261"/>
      <c r="T41" s="251" t="s">
        <v>433</v>
      </c>
      <c r="U41" s="246"/>
      <c r="W41" s="246"/>
      <c r="X41" s="274" t="s">
        <v>655</v>
      </c>
      <c r="Y41" s="246"/>
      <c r="Z41" s="261"/>
      <c r="AA41" s="295"/>
      <c r="AB41" s="246"/>
      <c r="AD41" s="246"/>
      <c r="AE41" s="274" t="s">
        <v>439</v>
      </c>
      <c r="AF41" s="246"/>
      <c r="AG41" s="261"/>
      <c r="AH41" s="376" t="s">
        <v>453</v>
      </c>
      <c r="AI41" s="246"/>
      <c r="AJ41" s="251" t="s">
        <v>397</v>
      </c>
      <c r="AK41" s="246"/>
      <c r="AM41" s="246"/>
      <c r="AN41" s="261"/>
      <c r="AO41" s="341"/>
      <c r="AP41" s="246"/>
      <c r="AQ41" s="376" t="s">
        <v>681</v>
      </c>
      <c r="AR41" s="246"/>
      <c r="AT41" s="254" t="str">
        <f t="shared" si="16"/>
        <v/>
      </c>
      <c r="AU41" s="269"/>
      <c r="AV41" s="269"/>
      <c r="AW41" s="206" t="str">
        <f t="shared" si="17"/>
        <v>#REF!</v>
      </c>
      <c r="AX41" s="207">
        <f t="shared" si="2"/>
        <v>49</v>
      </c>
      <c r="AY41" s="208">
        <f t="shared" si="3"/>
        <v>52</v>
      </c>
      <c r="AZ41" s="208">
        <f t="shared" si="4"/>
        <v>45</v>
      </c>
      <c r="BA41" s="208">
        <f t="shared" si="5"/>
        <v>43</v>
      </c>
      <c r="BB41" s="209">
        <f t="shared" si="6"/>
        <v>0</v>
      </c>
      <c r="BC41" s="210">
        <f t="shared" si="7"/>
        <v>1512</v>
      </c>
      <c r="BD41" s="211"/>
      <c r="BE41" s="212"/>
    </row>
    <row r="42">
      <c r="A42" s="270"/>
      <c r="B42" s="377" t="s">
        <v>684</v>
      </c>
      <c r="C42" s="378" t="s">
        <v>685</v>
      </c>
      <c r="D42" s="379"/>
      <c r="E42" s="380"/>
      <c r="F42" s="312"/>
      <c r="G42" s="246"/>
      <c r="I42" s="246"/>
      <c r="K42" s="246"/>
      <c r="L42" s="381"/>
      <c r="M42" s="341"/>
      <c r="N42" s="246"/>
      <c r="O42" s="282"/>
      <c r="P42" s="246"/>
      <c r="R42" s="246"/>
      <c r="S42" s="381"/>
      <c r="T42" s="282"/>
      <c r="U42" s="246"/>
      <c r="V42" s="274" t="s">
        <v>406</v>
      </c>
      <c r="W42" s="246"/>
      <c r="Y42" s="246"/>
      <c r="Z42" s="381"/>
      <c r="AA42" s="295"/>
      <c r="AB42" s="246"/>
      <c r="AC42" s="336" t="s">
        <v>398</v>
      </c>
      <c r="AD42" s="246"/>
      <c r="AF42" s="246"/>
      <c r="AG42" s="381"/>
      <c r="AH42" s="282"/>
      <c r="AI42" s="246"/>
      <c r="AK42" s="246"/>
      <c r="AL42" s="290" t="s">
        <v>410</v>
      </c>
      <c r="AM42" s="246"/>
      <c r="AN42" s="381"/>
      <c r="AO42" s="341"/>
      <c r="AP42" s="246"/>
      <c r="AQ42" s="282"/>
      <c r="AR42" s="246"/>
      <c r="AT42" s="254" t="str">
        <f t="shared" si="16"/>
        <v/>
      </c>
      <c r="AU42" s="269"/>
      <c r="AV42" s="269"/>
      <c r="AW42" s="206" t="str">
        <f t="shared" si="17"/>
        <v>#REF!</v>
      </c>
      <c r="AX42" s="207">
        <f t="shared" si="2"/>
        <v>49</v>
      </c>
      <c r="AY42" s="208">
        <f t="shared" si="3"/>
        <v>52</v>
      </c>
      <c r="AZ42" s="208">
        <f t="shared" si="4"/>
        <v>45</v>
      </c>
      <c r="BA42" s="208">
        <f t="shared" si="5"/>
        <v>43</v>
      </c>
      <c r="BB42" s="209">
        <f t="shared" si="6"/>
        <v>0</v>
      </c>
      <c r="BC42" s="210">
        <f t="shared" si="7"/>
        <v>1512</v>
      </c>
      <c r="BD42" s="211"/>
      <c r="BE42" s="212"/>
    </row>
    <row r="43">
      <c r="A43" s="234"/>
      <c r="B43" s="382" t="s">
        <v>686</v>
      </c>
      <c r="C43" s="242" t="s">
        <v>652</v>
      </c>
      <c r="D43" s="363"/>
      <c r="E43" s="259"/>
      <c r="F43" s="375"/>
      <c r="G43" s="246"/>
      <c r="H43" s="383" t="s">
        <v>428</v>
      </c>
      <c r="I43" s="246"/>
      <c r="J43" s="376" t="s">
        <v>453</v>
      </c>
      <c r="K43" s="246"/>
      <c r="L43" s="261"/>
      <c r="M43" s="341"/>
      <c r="N43" s="246"/>
      <c r="O43" s="251" t="s">
        <v>435</v>
      </c>
      <c r="P43" s="246"/>
      <c r="Q43" s="376" t="s">
        <v>466</v>
      </c>
      <c r="R43" s="246"/>
      <c r="S43" s="261"/>
      <c r="T43" s="376" t="s">
        <v>466</v>
      </c>
      <c r="U43" s="246"/>
      <c r="V43" s="251" t="s">
        <v>435</v>
      </c>
      <c r="W43" s="246"/>
      <c r="X43" s="311" t="s">
        <v>455</v>
      </c>
      <c r="Y43" s="246"/>
      <c r="Z43" s="261"/>
      <c r="AA43" s="295"/>
      <c r="AB43" s="246"/>
      <c r="AC43" s="280" t="s">
        <v>681</v>
      </c>
      <c r="AD43" s="246"/>
      <c r="AE43" s="251" t="s">
        <v>429</v>
      </c>
      <c r="AF43" s="246"/>
      <c r="AG43" s="261"/>
      <c r="AH43" s="376" t="s">
        <v>466</v>
      </c>
      <c r="AI43" s="246"/>
      <c r="AJ43" s="251" t="s">
        <v>435</v>
      </c>
      <c r="AK43" s="246"/>
      <c r="AL43" s="384" t="s">
        <v>455</v>
      </c>
      <c r="AM43" s="246"/>
      <c r="AN43" s="261"/>
      <c r="AO43" s="341"/>
      <c r="AP43" s="246"/>
      <c r="AQ43" s="251" t="s">
        <v>435</v>
      </c>
      <c r="AR43" s="246"/>
      <c r="AS43" s="376" t="s">
        <v>466</v>
      </c>
      <c r="AT43" s="254" t="str">
        <f t="shared" si="16"/>
        <v/>
      </c>
      <c r="AU43" s="269"/>
      <c r="AV43" s="269"/>
      <c r="AW43" s="206" t="str">
        <f t="shared" si="17"/>
        <v>#REF!</v>
      </c>
      <c r="AX43" s="207">
        <f t="shared" si="2"/>
        <v>49</v>
      </c>
      <c r="AY43" s="208">
        <f t="shared" si="3"/>
        <v>52</v>
      </c>
      <c r="AZ43" s="208">
        <f t="shared" si="4"/>
        <v>45</v>
      </c>
      <c r="BA43" s="208">
        <f t="shared" si="5"/>
        <v>43</v>
      </c>
      <c r="BB43" s="209">
        <f t="shared" si="6"/>
        <v>0</v>
      </c>
      <c r="BC43" s="210">
        <f t="shared" si="7"/>
        <v>1512</v>
      </c>
      <c r="BD43" s="211"/>
      <c r="BE43" s="212"/>
    </row>
    <row r="44">
      <c r="A44" s="94"/>
      <c r="B44" s="337" t="s">
        <v>686</v>
      </c>
      <c r="C44" s="338" t="s">
        <v>687</v>
      </c>
      <c r="D44" s="330"/>
      <c r="E44" s="259"/>
      <c r="F44" s="312"/>
      <c r="G44" s="246"/>
      <c r="H44" s="376" t="s">
        <v>681</v>
      </c>
      <c r="I44" s="246"/>
      <c r="J44" s="251" t="s">
        <v>429</v>
      </c>
      <c r="K44" s="246"/>
      <c r="L44" s="261"/>
      <c r="M44" s="250"/>
      <c r="N44" s="246"/>
      <c r="O44" s="383" t="s">
        <v>428</v>
      </c>
      <c r="P44" s="246"/>
      <c r="Q44" s="376" t="s">
        <v>453</v>
      </c>
      <c r="R44" s="246"/>
      <c r="S44" s="261"/>
      <c r="T44" s="376" t="s">
        <v>453</v>
      </c>
      <c r="U44" s="246"/>
      <c r="V44" s="383" t="s">
        <v>428</v>
      </c>
      <c r="W44" s="246"/>
      <c r="X44" s="251" t="s">
        <v>429</v>
      </c>
      <c r="Y44" s="246"/>
      <c r="Z44" s="261"/>
      <c r="AA44" s="295"/>
      <c r="AB44" s="246"/>
      <c r="AC44" s="251" t="s">
        <v>435</v>
      </c>
      <c r="AD44" s="246"/>
      <c r="AE44" s="376" t="s">
        <v>466</v>
      </c>
      <c r="AF44" s="246"/>
      <c r="AG44" s="261"/>
      <c r="AH44" s="251" t="s">
        <v>429</v>
      </c>
      <c r="AI44" s="246"/>
      <c r="AJ44" s="340" t="s">
        <v>681</v>
      </c>
      <c r="AK44" s="246"/>
      <c r="AL44" s="385" t="s">
        <v>428</v>
      </c>
      <c r="AM44" s="246"/>
      <c r="AN44" s="261"/>
      <c r="AO44" s="250"/>
      <c r="AP44" s="246"/>
      <c r="AQ44" s="383" t="s">
        <v>428</v>
      </c>
      <c r="AR44" s="246"/>
      <c r="AS44" s="376" t="s">
        <v>453</v>
      </c>
      <c r="AT44" s="254" t="str">
        <f t="shared" si="16"/>
        <v/>
      </c>
      <c r="AU44" s="269"/>
      <c r="AV44" s="269"/>
      <c r="AW44" s="206" t="str">
        <f t="shared" si="17"/>
        <v>#REF!</v>
      </c>
      <c r="AX44" s="207">
        <f t="shared" si="2"/>
        <v>49</v>
      </c>
      <c r="AY44" s="208">
        <f t="shared" si="3"/>
        <v>52</v>
      </c>
      <c r="AZ44" s="208">
        <f t="shared" si="4"/>
        <v>45</v>
      </c>
      <c r="BA44" s="208">
        <f t="shared" si="5"/>
        <v>43</v>
      </c>
      <c r="BB44" s="209">
        <f t="shared" si="6"/>
        <v>0</v>
      </c>
      <c r="BC44" s="210">
        <f t="shared" si="7"/>
        <v>1512</v>
      </c>
      <c r="BD44" s="211"/>
      <c r="BE44" s="212"/>
    </row>
    <row r="45">
      <c r="A45" s="94"/>
      <c r="B45" s="337" t="s">
        <v>688</v>
      </c>
      <c r="C45" s="285" t="s">
        <v>687</v>
      </c>
      <c r="D45" s="330"/>
      <c r="E45" s="259"/>
      <c r="F45" s="386"/>
      <c r="G45" s="246"/>
      <c r="I45" s="246"/>
      <c r="J45" s="282"/>
      <c r="K45" s="246"/>
      <c r="L45" s="261"/>
      <c r="M45" s="262"/>
      <c r="N45" s="246"/>
      <c r="P45" s="246"/>
      <c r="Q45" s="364" t="s">
        <v>689</v>
      </c>
      <c r="R45" s="246"/>
      <c r="S45" s="261"/>
      <c r="T45" s="265"/>
      <c r="U45" s="246"/>
      <c r="V45" s="265"/>
      <c r="W45" s="246"/>
      <c r="X45" s="282"/>
      <c r="Y45" s="246"/>
      <c r="Z45" s="261"/>
      <c r="AA45" s="295"/>
      <c r="AB45" s="246"/>
      <c r="AC45" s="265"/>
      <c r="AD45" s="246"/>
      <c r="AE45" s="282"/>
      <c r="AF45" s="246"/>
      <c r="AG45" s="261"/>
      <c r="AH45" s="265"/>
      <c r="AI45" s="246"/>
      <c r="AK45" s="246"/>
      <c r="AM45" s="246"/>
      <c r="AN45" s="261"/>
      <c r="AO45" s="262"/>
      <c r="AP45" s="246"/>
      <c r="AR45" s="246"/>
      <c r="AS45" s="282"/>
      <c r="AT45" s="254" t="str">
        <f>IF(COUNTIF($AO$85:$AT$87, AS43) &gt; 0, "X", "")</f>
        <v/>
      </c>
      <c r="AU45" s="269"/>
      <c r="AV45" s="269"/>
      <c r="AW45" s="206" t="str">
        <f t="shared" si="17"/>
        <v>#REF!</v>
      </c>
      <c r="AX45" s="207">
        <f t="shared" si="2"/>
        <v>49</v>
      </c>
      <c r="AY45" s="208">
        <f t="shared" si="3"/>
        <v>52</v>
      </c>
      <c r="AZ45" s="208">
        <f t="shared" si="4"/>
        <v>45</v>
      </c>
      <c r="BA45" s="208">
        <f t="shared" si="5"/>
        <v>43</v>
      </c>
      <c r="BB45" s="209">
        <f t="shared" si="6"/>
        <v>0</v>
      </c>
      <c r="BC45" s="210">
        <f t="shared" si="7"/>
        <v>1512</v>
      </c>
      <c r="BD45" s="211"/>
      <c r="BE45" s="212"/>
    </row>
    <row r="46">
      <c r="A46" s="94"/>
      <c r="B46" s="387" t="s">
        <v>690</v>
      </c>
      <c r="C46" s="388" t="s">
        <v>649</v>
      </c>
      <c r="D46" s="389"/>
      <c r="E46" s="259"/>
      <c r="F46" s="279"/>
      <c r="G46" s="246"/>
      <c r="H46" s="357" t="s">
        <v>420</v>
      </c>
      <c r="I46" s="246"/>
      <c r="J46" s="390"/>
      <c r="K46" s="246"/>
      <c r="L46" s="261"/>
      <c r="M46" s="250"/>
      <c r="N46" s="246"/>
      <c r="O46" s="355" t="s">
        <v>670</v>
      </c>
      <c r="P46" s="246"/>
      <c r="Q46" s="390"/>
      <c r="R46" s="246"/>
      <c r="S46" s="261"/>
      <c r="T46" s="390"/>
      <c r="U46" s="246"/>
      <c r="V46" s="390"/>
      <c r="W46" s="246"/>
      <c r="X46" s="357" t="s">
        <v>420</v>
      </c>
      <c r="Y46" s="246"/>
      <c r="Z46" s="261"/>
      <c r="AA46" s="295"/>
      <c r="AB46" s="246"/>
      <c r="AC46" s="390"/>
      <c r="AD46" s="246"/>
      <c r="AE46" s="390"/>
      <c r="AF46" s="246"/>
      <c r="AG46" s="261"/>
      <c r="AH46" s="390"/>
      <c r="AI46" s="246"/>
      <c r="AJ46" s="390"/>
      <c r="AK46" s="246"/>
      <c r="AL46" s="390"/>
      <c r="AM46" s="246"/>
      <c r="AN46" s="261"/>
      <c r="AO46" s="250"/>
      <c r="AP46" s="246"/>
      <c r="AQ46" s="390"/>
      <c r="AR46" s="246"/>
      <c r="AS46" s="390"/>
      <c r="AT46" s="254" t="str">
        <f>IF(COUNTIF($AO$85:$AT$87, #REF!) &gt; 0, "X", "")</f>
        <v/>
      </c>
      <c r="AU46" s="269"/>
      <c r="AV46" s="269"/>
      <c r="AW46" s="206" t="str">
        <f t="shared" si="17"/>
        <v>#REF!</v>
      </c>
      <c r="AX46" s="207">
        <f t="shared" si="2"/>
        <v>49</v>
      </c>
      <c r="AY46" s="208">
        <f t="shared" si="3"/>
        <v>52</v>
      </c>
      <c r="AZ46" s="208">
        <f t="shared" si="4"/>
        <v>45</v>
      </c>
      <c r="BA46" s="208">
        <f t="shared" si="5"/>
        <v>43</v>
      </c>
      <c r="BB46" s="209">
        <f t="shared" si="6"/>
        <v>0</v>
      </c>
      <c r="BC46" s="210">
        <f t="shared" si="7"/>
        <v>1512</v>
      </c>
      <c r="BD46" s="211"/>
      <c r="BE46" s="212"/>
    </row>
    <row r="47">
      <c r="A47" s="94"/>
      <c r="B47" s="296" t="s">
        <v>650</v>
      </c>
      <c r="C47" s="297" t="s">
        <v>649</v>
      </c>
      <c r="D47" s="323"/>
      <c r="E47" s="259"/>
      <c r="F47" s="250"/>
      <c r="G47" s="246"/>
      <c r="H47" s="319"/>
      <c r="I47" s="246"/>
      <c r="J47" s="300"/>
      <c r="K47" s="246"/>
      <c r="L47" s="261"/>
      <c r="M47" s="250"/>
      <c r="N47" s="246"/>
      <c r="O47" s="300"/>
      <c r="P47" s="246"/>
      <c r="Q47" s="300"/>
      <c r="R47" s="246"/>
      <c r="S47" s="261"/>
      <c r="T47" s="300"/>
      <c r="U47" s="246"/>
      <c r="V47" s="300"/>
      <c r="W47" s="246"/>
      <c r="X47" s="300"/>
      <c r="Y47" s="246"/>
      <c r="Z47" s="261"/>
      <c r="AA47" s="295"/>
      <c r="AB47" s="246"/>
      <c r="AC47" s="300"/>
      <c r="AD47" s="246"/>
      <c r="AE47" s="300"/>
      <c r="AF47" s="246"/>
      <c r="AG47" s="261"/>
      <c r="AH47" s="300"/>
      <c r="AI47" s="246"/>
      <c r="AJ47" s="300"/>
      <c r="AK47" s="246"/>
      <c r="AL47" s="300"/>
      <c r="AM47" s="246"/>
      <c r="AN47" s="261"/>
      <c r="AO47" s="250"/>
      <c r="AP47" s="246"/>
      <c r="AQ47" s="300"/>
      <c r="AR47" s="246"/>
      <c r="AS47" s="300"/>
      <c r="AT47" s="254" t="str">
        <f t="shared" ref="AT47:AT54" si="18">IF(COUNTIF($AO$85:$AT$87, AS47) &gt; 0, "X", "")</f>
        <v/>
      </c>
      <c r="AU47" s="269"/>
      <c r="AV47" s="269"/>
      <c r="AW47" s="206" t="str">
        <f t="shared" si="17"/>
        <v>#REF!</v>
      </c>
      <c r="AX47" s="207">
        <f t="shared" si="2"/>
        <v>49</v>
      </c>
      <c r="AY47" s="208">
        <f t="shared" si="3"/>
        <v>52</v>
      </c>
      <c r="AZ47" s="208">
        <f t="shared" si="4"/>
        <v>45</v>
      </c>
      <c r="BA47" s="208">
        <f t="shared" si="5"/>
        <v>43</v>
      </c>
      <c r="BB47" s="209">
        <f t="shared" si="6"/>
        <v>0</v>
      </c>
      <c r="BC47" s="210">
        <f t="shared" si="7"/>
        <v>1512</v>
      </c>
      <c r="BD47" s="211"/>
      <c r="BE47" s="212"/>
    </row>
    <row r="48">
      <c r="A48" s="94"/>
      <c r="B48" s="301" t="s">
        <v>651</v>
      </c>
      <c r="C48" s="391" t="s">
        <v>652</v>
      </c>
      <c r="D48" s="323"/>
      <c r="E48" s="261"/>
      <c r="F48" s="250"/>
      <c r="G48" s="246"/>
      <c r="H48" s="360" t="s">
        <v>672</v>
      </c>
      <c r="I48" s="246"/>
      <c r="J48" s="304"/>
      <c r="K48" s="246"/>
      <c r="L48" s="261"/>
      <c r="M48" s="250"/>
      <c r="N48" s="246"/>
      <c r="O48" s="360" t="s">
        <v>672</v>
      </c>
      <c r="P48" s="246"/>
      <c r="Q48" s="304"/>
      <c r="R48" s="246"/>
      <c r="S48" s="261"/>
      <c r="T48" s="304"/>
      <c r="U48" s="246"/>
      <c r="V48" s="304"/>
      <c r="W48" s="246"/>
      <c r="X48" s="360" t="s">
        <v>672</v>
      </c>
      <c r="Y48" s="246"/>
      <c r="Z48" s="261"/>
      <c r="AA48" s="295"/>
      <c r="AB48" s="246"/>
      <c r="AC48" s="304"/>
      <c r="AD48" s="246"/>
      <c r="AE48" s="304"/>
      <c r="AF48" s="246"/>
      <c r="AG48" s="261"/>
      <c r="AH48" s="304"/>
      <c r="AI48" s="246"/>
      <c r="AJ48" s="304"/>
      <c r="AK48" s="246"/>
      <c r="AL48" s="304"/>
      <c r="AM48" s="246"/>
      <c r="AN48" s="261"/>
      <c r="AO48" s="250"/>
      <c r="AP48" s="246"/>
      <c r="AQ48" s="304"/>
      <c r="AR48" s="246"/>
      <c r="AS48" s="304"/>
      <c r="AT48" s="254" t="str">
        <f t="shared" si="18"/>
        <v/>
      </c>
      <c r="AU48" s="269"/>
      <c r="AV48" s="269"/>
      <c r="AW48" s="206" t="str">
        <f t="shared" si="17"/>
        <v>#REF!</v>
      </c>
      <c r="AX48" s="207">
        <f t="shared" si="2"/>
        <v>49</v>
      </c>
      <c r="AY48" s="208">
        <f t="shared" si="3"/>
        <v>52</v>
      </c>
      <c r="AZ48" s="208">
        <f t="shared" si="4"/>
        <v>45</v>
      </c>
      <c r="BA48" s="208">
        <f t="shared" si="5"/>
        <v>43</v>
      </c>
      <c r="BB48" s="209">
        <f t="shared" si="6"/>
        <v>0</v>
      </c>
      <c r="BC48" s="210">
        <f t="shared" si="7"/>
        <v>1512</v>
      </c>
      <c r="BD48" s="211"/>
      <c r="BE48" s="212"/>
    </row>
    <row r="49">
      <c r="A49" s="94"/>
      <c r="B49" s="392" t="s">
        <v>691</v>
      </c>
      <c r="C49" s="393" t="s">
        <v>652</v>
      </c>
      <c r="D49" s="323"/>
      <c r="E49" s="259"/>
      <c r="F49" s="250"/>
      <c r="G49" s="246"/>
      <c r="H49" s="394" t="s">
        <v>397</v>
      </c>
      <c r="I49" s="246"/>
      <c r="J49" s="307"/>
      <c r="K49" s="246"/>
      <c r="L49" s="261"/>
      <c r="M49" s="250"/>
      <c r="N49" s="246"/>
      <c r="O49" s="395" t="s">
        <v>398</v>
      </c>
      <c r="P49" s="246"/>
      <c r="Q49" s="307"/>
      <c r="R49" s="246"/>
      <c r="S49" s="261"/>
      <c r="T49" s="307"/>
      <c r="U49" s="246"/>
      <c r="V49" s="307"/>
      <c r="W49" s="246"/>
      <c r="X49" s="395" t="s">
        <v>398</v>
      </c>
      <c r="Y49" s="246"/>
      <c r="Z49" s="261"/>
      <c r="AA49" s="295"/>
      <c r="AB49" s="246"/>
      <c r="AC49" s="307"/>
      <c r="AD49" s="246"/>
      <c r="AE49" s="307"/>
      <c r="AF49" s="246"/>
      <c r="AG49" s="261"/>
      <c r="AH49" s="307"/>
      <c r="AI49" s="246"/>
      <c r="AJ49" s="307"/>
      <c r="AK49" s="246"/>
      <c r="AL49" s="307"/>
      <c r="AM49" s="246"/>
      <c r="AN49" s="261"/>
      <c r="AO49" s="250"/>
      <c r="AP49" s="246"/>
      <c r="AQ49" s="307"/>
      <c r="AR49" s="246"/>
      <c r="AS49" s="307"/>
      <c r="AT49" s="254" t="str">
        <f t="shared" si="18"/>
        <v/>
      </c>
      <c r="AU49" s="269"/>
      <c r="AV49" s="269"/>
      <c r="AW49" s="206" t="str">
        <f t="shared" si="17"/>
        <v>#REF!</v>
      </c>
      <c r="AX49" s="207">
        <f t="shared" si="2"/>
        <v>49</v>
      </c>
      <c r="AY49" s="208">
        <f t="shared" si="3"/>
        <v>52</v>
      </c>
      <c r="AZ49" s="208">
        <f t="shared" si="4"/>
        <v>45</v>
      </c>
      <c r="BA49" s="208">
        <f t="shared" si="5"/>
        <v>43</v>
      </c>
      <c r="BB49" s="209">
        <f t="shared" si="6"/>
        <v>0</v>
      </c>
      <c r="BC49" s="210">
        <f t="shared" si="7"/>
        <v>1512</v>
      </c>
      <c r="BD49" s="211"/>
      <c r="BE49" s="212"/>
    </row>
    <row r="50">
      <c r="A50" s="94"/>
      <c r="B50" s="328" t="s">
        <v>692</v>
      </c>
      <c r="C50" s="329" t="s">
        <v>652</v>
      </c>
      <c r="D50" s="330"/>
      <c r="E50" s="259"/>
      <c r="F50" s="279"/>
      <c r="G50" s="246"/>
      <c r="H50" s="371"/>
      <c r="I50" s="246"/>
      <c r="J50" s="282"/>
      <c r="K50" s="246"/>
      <c r="L50" s="261"/>
      <c r="M50" s="250"/>
      <c r="N50" s="246"/>
      <c r="O50" s="371"/>
      <c r="P50" s="246"/>
      <c r="Q50" s="371"/>
      <c r="R50" s="246"/>
      <c r="S50" s="261"/>
      <c r="T50" s="282"/>
      <c r="U50" s="246"/>
      <c r="V50" s="371"/>
      <c r="W50" s="246"/>
      <c r="X50" s="371"/>
      <c r="Y50" s="246"/>
      <c r="Z50" s="261"/>
      <c r="AA50" s="295"/>
      <c r="AB50" s="246"/>
      <c r="AC50" s="371"/>
      <c r="AD50" s="246"/>
      <c r="AF50" s="246"/>
      <c r="AG50" s="261"/>
      <c r="AH50" s="371"/>
      <c r="AI50" s="246"/>
      <c r="AJ50" s="396" t="s">
        <v>693</v>
      </c>
      <c r="AK50" s="246"/>
      <c r="AL50" s="396" t="s">
        <v>693</v>
      </c>
      <c r="AM50" s="246"/>
      <c r="AN50" s="261"/>
      <c r="AO50" s="250"/>
      <c r="AP50" s="246"/>
      <c r="AQ50" s="371"/>
      <c r="AR50" s="246"/>
      <c r="AS50" s="371"/>
      <c r="AT50" s="254" t="str">
        <f t="shared" si="18"/>
        <v/>
      </c>
      <c r="AU50" s="269"/>
      <c r="AV50" s="269"/>
      <c r="AW50" s="206" t="str">
        <f t="shared" si="17"/>
        <v>#REF!</v>
      </c>
      <c r="AX50" s="207">
        <f t="shared" si="2"/>
        <v>49</v>
      </c>
      <c r="AY50" s="208">
        <f t="shared" si="3"/>
        <v>52</v>
      </c>
      <c r="AZ50" s="208">
        <f t="shared" si="4"/>
        <v>45</v>
      </c>
      <c r="BA50" s="208">
        <f t="shared" si="5"/>
        <v>43</v>
      </c>
      <c r="BB50" s="209">
        <f t="shared" si="6"/>
        <v>0</v>
      </c>
      <c r="BC50" s="210">
        <f t="shared" si="7"/>
        <v>1512</v>
      </c>
      <c r="BD50" s="211"/>
      <c r="BE50" s="212"/>
    </row>
    <row r="51">
      <c r="A51" s="270"/>
      <c r="B51" s="397" t="s">
        <v>692</v>
      </c>
      <c r="C51" s="398" t="s">
        <v>687</v>
      </c>
      <c r="D51" s="369"/>
      <c r="E51" s="259"/>
      <c r="F51" s="273"/>
      <c r="G51" s="246"/>
      <c r="H51" s="399"/>
      <c r="I51" s="246"/>
      <c r="J51" s="399"/>
      <c r="K51" s="246"/>
      <c r="L51" s="261"/>
      <c r="M51" s="250"/>
      <c r="N51" s="246"/>
      <c r="O51" s="282"/>
      <c r="P51" s="246"/>
      <c r="Q51" s="282"/>
      <c r="R51" s="246"/>
      <c r="S51" s="261"/>
      <c r="T51" s="399"/>
      <c r="U51" s="246"/>
      <c r="V51" s="282"/>
      <c r="W51" s="246"/>
      <c r="X51" s="399"/>
      <c r="Y51" s="246"/>
      <c r="Z51" s="261"/>
      <c r="AA51" s="295"/>
      <c r="AB51" s="246"/>
      <c r="AC51" s="399"/>
      <c r="AD51" s="246"/>
      <c r="AF51" s="246"/>
      <c r="AG51" s="261"/>
      <c r="AH51" s="399"/>
      <c r="AI51" s="246"/>
      <c r="AJ51" s="399"/>
      <c r="AK51" s="246"/>
      <c r="AL51" s="399"/>
      <c r="AM51" s="246"/>
      <c r="AN51" s="261"/>
      <c r="AO51" s="250"/>
      <c r="AP51" s="246"/>
      <c r="AQ51" s="399"/>
      <c r="AR51" s="246"/>
      <c r="AS51" s="399"/>
      <c r="AT51" s="254" t="str">
        <f t="shared" si="18"/>
        <v/>
      </c>
      <c r="AU51" s="269"/>
      <c r="AV51" s="269"/>
      <c r="AW51" s="206" t="str">
        <f t="shared" si="17"/>
        <v>#REF!</v>
      </c>
      <c r="AX51" s="207">
        <f t="shared" si="2"/>
        <v>49</v>
      </c>
      <c r="AY51" s="208">
        <f t="shared" si="3"/>
        <v>52</v>
      </c>
      <c r="AZ51" s="208">
        <f t="shared" si="4"/>
        <v>45</v>
      </c>
      <c r="BA51" s="208">
        <f t="shared" si="5"/>
        <v>43</v>
      </c>
      <c r="BB51" s="209">
        <f t="shared" si="6"/>
        <v>0</v>
      </c>
      <c r="BC51" s="210">
        <f t="shared" si="7"/>
        <v>1512</v>
      </c>
      <c r="BD51" s="211"/>
      <c r="BE51" s="212"/>
    </row>
    <row r="52">
      <c r="A52" s="94"/>
      <c r="B52" s="387" t="s">
        <v>694</v>
      </c>
      <c r="C52" s="388" t="s">
        <v>649</v>
      </c>
      <c r="D52" s="389"/>
      <c r="E52" s="259"/>
      <c r="F52" s="279"/>
      <c r="G52" s="246"/>
      <c r="H52" s="390"/>
      <c r="I52" s="246"/>
      <c r="J52" s="390"/>
      <c r="K52" s="246"/>
      <c r="L52" s="261"/>
      <c r="M52" s="250"/>
      <c r="N52" s="246"/>
      <c r="O52" s="390"/>
      <c r="P52" s="246"/>
      <c r="Q52" s="357" t="s">
        <v>425</v>
      </c>
      <c r="R52" s="246"/>
      <c r="S52" s="261"/>
      <c r="T52" s="390"/>
      <c r="U52" s="246"/>
      <c r="V52" s="390"/>
      <c r="W52" s="246"/>
      <c r="X52" s="357" t="s">
        <v>425</v>
      </c>
      <c r="Y52" s="246"/>
      <c r="Z52" s="261"/>
      <c r="AA52" s="295"/>
      <c r="AB52" s="246"/>
      <c r="AC52" s="390"/>
      <c r="AD52" s="246"/>
      <c r="AE52" s="357" t="s">
        <v>425</v>
      </c>
      <c r="AF52" s="246"/>
      <c r="AG52" s="261"/>
      <c r="AH52" s="390"/>
      <c r="AI52" s="246"/>
      <c r="AJ52" s="390"/>
      <c r="AK52" s="246"/>
      <c r="AL52" s="357" t="s">
        <v>425</v>
      </c>
      <c r="AM52" s="246"/>
      <c r="AN52" s="261"/>
      <c r="AO52" s="250"/>
      <c r="AP52" s="246"/>
      <c r="AQ52" s="390"/>
      <c r="AR52" s="246"/>
      <c r="AS52" s="357" t="s">
        <v>425</v>
      </c>
      <c r="AT52" s="254" t="str">
        <f t="shared" si="18"/>
        <v/>
      </c>
      <c r="AU52" s="269"/>
      <c r="AV52" s="269"/>
      <c r="AW52" s="206" t="str">
        <f t="shared" si="17"/>
        <v>#REF!</v>
      </c>
      <c r="AX52" s="207">
        <f t="shared" si="2"/>
        <v>49</v>
      </c>
      <c r="AY52" s="208">
        <f t="shared" si="3"/>
        <v>52</v>
      </c>
      <c r="AZ52" s="208">
        <f t="shared" si="4"/>
        <v>45</v>
      </c>
      <c r="BA52" s="208">
        <f t="shared" si="5"/>
        <v>43</v>
      </c>
      <c r="BB52" s="209">
        <f t="shared" si="6"/>
        <v>0</v>
      </c>
      <c r="BC52" s="210">
        <f t="shared" si="7"/>
        <v>1512</v>
      </c>
      <c r="BD52" s="211"/>
      <c r="BE52" s="212"/>
    </row>
    <row r="53">
      <c r="A53" s="94"/>
      <c r="B53" s="296" t="s">
        <v>650</v>
      </c>
      <c r="C53" s="297" t="s">
        <v>649</v>
      </c>
      <c r="D53" s="323"/>
      <c r="E53" s="259"/>
      <c r="F53" s="250"/>
      <c r="G53" s="298"/>
      <c r="H53" s="300"/>
      <c r="I53" s="298"/>
      <c r="J53" s="300"/>
      <c r="K53" s="298"/>
      <c r="L53" s="261"/>
      <c r="M53" s="250"/>
      <c r="N53" s="298"/>
      <c r="O53" s="300"/>
      <c r="P53" s="298"/>
      <c r="Q53" s="319"/>
      <c r="R53" s="298"/>
      <c r="S53" s="261"/>
      <c r="T53" s="300"/>
      <c r="U53" s="298"/>
      <c r="V53" s="300"/>
      <c r="W53" s="298"/>
      <c r="X53" s="400" t="s">
        <v>695</v>
      </c>
      <c r="Y53" s="298"/>
      <c r="Z53" s="261"/>
      <c r="AA53" s="295"/>
      <c r="AB53" s="298"/>
      <c r="AC53" s="300"/>
      <c r="AD53" s="298"/>
      <c r="AE53" s="400" t="s">
        <v>695</v>
      </c>
      <c r="AF53" s="298"/>
      <c r="AG53" s="261"/>
      <c r="AH53" s="300"/>
      <c r="AI53" s="298"/>
      <c r="AJ53" s="300"/>
      <c r="AK53" s="298"/>
      <c r="AL53" s="400" t="s">
        <v>695</v>
      </c>
      <c r="AM53" s="298"/>
      <c r="AN53" s="261"/>
      <c r="AO53" s="250"/>
      <c r="AP53" s="298"/>
      <c r="AQ53" s="300"/>
      <c r="AR53" s="298"/>
      <c r="AS53" s="400" t="s">
        <v>695</v>
      </c>
      <c r="AT53" s="254" t="str">
        <f t="shared" si="18"/>
        <v/>
      </c>
      <c r="AU53" s="269"/>
      <c r="AV53" s="269"/>
      <c r="AW53" s="206" t="str">
        <f t="shared" si="17"/>
        <v>#REF!</v>
      </c>
      <c r="AX53" s="207">
        <f t="shared" si="2"/>
        <v>49</v>
      </c>
      <c r="AY53" s="208">
        <f t="shared" si="3"/>
        <v>52</v>
      </c>
      <c r="AZ53" s="208">
        <f t="shared" si="4"/>
        <v>45</v>
      </c>
      <c r="BA53" s="208">
        <f t="shared" si="5"/>
        <v>43</v>
      </c>
      <c r="BB53" s="209">
        <f t="shared" si="6"/>
        <v>0</v>
      </c>
      <c r="BC53" s="210">
        <f t="shared" si="7"/>
        <v>1512</v>
      </c>
      <c r="BD53" s="211"/>
      <c r="BE53" s="212"/>
    </row>
    <row r="54">
      <c r="A54" s="94"/>
      <c r="B54" s="301" t="s">
        <v>651</v>
      </c>
      <c r="C54" s="391" t="s">
        <v>652</v>
      </c>
      <c r="D54" s="323"/>
      <c r="E54" s="261"/>
      <c r="F54" s="250"/>
      <c r="G54" s="298"/>
      <c r="H54" s="304"/>
      <c r="I54" s="298"/>
      <c r="J54" s="304"/>
      <c r="K54" s="298"/>
      <c r="L54" s="261"/>
      <c r="M54" s="250"/>
      <c r="N54" s="298"/>
      <c r="O54" s="304"/>
      <c r="P54" s="298"/>
      <c r="Q54" s="304"/>
      <c r="R54" s="298"/>
      <c r="S54" s="261"/>
      <c r="T54" s="304"/>
      <c r="U54" s="298"/>
      <c r="V54" s="304"/>
      <c r="W54" s="298"/>
      <c r="X54" s="360" t="s">
        <v>696</v>
      </c>
      <c r="Y54" s="298"/>
      <c r="Z54" s="261"/>
      <c r="AA54" s="295"/>
      <c r="AB54" s="298"/>
      <c r="AC54" s="304"/>
      <c r="AD54" s="298"/>
      <c r="AE54" s="360" t="s">
        <v>696</v>
      </c>
      <c r="AF54" s="298"/>
      <c r="AG54" s="261"/>
      <c r="AH54" s="304"/>
      <c r="AI54" s="298"/>
      <c r="AJ54" s="304"/>
      <c r="AK54" s="298"/>
      <c r="AL54" s="360" t="s">
        <v>696</v>
      </c>
      <c r="AM54" s="298"/>
      <c r="AN54" s="261"/>
      <c r="AO54" s="250"/>
      <c r="AP54" s="298"/>
      <c r="AQ54" s="304"/>
      <c r="AR54" s="298"/>
      <c r="AS54" s="360" t="s">
        <v>696</v>
      </c>
      <c r="AT54" s="254" t="str">
        <f t="shared" si="18"/>
        <v/>
      </c>
      <c r="AU54" s="269"/>
      <c r="AV54" s="269"/>
      <c r="AW54" s="206" t="str">
        <f t="shared" si="17"/>
        <v>#REF!</v>
      </c>
      <c r="AX54" s="207">
        <f t="shared" si="2"/>
        <v>49</v>
      </c>
      <c r="AY54" s="208">
        <f t="shared" si="3"/>
        <v>52</v>
      </c>
      <c r="AZ54" s="208">
        <f t="shared" si="4"/>
        <v>45</v>
      </c>
      <c r="BA54" s="208">
        <f t="shared" si="5"/>
        <v>43</v>
      </c>
      <c r="BB54" s="209">
        <f t="shared" si="6"/>
        <v>0</v>
      </c>
      <c r="BC54" s="210">
        <f t="shared" si="7"/>
        <v>1512</v>
      </c>
      <c r="BD54" s="211"/>
      <c r="BE54" s="212"/>
    </row>
    <row r="55">
      <c r="A55" s="94"/>
      <c r="B55" s="401" t="s">
        <v>697</v>
      </c>
      <c r="C55" s="393" t="s">
        <v>652</v>
      </c>
      <c r="D55" s="323"/>
      <c r="E55" s="259"/>
      <c r="F55" s="250"/>
      <c r="G55" s="298"/>
      <c r="H55" s="307"/>
      <c r="I55" s="298"/>
      <c r="J55" s="307"/>
      <c r="K55" s="298"/>
      <c r="L55" s="261"/>
      <c r="M55" s="250"/>
      <c r="N55" s="298"/>
      <c r="O55" s="307"/>
      <c r="P55" s="298"/>
      <c r="Q55" s="307"/>
      <c r="R55" s="298"/>
      <c r="S55" s="261"/>
      <c r="T55" s="307"/>
      <c r="U55" s="298"/>
      <c r="V55" s="307"/>
      <c r="W55" s="298"/>
      <c r="X55" s="395" t="s">
        <v>430</v>
      </c>
      <c r="Y55" s="298"/>
      <c r="Z55" s="261"/>
      <c r="AA55" s="295"/>
      <c r="AB55" s="298"/>
      <c r="AC55" s="307"/>
      <c r="AD55" s="298"/>
      <c r="AE55" s="395" t="s">
        <v>430</v>
      </c>
      <c r="AF55" s="298"/>
      <c r="AG55" s="261"/>
      <c r="AH55" s="307"/>
      <c r="AI55" s="298"/>
      <c r="AJ55" s="307"/>
      <c r="AK55" s="298"/>
      <c r="AL55" s="308" t="s">
        <v>445</v>
      </c>
      <c r="AM55" s="298"/>
      <c r="AN55" s="261"/>
      <c r="AO55" s="250"/>
      <c r="AP55" s="298"/>
      <c r="AQ55" s="307"/>
      <c r="AR55" s="298"/>
      <c r="AS55" s="308" t="s">
        <v>445</v>
      </c>
      <c r="AT55" s="254" t="str">
        <f t="shared" ref="AT55:AT56" si="19">IF(COUNTIF($AO$85:$AT$87, #REF!) &gt; 0, "X", "")</f>
        <v/>
      </c>
      <c r="AU55" s="269"/>
      <c r="AV55" s="269"/>
      <c r="AW55" s="206" t="str">
        <f t="shared" si="17"/>
        <v>#REF!</v>
      </c>
      <c r="AX55" s="207">
        <f t="shared" si="2"/>
        <v>49</v>
      </c>
      <c r="AY55" s="208">
        <f t="shared" si="3"/>
        <v>52</v>
      </c>
      <c r="AZ55" s="208">
        <f t="shared" si="4"/>
        <v>45</v>
      </c>
      <c r="BA55" s="208">
        <f t="shared" si="5"/>
        <v>43</v>
      </c>
      <c r="BB55" s="209">
        <f t="shared" si="6"/>
        <v>0</v>
      </c>
      <c r="BC55" s="210">
        <f t="shared" si="7"/>
        <v>1512</v>
      </c>
      <c r="BD55" s="211"/>
      <c r="BE55" s="212"/>
    </row>
    <row r="56">
      <c r="A56" s="94"/>
      <c r="B56" s="337" t="s">
        <v>698</v>
      </c>
      <c r="C56" s="329" t="s">
        <v>652</v>
      </c>
      <c r="D56" s="330"/>
      <c r="E56" s="259"/>
      <c r="F56" s="279"/>
      <c r="G56" s="246"/>
      <c r="H56" s="371"/>
      <c r="I56" s="246"/>
      <c r="J56" s="371"/>
      <c r="K56" s="246"/>
      <c r="L56" s="261"/>
      <c r="M56" s="250"/>
      <c r="N56" s="246"/>
      <c r="O56" s="371"/>
      <c r="P56" s="246"/>
      <c r="Q56" s="371"/>
      <c r="R56" s="246"/>
      <c r="S56" s="261"/>
      <c r="T56" s="371"/>
      <c r="U56" s="246"/>
      <c r="V56" s="371"/>
      <c r="W56" s="246"/>
      <c r="X56" s="282"/>
      <c r="Y56" s="246"/>
      <c r="Z56" s="261"/>
      <c r="AA56" s="295"/>
      <c r="AB56" s="246"/>
      <c r="AC56" s="282"/>
      <c r="AD56" s="246"/>
      <c r="AE56" s="399"/>
      <c r="AF56" s="246"/>
      <c r="AG56" s="261"/>
      <c r="AH56" s="371"/>
      <c r="AI56" s="246"/>
      <c r="AJ56" s="371"/>
      <c r="AK56" s="246"/>
      <c r="AL56" s="282"/>
      <c r="AM56" s="246"/>
      <c r="AN56" s="261"/>
      <c r="AO56" s="250"/>
      <c r="AP56" s="246"/>
      <c r="AQ56" s="371"/>
      <c r="AR56" s="246"/>
      <c r="AT56" s="254" t="str">
        <f t="shared" si="19"/>
        <v/>
      </c>
      <c r="AU56" s="269"/>
      <c r="AV56" s="269"/>
      <c r="AW56" s="206" t="str">
        <f t="shared" si="17"/>
        <v>#REF!</v>
      </c>
      <c r="AX56" s="207">
        <f t="shared" si="2"/>
        <v>49</v>
      </c>
      <c r="AY56" s="208">
        <f t="shared" si="3"/>
        <v>52</v>
      </c>
      <c r="AZ56" s="208">
        <f t="shared" si="4"/>
        <v>45</v>
      </c>
      <c r="BA56" s="208">
        <f t="shared" si="5"/>
        <v>43</v>
      </c>
      <c r="BB56" s="209">
        <f t="shared" si="6"/>
        <v>0</v>
      </c>
      <c r="BC56" s="210">
        <f t="shared" si="7"/>
        <v>1512</v>
      </c>
      <c r="BD56" s="211"/>
      <c r="BE56" s="212"/>
    </row>
    <row r="57">
      <c r="A57" s="270"/>
      <c r="B57" s="337" t="s">
        <v>698</v>
      </c>
      <c r="C57" s="398" t="s">
        <v>687</v>
      </c>
      <c r="D57" s="369"/>
      <c r="E57" s="259"/>
      <c r="F57" s="273"/>
      <c r="G57" s="246"/>
      <c r="H57" s="399"/>
      <c r="I57" s="246"/>
      <c r="J57" s="399"/>
      <c r="K57" s="246"/>
      <c r="L57" s="261"/>
      <c r="M57" s="250"/>
      <c r="N57" s="246"/>
      <c r="O57" s="399"/>
      <c r="P57" s="246"/>
      <c r="Q57" s="282"/>
      <c r="R57" s="246"/>
      <c r="S57" s="261"/>
      <c r="T57" s="399"/>
      <c r="U57" s="246"/>
      <c r="V57" s="399"/>
      <c r="W57" s="246"/>
      <c r="X57" s="399"/>
      <c r="Y57" s="246"/>
      <c r="Z57" s="261"/>
      <c r="AA57" s="295"/>
      <c r="AB57" s="246"/>
      <c r="AC57" s="282"/>
      <c r="AD57" s="246"/>
      <c r="AE57" s="399"/>
      <c r="AF57" s="246"/>
      <c r="AG57" s="261"/>
      <c r="AH57" s="399"/>
      <c r="AI57" s="246"/>
      <c r="AJ57" s="399"/>
      <c r="AK57" s="246"/>
      <c r="AL57" s="399"/>
      <c r="AM57" s="246"/>
      <c r="AN57" s="261"/>
      <c r="AO57" s="250"/>
      <c r="AP57" s="246"/>
      <c r="AQ57" s="399"/>
      <c r="AR57" s="246"/>
      <c r="AS57" s="399"/>
      <c r="AT57" s="254" t="str">
        <f t="shared" ref="AT57:AT60" si="20">IF(COUNTIF($AO$85:$AT$87, AS57) &gt; 0, "X", "")</f>
        <v/>
      </c>
      <c r="AU57" s="269"/>
      <c r="AV57" s="269"/>
      <c r="AW57" s="206" t="str">
        <f t="shared" si="17"/>
        <v>#REF!</v>
      </c>
      <c r="AX57" s="207">
        <f t="shared" si="2"/>
        <v>49</v>
      </c>
      <c r="AY57" s="208">
        <f t="shared" si="3"/>
        <v>52</v>
      </c>
      <c r="AZ57" s="208">
        <f t="shared" si="4"/>
        <v>45</v>
      </c>
      <c r="BA57" s="208">
        <f t="shared" si="5"/>
        <v>43</v>
      </c>
      <c r="BB57" s="209">
        <f t="shared" si="6"/>
        <v>0</v>
      </c>
      <c r="BC57" s="210">
        <f t="shared" si="7"/>
        <v>1512</v>
      </c>
      <c r="BD57" s="211"/>
      <c r="BE57" s="212"/>
    </row>
    <row r="58">
      <c r="A58" s="94"/>
      <c r="B58" s="402" t="s">
        <v>699</v>
      </c>
      <c r="C58" s="403" t="s">
        <v>649</v>
      </c>
      <c r="D58" s="404"/>
      <c r="E58" s="259"/>
      <c r="F58" s="250"/>
      <c r="G58" s="246"/>
      <c r="H58" s="294"/>
      <c r="I58" s="246"/>
      <c r="J58" s="294"/>
      <c r="K58" s="246"/>
      <c r="L58" s="261"/>
      <c r="M58" s="250"/>
      <c r="N58" s="246"/>
      <c r="O58" s="294"/>
      <c r="P58" s="246"/>
      <c r="Q58" s="293" t="s">
        <v>416</v>
      </c>
      <c r="R58" s="246"/>
      <c r="S58" s="261"/>
      <c r="T58" s="294"/>
      <c r="U58" s="246"/>
      <c r="V58" s="294"/>
      <c r="W58" s="246"/>
      <c r="X58" s="294"/>
      <c r="Y58" s="246"/>
      <c r="Z58" s="261"/>
      <c r="AA58" s="295"/>
      <c r="AB58" s="246"/>
      <c r="AC58" s="294"/>
      <c r="AD58" s="246"/>
      <c r="AE58" s="293" t="s">
        <v>426</v>
      </c>
      <c r="AF58" s="246"/>
      <c r="AG58" s="261"/>
      <c r="AH58" s="294"/>
      <c r="AI58" s="246"/>
      <c r="AJ58" s="294"/>
      <c r="AK58" s="246"/>
      <c r="AL58" s="294"/>
      <c r="AM58" s="246"/>
      <c r="AN58" s="261"/>
      <c r="AO58" s="250"/>
      <c r="AP58" s="246"/>
      <c r="AQ58" s="294"/>
      <c r="AR58" s="246"/>
      <c r="AS58" s="294"/>
      <c r="AT58" s="254" t="str">
        <f t="shared" si="20"/>
        <v/>
      </c>
      <c r="AU58" s="269"/>
      <c r="AV58" s="269"/>
      <c r="AW58" s="206" t="str">
        <f t="shared" si="17"/>
        <v>#REF!</v>
      </c>
      <c r="AX58" s="207">
        <f t="shared" si="2"/>
        <v>49</v>
      </c>
      <c r="AY58" s="208">
        <f t="shared" si="3"/>
        <v>52</v>
      </c>
      <c r="AZ58" s="208">
        <f t="shared" si="4"/>
        <v>45</v>
      </c>
      <c r="BA58" s="208">
        <f t="shared" si="5"/>
        <v>43</v>
      </c>
      <c r="BB58" s="209">
        <f t="shared" si="6"/>
        <v>0</v>
      </c>
      <c r="BC58" s="210">
        <f t="shared" si="7"/>
        <v>1512</v>
      </c>
      <c r="BD58" s="211"/>
      <c r="BE58" s="212"/>
    </row>
    <row r="59">
      <c r="A59" s="94"/>
      <c r="B59" s="328" t="s">
        <v>700</v>
      </c>
      <c r="C59" s="329" t="s">
        <v>657</v>
      </c>
      <c r="D59" s="330"/>
      <c r="E59" s="259"/>
      <c r="F59" s="279"/>
      <c r="G59" s="246"/>
      <c r="H59" s="282"/>
      <c r="I59" s="246"/>
      <c r="J59" s="371"/>
      <c r="K59" s="246"/>
      <c r="L59" s="261"/>
      <c r="M59" s="250"/>
      <c r="N59" s="246"/>
      <c r="O59" s="371"/>
      <c r="P59" s="246"/>
      <c r="Q59" s="274" t="s">
        <v>437</v>
      </c>
      <c r="R59" s="246"/>
      <c r="S59" s="261"/>
      <c r="T59" s="371"/>
      <c r="U59" s="246"/>
      <c r="V59" s="371"/>
      <c r="W59" s="246"/>
      <c r="X59" s="371"/>
      <c r="Y59" s="246"/>
      <c r="Z59" s="261"/>
      <c r="AA59" s="295"/>
      <c r="AB59" s="246"/>
      <c r="AC59" s="371"/>
      <c r="AD59" s="246"/>
      <c r="AE59" s="347" t="s">
        <v>437</v>
      </c>
      <c r="AF59" s="246"/>
      <c r="AG59" s="261"/>
      <c r="AH59" s="371"/>
      <c r="AI59" s="246"/>
      <c r="AJ59" s="371"/>
      <c r="AK59" s="246"/>
      <c r="AL59" s="371"/>
      <c r="AM59" s="246"/>
      <c r="AN59" s="261"/>
      <c r="AO59" s="250"/>
      <c r="AP59" s="246"/>
      <c r="AQ59" s="282"/>
      <c r="AR59" s="246"/>
      <c r="AS59" s="371"/>
      <c r="AT59" s="254" t="str">
        <f t="shared" si="20"/>
        <v/>
      </c>
      <c r="AU59" s="269"/>
      <c r="AV59" s="269"/>
      <c r="AW59" s="206" t="str">
        <f>TEAM!B91</f>
        <v>#REF!</v>
      </c>
      <c r="AX59" s="207">
        <f t="shared" si="2"/>
        <v>49</v>
      </c>
      <c r="AY59" s="208">
        <f t="shared" si="3"/>
        <v>52</v>
      </c>
      <c r="AZ59" s="208">
        <f t="shared" si="4"/>
        <v>45</v>
      </c>
      <c r="BA59" s="208">
        <f t="shared" si="5"/>
        <v>43</v>
      </c>
      <c r="BB59" s="209">
        <f t="shared" si="6"/>
        <v>0</v>
      </c>
      <c r="BC59" s="210">
        <f t="shared" si="7"/>
        <v>1512</v>
      </c>
      <c r="BD59" s="211"/>
      <c r="BE59" s="212"/>
    </row>
    <row r="60">
      <c r="A60" s="94"/>
      <c r="B60" s="328" t="s">
        <v>700</v>
      </c>
      <c r="C60" s="329" t="s">
        <v>657</v>
      </c>
      <c r="D60" s="330"/>
      <c r="E60" s="259"/>
      <c r="F60" s="260"/>
      <c r="G60" s="246"/>
      <c r="H60" s="265"/>
      <c r="I60" s="246"/>
      <c r="J60" s="264"/>
      <c r="K60" s="246"/>
      <c r="L60" s="261"/>
      <c r="M60" s="262"/>
      <c r="N60" s="246"/>
      <c r="O60" s="265"/>
      <c r="P60" s="246"/>
      <c r="Q60" s="405" t="s">
        <v>462</v>
      </c>
      <c r="R60" s="246"/>
      <c r="S60" s="261"/>
      <c r="T60" s="264"/>
      <c r="U60" s="246"/>
      <c r="V60" s="264"/>
      <c r="W60" s="246"/>
      <c r="X60" s="264"/>
      <c r="Y60" s="246"/>
      <c r="Z60" s="261"/>
      <c r="AA60" s="295"/>
      <c r="AB60" s="246"/>
      <c r="AC60" s="264"/>
      <c r="AD60" s="246"/>
      <c r="AE60" s="406" t="s">
        <v>462</v>
      </c>
      <c r="AF60" s="246"/>
      <c r="AG60" s="261"/>
      <c r="AH60" s="264"/>
      <c r="AI60" s="246"/>
      <c r="AJ60" s="264"/>
      <c r="AK60" s="246"/>
      <c r="AL60" s="264"/>
      <c r="AM60" s="246"/>
      <c r="AN60" s="261"/>
      <c r="AO60" s="262"/>
      <c r="AP60" s="246"/>
      <c r="AQ60" s="264"/>
      <c r="AR60" s="246"/>
      <c r="AS60" s="264"/>
      <c r="AT60" s="254" t="str">
        <f t="shared" si="20"/>
        <v/>
      </c>
      <c r="AU60" s="269"/>
      <c r="AV60" s="269"/>
      <c r="AW60" s="206" t="str">
        <f t="shared" ref="AW60:AW62" si="21">TEAM!B60</f>
        <v>#REF!</v>
      </c>
      <c r="AX60" s="207">
        <f t="shared" si="2"/>
        <v>49</v>
      </c>
      <c r="AY60" s="208">
        <f t="shared" si="3"/>
        <v>52</v>
      </c>
      <c r="AZ60" s="208">
        <f t="shared" si="4"/>
        <v>45</v>
      </c>
      <c r="BA60" s="208">
        <f t="shared" si="5"/>
        <v>43</v>
      </c>
      <c r="BB60" s="209">
        <f t="shared" si="6"/>
        <v>0</v>
      </c>
      <c r="BC60" s="210">
        <f t="shared" si="7"/>
        <v>1512</v>
      </c>
      <c r="BD60" s="211"/>
      <c r="BE60" s="212"/>
    </row>
    <row r="61">
      <c r="A61" s="94"/>
      <c r="B61" s="328" t="s">
        <v>700</v>
      </c>
      <c r="C61" s="329" t="s">
        <v>657</v>
      </c>
      <c r="D61" s="330"/>
      <c r="E61" s="259"/>
      <c r="F61" s="312"/>
      <c r="G61" s="246"/>
      <c r="H61" s="282"/>
      <c r="I61" s="246"/>
      <c r="J61" s="282"/>
      <c r="K61" s="246"/>
      <c r="L61" s="261"/>
      <c r="M61" s="250"/>
      <c r="N61" s="246"/>
      <c r="O61" s="282"/>
      <c r="P61" s="246"/>
      <c r="Q61" s="282"/>
      <c r="R61" s="246"/>
      <c r="S61" s="261"/>
      <c r="T61" s="371"/>
      <c r="U61" s="246"/>
      <c r="V61" s="407" t="s">
        <v>701</v>
      </c>
      <c r="W61" s="246"/>
      <c r="Y61" s="246"/>
      <c r="Z61" s="261"/>
      <c r="AA61" s="295"/>
      <c r="AB61" s="246"/>
      <c r="AC61" s="282"/>
      <c r="AD61" s="246"/>
      <c r="AE61" s="282"/>
      <c r="AF61" s="246"/>
      <c r="AG61" s="261"/>
      <c r="AH61" s="371"/>
      <c r="AI61" s="246"/>
      <c r="AJ61" s="282"/>
      <c r="AK61" s="246"/>
      <c r="AL61" s="399"/>
      <c r="AM61" s="246"/>
      <c r="AN61" s="261"/>
      <c r="AO61" s="250"/>
      <c r="AP61" s="246"/>
      <c r="AQ61" s="371"/>
      <c r="AR61" s="246"/>
      <c r="AT61" s="254" t="str">
        <f>IF(COUNTIF($AO$85:$AT$87, #REF!) &gt; 0, "X", "")</f>
        <v/>
      </c>
      <c r="AU61" s="269"/>
      <c r="AV61" s="269"/>
      <c r="AW61" s="206" t="str">
        <f t="shared" si="21"/>
        <v>#REF!</v>
      </c>
      <c r="AX61" s="207">
        <f t="shared" si="2"/>
        <v>49</v>
      </c>
      <c r="AY61" s="208">
        <f t="shared" si="3"/>
        <v>52</v>
      </c>
      <c r="AZ61" s="208">
        <f t="shared" si="4"/>
        <v>45</v>
      </c>
      <c r="BA61" s="208">
        <f t="shared" si="5"/>
        <v>43</v>
      </c>
      <c r="BB61" s="209">
        <f t="shared" si="6"/>
        <v>0</v>
      </c>
      <c r="BC61" s="210">
        <f t="shared" si="7"/>
        <v>1512</v>
      </c>
      <c r="BD61" s="211"/>
      <c r="BE61" s="212"/>
    </row>
    <row r="62">
      <c r="A62" s="234"/>
      <c r="B62" s="408" t="s">
        <v>702</v>
      </c>
      <c r="C62" s="409" t="s">
        <v>652</v>
      </c>
      <c r="D62" s="351"/>
      <c r="E62" s="259"/>
      <c r="F62" s="410"/>
      <c r="G62" s="246"/>
      <c r="H62" s="411"/>
      <c r="I62" s="246"/>
      <c r="J62" s="411"/>
      <c r="K62" s="246"/>
      <c r="L62" s="261"/>
      <c r="M62" s="262"/>
      <c r="N62" s="246"/>
      <c r="O62" s="411"/>
      <c r="P62" s="246"/>
      <c r="Q62" s="411"/>
      <c r="R62" s="246"/>
      <c r="S62" s="261"/>
      <c r="T62" s="411"/>
      <c r="U62" s="246"/>
      <c r="V62" s="411"/>
      <c r="W62" s="246"/>
      <c r="X62" s="411"/>
      <c r="Y62" s="246"/>
      <c r="Z62" s="261"/>
      <c r="AA62" s="295"/>
      <c r="AB62" s="246"/>
      <c r="AC62" s="411"/>
      <c r="AD62" s="246"/>
      <c r="AE62" s="411"/>
      <c r="AF62" s="246"/>
      <c r="AG62" s="261"/>
      <c r="AH62" s="411"/>
      <c r="AI62" s="246"/>
      <c r="AJ62" s="411"/>
      <c r="AK62" s="246"/>
      <c r="AL62" s="411"/>
      <c r="AM62" s="246"/>
      <c r="AN62" s="261"/>
      <c r="AO62" s="262"/>
      <c r="AP62" s="246"/>
      <c r="AQ62" s="411"/>
      <c r="AR62" s="246"/>
      <c r="AS62" s="411"/>
      <c r="AT62" s="254" t="str">
        <f t="shared" ref="AT62:AT63" si="22">IF(COUNTIF($AO$85:$AT$87, AS62) &gt; 0, "X", "")</f>
        <v/>
      </c>
      <c r="AU62" s="269"/>
      <c r="AV62" s="269"/>
      <c r="AW62" s="206" t="str">
        <f t="shared" si="21"/>
        <v>#REF!</v>
      </c>
      <c r="AX62" s="207">
        <f t="shared" si="2"/>
        <v>49</v>
      </c>
      <c r="AY62" s="208">
        <f t="shared" si="3"/>
        <v>52</v>
      </c>
      <c r="AZ62" s="208">
        <f t="shared" si="4"/>
        <v>45</v>
      </c>
      <c r="BA62" s="208">
        <f t="shared" si="5"/>
        <v>43</v>
      </c>
      <c r="BB62" s="209">
        <f t="shared" si="6"/>
        <v>0</v>
      </c>
      <c r="BC62" s="210">
        <f t="shared" si="7"/>
        <v>1512</v>
      </c>
      <c r="BD62" s="211"/>
      <c r="BE62" s="212"/>
    </row>
    <row r="63">
      <c r="A63" s="234"/>
      <c r="B63" s="401" t="s">
        <v>703</v>
      </c>
      <c r="C63" s="412" t="s">
        <v>704</v>
      </c>
      <c r="D63" s="323"/>
      <c r="E63" s="259"/>
      <c r="F63" s="262"/>
      <c r="G63" s="246"/>
      <c r="H63" s="413"/>
      <c r="I63" s="246"/>
      <c r="J63" s="413"/>
      <c r="K63" s="246"/>
      <c r="L63" s="261"/>
      <c r="M63" s="262"/>
      <c r="N63" s="246"/>
      <c r="O63" s="413"/>
      <c r="P63" s="246"/>
      <c r="Q63" s="413"/>
      <c r="R63" s="246"/>
      <c r="S63" s="261"/>
      <c r="T63" s="413"/>
      <c r="U63" s="246"/>
      <c r="V63" s="413"/>
      <c r="W63" s="246"/>
      <c r="X63" s="413"/>
      <c r="Y63" s="246"/>
      <c r="Z63" s="261"/>
      <c r="AA63" s="295"/>
      <c r="AB63" s="246"/>
      <c r="AC63" s="413"/>
      <c r="AD63" s="246"/>
      <c r="AE63" s="413"/>
      <c r="AF63" s="246"/>
      <c r="AG63" s="261"/>
      <c r="AH63" s="413"/>
      <c r="AI63" s="246"/>
      <c r="AJ63" s="413"/>
      <c r="AK63" s="246"/>
      <c r="AL63" s="413"/>
      <c r="AM63" s="246"/>
      <c r="AN63" s="261"/>
      <c r="AO63" s="262"/>
      <c r="AP63" s="246"/>
      <c r="AQ63" s="413"/>
      <c r="AR63" s="246"/>
      <c r="AS63" s="413"/>
      <c r="AT63" s="254" t="str">
        <f t="shared" si="22"/>
        <v/>
      </c>
      <c r="AU63" s="269"/>
      <c r="AV63" s="269"/>
      <c r="AW63" s="206" t="str">
        <f>TEAM!B64</f>
        <v>#REF!</v>
      </c>
      <c r="AX63" s="207">
        <f t="shared" si="2"/>
        <v>49</v>
      </c>
      <c r="AY63" s="208">
        <f t="shared" si="3"/>
        <v>52</v>
      </c>
      <c r="AZ63" s="208">
        <f t="shared" si="4"/>
        <v>45</v>
      </c>
      <c r="BA63" s="208">
        <f t="shared" si="5"/>
        <v>43</v>
      </c>
      <c r="BB63" s="209">
        <f t="shared" si="6"/>
        <v>0</v>
      </c>
      <c r="BC63" s="210">
        <f t="shared" si="7"/>
        <v>1512</v>
      </c>
      <c r="BD63" s="211"/>
      <c r="BE63" s="212"/>
    </row>
    <row r="64">
      <c r="A64" s="94"/>
      <c r="B64" s="414" t="s">
        <v>705</v>
      </c>
      <c r="C64" s="415" t="s">
        <v>704</v>
      </c>
      <c r="D64" s="330"/>
      <c r="E64" s="259"/>
      <c r="F64" s="416"/>
      <c r="G64" s="246"/>
      <c r="H64" s="287" t="s">
        <v>407</v>
      </c>
      <c r="I64" s="246"/>
      <c r="J64" s="417" t="s">
        <v>452</v>
      </c>
      <c r="K64" s="246"/>
      <c r="L64" s="261"/>
      <c r="M64" s="341"/>
      <c r="N64" s="246"/>
      <c r="O64" s="287" t="s">
        <v>407</v>
      </c>
      <c r="P64" s="246"/>
      <c r="Q64" s="418" t="s">
        <v>432</v>
      </c>
      <c r="R64" s="246"/>
      <c r="S64" s="261"/>
      <c r="T64" s="282"/>
      <c r="U64" s="246"/>
      <c r="V64" s="287" t="s">
        <v>407</v>
      </c>
      <c r="W64" s="246"/>
      <c r="X64" s="290" t="s">
        <v>410</v>
      </c>
      <c r="Y64" s="246"/>
      <c r="Z64" s="261"/>
      <c r="AA64" s="295"/>
      <c r="AB64" s="246"/>
      <c r="AC64" s="376" t="s">
        <v>453</v>
      </c>
      <c r="AD64" s="246"/>
      <c r="AE64" s="287" t="s">
        <v>706</v>
      </c>
      <c r="AF64" s="246"/>
      <c r="AG64" s="261"/>
      <c r="AH64" s="282"/>
      <c r="AI64" s="246"/>
      <c r="AJ64" s="418" t="s">
        <v>394</v>
      </c>
      <c r="AK64" s="246"/>
      <c r="AL64" s="287" t="s">
        <v>432</v>
      </c>
      <c r="AM64" s="246"/>
      <c r="AN64" s="261"/>
      <c r="AO64" s="341"/>
      <c r="AP64" s="246"/>
      <c r="AQ64" s="290" t="s">
        <v>394</v>
      </c>
      <c r="AR64" s="246"/>
      <c r="AS64" s="290" t="s">
        <v>410</v>
      </c>
      <c r="AT64" s="254" t="str">
        <f t="shared" ref="AT64:AT66" si="23">IF(COUNTIF($AO$85:$AT$87, #REF!) &gt; 0, "X", "")</f>
        <v/>
      </c>
      <c r="AU64" s="269"/>
      <c r="AV64" s="269"/>
      <c r="AW64" s="206" t="str">
        <f t="shared" ref="AW64:AW84" si="24">TEAM!B66</f>
        <v>#REF!</v>
      </c>
      <c r="AX64" s="207">
        <f t="shared" si="2"/>
        <v>49</v>
      </c>
      <c r="AY64" s="208">
        <f t="shared" si="3"/>
        <v>52</v>
      </c>
      <c r="AZ64" s="208">
        <f t="shared" si="4"/>
        <v>45</v>
      </c>
      <c r="BA64" s="208">
        <f t="shared" si="5"/>
        <v>43</v>
      </c>
      <c r="BB64" s="209">
        <f t="shared" si="6"/>
        <v>0</v>
      </c>
      <c r="BC64" s="210">
        <f t="shared" si="7"/>
        <v>1512</v>
      </c>
      <c r="BD64" s="211"/>
      <c r="BE64" s="212"/>
    </row>
    <row r="65">
      <c r="A65" s="94"/>
      <c r="B65" s="328" t="s">
        <v>705</v>
      </c>
      <c r="C65" s="257" t="s">
        <v>657</v>
      </c>
      <c r="D65" s="330"/>
      <c r="E65" s="259"/>
      <c r="F65" s="312"/>
      <c r="G65" s="246"/>
      <c r="H65" s="290" t="s">
        <v>438</v>
      </c>
      <c r="I65" s="246"/>
      <c r="J65" s="290" t="s">
        <v>470</v>
      </c>
      <c r="K65" s="246"/>
      <c r="L65" s="261"/>
      <c r="M65" s="341"/>
      <c r="N65" s="246"/>
      <c r="O65" s="290" t="s">
        <v>394</v>
      </c>
      <c r="P65" s="246"/>
      <c r="Q65" s="418" t="s">
        <v>410</v>
      </c>
      <c r="R65" s="246"/>
      <c r="S65" s="261"/>
      <c r="T65" s="251" t="s">
        <v>706</v>
      </c>
      <c r="U65" s="246"/>
      <c r="V65" s="290" t="s">
        <v>438</v>
      </c>
      <c r="W65" s="246"/>
      <c r="X65" s="417" t="s">
        <v>452</v>
      </c>
      <c r="Y65" s="246"/>
      <c r="Z65" s="261"/>
      <c r="AA65" s="295"/>
      <c r="AB65" s="246"/>
      <c r="AD65" s="246"/>
      <c r="AE65" s="290" t="s">
        <v>394</v>
      </c>
      <c r="AF65" s="246"/>
      <c r="AG65" s="261"/>
      <c r="AH65" s="251" t="s">
        <v>706</v>
      </c>
      <c r="AI65" s="246"/>
      <c r="AJ65" s="287" t="s">
        <v>407</v>
      </c>
      <c r="AK65" s="246"/>
      <c r="AL65" s="419" t="s">
        <v>467</v>
      </c>
      <c r="AM65" s="246"/>
      <c r="AN65" s="261"/>
      <c r="AO65" s="341"/>
      <c r="AP65" s="246"/>
      <c r="AQ65" s="364" t="s">
        <v>707</v>
      </c>
      <c r="AR65" s="246"/>
      <c r="AS65" s="417" t="s">
        <v>452</v>
      </c>
      <c r="AT65" s="254" t="str">
        <f t="shared" si="23"/>
        <v/>
      </c>
      <c r="AU65" s="269"/>
      <c r="AV65" s="269"/>
      <c r="AW65" s="206" t="str">
        <f t="shared" si="24"/>
        <v>#REF!</v>
      </c>
      <c r="AX65" s="207">
        <f t="shared" si="2"/>
        <v>49</v>
      </c>
      <c r="AY65" s="208">
        <f t="shared" si="3"/>
        <v>52</v>
      </c>
      <c r="AZ65" s="208">
        <f t="shared" si="4"/>
        <v>45</v>
      </c>
      <c r="BA65" s="208">
        <f t="shared" si="5"/>
        <v>43</v>
      </c>
      <c r="BB65" s="209">
        <f t="shared" si="6"/>
        <v>0</v>
      </c>
      <c r="BC65" s="210">
        <f t="shared" si="7"/>
        <v>1512</v>
      </c>
      <c r="BD65" s="211"/>
      <c r="BE65" s="212"/>
    </row>
    <row r="66">
      <c r="A66" s="94"/>
      <c r="B66" s="277" t="s">
        <v>705</v>
      </c>
      <c r="C66" s="329" t="s">
        <v>685</v>
      </c>
      <c r="D66" s="330"/>
      <c r="E66" s="259"/>
      <c r="F66" s="312"/>
      <c r="G66" s="246"/>
      <c r="H66" s="287" t="s">
        <v>440</v>
      </c>
      <c r="I66" s="246"/>
      <c r="J66" s="290" t="s">
        <v>467</v>
      </c>
      <c r="K66" s="246"/>
      <c r="L66" s="261"/>
      <c r="M66" s="341"/>
      <c r="N66" s="246"/>
      <c r="O66" s="290" t="s">
        <v>470</v>
      </c>
      <c r="P66" s="246"/>
      <c r="Q66" s="251" t="s">
        <v>706</v>
      </c>
      <c r="R66" s="246"/>
      <c r="S66" s="261"/>
      <c r="T66" s="311" t="s">
        <v>470</v>
      </c>
      <c r="U66" s="246"/>
      <c r="V66" s="287" t="s">
        <v>440</v>
      </c>
      <c r="W66" s="246"/>
      <c r="X66" s="290" t="s">
        <v>467</v>
      </c>
      <c r="Y66" s="246"/>
      <c r="Z66" s="261"/>
      <c r="AA66" s="295"/>
      <c r="AB66" s="246"/>
      <c r="AC66" s="287" t="s">
        <v>440</v>
      </c>
      <c r="AD66" s="246"/>
      <c r="AE66" s="419" t="s">
        <v>467</v>
      </c>
      <c r="AF66" s="246"/>
      <c r="AG66" s="261"/>
      <c r="AH66" s="311" t="s">
        <v>470</v>
      </c>
      <c r="AI66" s="246"/>
      <c r="AJ66" s="287" t="s">
        <v>440</v>
      </c>
      <c r="AK66" s="246"/>
      <c r="AL66" s="417" t="s">
        <v>452</v>
      </c>
      <c r="AM66" s="246"/>
      <c r="AN66" s="261"/>
      <c r="AO66" s="341"/>
      <c r="AP66" s="246"/>
      <c r="AQ66" s="290" t="s">
        <v>470</v>
      </c>
      <c r="AR66" s="246"/>
      <c r="AS66" s="287" t="s">
        <v>706</v>
      </c>
      <c r="AT66" s="254" t="str">
        <f t="shared" si="23"/>
        <v/>
      </c>
      <c r="AU66" s="269"/>
      <c r="AV66" s="269"/>
      <c r="AW66" s="206" t="str">
        <f t="shared" si="24"/>
        <v>#REF!</v>
      </c>
      <c r="AX66" s="207">
        <f t="shared" si="2"/>
        <v>49</v>
      </c>
      <c r="AY66" s="208">
        <f t="shared" si="3"/>
        <v>52</v>
      </c>
      <c r="AZ66" s="208">
        <f t="shared" si="4"/>
        <v>45</v>
      </c>
      <c r="BA66" s="208">
        <f t="shared" si="5"/>
        <v>43</v>
      </c>
      <c r="BB66" s="209">
        <f t="shared" si="6"/>
        <v>0</v>
      </c>
      <c r="BC66" s="210">
        <f t="shared" si="7"/>
        <v>1512</v>
      </c>
      <c r="BD66" s="211"/>
      <c r="BE66" s="212"/>
    </row>
    <row r="67">
      <c r="A67" s="270"/>
      <c r="B67" s="271" t="s">
        <v>705</v>
      </c>
      <c r="C67" s="272" t="s">
        <v>687</v>
      </c>
      <c r="D67" s="369"/>
      <c r="E67" s="259"/>
      <c r="F67" s="331"/>
      <c r="G67" s="246"/>
      <c r="I67" s="246"/>
      <c r="K67" s="246"/>
      <c r="L67" s="261"/>
      <c r="M67" s="341"/>
      <c r="N67" s="246"/>
      <c r="P67" s="246"/>
      <c r="Q67" s="265"/>
      <c r="R67" s="246"/>
      <c r="S67" s="261"/>
      <c r="T67" s="282"/>
      <c r="U67" s="246"/>
      <c r="W67" s="246"/>
      <c r="X67" s="290" t="s">
        <v>432</v>
      </c>
      <c r="Y67" s="246"/>
      <c r="Z67" s="261"/>
      <c r="AA67" s="295"/>
      <c r="AB67" s="246"/>
      <c r="AD67" s="246"/>
      <c r="AF67" s="246"/>
      <c r="AG67" s="261"/>
      <c r="AH67" s="282"/>
      <c r="AI67" s="246"/>
      <c r="AJ67" s="265"/>
      <c r="AK67" s="246"/>
      <c r="AM67" s="246"/>
      <c r="AN67" s="261"/>
      <c r="AO67" s="341"/>
      <c r="AP67" s="246"/>
      <c r="AR67" s="246"/>
      <c r="AS67" s="265"/>
      <c r="AT67" s="254" t="str">
        <f>IF(COUNTIF($AO$85:$AT$87, AO66) &gt; 0, "X", "")</f>
        <v/>
      </c>
      <c r="AU67" s="269"/>
      <c r="AV67" s="269"/>
      <c r="AW67" s="206" t="str">
        <f t="shared" si="24"/>
        <v>#REF!</v>
      </c>
      <c r="AX67" s="207">
        <f t="shared" si="2"/>
        <v>49</v>
      </c>
      <c r="AY67" s="208">
        <f t="shared" si="3"/>
        <v>52</v>
      </c>
      <c r="AZ67" s="208">
        <f t="shared" si="4"/>
        <v>45</v>
      </c>
      <c r="BA67" s="208">
        <f t="shared" si="5"/>
        <v>43</v>
      </c>
      <c r="BB67" s="209">
        <f t="shared" si="6"/>
        <v>0</v>
      </c>
      <c r="BC67" s="210">
        <f t="shared" si="7"/>
        <v>1512</v>
      </c>
      <c r="BD67" s="211"/>
      <c r="BE67" s="212"/>
    </row>
    <row r="68">
      <c r="A68" s="94"/>
      <c r="B68" s="397" t="s">
        <v>708</v>
      </c>
      <c r="C68" s="398" t="s">
        <v>654</v>
      </c>
      <c r="D68" s="330"/>
      <c r="E68" s="259"/>
      <c r="F68" s="273"/>
      <c r="G68" s="246"/>
      <c r="H68" s="420" t="s">
        <v>469</v>
      </c>
      <c r="I68" s="246"/>
      <c r="J68" s="418" t="s">
        <v>446</v>
      </c>
      <c r="K68" s="246"/>
      <c r="L68" s="261"/>
      <c r="M68" s="341"/>
      <c r="N68" s="246"/>
      <c r="O68" s="420" t="s">
        <v>469</v>
      </c>
      <c r="P68" s="246"/>
      <c r="Q68" s="418" t="s">
        <v>446</v>
      </c>
      <c r="R68" s="246"/>
      <c r="S68" s="261"/>
      <c r="T68" s="275"/>
      <c r="U68" s="246"/>
      <c r="V68" s="420" t="s">
        <v>469</v>
      </c>
      <c r="W68" s="246"/>
      <c r="Y68" s="246"/>
      <c r="Z68" s="261"/>
      <c r="AA68" s="295"/>
      <c r="AB68" s="246"/>
      <c r="AD68" s="246"/>
      <c r="AE68" s="418" t="s">
        <v>446</v>
      </c>
      <c r="AF68" s="246"/>
      <c r="AG68" s="261"/>
      <c r="AH68" s="275"/>
      <c r="AI68" s="246"/>
      <c r="AJ68" s="420" t="s">
        <v>469</v>
      </c>
      <c r="AK68" s="246"/>
      <c r="AL68" s="418" t="s">
        <v>446</v>
      </c>
      <c r="AM68" s="246"/>
      <c r="AN68" s="261"/>
      <c r="AO68" s="341"/>
      <c r="AP68" s="246"/>
      <c r="AR68" s="246"/>
      <c r="AS68" s="418" t="s">
        <v>446</v>
      </c>
      <c r="AT68" s="254" t="str">
        <f>IF(COUNTIF($AO$85:$AT$87, #REF!) &gt; 0, "X", "")</f>
        <v/>
      </c>
      <c r="AU68" s="269"/>
      <c r="AV68" s="269"/>
      <c r="AW68" s="206" t="str">
        <f t="shared" si="24"/>
        <v>#REF!</v>
      </c>
      <c r="AX68" s="207">
        <f t="shared" si="2"/>
        <v>49</v>
      </c>
      <c r="AY68" s="208">
        <f t="shared" si="3"/>
        <v>52</v>
      </c>
      <c r="AZ68" s="208">
        <f t="shared" si="4"/>
        <v>45</v>
      </c>
      <c r="BA68" s="208">
        <f t="shared" si="5"/>
        <v>43</v>
      </c>
      <c r="BB68" s="209">
        <f t="shared" si="6"/>
        <v>0</v>
      </c>
      <c r="BC68" s="210">
        <f t="shared" si="7"/>
        <v>1512</v>
      </c>
      <c r="BD68" s="211"/>
      <c r="BE68" s="212"/>
    </row>
    <row r="69">
      <c r="A69" s="94"/>
      <c r="B69" s="277" t="s">
        <v>709</v>
      </c>
      <c r="C69" s="278" t="s">
        <v>710</v>
      </c>
      <c r="D69" s="330"/>
      <c r="E69" s="259"/>
      <c r="F69" s="279"/>
      <c r="G69" s="246"/>
      <c r="H69" s="421"/>
      <c r="I69" s="246"/>
      <c r="J69" s="422"/>
      <c r="K69" s="246"/>
      <c r="L69" s="261"/>
      <c r="M69" s="341"/>
      <c r="N69" s="246"/>
      <c r="O69" s="422"/>
      <c r="P69" s="246"/>
      <c r="Q69" s="290" t="s">
        <v>440</v>
      </c>
      <c r="R69" s="246"/>
      <c r="S69" s="261"/>
      <c r="T69" s="281"/>
      <c r="U69" s="246"/>
      <c r="V69" s="423"/>
      <c r="W69" s="246"/>
      <c r="X69" s="265"/>
      <c r="Y69" s="246"/>
      <c r="Z69" s="261"/>
      <c r="AA69" s="295"/>
      <c r="AB69" s="246"/>
      <c r="AC69" s="424" t="s">
        <v>407</v>
      </c>
      <c r="AD69" s="246"/>
      <c r="AE69" s="407" t="s">
        <v>711</v>
      </c>
      <c r="AF69" s="246"/>
      <c r="AG69" s="261"/>
      <c r="AH69" s="281"/>
      <c r="AI69" s="246"/>
      <c r="AJ69" s="422"/>
      <c r="AK69" s="246"/>
      <c r="AL69" s="265"/>
      <c r="AM69" s="246"/>
      <c r="AN69" s="261"/>
      <c r="AO69" s="341"/>
      <c r="AP69" s="246"/>
      <c r="AQ69" s="422"/>
      <c r="AR69" s="246"/>
      <c r="AS69" s="422"/>
      <c r="AT69" s="254" t="str">
        <f t="shared" ref="AT69:AT70" si="25">IF(COUNTIF($AO$85:$AT$87, AS69) &gt; 0, "X", "")</f>
        <v/>
      </c>
      <c r="AU69" s="269"/>
      <c r="AV69" s="269"/>
      <c r="AW69" s="206" t="str">
        <f t="shared" si="24"/>
        <v>#REF!</v>
      </c>
      <c r="AX69" s="207">
        <f t="shared" si="2"/>
        <v>49</v>
      </c>
      <c r="AY69" s="208">
        <f t="shared" si="3"/>
        <v>52</v>
      </c>
      <c r="AZ69" s="208">
        <f t="shared" si="4"/>
        <v>45</v>
      </c>
      <c r="BA69" s="208">
        <f t="shared" si="5"/>
        <v>43</v>
      </c>
      <c r="BB69" s="209">
        <f t="shared" si="6"/>
        <v>0</v>
      </c>
      <c r="BC69" s="210">
        <f t="shared" si="7"/>
        <v>1512</v>
      </c>
      <c r="BD69" s="211"/>
      <c r="BE69" s="212"/>
    </row>
    <row r="70">
      <c r="A70" s="94"/>
      <c r="B70" s="271" t="s">
        <v>712</v>
      </c>
      <c r="C70" s="272" t="s">
        <v>710</v>
      </c>
      <c r="D70" s="323"/>
      <c r="E70" s="259"/>
      <c r="F70" s="312"/>
      <c r="G70" s="246"/>
      <c r="H70" s="425"/>
      <c r="I70" s="246"/>
      <c r="J70" s="426"/>
      <c r="K70" s="246"/>
      <c r="L70" s="261"/>
      <c r="M70" s="341"/>
      <c r="N70" s="246"/>
      <c r="O70" s="265"/>
      <c r="P70" s="246"/>
      <c r="Q70" s="265"/>
      <c r="R70" s="246"/>
      <c r="S70" s="261"/>
      <c r="T70" s="282"/>
      <c r="U70" s="246"/>
      <c r="V70" s="423"/>
      <c r="W70" s="246"/>
      <c r="X70" s="265"/>
      <c r="Y70" s="246"/>
      <c r="Z70" s="261"/>
      <c r="AA70" s="295"/>
      <c r="AB70" s="246"/>
      <c r="AC70" s="427" t="s">
        <v>438</v>
      </c>
      <c r="AD70" s="246"/>
      <c r="AE70" s="428" t="s">
        <v>713</v>
      </c>
      <c r="AF70" s="246"/>
      <c r="AG70" s="261"/>
      <c r="AH70" s="282"/>
      <c r="AI70" s="246"/>
      <c r="AJ70" s="422"/>
      <c r="AK70" s="246"/>
      <c r="AL70" s="426"/>
      <c r="AM70" s="246"/>
      <c r="AN70" s="261"/>
      <c r="AO70" s="341"/>
      <c r="AP70" s="246"/>
      <c r="AQ70" s="426"/>
      <c r="AR70" s="246"/>
      <c r="AS70" s="265"/>
      <c r="AT70" s="254" t="str">
        <f t="shared" si="25"/>
        <v/>
      </c>
      <c r="AU70" s="269"/>
      <c r="AV70" s="269"/>
      <c r="AW70" s="206" t="str">
        <f t="shared" si="24"/>
        <v>#REF!</v>
      </c>
      <c r="AX70" s="207">
        <f t="shared" si="2"/>
        <v>49</v>
      </c>
      <c r="AY70" s="208">
        <f t="shared" si="3"/>
        <v>52</v>
      </c>
      <c r="AZ70" s="208">
        <f t="shared" si="4"/>
        <v>45</v>
      </c>
      <c r="BA70" s="208">
        <f t="shared" si="5"/>
        <v>43</v>
      </c>
      <c r="BB70" s="209">
        <f t="shared" si="6"/>
        <v>0</v>
      </c>
      <c r="BC70" s="210">
        <f t="shared" si="7"/>
        <v>1512</v>
      </c>
      <c r="BD70" s="211"/>
      <c r="BE70" s="212"/>
    </row>
    <row r="71">
      <c r="A71" s="94"/>
      <c r="B71" s="429" t="s">
        <v>714</v>
      </c>
      <c r="C71" s="430"/>
      <c r="D71" s="431"/>
      <c r="E71" s="259"/>
      <c r="F71" s="432"/>
      <c r="G71" s="433"/>
      <c r="H71" s="432"/>
      <c r="I71" s="432"/>
      <c r="J71" s="432"/>
      <c r="K71" s="432"/>
      <c r="L71" s="261"/>
      <c r="M71" s="432"/>
      <c r="N71" s="433"/>
      <c r="O71" s="432"/>
      <c r="P71" s="432"/>
      <c r="Q71" s="432"/>
      <c r="R71" s="432"/>
      <c r="S71" s="261"/>
      <c r="T71" s="432"/>
      <c r="U71" s="433"/>
      <c r="V71" s="432"/>
      <c r="W71" s="432"/>
      <c r="X71" s="432"/>
      <c r="Y71" s="432"/>
      <c r="Z71" s="261"/>
      <c r="AA71" s="432"/>
      <c r="AB71" s="433"/>
      <c r="AC71" s="432"/>
      <c r="AD71" s="432"/>
      <c r="AE71" s="432"/>
      <c r="AF71" s="432"/>
      <c r="AG71" s="261"/>
      <c r="AH71" s="432"/>
      <c r="AI71" s="433"/>
      <c r="AJ71" s="432"/>
      <c r="AK71" s="432"/>
      <c r="AL71" s="432"/>
      <c r="AM71" s="432"/>
      <c r="AN71" s="261"/>
      <c r="AO71" s="432"/>
      <c r="AP71" s="433"/>
      <c r="AQ71" s="432"/>
      <c r="AR71" s="432"/>
      <c r="AS71" s="432"/>
      <c r="AT71" s="430"/>
      <c r="AU71" s="269"/>
      <c r="AV71" s="269"/>
      <c r="AW71" s="206" t="str">
        <f t="shared" si="24"/>
        <v>#REF!</v>
      </c>
      <c r="AX71" s="207">
        <f t="shared" si="2"/>
        <v>49</v>
      </c>
      <c r="AY71" s="208">
        <f t="shared" si="3"/>
        <v>52</v>
      </c>
      <c r="AZ71" s="208">
        <f t="shared" si="4"/>
        <v>45</v>
      </c>
      <c r="BA71" s="208">
        <f t="shared" si="5"/>
        <v>43</v>
      </c>
      <c r="BB71" s="209">
        <f t="shared" si="6"/>
        <v>0</v>
      </c>
      <c r="BC71" s="210">
        <f t="shared" si="7"/>
        <v>1512</v>
      </c>
      <c r="BD71" s="211"/>
      <c r="BE71" s="212"/>
    </row>
    <row r="72">
      <c r="A72" s="94"/>
      <c r="B72" s="401" t="s">
        <v>715</v>
      </c>
      <c r="C72" s="412" t="s">
        <v>716</v>
      </c>
      <c r="D72" s="323"/>
      <c r="E72" s="259"/>
      <c r="F72" s="434"/>
      <c r="G72" s="246"/>
      <c r="H72" s="434" t="str">
        <f>TEAM!B71</f>
        <v>#REF!</v>
      </c>
      <c r="I72" s="246"/>
      <c r="J72" s="434"/>
      <c r="K72" s="246"/>
      <c r="L72" s="261"/>
      <c r="M72" s="434"/>
      <c r="N72" s="246"/>
      <c r="O72" s="434" t="str">
        <f>TEAM!B71</f>
        <v>#REF!</v>
      </c>
      <c r="P72" s="246"/>
      <c r="Q72" s="434"/>
      <c r="R72" s="246"/>
      <c r="S72" s="261"/>
      <c r="T72" s="434"/>
      <c r="U72" s="246"/>
      <c r="V72" s="434"/>
      <c r="W72" s="246"/>
      <c r="X72" s="434"/>
      <c r="Y72" s="246"/>
      <c r="Z72" s="261"/>
      <c r="AA72" s="434"/>
      <c r="AB72" s="246"/>
      <c r="AC72" s="434" t="str">
        <f>TEAM!B71</f>
        <v>#REF!</v>
      </c>
      <c r="AD72" s="246"/>
      <c r="AE72" s="434"/>
      <c r="AF72" s="246"/>
      <c r="AG72" s="261"/>
      <c r="AH72" s="434"/>
      <c r="AI72" s="246"/>
      <c r="AJ72" s="434" t="str">
        <f>TEAM!B71</f>
        <v>#REF!</v>
      </c>
      <c r="AK72" s="246"/>
      <c r="AL72" s="434"/>
      <c r="AM72" s="246"/>
      <c r="AN72" s="261"/>
      <c r="AO72" s="434"/>
      <c r="AP72" s="246"/>
      <c r="AQ72" s="434" t="str">
        <f>TEAM!B71</f>
        <v>#REF!</v>
      </c>
      <c r="AR72" s="246"/>
      <c r="AS72" s="434"/>
      <c r="AT72" s="254" t="str">
        <f t="shared" ref="AT72:AT84" si="26">IF(COUNTIF($AO$85:$AT$87, AS72) &gt; 0, "X", "")</f>
        <v/>
      </c>
      <c r="AU72" s="269"/>
      <c r="AV72" s="269"/>
      <c r="AW72" s="206" t="str">
        <f t="shared" si="24"/>
        <v>#REF!</v>
      </c>
      <c r="AX72" s="207">
        <f t="shared" si="2"/>
        <v>49</v>
      </c>
      <c r="AY72" s="208">
        <f t="shared" si="3"/>
        <v>52</v>
      </c>
      <c r="AZ72" s="208">
        <f t="shared" si="4"/>
        <v>45</v>
      </c>
      <c r="BA72" s="208">
        <f t="shared" si="5"/>
        <v>43</v>
      </c>
      <c r="BB72" s="209">
        <f t="shared" si="6"/>
        <v>0</v>
      </c>
      <c r="BC72" s="210">
        <f t="shared" si="7"/>
        <v>1512</v>
      </c>
      <c r="BD72" s="211"/>
      <c r="BE72" s="212"/>
    </row>
    <row r="73">
      <c r="A73" s="94"/>
      <c r="B73" s="435" t="s">
        <v>717</v>
      </c>
      <c r="C73" s="415" t="s">
        <v>718</v>
      </c>
      <c r="D73" s="363"/>
      <c r="E73" s="259"/>
      <c r="F73" s="406"/>
      <c r="G73" s="246"/>
      <c r="H73" s="406" t="str">
        <f>TEAM!B78</f>
        <v>#REF!</v>
      </c>
      <c r="I73" s="246"/>
      <c r="J73" s="406"/>
      <c r="K73" s="246"/>
      <c r="L73" s="261"/>
      <c r="M73" s="406"/>
      <c r="N73" s="246"/>
      <c r="O73" s="406" t="str">
        <f>TEAM!B77</f>
        <v>#REF!</v>
      </c>
      <c r="P73" s="246"/>
      <c r="Q73" s="406"/>
      <c r="R73" s="246"/>
      <c r="S73" s="261"/>
      <c r="T73" s="406"/>
      <c r="U73" s="246"/>
      <c r="V73" s="406" t="str">
        <f>TEAM!B77</f>
        <v>#REF!</v>
      </c>
      <c r="W73" s="246"/>
      <c r="X73" s="406"/>
      <c r="Y73" s="246"/>
      <c r="Z73" s="261"/>
      <c r="AA73" s="406"/>
      <c r="AB73" s="246"/>
      <c r="AC73" s="406" t="str">
        <f t="shared" ref="AC73:AC74" si="27">TEAM!B77</f>
        <v>#REF!</v>
      </c>
      <c r="AD73" s="246"/>
      <c r="AE73" s="406"/>
      <c r="AF73" s="246"/>
      <c r="AG73" s="261"/>
      <c r="AH73" s="406"/>
      <c r="AI73" s="246"/>
      <c r="AJ73" s="406" t="str">
        <f>TEAM!B77</f>
        <v>#REF!</v>
      </c>
      <c r="AK73" s="246"/>
      <c r="AL73" s="406"/>
      <c r="AM73" s="246"/>
      <c r="AN73" s="261"/>
      <c r="AO73" s="406"/>
      <c r="AP73" s="246"/>
      <c r="AQ73" s="406" t="str">
        <f t="shared" ref="AQ73:AQ74" si="28">TEAM!B77</f>
        <v>#REF!</v>
      </c>
      <c r="AR73" s="246"/>
      <c r="AS73" s="406"/>
      <c r="AT73" s="254" t="str">
        <f t="shared" si="26"/>
        <v/>
      </c>
      <c r="AU73" s="269"/>
      <c r="AV73" s="269"/>
      <c r="AW73" s="206" t="str">
        <f t="shared" si="24"/>
        <v>#REF!</v>
      </c>
      <c r="AX73" s="207">
        <f t="shared" si="2"/>
        <v>49</v>
      </c>
      <c r="AY73" s="208">
        <f t="shared" si="3"/>
        <v>52</v>
      </c>
      <c r="AZ73" s="208">
        <f t="shared" si="4"/>
        <v>45</v>
      </c>
      <c r="BA73" s="208">
        <f t="shared" si="5"/>
        <v>43</v>
      </c>
      <c r="BB73" s="209">
        <f t="shared" si="6"/>
        <v>0</v>
      </c>
      <c r="BC73" s="210">
        <f t="shared" si="7"/>
        <v>1512</v>
      </c>
      <c r="BD73" s="211"/>
      <c r="BE73" s="212"/>
    </row>
    <row r="74">
      <c r="A74" s="94"/>
      <c r="B74" s="436" t="s">
        <v>719</v>
      </c>
      <c r="C74" s="437" t="s">
        <v>720</v>
      </c>
      <c r="D74" s="330"/>
      <c r="E74" s="259"/>
      <c r="F74" s="406"/>
      <c r="G74" s="246"/>
      <c r="H74" s="406" t="str">
        <f>TEAM!B80</f>
        <v>#REF!</v>
      </c>
      <c r="I74" s="246"/>
      <c r="J74" s="406"/>
      <c r="K74" s="246"/>
      <c r="L74" s="261"/>
      <c r="M74" s="406"/>
      <c r="N74" s="246"/>
      <c r="O74" s="406" t="str">
        <f>TEAM!B80</f>
        <v>#REF!</v>
      </c>
      <c r="P74" s="246"/>
      <c r="Q74" s="406"/>
      <c r="R74" s="246"/>
      <c r="S74" s="261"/>
      <c r="T74" s="406"/>
      <c r="U74" s="246"/>
      <c r="V74" s="406" t="str">
        <f>TEAM!B80</f>
        <v>#REF!</v>
      </c>
      <c r="W74" s="246"/>
      <c r="X74" s="406"/>
      <c r="Y74" s="246"/>
      <c r="Z74" s="261"/>
      <c r="AA74" s="406"/>
      <c r="AB74" s="246"/>
      <c r="AC74" s="406" t="str">
        <f t="shared" si="27"/>
        <v>#REF!</v>
      </c>
      <c r="AD74" s="246"/>
      <c r="AE74" s="406"/>
      <c r="AF74" s="246"/>
      <c r="AG74" s="261"/>
      <c r="AH74" s="406"/>
      <c r="AI74" s="246"/>
      <c r="AJ74" s="438" t="str">
        <f>TEAM!B79</f>
        <v>#REF!</v>
      </c>
      <c r="AK74" s="246"/>
      <c r="AL74" s="406"/>
      <c r="AM74" s="246"/>
      <c r="AN74" s="261"/>
      <c r="AO74" s="406"/>
      <c r="AP74" s="246"/>
      <c r="AQ74" s="406" t="str">
        <f t="shared" si="28"/>
        <v>#REF!</v>
      </c>
      <c r="AR74" s="246"/>
      <c r="AS74" s="406"/>
      <c r="AT74" s="254" t="str">
        <f t="shared" si="26"/>
        <v/>
      </c>
      <c r="AU74" s="269"/>
      <c r="AV74" s="269"/>
      <c r="AW74" s="206" t="str">
        <f t="shared" si="24"/>
        <v>#REF!</v>
      </c>
      <c r="AX74" s="207">
        <f t="shared" si="2"/>
        <v>49</v>
      </c>
      <c r="AY74" s="208">
        <f t="shared" si="3"/>
        <v>52</v>
      </c>
      <c r="AZ74" s="208">
        <f t="shared" si="4"/>
        <v>45</v>
      </c>
      <c r="BA74" s="208">
        <f t="shared" si="5"/>
        <v>43</v>
      </c>
      <c r="BB74" s="209">
        <f t="shared" si="6"/>
        <v>0</v>
      </c>
      <c r="BC74" s="210">
        <f t="shared" si="7"/>
        <v>1512</v>
      </c>
      <c r="BD74" s="211"/>
      <c r="BE74" s="212"/>
    </row>
    <row r="75">
      <c r="A75" s="94"/>
      <c r="B75" s="439" t="s">
        <v>721</v>
      </c>
      <c r="C75" s="440" t="s">
        <v>722</v>
      </c>
      <c r="D75" s="330"/>
      <c r="E75" s="259"/>
      <c r="F75" s="406"/>
      <c r="G75" s="246"/>
      <c r="H75" s="406" t="str">
        <f t="shared" ref="H75:H76" si="29">TEAM!B75</f>
        <v>#REF!</v>
      </c>
      <c r="I75" s="246"/>
      <c r="J75" s="406"/>
      <c r="K75" s="246"/>
      <c r="L75" s="261"/>
      <c r="M75" s="406"/>
      <c r="N75" s="246"/>
      <c r="O75" s="406" t="str">
        <f t="shared" ref="O75:O76" si="30">TEAM!B75</f>
        <v>#REF!</v>
      </c>
      <c r="P75" s="246"/>
      <c r="Q75" s="406"/>
      <c r="R75" s="246"/>
      <c r="S75" s="261"/>
      <c r="T75" s="406"/>
      <c r="U75" s="246"/>
      <c r="V75" s="406" t="str">
        <f>TEAM!B75</f>
        <v>#REF!</v>
      </c>
      <c r="W75" s="246"/>
      <c r="X75" s="406"/>
      <c r="Y75" s="246"/>
      <c r="Z75" s="261"/>
      <c r="AA75" s="406"/>
      <c r="AB75" s="246"/>
      <c r="AC75" s="406" t="str">
        <f>TEAM!B75</f>
        <v>#REF!</v>
      </c>
      <c r="AD75" s="246"/>
      <c r="AE75" s="406"/>
      <c r="AF75" s="246"/>
      <c r="AG75" s="261"/>
      <c r="AH75" s="406"/>
      <c r="AI75" s="246"/>
      <c r="AJ75" s="406" t="str">
        <f>TEAM!B75</f>
        <v>#REF!</v>
      </c>
      <c r="AK75" s="246"/>
      <c r="AL75" s="406"/>
      <c r="AM75" s="246"/>
      <c r="AN75" s="261"/>
      <c r="AO75" s="406"/>
      <c r="AP75" s="246"/>
      <c r="AQ75" s="406"/>
      <c r="AR75" s="246"/>
      <c r="AS75" s="406"/>
      <c r="AT75" s="254" t="str">
        <f t="shared" si="26"/>
        <v/>
      </c>
      <c r="AU75" s="269"/>
      <c r="AV75" s="269"/>
      <c r="AW75" s="206" t="str">
        <f t="shared" si="24"/>
        <v>#REF!</v>
      </c>
      <c r="AX75" s="207">
        <f t="shared" si="2"/>
        <v>49</v>
      </c>
      <c r="AY75" s="208">
        <f t="shared" si="3"/>
        <v>52</v>
      </c>
      <c r="AZ75" s="208">
        <f t="shared" si="4"/>
        <v>45</v>
      </c>
      <c r="BA75" s="208">
        <f t="shared" si="5"/>
        <v>43</v>
      </c>
      <c r="BB75" s="209">
        <f t="shared" si="6"/>
        <v>0</v>
      </c>
      <c r="BC75" s="210">
        <f t="shared" si="7"/>
        <v>1512</v>
      </c>
      <c r="BD75" s="211"/>
      <c r="BE75" s="212"/>
    </row>
    <row r="76">
      <c r="A76" s="94"/>
      <c r="B76" s="439" t="s">
        <v>723</v>
      </c>
      <c r="C76" s="440" t="s">
        <v>724</v>
      </c>
      <c r="D76" s="330"/>
      <c r="E76" s="259"/>
      <c r="F76" s="441"/>
      <c r="G76" s="246"/>
      <c r="H76" s="441" t="str">
        <f t="shared" si="29"/>
        <v>#REF!</v>
      </c>
      <c r="I76" s="246"/>
      <c r="J76" s="441"/>
      <c r="K76" s="246"/>
      <c r="L76" s="261"/>
      <c r="M76" s="441"/>
      <c r="N76" s="246"/>
      <c r="O76" s="406" t="str">
        <f t="shared" si="30"/>
        <v>#REF!</v>
      </c>
      <c r="P76" s="246"/>
      <c r="Q76" s="441"/>
      <c r="R76" s="246"/>
      <c r="S76" s="261"/>
      <c r="T76" s="441"/>
      <c r="U76" s="246"/>
      <c r="V76" s="406" t="str">
        <f>TEAM!B74</f>
        <v>#REF!</v>
      </c>
      <c r="W76" s="246"/>
      <c r="X76" s="441"/>
      <c r="Y76" s="246"/>
      <c r="Z76" s="261"/>
      <c r="AA76" s="441"/>
      <c r="AB76" s="246"/>
      <c r="AC76" s="406" t="str">
        <f>TEAM!B74</f>
        <v>#REF!</v>
      </c>
      <c r="AD76" s="246"/>
      <c r="AE76" s="441"/>
      <c r="AF76" s="246"/>
      <c r="AG76" s="261"/>
      <c r="AH76" s="441"/>
      <c r="AI76" s="246"/>
      <c r="AJ76" s="406" t="str">
        <f>TEAM!B78</f>
        <v>#REF!</v>
      </c>
      <c r="AK76" s="246"/>
      <c r="AL76" s="441"/>
      <c r="AM76" s="246"/>
      <c r="AN76" s="261"/>
      <c r="AO76" s="441"/>
      <c r="AP76" s="246"/>
      <c r="AQ76" s="406"/>
      <c r="AR76" s="246"/>
      <c r="AS76" s="441"/>
      <c r="AT76" s="254" t="str">
        <f t="shared" si="26"/>
        <v/>
      </c>
      <c r="AU76" s="269"/>
      <c r="AV76" s="269"/>
      <c r="AW76" s="206" t="str">
        <f t="shared" si="24"/>
        <v>#REF!</v>
      </c>
      <c r="AX76" s="207">
        <f t="shared" si="2"/>
        <v>49</v>
      </c>
      <c r="AY76" s="208">
        <f t="shared" si="3"/>
        <v>52</v>
      </c>
      <c r="AZ76" s="208">
        <f t="shared" si="4"/>
        <v>45</v>
      </c>
      <c r="BA76" s="208">
        <f t="shared" si="5"/>
        <v>43</v>
      </c>
      <c r="BB76" s="209">
        <f t="shared" si="6"/>
        <v>0</v>
      </c>
      <c r="BC76" s="210">
        <f t="shared" si="7"/>
        <v>1512</v>
      </c>
      <c r="BD76" s="211"/>
      <c r="BE76" s="212"/>
    </row>
    <row r="77">
      <c r="A77" s="94"/>
      <c r="B77" s="439" t="s">
        <v>725</v>
      </c>
      <c r="C77" s="442" t="s">
        <v>726</v>
      </c>
      <c r="D77" s="330"/>
      <c r="E77" s="259"/>
      <c r="F77" s="441"/>
      <c r="G77" s="246"/>
      <c r="H77" s="441" t="str">
        <f>TEAM!B73</f>
        <v>#REF!</v>
      </c>
      <c r="I77" s="246"/>
      <c r="J77" s="441"/>
      <c r="K77" s="246"/>
      <c r="L77" s="261"/>
      <c r="M77" s="441"/>
      <c r="N77" s="246"/>
      <c r="O77" s="441" t="str">
        <f>TEAM!B79</f>
        <v>#REF!</v>
      </c>
      <c r="P77" s="246"/>
      <c r="Q77" s="441"/>
      <c r="R77" s="246"/>
      <c r="S77" s="261"/>
      <c r="T77" s="441"/>
      <c r="U77" s="246"/>
      <c r="V77" s="441" t="str">
        <f>TEAM!B78</f>
        <v>#REF!</v>
      </c>
      <c r="W77" s="246"/>
      <c r="X77" s="441"/>
      <c r="Y77" s="246"/>
      <c r="Z77" s="261"/>
      <c r="AA77" s="441"/>
      <c r="AB77" s="246"/>
      <c r="AC77" s="441" t="str">
        <f>TEAM!B76</f>
        <v>#REF!</v>
      </c>
      <c r="AD77" s="246"/>
      <c r="AE77" s="441"/>
      <c r="AF77" s="246"/>
      <c r="AG77" s="261"/>
      <c r="AH77" s="441"/>
      <c r="AI77" s="246"/>
      <c r="AJ77" s="441" t="str">
        <f>TEAM!B73</f>
        <v>#REF!</v>
      </c>
      <c r="AK77" s="246"/>
      <c r="AL77" s="441"/>
      <c r="AM77" s="246"/>
      <c r="AN77" s="261"/>
      <c r="AO77" s="441" t="str">
        <f>TEAM!B79</f>
        <v>#REF!</v>
      </c>
      <c r="AP77" s="246"/>
      <c r="AQ77" s="443" t="str">
        <f>TEAM!B80</f>
        <v>#REF!</v>
      </c>
      <c r="AR77" s="246"/>
      <c r="AS77" s="441"/>
      <c r="AT77" s="254" t="str">
        <f t="shared" si="26"/>
        <v/>
      </c>
      <c r="AU77" s="269"/>
      <c r="AV77" s="269"/>
      <c r="AW77" s="206" t="str">
        <f t="shared" si="24"/>
        <v>#REF!</v>
      </c>
      <c r="AX77" s="207">
        <f t="shared" si="2"/>
        <v>49</v>
      </c>
      <c r="AY77" s="208">
        <f t="shared" si="3"/>
        <v>52</v>
      </c>
      <c r="AZ77" s="208">
        <f t="shared" si="4"/>
        <v>45</v>
      </c>
      <c r="BA77" s="208">
        <f t="shared" si="5"/>
        <v>43</v>
      </c>
      <c r="BB77" s="209">
        <f t="shared" si="6"/>
        <v>0</v>
      </c>
      <c r="BC77" s="210">
        <f t="shared" si="7"/>
        <v>1512</v>
      </c>
      <c r="BD77" s="211"/>
      <c r="BE77" s="212"/>
    </row>
    <row r="78">
      <c r="A78" s="94"/>
      <c r="B78" s="444" t="s">
        <v>727</v>
      </c>
      <c r="C78" s="445" t="s">
        <v>728</v>
      </c>
      <c r="D78" s="369"/>
      <c r="E78" s="259"/>
      <c r="F78" s="446"/>
      <c r="G78" s="246"/>
      <c r="H78" s="446"/>
      <c r="I78" s="246"/>
      <c r="J78" s="446"/>
      <c r="K78" s="246"/>
      <c r="L78" s="261"/>
      <c r="M78" s="446"/>
      <c r="N78" s="246"/>
      <c r="O78" s="446"/>
      <c r="P78" s="246"/>
      <c r="Q78" s="446"/>
      <c r="R78" s="246"/>
      <c r="S78" s="261"/>
      <c r="T78" s="446"/>
      <c r="U78" s="246"/>
      <c r="V78" s="446"/>
      <c r="W78" s="246"/>
      <c r="X78" s="446"/>
      <c r="Y78" s="246"/>
      <c r="Z78" s="261"/>
      <c r="AA78" s="446"/>
      <c r="AB78" s="246"/>
      <c r="AC78" s="446"/>
      <c r="AD78" s="246"/>
      <c r="AE78" s="446"/>
      <c r="AF78" s="246"/>
      <c r="AG78" s="261"/>
      <c r="AH78" s="446"/>
      <c r="AI78" s="246"/>
      <c r="AJ78" s="446"/>
      <c r="AK78" s="246"/>
      <c r="AL78" s="446"/>
      <c r="AM78" s="246"/>
      <c r="AN78" s="261"/>
      <c r="AO78" s="446"/>
      <c r="AP78" s="246"/>
      <c r="AQ78" s="446"/>
      <c r="AR78" s="246"/>
      <c r="AS78" s="446"/>
      <c r="AT78" s="254" t="str">
        <f t="shared" si="26"/>
        <v/>
      </c>
      <c r="AU78" s="269"/>
      <c r="AV78" s="269"/>
      <c r="AW78" s="206" t="str">
        <f t="shared" si="24"/>
        <v>#REF!</v>
      </c>
      <c r="AX78" s="207">
        <f t="shared" si="2"/>
        <v>49</v>
      </c>
      <c r="AY78" s="208">
        <f t="shared" si="3"/>
        <v>52</v>
      </c>
      <c r="AZ78" s="208">
        <f t="shared" si="4"/>
        <v>45</v>
      </c>
      <c r="BA78" s="208">
        <f t="shared" si="5"/>
        <v>43</v>
      </c>
      <c r="BB78" s="209">
        <f t="shared" si="6"/>
        <v>0</v>
      </c>
      <c r="BC78" s="210">
        <f t="shared" si="7"/>
        <v>1512</v>
      </c>
      <c r="BD78" s="211"/>
      <c r="BE78" s="212"/>
    </row>
    <row r="79">
      <c r="A79" s="94"/>
      <c r="B79" s="447" t="s">
        <v>729</v>
      </c>
      <c r="C79" s="448" t="s">
        <v>730</v>
      </c>
      <c r="D79" s="330"/>
      <c r="E79" s="259"/>
      <c r="F79" s="441"/>
      <c r="G79" s="246"/>
      <c r="H79" s="441" t="str">
        <f>TEAM!B79</f>
        <v>#REF!</v>
      </c>
      <c r="I79" s="246"/>
      <c r="J79" s="441"/>
      <c r="K79" s="246"/>
      <c r="L79" s="261"/>
      <c r="M79" s="441"/>
      <c r="N79" s="246"/>
      <c r="O79" s="441"/>
      <c r="P79" s="246"/>
      <c r="Q79" s="441"/>
      <c r="R79" s="246"/>
      <c r="S79" s="261"/>
      <c r="T79" s="441"/>
      <c r="U79" s="246"/>
      <c r="V79" s="441" t="str">
        <f>TEAM!B79</f>
        <v>#REF!</v>
      </c>
      <c r="W79" s="246"/>
      <c r="X79" s="441"/>
      <c r="Y79" s="246"/>
      <c r="Z79" s="261"/>
      <c r="AA79" s="441" t="str">
        <f>TEAM!B80</f>
        <v>#REF!</v>
      </c>
      <c r="AB79" s="246"/>
      <c r="AC79" s="449" t="str">
        <f>TEAM!B79</f>
        <v>#REF!</v>
      </c>
      <c r="AD79" s="246"/>
      <c r="AE79" s="441"/>
      <c r="AF79" s="246"/>
      <c r="AG79" s="261"/>
      <c r="AH79" s="441"/>
      <c r="AI79" s="246"/>
      <c r="AJ79" s="441"/>
      <c r="AK79" s="246"/>
      <c r="AL79" s="441"/>
      <c r="AM79" s="246"/>
      <c r="AN79" s="261"/>
      <c r="AO79" s="441"/>
      <c r="AP79" s="246"/>
      <c r="AQ79" s="441"/>
      <c r="AR79" s="246"/>
      <c r="AS79" s="441"/>
      <c r="AT79" s="254" t="str">
        <f t="shared" si="26"/>
        <v/>
      </c>
      <c r="AU79" s="269"/>
      <c r="AV79" s="269"/>
      <c r="AW79" s="206" t="str">
        <f t="shared" si="24"/>
        <v>#REF!</v>
      </c>
      <c r="AX79" s="207">
        <f t="shared" si="2"/>
        <v>49</v>
      </c>
      <c r="AY79" s="208">
        <f t="shared" si="3"/>
        <v>52</v>
      </c>
      <c r="AZ79" s="208">
        <f t="shared" si="4"/>
        <v>45</v>
      </c>
      <c r="BA79" s="208">
        <f t="shared" si="5"/>
        <v>43</v>
      </c>
      <c r="BB79" s="209">
        <f t="shared" si="6"/>
        <v>0</v>
      </c>
      <c r="BC79" s="210">
        <f t="shared" si="7"/>
        <v>1512</v>
      </c>
      <c r="BD79" s="211"/>
      <c r="BE79" s="212"/>
    </row>
    <row r="80">
      <c r="A80" s="94"/>
      <c r="B80" s="450" t="s">
        <v>731</v>
      </c>
      <c r="C80" s="451" t="s">
        <v>732</v>
      </c>
      <c r="D80" s="363"/>
      <c r="E80" s="259"/>
      <c r="F80" s="206"/>
      <c r="G80" s="246"/>
      <c r="H80" s="206" t="str">
        <f>TEAM!B74</f>
        <v>#REF!</v>
      </c>
      <c r="I80" s="246"/>
      <c r="J80" s="206"/>
      <c r="K80" s="246"/>
      <c r="L80" s="261"/>
      <c r="M80" s="206"/>
      <c r="N80" s="246"/>
      <c r="O80" s="206" t="str">
        <f>TEAM!B74</f>
        <v>#REF!</v>
      </c>
      <c r="P80" s="246"/>
      <c r="Q80" s="206"/>
      <c r="R80" s="246"/>
      <c r="S80" s="261"/>
      <c r="T80" s="206"/>
      <c r="U80" s="246"/>
      <c r="V80" s="206" t="str">
        <f>TEAM!B73</f>
        <v>#REF!</v>
      </c>
      <c r="W80" s="246"/>
      <c r="X80" s="206"/>
      <c r="Y80" s="246"/>
      <c r="Z80" s="261"/>
      <c r="AA80" s="206"/>
      <c r="AB80" s="246"/>
      <c r="AC80" s="206" t="str">
        <f>TEAM!B73</f>
        <v>#REF!</v>
      </c>
      <c r="AD80" s="246"/>
      <c r="AE80" s="206"/>
      <c r="AF80" s="246"/>
      <c r="AG80" s="261"/>
      <c r="AH80" s="206"/>
      <c r="AI80" s="246"/>
      <c r="AJ80" s="206" t="str">
        <f>TEAM!B76</f>
        <v>#REF!</v>
      </c>
      <c r="AK80" s="246"/>
      <c r="AL80" s="206"/>
      <c r="AM80" s="246"/>
      <c r="AN80" s="261"/>
      <c r="AO80" s="206"/>
      <c r="AP80" s="246"/>
      <c r="AQ80" s="206"/>
      <c r="AR80" s="246"/>
      <c r="AS80" s="206"/>
      <c r="AT80" s="254" t="str">
        <f t="shared" si="26"/>
        <v/>
      </c>
      <c r="AU80" s="269"/>
      <c r="AV80" s="269"/>
      <c r="AW80" s="206" t="str">
        <f t="shared" si="24"/>
        <v>#REF!</v>
      </c>
      <c r="AX80" s="207">
        <f t="shared" si="2"/>
        <v>49</v>
      </c>
      <c r="AY80" s="208">
        <f t="shared" si="3"/>
        <v>52</v>
      </c>
      <c r="AZ80" s="208">
        <f t="shared" si="4"/>
        <v>45</v>
      </c>
      <c r="BA80" s="208">
        <f t="shared" si="5"/>
        <v>43</v>
      </c>
      <c r="BB80" s="209">
        <f t="shared" si="6"/>
        <v>0</v>
      </c>
      <c r="BC80" s="210">
        <f t="shared" si="7"/>
        <v>1512</v>
      </c>
      <c r="BD80" s="211"/>
      <c r="BE80" s="212"/>
    </row>
    <row r="81">
      <c r="A81" s="94"/>
      <c r="B81" s="452" t="s">
        <v>733</v>
      </c>
      <c r="C81" s="453" t="s">
        <v>734</v>
      </c>
      <c r="D81" s="363"/>
      <c r="E81" s="259"/>
      <c r="F81" s="74"/>
      <c r="G81" s="246"/>
      <c r="H81" s="74" t="str">
        <f>TEAM!B72</f>
        <v>#REF!</v>
      </c>
      <c r="I81" s="246"/>
      <c r="J81" s="74"/>
      <c r="K81" s="246"/>
      <c r="L81" s="261"/>
      <c r="M81" s="74"/>
      <c r="N81" s="246"/>
      <c r="O81" s="74" t="str">
        <f>TEAM!B72</f>
        <v>#REF!</v>
      </c>
      <c r="P81" s="246"/>
      <c r="Q81" s="74"/>
      <c r="R81" s="246"/>
      <c r="S81" s="261"/>
      <c r="T81" s="74"/>
      <c r="U81" s="246"/>
      <c r="V81" s="74" t="str">
        <f>TEAM!B72</f>
        <v>#REF!</v>
      </c>
      <c r="W81" s="246"/>
      <c r="X81" s="74"/>
      <c r="Y81" s="246"/>
      <c r="Z81" s="261"/>
      <c r="AA81" s="74"/>
      <c r="AB81" s="246"/>
      <c r="AC81" s="74" t="str">
        <f>TEAM!B72</f>
        <v>#REF!</v>
      </c>
      <c r="AD81" s="246"/>
      <c r="AE81" s="74"/>
      <c r="AF81" s="246"/>
      <c r="AG81" s="261"/>
      <c r="AH81" s="74"/>
      <c r="AI81" s="246"/>
      <c r="AJ81" s="74" t="str">
        <f>TEAM!B72</f>
        <v>#REF!</v>
      </c>
      <c r="AK81" s="246"/>
      <c r="AL81" s="74"/>
      <c r="AM81" s="246"/>
      <c r="AN81" s="261"/>
      <c r="AO81" s="74"/>
      <c r="AP81" s="246"/>
      <c r="AQ81" s="74" t="str">
        <f>TEAM!B76</f>
        <v>#REF!</v>
      </c>
      <c r="AR81" s="246"/>
      <c r="AS81" s="74"/>
      <c r="AT81" s="254" t="str">
        <f t="shared" si="26"/>
        <v/>
      </c>
      <c r="AU81" s="269"/>
      <c r="AV81" s="269"/>
      <c r="AW81" s="206" t="str">
        <f t="shared" si="24"/>
        <v>#REF!</v>
      </c>
      <c r="AX81" s="207">
        <f t="shared" si="2"/>
        <v>49</v>
      </c>
      <c r="AY81" s="208">
        <f t="shared" si="3"/>
        <v>52</v>
      </c>
      <c r="AZ81" s="208">
        <f t="shared" si="4"/>
        <v>45</v>
      </c>
      <c r="BA81" s="208">
        <f t="shared" si="5"/>
        <v>43</v>
      </c>
      <c r="BB81" s="209">
        <f t="shared" si="6"/>
        <v>0</v>
      </c>
      <c r="BC81" s="210">
        <f t="shared" si="7"/>
        <v>1512</v>
      </c>
      <c r="BD81" s="211"/>
      <c r="BE81" s="212"/>
    </row>
    <row r="82">
      <c r="A82" s="94"/>
      <c r="B82" s="454" t="s">
        <v>735</v>
      </c>
      <c r="C82" s="455" t="s">
        <v>736</v>
      </c>
      <c r="D82" s="363"/>
      <c r="E82" s="259"/>
      <c r="F82" s="441"/>
      <c r="G82" s="246"/>
      <c r="H82" s="441"/>
      <c r="I82" s="246"/>
      <c r="J82" s="406" t="s">
        <v>464</v>
      </c>
      <c r="K82" s="246"/>
      <c r="L82" s="261"/>
      <c r="M82" s="441"/>
      <c r="N82" s="246"/>
      <c r="O82" s="441"/>
      <c r="P82" s="246"/>
      <c r="Q82" s="406" t="s">
        <v>464</v>
      </c>
      <c r="R82" s="246"/>
      <c r="S82" s="261"/>
      <c r="T82" s="441"/>
      <c r="U82" s="246"/>
      <c r="V82" s="441"/>
      <c r="W82" s="246"/>
      <c r="X82" s="405" t="s">
        <v>462</v>
      </c>
      <c r="Y82" s="246"/>
      <c r="Z82" s="261"/>
      <c r="AA82" s="441"/>
      <c r="AB82" s="246"/>
      <c r="AC82" s="441"/>
      <c r="AD82" s="246"/>
      <c r="AE82" s="406" t="s">
        <v>464</v>
      </c>
      <c r="AF82" s="246"/>
      <c r="AG82" s="261"/>
      <c r="AH82" s="441"/>
      <c r="AI82" s="246"/>
      <c r="AJ82" s="441"/>
      <c r="AK82" s="246"/>
      <c r="AL82" s="406" t="s">
        <v>464</v>
      </c>
      <c r="AM82" s="246"/>
      <c r="AN82" s="261"/>
      <c r="AO82" s="441"/>
      <c r="AP82" s="246"/>
      <c r="AQ82" s="441"/>
      <c r="AR82" s="246"/>
      <c r="AS82" s="441"/>
      <c r="AT82" s="254" t="str">
        <f t="shared" si="26"/>
        <v/>
      </c>
      <c r="AU82" s="269"/>
      <c r="AV82" s="269"/>
      <c r="AW82" s="206" t="str">
        <f t="shared" si="24"/>
        <v>#REF!</v>
      </c>
      <c r="AX82" s="207">
        <f t="shared" si="2"/>
        <v>49</v>
      </c>
      <c r="AY82" s="208">
        <f t="shared" si="3"/>
        <v>52</v>
      </c>
      <c r="AZ82" s="208">
        <f t="shared" si="4"/>
        <v>45</v>
      </c>
      <c r="BA82" s="208">
        <f t="shared" si="5"/>
        <v>43</v>
      </c>
      <c r="BB82" s="209">
        <f t="shared" si="6"/>
        <v>0</v>
      </c>
      <c r="BC82" s="210">
        <f t="shared" si="7"/>
        <v>1512</v>
      </c>
      <c r="BD82" s="211"/>
      <c r="BE82" s="212"/>
    </row>
    <row r="83">
      <c r="A83" s="94"/>
      <c r="B83" s="454" t="s">
        <v>735</v>
      </c>
      <c r="C83" s="442" t="s">
        <v>736</v>
      </c>
      <c r="D83" s="363"/>
      <c r="E83" s="259"/>
      <c r="F83" s="456"/>
      <c r="G83" s="246"/>
      <c r="H83" s="456"/>
      <c r="I83" s="246"/>
      <c r="J83" s="405" t="s">
        <v>462</v>
      </c>
      <c r="K83" s="246"/>
      <c r="L83" s="261"/>
      <c r="M83" s="456"/>
      <c r="N83" s="246"/>
      <c r="O83" s="456"/>
      <c r="P83" s="246"/>
      <c r="Q83" s="456"/>
      <c r="R83" s="246"/>
      <c r="S83" s="261"/>
      <c r="T83" s="456"/>
      <c r="U83" s="246"/>
      <c r="V83" s="456"/>
      <c r="W83" s="246"/>
      <c r="X83" s="406" t="s">
        <v>464</v>
      </c>
      <c r="Y83" s="246"/>
      <c r="Z83" s="261"/>
      <c r="AA83" s="456"/>
      <c r="AB83" s="246"/>
      <c r="AC83" s="456"/>
      <c r="AD83" s="246"/>
      <c r="AF83" s="246"/>
      <c r="AG83" s="261"/>
      <c r="AH83" s="456"/>
      <c r="AI83" s="246"/>
      <c r="AJ83" s="456"/>
      <c r="AK83" s="246"/>
      <c r="AL83" s="406" t="s">
        <v>462</v>
      </c>
      <c r="AM83" s="246"/>
      <c r="AN83" s="261"/>
      <c r="AO83" s="456"/>
      <c r="AP83" s="246"/>
      <c r="AQ83" s="456"/>
      <c r="AR83" s="246"/>
      <c r="AS83" s="456"/>
      <c r="AT83" s="254" t="str">
        <f t="shared" si="26"/>
        <v/>
      </c>
      <c r="AU83" s="269"/>
      <c r="AV83" s="269"/>
      <c r="AW83" s="206" t="str">
        <f t="shared" si="24"/>
        <v>#REF!</v>
      </c>
      <c r="AX83" s="207">
        <f t="shared" si="2"/>
        <v>49</v>
      </c>
      <c r="AY83" s="208">
        <f t="shared" si="3"/>
        <v>52</v>
      </c>
      <c r="AZ83" s="208">
        <f t="shared" si="4"/>
        <v>45</v>
      </c>
      <c r="BA83" s="208">
        <f t="shared" si="5"/>
        <v>43</v>
      </c>
      <c r="BB83" s="209">
        <f t="shared" si="6"/>
        <v>0</v>
      </c>
      <c r="BC83" s="210">
        <f t="shared" si="7"/>
        <v>1512</v>
      </c>
      <c r="BD83" s="211"/>
      <c r="BE83" s="212"/>
    </row>
    <row r="84">
      <c r="A84" s="94"/>
      <c r="B84" s="457" t="s">
        <v>735</v>
      </c>
      <c r="C84" s="458" t="s">
        <v>737</v>
      </c>
      <c r="D84" s="363"/>
      <c r="E84" s="259"/>
      <c r="F84" s="406"/>
      <c r="G84" s="246"/>
      <c r="H84" s="406"/>
      <c r="I84" s="246"/>
      <c r="J84" s="406"/>
      <c r="K84" s="246"/>
      <c r="L84" s="261"/>
      <c r="M84" s="406"/>
      <c r="N84" s="246"/>
      <c r="O84" s="406"/>
      <c r="P84" s="246"/>
      <c r="Q84" s="406"/>
      <c r="R84" s="246"/>
      <c r="S84" s="261"/>
      <c r="T84" s="406"/>
      <c r="U84" s="246"/>
      <c r="V84" s="406"/>
      <c r="W84" s="246"/>
      <c r="X84" s="406"/>
      <c r="Y84" s="246"/>
      <c r="Z84" s="261"/>
      <c r="AA84" s="406"/>
      <c r="AB84" s="246"/>
      <c r="AC84" s="406"/>
      <c r="AD84" s="246"/>
      <c r="AE84" s="406"/>
      <c r="AF84" s="246"/>
      <c r="AG84" s="261"/>
      <c r="AH84" s="406"/>
      <c r="AI84" s="246"/>
      <c r="AJ84" s="406"/>
      <c r="AK84" s="246"/>
      <c r="AL84" s="406"/>
      <c r="AM84" s="246"/>
      <c r="AN84" s="261"/>
      <c r="AO84" s="406"/>
      <c r="AP84" s="246"/>
      <c r="AQ84" s="406"/>
      <c r="AR84" s="246"/>
      <c r="AS84" s="406"/>
      <c r="AT84" s="254" t="str">
        <f t="shared" si="26"/>
        <v/>
      </c>
      <c r="AU84" s="269"/>
      <c r="AV84" s="269"/>
      <c r="AW84" s="206" t="str">
        <f t="shared" si="24"/>
        <v>#REF!</v>
      </c>
      <c r="AX84" s="207">
        <f t="shared" si="2"/>
        <v>49</v>
      </c>
      <c r="AY84" s="208">
        <f t="shared" si="3"/>
        <v>52</v>
      </c>
      <c r="AZ84" s="208">
        <f t="shared" si="4"/>
        <v>45</v>
      </c>
      <c r="BA84" s="208">
        <f t="shared" si="5"/>
        <v>43</v>
      </c>
      <c r="BB84" s="209">
        <f t="shared" si="6"/>
        <v>0</v>
      </c>
      <c r="BC84" s="210">
        <f t="shared" si="7"/>
        <v>1512</v>
      </c>
      <c r="BD84" s="211"/>
      <c r="BE84" s="212"/>
    </row>
    <row r="85">
      <c r="A85" s="270"/>
      <c r="B85" s="459"/>
      <c r="C85" s="460" t="s">
        <v>738</v>
      </c>
      <c r="D85" s="363"/>
      <c r="E85" s="259"/>
      <c r="F85" s="461" t="s">
        <v>739</v>
      </c>
      <c r="G85" s="246"/>
      <c r="H85" s="132"/>
      <c r="I85" s="246"/>
      <c r="J85" s="132"/>
      <c r="K85" s="246"/>
      <c r="L85" s="462"/>
      <c r="M85" s="461" t="s">
        <v>740</v>
      </c>
      <c r="N85" s="246"/>
      <c r="O85" s="132"/>
      <c r="P85" s="246"/>
      <c r="Q85" s="132"/>
      <c r="R85" s="246"/>
      <c r="S85" s="462"/>
      <c r="T85" s="461" t="s">
        <v>741</v>
      </c>
      <c r="U85" s="246"/>
      <c r="V85" s="132"/>
      <c r="W85" s="246"/>
      <c r="X85" s="132"/>
      <c r="Y85" s="246"/>
      <c r="Z85" s="462"/>
      <c r="AA85" s="461" t="s">
        <v>742</v>
      </c>
      <c r="AB85" s="246"/>
      <c r="AC85" s="132"/>
      <c r="AD85" s="246"/>
      <c r="AE85" s="132"/>
      <c r="AF85" s="246"/>
      <c r="AG85" s="462"/>
      <c r="AH85" s="461" t="s">
        <v>743</v>
      </c>
      <c r="AI85" s="246"/>
      <c r="AJ85" s="132"/>
      <c r="AK85" s="246"/>
      <c r="AL85" s="132"/>
      <c r="AM85" s="246"/>
      <c r="AN85" s="462"/>
      <c r="AO85" s="461" t="s">
        <v>744</v>
      </c>
      <c r="AP85" s="246"/>
      <c r="AQ85" s="132"/>
      <c r="AR85" s="246"/>
      <c r="AS85" s="132"/>
      <c r="AT85" s="460"/>
      <c r="AU85" s="269"/>
      <c r="AV85" s="269"/>
      <c r="AW85" s="206" t="str">
        <f>TEAM!B88</f>
        <v>#REF!</v>
      </c>
      <c r="AX85" s="207">
        <f t="shared" si="2"/>
        <v>49</v>
      </c>
      <c r="AY85" s="208">
        <f t="shared" si="3"/>
        <v>52</v>
      </c>
      <c r="AZ85" s="208">
        <f t="shared" si="4"/>
        <v>45</v>
      </c>
      <c r="BA85" s="208">
        <f t="shared" si="5"/>
        <v>43</v>
      </c>
      <c r="BB85" s="209">
        <f t="shared" si="6"/>
        <v>0</v>
      </c>
      <c r="BC85" s="210">
        <f t="shared" si="7"/>
        <v>1512</v>
      </c>
      <c r="BD85" s="211"/>
      <c r="BE85" s="212"/>
    </row>
    <row r="86">
      <c r="A86" s="236"/>
      <c r="B86" s="459"/>
      <c r="C86" s="460" t="s">
        <v>738</v>
      </c>
      <c r="D86" s="363"/>
      <c r="E86" s="259"/>
      <c r="F86" s="132"/>
      <c r="G86" s="246"/>
      <c r="H86" s="132"/>
      <c r="I86" s="246"/>
      <c r="J86" s="132"/>
      <c r="K86" s="246"/>
      <c r="L86" s="462"/>
      <c r="M86" s="132"/>
      <c r="N86" s="246"/>
      <c r="O86" s="132"/>
      <c r="P86" s="246"/>
      <c r="Q86" s="132"/>
      <c r="R86" s="246"/>
      <c r="S86" s="462"/>
      <c r="T86" s="132"/>
      <c r="U86" s="246"/>
      <c r="V86" s="132"/>
      <c r="W86" s="246"/>
      <c r="X86" s="132"/>
      <c r="Y86" s="246"/>
      <c r="Z86" s="462"/>
      <c r="AA86" s="132"/>
      <c r="AB86" s="246"/>
      <c r="AC86" s="132"/>
      <c r="AD86" s="246"/>
      <c r="AE86" s="132"/>
      <c r="AF86" s="246"/>
      <c r="AG86" s="462"/>
      <c r="AH86" s="132"/>
      <c r="AI86" s="246"/>
      <c r="AJ86" s="132"/>
      <c r="AK86" s="246"/>
      <c r="AL86" s="132"/>
      <c r="AM86" s="246"/>
      <c r="AN86" s="462"/>
      <c r="AO86" s="132"/>
      <c r="AP86" s="246"/>
      <c r="AQ86" s="132"/>
      <c r="AR86" s="246"/>
      <c r="AS86" s="132"/>
      <c r="AT86" s="460"/>
      <c r="AU86" s="236"/>
      <c r="AV86" s="236"/>
      <c r="AW86" s="206" t="str">
        <f>TEAM!B65</f>
        <v>#REF!</v>
      </c>
      <c r="AX86" s="207">
        <f t="shared" si="2"/>
        <v>49</v>
      </c>
      <c r="AY86" s="208">
        <f t="shared" si="3"/>
        <v>52</v>
      </c>
      <c r="AZ86" s="208">
        <f t="shared" si="4"/>
        <v>45</v>
      </c>
      <c r="BA86" s="208">
        <f t="shared" si="5"/>
        <v>43</v>
      </c>
      <c r="BB86" s="209">
        <f t="shared" si="6"/>
        <v>0</v>
      </c>
      <c r="BC86" s="210">
        <f t="shared" si="7"/>
        <v>1512</v>
      </c>
      <c r="BD86" s="211"/>
      <c r="BE86" s="212"/>
    </row>
    <row r="87">
      <c r="A87" s="236"/>
      <c r="B87" s="459"/>
      <c r="C87" s="460" t="s">
        <v>738</v>
      </c>
      <c r="D87" s="363"/>
      <c r="E87" s="259"/>
      <c r="F87" s="132"/>
      <c r="G87" s="246"/>
      <c r="H87" s="132"/>
      <c r="I87" s="246"/>
      <c r="J87" s="132"/>
      <c r="K87" s="246"/>
      <c r="L87" s="462"/>
      <c r="M87" s="132"/>
      <c r="N87" s="246"/>
      <c r="O87" s="132"/>
      <c r="P87" s="246"/>
      <c r="Q87" s="132"/>
      <c r="R87" s="246"/>
      <c r="S87" s="462"/>
      <c r="T87" s="132"/>
      <c r="U87" s="246"/>
      <c r="V87" s="132"/>
      <c r="W87" s="246"/>
      <c r="X87" s="132"/>
      <c r="Y87" s="246"/>
      <c r="Z87" s="462"/>
      <c r="AA87" s="132"/>
      <c r="AB87" s="246"/>
      <c r="AC87" s="132"/>
      <c r="AD87" s="246"/>
      <c r="AE87" s="132"/>
      <c r="AF87" s="246"/>
      <c r="AG87" s="462"/>
      <c r="AH87" s="461" t="s">
        <v>745</v>
      </c>
      <c r="AI87" s="246"/>
      <c r="AJ87" s="132"/>
      <c r="AK87" s="246"/>
      <c r="AL87" s="132"/>
      <c r="AM87" s="246"/>
      <c r="AN87" s="462"/>
      <c r="AO87" s="461" t="s">
        <v>552</v>
      </c>
      <c r="AP87" s="246"/>
      <c r="AQ87" s="132"/>
      <c r="AR87" s="246"/>
      <c r="AS87" s="132"/>
      <c r="AT87" s="460"/>
      <c r="AU87" s="236"/>
      <c r="AV87" s="236"/>
      <c r="AW87" s="206" t="str">
        <f>TEAM!B89</f>
        <v>#REF!</v>
      </c>
      <c r="AX87" s="207">
        <f t="shared" si="2"/>
        <v>49</v>
      </c>
      <c r="AY87" s="208">
        <f t="shared" si="3"/>
        <v>52</v>
      </c>
      <c r="AZ87" s="208">
        <f t="shared" si="4"/>
        <v>45</v>
      </c>
      <c r="BA87" s="208">
        <f t="shared" si="5"/>
        <v>43</v>
      </c>
      <c r="BB87" s="209">
        <f t="shared" si="6"/>
        <v>0</v>
      </c>
      <c r="BC87" s="210">
        <f t="shared" si="7"/>
        <v>1512</v>
      </c>
      <c r="BD87" s="211"/>
      <c r="BE87" s="212"/>
    </row>
    <row r="88">
      <c r="A88" s="182"/>
      <c r="B88" s="183" t="s">
        <v>746</v>
      </c>
      <c r="C88" s="184" t="s">
        <v>605</v>
      </c>
      <c r="D88" s="185" t="s">
        <v>486</v>
      </c>
      <c r="E88" s="186"/>
      <c r="F88" s="185" t="s">
        <v>487</v>
      </c>
      <c r="M88" s="185" t="s">
        <v>488</v>
      </c>
      <c r="T88" s="185" t="s">
        <v>489</v>
      </c>
      <c r="AA88" s="185" t="s">
        <v>490</v>
      </c>
      <c r="AH88" s="185" t="s">
        <v>491</v>
      </c>
      <c r="AO88" s="185" t="s">
        <v>492</v>
      </c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</row>
    <row r="89">
      <c r="A89" s="182"/>
      <c r="B89" s="187"/>
      <c r="C89" s="187"/>
      <c r="D89" s="188">
        <f>AO4+1</f>
        <v>11</v>
      </c>
      <c r="E89" s="189"/>
      <c r="F89" s="188">
        <f>D89+1</f>
        <v>12</v>
      </c>
      <c r="M89" s="188">
        <f>F89+1</f>
        <v>13</v>
      </c>
      <c r="T89" s="188">
        <f>M89+1</f>
        <v>14</v>
      </c>
      <c r="AA89" s="188">
        <f>T89+1</f>
        <v>15</v>
      </c>
      <c r="AH89" s="188">
        <f>AA89+1</f>
        <v>16</v>
      </c>
      <c r="AO89" s="188">
        <f>AH89+1</f>
        <v>17</v>
      </c>
      <c r="AU89" s="182"/>
      <c r="AV89" s="182"/>
      <c r="AW89" s="190" t="s">
        <v>606</v>
      </c>
      <c r="BB89" s="190"/>
      <c r="BC89" s="191" t="s">
        <v>607</v>
      </c>
      <c r="BD89" s="191"/>
      <c r="BE89" s="192"/>
    </row>
    <row r="90">
      <c r="A90" s="182"/>
      <c r="B90" s="193" t="s">
        <v>608</v>
      </c>
      <c r="C90" s="193" t="s">
        <v>609</v>
      </c>
      <c r="D90" s="187"/>
      <c r="E90" s="189"/>
      <c r="F90" s="194" t="s">
        <v>610</v>
      </c>
      <c r="G90" s="195"/>
      <c r="H90" s="193" t="s">
        <v>611</v>
      </c>
      <c r="J90" s="194" t="s">
        <v>612</v>
      </c>
      <c r="M90" s="194" t="s">
        <v>610</v>
      </c>
      <c r="N90" s="195"/>
      <c r="O90" s="193" t="s">
        <v>611</v>
      </c>
      <c r="P90" s="195"/>
      <c r="Q90" s="194" t="s">
        <v>612</v>
      </c>
      <c r="S90" s="193"/>
      <c r="T90" s="194" t="s">
        <v>610</v>
      </c>
      <c r="U90" s="195"/>
      <c r="V90" s="193" t="s">
        <v>611</v>
      </c>
      <c r="W90" s="195"/>
      <c r="X90" s="194" t="s">
        <v>612</v>
      </c>
      <c r="Z90" s="193"/>
      <c r="AA90" s="194" t="s">
        <v>610</v>
      </c>
      <c r="AB90" s="195"/>
      <c r="AC90" s="193" t="s">
        <v>611</v>
      </c>
      <c r="AD90" s="195"/>
      <c r="AE90" s="194" t="s">
        <v>612</v>
      </c>
      <c r="AG90" s="193"/>
      <c r="AH90" s="194" t="s">
        <v>610</v>
      </c>
      <c r="AI90" s="195"/>
      <c r="AJ90" s="193" t="s">
        <v>611</v>
      </c>
      <c r="AK90" s="195"/>
      <c r="AL90" s="194" t="s">
        <v>612</v>
      </c>
      <c r="AN90" s="193"/>
      <c r="AO90" s="194" t="s">
        <v>610</v>
      </c>
      <c r="AP90" s="195"/>
      <c r="AQ90" s="193" t="s">
        <v>611</v>
      </c>
      <c r="AR90" s="195"/>
      <c r="AS90" s="194" t="s">
        <v>612</v>
      </c>
      <c r="AU90" s="182"/>
      <c r="AV90" s="182"/>
      <c r="AW90" s="196" t="s">
        <v>613</v>
      </c>
      <c r="AX90" s="197" t="s">
        <v>614</v>
      </c>
      <c r="AY90" s="197" t="s">
        <v>615</v>
      </c>
      <c r="AZ90" s="197" t="s">
        <v>616</v>
      </c>
      <c r="BA90" s="197" t="s">
        <v>617</v>
      </c>
      <c r="BB90" s="197" t="s">
        <v>618</v>
      </c>
      <c r="BC90" s="197" t="s">
        <v>619</v>
      </c>
      <c r="BD90" s="197"/>
      <c r="BE90" s="198"/>
    </row>
    <row r="91" ht="15.0" customHeight="1">
      <c r="A91" s="199"/>
      <c r="B91" s="200" t="s">
        <v>620</v>
      </c>
      <c r="C91" s="201"/>
      <c r="D91" s="201"/>
      <c r="E91" s="202"/>
      <c r="F91" s="203"/>
      <c r="G91" s="204"/>
      <c r="H91" s="203"/>
      <c r="I91" s="204"/>
      <c r="J91" s="203"/>
      <c r="K91" s="204"/>
      <c r="L91" s="205"/>
      <c r="M91" s="203" t="s">
        <v>747</v>
      </c>
      <c r="N91" s="204"/>
      <c r="O91" s="203" t="s">
        <v>748</v>
      </c>
      <c r="P91" s="204"/>
      <c r="Q91" s="203" t="s">
        <v>620</v>
      </c>
      <c r="R91" s="204"/>
      <c r="S91" s="205"/>
      <c r="T91" s="203"/>
      <c r="U91" s="204"/>
      <c r="V91" s="203"/>
      <c r="W91" s="204"/>
      <c r="X91" s="203"/>
      <c r="Y91" s="204"/>
      <c r="Z91" s="205"/>
      <c r="AA91" s="203" t="s">
        <v>621</v>
      </c>
      <c r="AB91" s="204"/>
      <c r="AC91" s="203"/>
      <c r="AD91" s="204"/>
      <c r="AE91" s="203"/>
      <c r="AF91" s="204"/>
      <c r="AG91" s="205"/>
      <c r="AH91" s="203"/>
      <c r="AI91" s="204"/>
      <c r="AJ91" s="203"/>
      <c r="AK91" s="204"/>
      <c r="AL91" s="203" t="s">
        <v>749</v>
      </c>
      <c r="AM91" s="204"/>
      <c r="AN91" s="205"/>
      <c r="AO91" s="203" t="s">
        <v>621</v>
      </c>
      <c r="AP91" s="204"/>
      <c r="AQ91" s="203"/>
      <c r="AR91" s="204"/>
      <c r="AS91" s="203"/>
      <c r="AT91" s="204"/>
      <c r="AU91" s="199"/>
      <c r="AV91" s="199"/>
      <c r="AW91" s="463" t="str">
        <f t="shared" ref="AW91:BD91" si="31">AW6</f>
        <v>#REF!</v>
      </c>
      <c r="AX91" s="206">
        <f t="shared" si="31"/>
        <v>49</v>
      </c>
      <c r="AY91" s="464">
        <f t="shared" si="31"/>
        <v>52</v>
      </c>
      <c r="AZ91" s="206">
        <f t="shared" si="31"/>
        <v>45</v>
      </c>
      <c r="BA91" s="206">
        <f t="shared" si="31"/>
        <v>43</v>
      </c>
      <c r="BB91" s="206">
        <f t="shared" si="31"/>
        <v>0</v>
      </c>
      <c r="BC91" s="465">
        <f t="shared" si="31"/>
        <v>1512</v>
      </c>
      <c r="BD91" s="206" t="str">
        <f t="shared" si="31"/>
        <v/>
      </c>
      <c r="BE91" s="466"/>
    </row>
    <row r="92" ht="15.0" customHeight="1">
      <c r="A92" s="199"/>
      <c r="B92" s="213" t="s">
        <v>623</v>
      </c>
      <c r="C92" s="214"/>
      <c r="D92" s="215"/>
      <c r="E92" s="216"/>
      <c r="F92" s="219" t="s">
        <v>750</v>
      </c>
      <c r="G92" s="218"/>
      <c r="H92" s="223" t="s">
        <v>628</v>
      </c>
      <c r="I92" s="220"/>
      <c r="J92" s="219" t="s">
        <v>626</v>
      </c>
      <c r="K92" s="221"/>
      <c r="L92" s="216"/>
      <c r="M92" s="203" t="s">
        <v>621</v>
      </c>
      <c r="N92" s="218"/>
      <c r="O92" s="222" t="s">
        <v>625</v>
      </c>
      <c r="P92" s="220"/>
      <c r="Q92" s="219" t="s">
        <v>626</v>
      </c>
      <c r="R92" s="221"/>
      <c r="S92" s="216"/>
      <c r="T92" s="219" t="s">
        <v>627</v>
      </c>
      <c r="U92" s="218"/>
      <c r="V92" s="223" t="s">
        <v>628</v>
      </c>
      <c r="W92" s="220"/>
      <c r="X92" s="219" t="s">
        <v>626</v>
      </c>
      <c r="Y92" s="221"/>
      <c r="Z92" s="216"/>
      <c r="AA92" s="217"/>
      <c r="AB92" s="218"/>
      <c r="AC92" s="222" t="s">
        <v>625</v>
      </c>
      <c r="AD92" s="220"/>
      <c r="AE92" s="219" t="s">
        <v>626</v>
      </c>
      <c r="AF92" s="221"/>
      <c r="AG92" s="216"/>
      <c r="AH92" s="228" t="s">
        <v>627</v>
      </c>
      <c r="AI92" s="218"/>
      <c r="AJ92" s="223" t="s">
        <v>628</v>
      </c>
      <c r="AK92" s="220"/>
      <c r="AL92" s="219" t="s">
        <v>626</v>
      </c>
      <c r="AM92" s="221"/>
      <c r="AN92" s="216"/>
      <c r="AO92" s="217"/>
      <c r="AP92" s="218"/>
      <c r="AQ92" s="222" t="s">
        <v>625</v>
      </c>
      <c r="AR92" s="220"/>
      <c r="AS92" s="219" t="s">
        <v>626</v>
      </c>
      <c r="AT92" s="221"/>
      <c r="AU92" s="225">
        <f>counta(F92:AT92)*20</f>
        <v>320</v>
      </c>
      <c r="AW92" s="463" t="str">
        <f t="shared" ref="AW92:BD92" si="32">AW7</f>
        <v>#REF!</v>
      </c>
      <c r="AX92" s="206">
        <f t="shared" si="32"/>
        <v>49</v>
      </c>
      <c r="AY92" s="464">
        <f t="shared" si="32"/>
        <v>52</v>
      </c>
      <c r="AZ92" s="206">
        <f t="shared" si="32"/>
        <v>45</v>
      </c>
      <c r="BA92" s="206">
        <f t="shared" si="32"/>
        <v>43</v>
      </c>
      <c r="BB92" s="206">
        <f t="shared" si="32"/>
        <v>0</v>
      </c>
      <c r="BC92" s="465">
        <f t="shared" si="32"/>
        <v>1512</v>
      </c>
      <c r="BD92" s="206" t="str">
        <f t="shared" si="32"/>
        <v/>
      </c>
      <c r="BE92" s="466"/>
    </row>
    <row r="93" ht="15.0" customHeight="1">
      <c r="A93" s="199"/>
      <c r="B93" s="226" t="s">
        <v>629</v>
      </c>
      <c r="C93" s="214"/>
      <c r="D93" s="215"/>
      <c r="E93" s="216"/>
      <c r="F93" s="227">
        <v>4.0</v>
      </c>
      <c r="G93" s="218"/>
      <c r="H93" s="227">
        <v>4.0</v>
      </c>
      <c r="I93" s="220"/>
      <c r="J93" s="227">
        <v>4.0</v>
      </c>
      <c r="K93" s="221"/>
      <c r="L93" s="216"/>
      <c r="M93" s="227"/>
      <c r="N93" s="218"/>
      <c r="O93" s="227">
        <v>4.0</v>
      </c>
      <c r="P93" s="220"/>
      <c r="Q93" s="227">
        <v>4.0</v>
      </c>
      <c r="R93" s="221"/>
      <c r="S93" s="216"/>
      <c r="T93" s="467">
        <v>0.0</v>
      </c>
      <c r="U93" s="218"/>
      <c r="V93" s="227">
        <v>4.0</v>
      </c>
      <c r="W93" s="220"/>
      <c r="X93" s="468">
        <v>6.0</v>
      </c>
      <c r="Y93" s="221"/>
      <c r="Z93" s="216"/>
      <c r="AA93" s="227"/>
      <c r="AB93" s="218"/>
      <c r="AC93" s="227">
        <v>4.0</v>
      </c>
      <c r="AD93" s="220"/>
      <c r="AE93" s="469" t="s">
        <v>751</v>
      </c>
      <c r="AF93" s="221"/>
      <c r="AG93" s="216"/>
      <c r="AH93" s="227"/>
      <c r="AI93" s="218"/>
      <c r="AJ93" s="227">
        <v>4.0</v>
      </c>
      <c r="AK93" s="220"/>
      <c r="AL93" s="469">
        <v>5.0</v>
      </c>
      <c r="AM93" s="221"/>
      <c r="AN93" s="216"/>
      <c r="AO93" s="227"/>
      <c r="AP93" s="218"/>
      <c r="AQ93" s="227">
        <v>3.0</v>
      </c>
      <c r="AR93" s="220"/>
      <c r="AS93" s="227">
        <v>3.0</v>
      </c>
      <c r="AT93" s="221"/>
      <c r="AU93" s="225">
        <f>sum(F93:AK93)</f>
        <v>38</v>
      </c>
      <c r="AW93" s="463" t="str">
        <f t="shared" ref="AW93:BD93" si="33">AW8</f>
        <v>#REF!</v>
      </c>
      <c r="AX93" s="206">
        <f t="shared" si="33"/>
        <v>49</v>
      </c>
      <c r="AY93" s="464">
        <f t="shared" si="33"/>
        <v>52</v>
      </c>
      <c r="AZ93" s="206">
        <f t="shared" si="33"/>
        <v>45</v>
      </c>
      <c r="BA93" s="206">
        <f t="shared" si="33"/>
        <v>43</v>
      </c>
      <c r="BB93" s="206">
        <f t="shared" si="33"/>
        <v>0</v>
      </c>
      <c r="BC93" s="465">
        <f t="shared" si="33"/>
        <v>1512</v>
      </c>
      <c r="BD93" s="206" t="str">
        <f t="shared" si="33"/>
        <v/>
      </c>
      <c r="BE93" s="466"/>
    </row>
    <row r="94" ht="15.0" customHeight="1">
      <c r="A94" s="199"/>
      <c r="B94" s="213" t="s">
        <v>630</v>
      </c>
      <c r="C94" s="214"/>
      <c r="D94" s="215"/>
      <c r="E94" s="216"/>
      <c r="F94" s="215"/>
      <c r="G94" s="218"/>
      <c r="H94" s="215"/>
      <c r="I94" s="220"/>
      <c r="J94" s="215"/>
      <c r="K94" s="221"/>
      <c r="L94" s="216"/>
      <c r="M94" s="215"/>
      <c r="N94" s="218"/>
      <c r="O94" s="228" t="s">
        <v>631</v>
      </c>
      <c r="P94" s="220"/>
      <c r="Q94" s="215"/>
      <c r="R94" s="221"/>
      <c r="S94" s="216"/>
      <c r="T94" s="215"/>
      <c r="U94" s="218"/>
      <c r="V94" s="215"/>
      <c r="W94" s="220"/>
      <c r="X94" s="228" t="s">
        <v>631</v>
      </c>
      <c r="Y94" s="221"/>
      <c r="Z94" s="216"/>
      <c r="AA94" s="215"/>
      <c r="AB94" s="218"/>
      <c r="AC94" s="215"/>
      <c r="AD94" s="220"/>
      <c r="AE94" s="215"/>
      <c r="AF94" s="221"/>
      <c r="AG94" s="216"/>
      <c r="AH94" s="215"/>
      <c r="AI94" s="218"/>
      <c r="AJ94" s="215"/>
      <c r="AK94" s="220"/>
      <c r="AL94" s="215"/>
      <c r="AM94" s="221"/>
      <c r="AN94" s="216"/>
      <c r="AO94" s="215"/>
      <c r="AP94" s="218"/>
      <c r="AQ94" s="215"/>
      <c r="AR94" s="220"/>
      <c r="AS94" s="215"/>
      <c r="AT94" s="221"/>
      <c r="AU94" s="225">
        <f>countA(F94:AJ94)*5</f>
        <v>10</v>
      </c>
      <c r="AW94" s="463" t="str">
        <f t="shared" ref="AW94:BD94" si="34">AW9</f>
        <v>#REF!</v>
      </c>
      <c r="AX94" s="206">
        <f t="shared" si="34"/>
        <v>49</v>
      </c>
      <c r="AY94" s="464">
        <f t="shared" si="34"/>
        <v>52</v>
      </c>
      <c r="AZ94" s="206">
        <f t="shared" si="34"/>
        <v>45</v>
      </c>
      <c r="BA94" s="206">
        <f t="shared" si="34"/>
        <v>43</v>
      </c>
      <c r="BB94" s="206">
        <f t="shared" si="34"/>
        <v>0</v>
      </c>
      <c r="BC94" s="465">
        <f t="shared" si="34"/>
        <v>1512</v>
      </c>
      <c r="BD94" s="206" t="str">
        <f t="shared" si="34"/>
        <v/>
      </c>
      <c r="BE94" s="466"/>
    </row>
    <row r="95" ht="15.0" customHeight="1">
      <c r="A95" s="199"/>
      <c r="B95" s="229" t="s">
        <v>632</v>
      </c>
      <c r="C95" s="214"/>
      <c r="D95" s="215"/>
      <c r="E95" s="216"/>
      <c r="F95" s="215"/>
      <c r="G95" s="221"/>
      <c r="H95" s="215"/>
      <c r="I95" s="220"/>
      <c r="J95" s="215"/>
      <c r="K95" s="221"/>
      <c r="L95" s="216"/>
      <c r="M95" s="215"/>
      <c r="N95" s="221"/>
      <c r="O95" s="215"/>
      <c r="P95" s="220"/>
      <c r="Q95" s="215"/>
      <c r="R95" s="221"/>
      <c r="S95" s="216"/>
      <c r="T95" s="215"/>
      <c r="U95" s="221"/>
      <c r="V95" s="215"/>
      <c r="W95" s="220"/>
      <c r="X95" s="215"/>
      <c r="Y95" s="221"/>
      <c r="Z95" s="216"/>
      <c r="AA95" s="215"/>
      <c r="AB95" s="221"/>
      <c r="AC95" s="215"/>
      <c r="AD95" s="220"/>
      <c r="AE95" s="215"/>
      <c r="AF95" s="221"/>
      <c r="AG95" s="216"/>
      <c r="AH95" s="215"/>
      <c r="AI95" s="221"/>
      <c r="AJ95" s="215"/>
      <c r="AK95" s="220"/>
      <c r="AL95" s="215"/>
      <c r="AM95" s="221"/>
      <c r="AN95" s="216"/>
      <c r="AO95" s="215"/>
      <c r="AP95" s="221"/>
      <c r="AQ95" s="215"/>
      <c r="AR95" s="220"/>
      <c r="AS95" s="215"/>
      <c r="AT95" s="221"/>
      <c r="AU95" s="225">
        <f>countA(F95:AK95)*12</f>
        <v>0</v>
      </c>
      <c r="AW95" s="463" t="str">
        <f t="shared" ref="AW95:BD95" si="35">AW10</f>
        <v>#REF!</v>
      </c>
      <c r="AX95" s="206">
        <f t="shared" si="35"/>
        <v>49</v>
      </c>
      <c r="AY95" s="464">
        <f t="shared" si="35"/>
        <v>52</v>
      </c>
      <c r="AZ95" s="206">
        <f t="shared" si="35"/>
        <v>45</v>
      </c>
      <c r="BA95" s="206">
        <f t="shared" si="35"/>
        <v>43</v>
      </c>
      <c r="BB95" s="206">
        <f t="shared" si="35"/>
        <v>0</v>
      </c>
      <c r="BC95" s="465">
        <f t="shared" si="35"/>
        <v>1512</v>
      </c>
      <c r="BD95" s="206" t="str">
        <f t="shared" si="35"/>
        <v/>
      </c>
      <c r="BE95" s="466"/>
    </row>
    <row r="96" ht="15.0" customHeight="1">
      <c r="A96" s="199"/>
      <c r="B96" s="213" t="s">
        <v>633</v>
      </c>
      <c r="C96" s="214"/>
      <c r="D96" s="215"/>
      <c r="E96" s="216"/>
      <c r="F96" s="215"/>
      <c r="G96" s="230"/>
      <c r="H96" s="215"/>
      <c r="I96" s="231"/>
      <c r="J96" s="215"/>
      <c r="K96" s="216"/>
      <c r="L96" s="216"/>
      <c r="M96" s="215"/>
      <c r="N96" s="230"/>
      <c r="O96" s="232" t="s">
        <v>752</v>
      </c>
      <c r="P96" s="231"/>
      <c r="Q96" s="232" t="s">
        <v>753</v>
      </c>
      <c r="R96" s="216"/>
      <c r="S96" s="216"/>
      <c r="T96" s="215"/>
      <c r="U96" s="230"/>
      <c r="V96" s="215"/>
      <c r="W96" s="231"/>
      <c r="X96" s="232" t="s">
        <v>753</v>
      </c>
      <c r="Y96" s="216"/>
      <c r="Z96" s="216"/>
      <c r="AA96" s="215"/>
      <c r="AB96" s="230"/>
      <c r="AC96" s="215"/>
      <c r="AD96" s="231"/>
      <c r="AE96" s="232" t="s">
        <v>754</v>
      </c>
      <c r="AF96" s="216"/>
      <c r="AG96" s="216"/>
      <c r="AH96" s="215"/>
      <c r="AI96" s="230"/>
      <c r="AJ96" s="470" t="s">
        <v>755</v>
      </c>
      <c r="AK96" s="231"/>
      <c r="AL96" s="232" t="s">
        <v>753</v>
      </c>
      <c r="AM96" s="216"/>
      <c r="AN96" s="216"/>
      <c r="AO96" s="215"/>
      <c r="AP96" s="230"/>
      <c r="AQ96" s="215"/>
      <c r="AR96" s="231"/>
      <c r="AS96" s="232" t="s">
        <v>753</v>
      </c>
      <c r="AT96" s="216"/>
      <c r="AU96" s="225">
        <f>counta(F96:AT96)*4</f>
        <v>28</v>
      </c>
      <c r="AW96" s="463" t="str">
        <f t="shared" ref="AW96:BD96" si="36">AW11</f>
        <v>#REF!</v>
      </c>
      <c r="AX96" s="206">
        <f t="shared" si="36"/>
        <v>49</v>
      </c>
      <c r="AY96" s="464">
        <f t="shared" si="36"/>
        <v>52</v>
      </c>
      <c r="AZ96" s="206">
        <f t="shared" si="36"/>
        <v>45</v>
      </c>
      <c r="BA96" s="206">
        <f t="shared" si="36"/>
        <v>43</v>
      </c>
      <c r="BB96" s="206">
        <f t="shared" si="36"/>
        <v>0</v>
      </c>
      <c r="BC96" s="465">
        <f t="shared" si="36"/>
        <v>1512</v>
      </c>
      <c r="BD96" s="206" t="str">
        <f t="shared" si="36"/>
        <v/>
      </c>
      <c r="BE96" s="466"/>
    </row>
    <row r="97" ht="15.0" customHeight="1">
      <c r="A97" s="199"/>
      <c r="B97" s="213" t="s">
        <v>637</v>
      </c>
      <c r="C97" s="214"/>
      <c r="D97" s="215"/>
      <c r="E97" s="216"/>
      <c r="F97" s="215"/>
      <c r="G97" s="230"/>
      <c r="H97" s="215"/>
      <c r="I97" s="231"/>
      <c r="J97" s="215"/>
      <c r="K97" s="216"/>
      <c r="L97" s="216"/>
      <c r="M97" s="215"/>
      <c r="N97" s="230"/>
      <c r="O97" s="215"/>
      <c r="P97" s="231"/>
      <c r="Q97" s="232" t="s">
        <v>756</v>
      </c>
      <c r="R97" s="216"/>
      <c r="S97" s="216"/>
      <c r="T97" s="215"/>
      <c r="U97" s="230"/>
      <c r="V97" s="215"/>
      <c r="W97" s="231"/>
      <c r="X97" s="215"/>
      <c r="Y97" s="216"/>
      <c r="Z97" s="216"/>
      <c r="AA97" s="215"/>
      <c r="AB97" s="230"/>
      <c r="AC97" s="215"/>
      <c r="AD97" s="231"/>
      <c r="AE97" s="232" t="s">
        <v>756</v>
      </c>
      <c r="AF97" s="216"/>
      <c r="AG97" s="216"/>
      <c r="AH97" s="215"/>
      <c r="AI97" s="230"/>
      <c r="AJ97" s="215"/>
      <c r="AK97" s="231"/>
      <c r="AL97" s="215"/>
      <c r="AM97" s="216"/>
      <c r="AN97" s="216"/>
      <c r="AO97" s="215"/>
      <c r="AP97" s="230"/>
      <c r="AQ97" s="215"/>
      <c r="AR97" s="231"/>
      <c r="AS97" s="215"/>
      <c r="AT97" s="216"/>
      <c r="AU97" s="225">
        <f>sum(F97:AT97)</f>
        <v>0</v>
      </c>
      <c r="AW97" s="463" t="str">
        <f t="shared" ref="AW97:BD97" si="37">AW12</f>
        <v>#REF!</v>
      </c>
      <c r="AX97" s="206">
        <f t="shared" si="37"/>
        <v>49</v>
      </c>
      <c r="AY97" s="464">
        <f t="shared" si="37"/>
        <v>52</v>
      </c>
      <c r="AZ97" s="206">
        <f t="shared" si="37"/>
        <v>45</v>
      </c>
      <c r="BA97" s="206">
        <f t="shared" si="37"/>
        <v>43</v>
      </c>
      <c r="BB97" s="206">
        <f t="shared" si="37"/>
        <v>0</v>
      </c>
      <c r="BC97" s="465">
        <f t="shared" si="37"/>
        <v>1512</v>
      </c>
      <c r="BD97" s="206" t="str">
        <f t="shared" si="37"/>
        <v/>
      </c>
      <c r="BE97" s="466"/>
    </row>
    <row r="98">
      <c r="A98" s="234"/>
      <c r="B98" s="235" t="s">
        <v>608</v>
      </c>
      <c r="C98" s="195" t="s">
        <v>609</v>
      </c>
      <c r="D98" s="236"/>
      <c r="E98" s="237"/>
      <c r="F98" s="238"/>
      <c r="G98" s="182"/>
      <c r="H98" s="238"/>
      <c r="I98" s="239"/>
      <c r="J98" s="238"/>
      <c r="K98" s="239"/>
      <c r="L98" s="237"/>
      <c r="M98" s="238"/>
      <c r="N98" s="182"/>
      <c r="O98" s="238"/>
      <c r="P98" s="239"/>
      <c r="Q98" s="238"/>
      <c r="R98" s="239"/>
      <c r="S98" s="237"/>
      <c r="T98" s="238"/>
      <c r="U98" s="182"/>
      <c r="V98" s="238"/>
      <c r="W98" s="239"/>
      <c r="X98" s="238"/>
      <c r="Y98" s="239"/>
      <c r="Z98" s="237"/>
      <c r="AA98" s="238"/>
      <c r="AB98" s="182"/>
      <c r="AC98" s="238"/>
      <c r="AD98" s="239"/>
      <c r="AE98" s="238"/>
      <c r="AF98" s="239"/>
      <c r="AG98" s="237"/>
      <c r="AH98" s="238"/>
      <c r="AI98" s="182"/>
      <c r="AJ98" s="238"/>
      <c r="AK98" s="239"/>
      <c r="AL98" s="238"/>
      <c r="AM98" s="239"/>
      <c r="AN98" s="237"/>
      <c r="AO98" s="238"/>
      <c r="AP98" s="182"/>
      <c r="AQ98" s="238"/>
      <c r="AR98" s="239"/>
      <c r="AS98" s="238"/>
      <c r="AT98" s="239"/>
      <c r="AU98" s="236"/>
      <c r="AV98" s="236"/>
      <c r="AW98" s="463" t="str">
        <f t="shared" ref="AW98:BD98" si="38">AW13</f>
        <v>#REF!</v>
      </c>
      <c r="AX98" s="206">
        <f t="shared" si="38"/>
        <v>49</v>
      </c>
      <c r="AY98" s="464">
        <f t="shared" si="38"/>
        <v>52</v>
      </c>
      <c r="AZ98" s="206">
        <f t="shared" si="38"/>
        <v>45</v>
      </c>
      <c r="BA98" s="206">
        <f t="shared" si="38"/>
        <v>43</v>
      </c>
      <c r="BB98" s="206">
        <f t="shared" si="38"/>
        <v>0</v>
      </c>
      <c r="BC98" s="465">
        <f t="shared" si="38"/>
        <v>1512</v>
      </c>
      <c r="BD98" s="206" t="str">
        <f t="shared" si="38"/>
        <v/>
      </c>
      <c r="BE98" s="466"/>
    </row>
    <row r="99" ht="14.25" customHeight="1">
      <c r="A99" s="240"/>
      <c r="B99" s="241" t="s">
        <v>638</v>
      </c>
      <c r="C99" s="242" t="s">
        <v>639</v>
      </c>
      <c r="D99" s="243"/>
      <c r="E99" s="244"/>
      <c r="F99" s="247"/>
      <c r="G99" s="246"/>
      <c r="H99" s="471" t="s">
        <v>419</v>
      </c>
      <c r="I99" s="246"/>
      <c r="J99" s="251" t="s">
        <v>405</v>
      </c>
      <c r="K99" s="246"/>
      <c r="L99" s="249"/>
      <c r="M99" s="250"/>
      <c r="N99" s="246"/>
      <c r="O99" s="247"/>
      <c r="P99" s="246"/>
      <c r="R99" s="246"/>
      <c r="S99" s="249"/>
      <c r="T99" s="247"/>
      <c r="U99" s="246"/>
      <c r="V99" s="247"/>
      <c r="W99" s="246"/>
      <c r="X99" s="471" t="s">
        <v>419</v>
      </c>
      <c r="Y99" s="246"/>
      <c r="Z99" s="249"/>
      <c r="AA99" s="250"/>
      <c r="AB99" s="246"/>
      <c r="AC99" s="247"/>
      <c r="AD99" s="246"/>
      <c r="AE99" s="287" t="s">
        <v>405</v>
      </c>
      <c r="AF99" s="246"/>
      <c r="AG99" s="249"/>
      <c r="AH99" s="247"/>
      <c r="AI99" s="246"/>
      <c r="AJ99" s="247"/>
      <c r="AK99" s="246"/>
      <c r="AM99" s="246"/>
      <c r="AN99" s="249"/>
      <c r="AO99" s="250"/>
      <c r="AP99" s="246"/>
      <c r="AQ99" s="252"/>
      <c r="AR99" s="246"/>
      <c r="AS99" s="472"/>
      <c r="AT99" s="254" t="str">
        <f>IF(COUNTIF($AO$85:$AT$87, AS99) &gt; 0, "X", "")</f>
        <v/>
      </c>
      <c r="AU99" s="255"/>
      <c r="AV99" s="255"/>
      <c r="AW99" s="463" t="str">
        <f t="shared" ref="AW99:BD99" si="39">AW14</f>
        <v>#REF!</v>
      </c>
      <c r="AX99" s="206">
        <f t="shared" si="39"/>
        <v>49</v>
      </c>
      <c r="AY99" s="464">
        <f t="shared" si="39"/>
        <v>52</v>
      </c>
      <c r="AZ99" s="206">
        <f t="shared" si="39"/>
        <v>45</v>
      </c>
      <c r="BA99" s="206">
        <f t="shared" si="39"/>
        <v>43</v>
      </c>
      <c r="BB99" s="206">
        <f t="shared" si="39"/>
        <v>0</v>
      </c>
      <c r="BC99" s="465">
        <f t="shared" si="39"/>
        <v>1512</v>
      </c>
      <c r="BD99" s="206" t="str">
        <f t="shared" si="39"/>
        <v/>
      </c>
      <c r="BE99" s="466"/>
    </row>
    <row r="100" ht="13.5" customHeight="1">
      <c r="A100" s="94"/>
      <c r="B100" s="256" t="s">
        <v>638</v>
      </c>
      <c r="C100" s="257" t="s">
        <v>639</v>
      </c>
      <c r="D100" s="243"/>
      <c r="E100" s="259"/>
      <c r="F100" s="264"/>
      <c r="G100" s="246"/>
      <c r="H100" s="422"/>
      <c r="I100" s="246"/>
      <c r="K100" s="246"/>
      <c r="L100" s="261"/>
      <c r="M100" s="262"/>
      <c r="N100" s="246"/>
      <c r="O100" s="265"/>
      <c r="P100" s="246"/>
      <c r="Q100" s="290"/>
      <c r="R100" s="246"/>
      <c r="S100" s="261"/>
      <c r="T100" s="264"/>
      <c r="U100" s="246"/>
      <c r="V100" s="287" t="s">
        <v>405</v>
      </c>
      <c r="W100" s="246"/>
      <c r="X100" s="293" t="s">
        <v>421</v>
      </c>
      <c r="Y100" s="246"/>
      <c r="Z100" s="261"/>
      <c r="AA100" s="262"/>
      <c r="AB100" s="246"/>
      <c r="AC100" s="265"/>
      <c r="AD100" s="246"/>
      <c r="AF100" s="246"/>
      <c r="AG100" s="261"/>
      <c r="AH100" s="264"/>
      <c r="AI100" s="246"/>
      <c r="AJ100" s="265"/>
      <c r="AK100" s="246"/>
      <c r="AL100" s="274" t="s">
        <v>414</v>
      </c>
      <c r="AM100" s="246"/>
      <c r="AN100" s="261"/>
      <c r="AO100" s="262"/>
      <c r="AP100" s="246"/>
      <c r="AQ100" s="267"/>
      <c r="AR100" s="246"/>
      <c r="AS100" s="268"/>
      <c r="AT100" s="254" t="str">
        <f t="shared" ref="AT100:AT103" si="41">IF(COUNTIF($AO$85:$AT$87, #REF!) &gt; 0, "X", "")</f>
        <v/>
      </c>
      <c r="AU100" s="269"/>
      <c r="AV100" s="269"/>
      <c r="AW100" s="463" t="str">
        <f t="shared" ref="AW100:BD100" si="40">AW15</f>
        <v>#REF!</v>
      </c>
      <c r="AX100" s="206">
        <f t="shared" si="40"/>
        <v>49</v>
      </c>
      <c r="AY100" s="464">
        <f t="shared" si="40"/>
        <v>52</v>
      </c>
      <c r="AZ100" s="206">
        <f t="shared" si="40"/>
        <v>45</v>
      </c>
      <c r="BA100" s="206">
        <f t="shared" si="40"/>
        <v>43</v>
      </c>
      <c r="BB100" s="206">
        <f t="shared" si="40"/>
        <v>0</v>
      </c>
      <c r="BC100" s="465">
        <f t="shared" si="40"/>
        <v>1512</v>
      </c>
      <c r="BD100" s="206" t="str">
        <f t="shared" si="40"/>
        <v/>
      </c>
      <c r="BE100" s="466"/>
    </row>
    <row r="101" ht="13.5" customHeight="1">
      <c r="A101" s="270"/>
      <c r="B101" s="271" t="s">
        <v>642</v>
      </c>
      <c r="C101" s="272" t="s">
        <v>639</v>
      </c>
      <c r="D101" s="243"/>
      <c r="E101" s="259"/>
      <c r="F101" s="275"/>
      <c r="G101" s="246"/>
      <c r="H101" s="282"/>
      <c r="I101" s="246"/>
      <c r="K101" s="246"/>
      <c r="L101" s="261"/>
      <c r="M101" s="250"/>
      <c r="N101" s="246"/>
      <c r="O101" s="275"/>
      <c r="P101" s="246"/>
      <c r="R101" s="246"/>
      <c r="S101" s="261"/>
      <c r="T101" s="275"/>
      <c r="U101" s="246"/>
      <c r="V101" s="384" t="s">
        <v>432</v>
      </c>
      <c r="W101" s="246"/>
      <c r="Y101" s="246"/>
      <c r="Z101" s="261"/>
      <c r="AA101" s="250"/>
      <c r="AB101" s="246"/>
      <c r="AC101" s="282"/>
      <c r="AD101" s="246"/>
      <c r="AE101" s="282"/>
      <c r="AF101" s="246"/>
      <c r="AG101" s="261"/>
      <c r="AH101" s="275"/>
      <c r="AI101" s="246"/>
      <c r="AJ101" s="275"/>
      <c r="AK101" s="246"/>
      <c r="AL101" s="399"/>
      <c r="AM101" s="246"/>
      <c r="AN101" s="261"/>
      <c r="AO101" s="250"/>
      <c r="AP101" s="246"/>
      <c r="AQ101" s="276"/>
      <c r="AR101" s="246"/>
      <c r="AS101" s="276"/>
      <c r="AT101" s="254" t="str">
        <f t="shared" si="41"/>
        <v/>
      </c>
      <c r="AU101" s="269"/>
      <c r="AV101" s="269"/>
      <c r="AW101" s="463" t="str">
        <f t="shared" ref="AW101:BD101" si="42">AW16</f>
        <v>#REF!</v>
      </c>
      <c r="AX101" s="206">
        <f t="shared" si="42"/>
        <v>49</v>
      </c>
      <c r="AY101" s="464">
        <f t="shared" si="42"/>
        <v>52</v>
      </c>
      <c r="AZ101" s="206">
        <f t="shared" si="42"/>
        <v>45</v>
      </c>
      <c r="BA101" s="206">
        <f t="shared" si="42"/>
        <v>43</v>
      </c>
      <c r="BB101" s="206">
        <f t="shared" si="42"/>
        <v>0</v>
      </c>
      <c r="BC101" s="465">
        <f t="shared" si="42"/>
        <v>1512</v>
      </c>
      <c r="BD101" s="206" t="str">
        <f t="shared" si="42"/>
        <v/>
      </c>
      <c r="BE101" s="466"/>
    </row>
    <row r="102" ht="11.25" customHeight="1">
      <c r="A102" s="234"/>
      <c r="B102" s="277" t="s">
        <v>644</v>
      </c>
      <c r="C102" s="278" t="s">
        <v>645</v>
      </c>
      <c r="D102" s="243"/>
      <c r="E102" s="259"/>
      <c r="G102" s="246"/>
      <c r="H102" s="280" t="s">
        <v>400</v>
      </c>
      <c r="I102" s="246"/>
      <c r="J102" s="282"/>
      <c r="K102" s="246"/>
      <c r="L102" s="261"/>
      <c r="M102" s="250"/>
      <c r="N102" s="246"/>
      <c r="O102" s="281"/>
      <c r="P102" s="246"/>
      <c r="Q102" s="280" t="s">
        <v>400</v>
      </c>
      <c r="R102" s="246"/>
      <c r="S102" s="261"/>
      <c r="T102" s="281"/>
      <c r="U102" s="246"/>
      <c r="V102" s="281"/>
      <c r="W102" s="246"/>
      <c r="X102" s="280" t="s">
        <v>400</v>
      </c>
      <c r="Y102" s="246"/>
      <c r="Z102" s="261"/>
      <c r="AA102" s="250"/>
      <c r="AB102" s="246"/>
      <c r="AC102" s="281"/>
      <c r="AD102" s="246"/>
      <c r="AE102" s="280" t="s">
        <v>400</v>
      </c>
      <c r="AF102" s="246"/>
      <c r="AG102" s="261"/>
      <c r="AH102" s="281"/>
      <c r="AI102" s="246"/>
      <c r="AJ102" s="280" t="s">
        <v>400</v>
      </c>
      <c r="AK102" s="246"/>
      <c r="AL102" s="281"/>
      <c r="AM102" s="246"/>
      <c r="AN102" s="261"/>
      <c r="AO102" s="250"/>
      <c r="AP102" s="246"/>
      <c r="AQ102" s="283"/>
      <c r="AR102" s="246"/>
      <c r="AS102" s="276"/>
      <c r="AT102" s="254" t="str">
        <f t="shared" si="41"/>
        <v/>
      </c>
      <c r="AU102" s="269"/>
      <c r="AV102" s="269"/>
      <c r="AW102" s="463" t="str">
        <f t="shared" ref="AW102:BD102" si="43">AW17</f>
        <v>#REF!</v>
      </c>
      <c r="AX102" s="206">
        <f t="shared" si="43"/>
        <v>49</v>
      </c>
      <c r="AY102" s="464">
        <f t="shared" si="43"/>
        <v>52</v>
      </c>
      <c r="AZ102" s="206">
        <f t="shared" si="43"/>
        <v>45</v>
      </c>
      <c r="BA102" s="206">
        <f t="shared" si="43"/>
        <v>43</v>
      </c>
      <c r="BB102" s="206">
        <f t="shared" si="43"/>
        <v>0</v>
      </c>
      <c r="BC102" s="465">
        <f t="shared" si="43"/>
        <v>1512</v>
      </c>
      <c r="BD102" s="206" t="str">
        <f t="shared" si="43"/>
        <v/>
      </c>
      <c r="BE102" s="466"/>
    </row>
    <row r="103">
      <c r="A103" s="94"/>
      <c r="B103" s="256" t="s">
        <v>757</v>
      </c>
      <c r="C103" s="257" t="s">
        <v>645</v>
      </c>
      <c r="D103" s="243"/>
      <c r="E103" s="259"/>
      <c r="F103" s="274" t="s">
        <v>402</v>
      </c>
      <c r="G103" s="246"/>
      <c r="H103" s="371"/>
      <c r="I103" s="246"/>
      <c r="J103" s="371"/>
      <c r="K103" s="246"/>
      <c r="L103" s="261"/>
      <c r="M103" s="324"/>
      <c r="N103" s="246"/>
      <c r="O103" s="371"/>
      <c r="P103" s="246"/>
      <c r="Q103" s="280" t="s">
        <v>402</v>
      </c>
      <c r="R103" s="246"/>
      <c r="S103" s="261"/>
      <c r="T103" s="371"/>
      <c r="U103" s="246"/>
      <c r="W103" s="246"/>
      <c r="X103" s="274" t="s">
        <v>402</v>
      </c>
      <c r="Y103" s="246"/>
      <c r="Z103" s="261"/>
      <c r="AA103" s="324"/>
      <c r="AB103" s="246"/>
      <c r="AC103" s="371"/>
      <c r="AD103" s="246"/>
      <c r="AE103" s="280" t="s">
        <v>402</v>
      </c>
      <c r="AF103" s="246"/>
      <c r="AG103" s="261"/>
      <c r="AH103" s="371"/>
      <c r="AI103" s="246"/>
      <c r="AJ103" s="371"/>
      <c r="AK103" s="246"/>
      <c r="AL103" s="274" t="s">
        <v>402</v>
      </c>
      <c r="AM103" s="246"/>
      <c r="AN103" s="261"/>
      <c r="AO103" s="324"/>
      <c r="AP103" s="246"/>
      <c r="AQ103" s="252"/>
      <c r="AR103" s="246"/>
      <c r="AS103" s="252"/>
      <c r="AT103" s="254" t="str">
        <f t="shared" si="41"/>
        <v/>
      </c>
      <c r="AU103" s="269"/>
      <c r="AV103" s="269"/>
      <c r="AW103" s="463" t="str">
        <f t="shared" ref="AW103:BD103" si="44">AW18</f>
        <v>#REF!</v>
      </c>
      <c r="AX103" s="206">
        <f t="shared" si="44"/>
        <v>49</v>
      </c>
      <c r="AY103" s="464">
        <f t="shared" si="44"/>
        <v>52</v>
      </c>
      <c r="AZ103" s="206">
        <f t="shared" si="44"/>
        <v>45</v>
      </c>
      <c r="BA103" s="206">
        <f t="shared" si="44"/>
        <v>43</v>
      </c>
      <c r="BB103" s="206">
        <f t="shared" si="44"/>
        <v>0</v>
      </c>
      <c r="BC103" s="465">
        <f t="shared" si="44"/>
        <v>1512</v>
      </c>
      <c r="BD103" s="206" t="str">
        <f t="shared" si="44"/>
        <v/>
      </c>
      <c r="BE103" s="466"/>
    </row>
    <row r="104">
      <c r="A104" s="94"/>
      <c r="B104" s="284" t="s">
        <v>646</v>
      </c>
      <c r="C104" s="285" t="s">
        <v>647</v>
      </c>
      <c r="D104" s="243"/>
      <c r="E104" s="259"/>
      <c r="G104" s="246"/>
      <c r="H104" s="287" t="s">
        <v>427</v>
      </c>
      <c r="I104" s="246"/>
      <c r="J104" s="289"/>
      <c r="K104" s="246"/>
      <c r="L104" s="261"/>
      <c r="M104" s="288"/>
      <c r="N104" s="246"/>
      <c r="O104" s="289"/>
      <c r="P104" s="246"/>
      <c r="Q104" s="287" t="s">
        <v>427</v>
      </c>
      <c r="R104" s="246"/>
      <c r="S104" s="261"/>
      <c r="T104" s="287" t="s">
        <v>427</v>
      </c>
      <c r="U104" s="246"/>
      <c r="V104" s="340" t="s">
        <v>406</v>
      </c>
      <c r="W104" s="246"/>
      <c r="X104" s="289"/>
      <c r="Y104" s="246"/>
      <c r="Z104" s="261"/>
      <c r="AA104" s="288"/>
      <c r="AB104" s="246"/>
      <c r="AC104" s="290" t="s">
        <v>432</v>
      </c>
      <c r="AD104" s="246"/>
      <c r="AE104" s="287" t="s">
        <v>427</v>
      </c>
      <c r="AF104" s="246"/>
      <c r="AG104" s="261"/>
      <c r="AH104" s="287" t="s">
        <v>427</v>
      </c>
      <c r="AI104" s="246"/>
      <c r="AJ104" s="289"/>
      <c r="AK104" s="246"/>
      <c r="AL104" s="265"/>
      <c r="AM104" s="246"/>
      <c r="AN104" s="261"/>
      <c r="AO104" s="288"/>
      <c r="AP104" s="246"/>
      <c r="AQ104" s="266"/>
      <c r="AR104" s="246"/>
      <c r="AS104" s="266"/>
      <c r="AT104" s="254" t="str">
        <f>IF(COUNTIF($AO$85:$AT$87, AS100) &gt; 0, "X", "")</f>
        <v/>
      </c>
      <c r="AU104" s="269"/>
      <c r="AV104" s="269"/>
      <c r="AW104" s="463" t="str">
        <f t="shared" ref="AW104:BD104" si="45">AW19</f>
        <v>#REF!</v>
      </c>
      <c r="AX104" s="206">
        <f t="shared" si="45"/>
        <v>49</v>
      </c>
      <c r="AY104" s="464">
        <f t="shared" si="45"/>
        <v>52</v>
      </c>
      <c r="AZ104" s="206">
        <f t="shared" si="45"/>
        <v>45</v>
      </c>
      <c r="BA104" s="206">
        <f t="shared" si="45"/>
        <v>43</v>
      </c>
      <c r="BB104" s="206">
        <f t="shared" si="45"/>
        <v>0</v>
      </c>
      <c r="BC104" s="465">
        <f t="shared" si="45"/>
        <v>1512</v>
      </c>
      <c r="BD104" s="206" t="str">
        <f t="shared" si="45"/>
        <v/>
      </c>
      <c r="BE104" s="466"/>
    </row>
    <row r="105">
      <c r="A105" s="270"/>
      <c r="B105" s="291" t="s">
        <v>648</v>
      </c>
      <c r="C105" s="292" t="s">
        <v>649</v>
      </c>
      <c r="D105" s="473" t="s">
        <v>758</v>
      </c>
      <c r="E105" s="259"/>
      <c r="F105" s="294"/>
      <c r="G105" s="246"/>
      <c r="H105" s="293" t="s">
        <v>418</v>
      </c>
      <c r="I105" s="246"/>
      <c r="J105" s="294"/>
      <c r="K105" s="246"/>
      <c r="L105" s="261"/>
      <c r="M105" s="250"/>
      <c r="N105" s="246"/>
      <c r="O105" s="293" t="s">
        <v>418</v>
      </c>
      <c r="P105" s="246"/>
      <c r="Q105" s="294"/>
      <c r="R105" s="246"/>
      <c r="S105" s="261"/>
      <c r="T105" s="294"/>
      <c r="U105" s="246"/>
      <c r="V105" s="294"/>
      <c r="W105" s="246"/>
      <c r="X105" s="293" t="s">
        <v>418</v>
      </c>
      <c r="Y105" s="246"/>
      <c r="Z105" s="261"/>
      <c r="AA105" s="250"/>
      <c r="AB105" s="246"/>
      <c r="AC105" s="294"/>
      <c r="AD105" s="246"/>
      <c r="AE105" s="293" t="s">
        <v>418</v>
      </c>
      <c r="AF105" s="246"/>
      <c r="AG105" s="261"/>
      <c r="AH105" s="294"/>
      <c r="AI105" s="246"/>
      <c r="AJ105" s="293" t="s">
        <v>418</v>
      </c>
      <c r="AK105" s="246"/>
      <c r="AL105" s="294"/>
      <c r="AM105" s="246"/>
      <c r="AN105" s="261"/>
      <c r="AO105" s="250"/>
      <c r="AP105" s="246"/>
      <c r="AQ105" s="293"/>
      <c r="AR105" s="246"/>
      <c r="AS105" s="294"/>
      <c r="AT105" s="254" t="str">
        <f t="shared" ref="AT105:AT106" si="47">IF(COUNTIF($AO$85:$AT$87, AS105) &gt; 0, "X", "")</f>
        <v/>
      </c>
      <c r="AU105" s="269"/>
      <c r="AV105" s="269"/>
      <c r="AW105" s="463" t="str">
        <f t="shared" ref="AW105:BD105" si="46">AW20</f>
        <v>#REF!</v>
      </c>
      <c r="AX105" s="206">
        <f t="shared" si="46"/>
        <v>49</v>
      </c>
      <c r="AY105" s="464">
        <f t="shared" si="46"/>
        <v>52</v>
      </c>
      <c r="AZ105" s="206">
        <f t="shared" si="46"/>
        <v>45</v>
      </c>
      <c r="BA105" s="206">
        <f t="shared" si="46"/>
        <v>43</v>
      </c>
      <c r="BB105" s="206">
        <f t="shared" si="46"/>
        <v>0</v>
      </c>
      <c r="BC105" s="465">
        <f t="shared" si="46"/>
        <v>1512</v>
      </c>
      <c r="BD105" s="206" t="str">
        <f t="shared" si="46"/>
        <v/>
      </c>
      <c r="BE105" s="466"/>
    </row>
    <row r="106">
      <c r="A106" s="94"/>
      <c r="B106" s="296" t="s">
        <v>650</v>
      </c>
      <c r="C106" s="297" t="s">
        <v>649</v>
      </c>
      <c r="D106" s="474" t="s">
        <v>426</v>
      </c>
      <c r="E106" s="259"/>
      <c r="F106" s="299"/>
      <c r="G106" s="298"/>
      <c r="H106" s="299"/>
      <c r="I106" s="298"/>
      <c r="J106" s="299"/>
      <c r="K106" s="298"/>
      <c r="L106" s="261"/>
      <c r="M106" s="250"/>
      <c r="N106" s="298"/>
      <c r="O106" s="299"/>
      <c r="P106" s="298"/>
      <c r="Q106" s="299"/>
      <c r="R106" s="298"/>
      <c r="S106" s="261"/>
      <c r="T106" s="299"/>
      <c r="U106" s="298"/>
      <c r="V106" s="299"/>
      <c r="W106" s="298"/>
      <c r="X106" s="299"/>
      <c r="Y106" s="298"/>
      <c r="Z106" s="261"/>
      <c r="AA106" s="250"/>
      <c r="AB106" s="298"/>
      <c r="AC106" s="299"/>
      <c r="AD106" s="298"/>
      <c r="AE106" s="356" t="s">
        <v>423</v>
      </c>
      <c r="AF106" s="298"/>
      <c r="AG106" s="261"/>
      <c r="AH106" s="299"/>
      <c r="AI106" s="298"/>
      <c r="AJ106" s="299"/>
      <c r="AK106" s="298"/>
      <c r="AL106" s="299"/>
      <c r="AM106" s="298"/>
      <c r="AN106" s="261"/>
      <c r="AO106" s="250"/>
      <c r="AP106" s="298"/>
      <c r="AQ106" s="300"/>
      <c r="AR106" s="298"/>
      <c r="AS106" s="300"/>
      <c r="AT106" s="254" t="str">
        <f t="shared" si="47"/>
        <v/>
      </c>
      <c r="AU106" s="269"/>
      <c r="AV106" s="269"/>
      <c r="AW106" s="463" t="str">
        <f t="shared" ref="AW106:BD106" si="48">AW21</f>
        <v>#REF!</v>
      </c>
      <c r="AX106" s="206">
        <f t="shared" si="48"/>
        <v>49</v>
      </c>
      <c r="AY106" s="464">
        <f t="shared" si="48"/>
        <v>52</v>
      </c>
      <c r="AZ106" s="206">
        <f t="shared" si="48"/>
        <v>45</v>
      </c>
      <c r="BA106" s="206">
        <f t="shared" si="48"/>
        <v>43</v>
      </c>
      <c r="BB106" s="206">
        <f t="shared" si="48"/>
        <v>0</v>
      </c>
      <c r="BC106" s="465">
        <f t="shared" si="48"/>
        <v>1512</v>
      </c>
      <c r="BD106" s="206" t="str">
        <f t="shared" si="48"/>
        <v/>
      </c>
      <c r="BE106" s="466"/>
    </row>
    <row r="107">
      <c r="A107" s="94"/>
      <c r="B107" s="301" t="s">
        <v>651</v>
      </c>
      <c r="C107" s="302" t="s">
        <v>652</v>
      </c>
      <c r="D107" s="475" t="s">
        <v>397</v>
      </c>
      <c r="E107" s="259"/>
      <c r="F107" s="303"/>
      <c r="G107" s="298"/>
      <c r="H107" s="303"/>
      <c r="I107" s="298"/>
      <c r="J107" s="303"/>
      <c r="K107" s="298"/>
      <c r="L107" s="261"/>
      <c r="M107" s="250"/>
      <c r="N107" s="298"/>
      <c r="O107" s="303"/>
      <c r="P107" s="298"/>
      <c r="Q107" s="303"/>
      <c r="R107" s="298"/>
      <c r="S107" s="261"/>
      <c r="T107" s="303"/>
      <c r="U107" s="298"/>
      <c r="V107" s="303"/>
      <c r="W107" s="298"/>
      <c r="X107" s="303"/>
      <c r="Y107" s="298"/>
      <c r="Z107" s="261"/>
      <c r="AA107" s="250"/>
      <c r="AB107" s="298"/>
      <c r="AC107" s="303"/>
      <c r="AD107" s="298"/>
      <c r="AE107" s="303"/>
      <c r="AF107" s="298"/>
      <c r="AG107" s="261"/>
      <c r="AH107" s="303"/>
      <c r="AI107" s="298"/>
      <c r="AJ107" s="303"/>
      <c r="AK107" s="298"/>
      <c r="AL107" s="303"/>
      <c r="AM107" s="298"/>
      <c r="AN107" s="261"/>
      <c r="AO107" s="250"/>
      <c r="AP107" s="298"/>
      <c r="AQ107" s="304"/>
      <c r="AR107" s="298"/>
      <c r="AS107" s="304"/>
      <c r="AT107" s="254" t="str">
        <f t="shared" ref="AT107:AT110" si="50">IF(COUNTIF($AO$85:$AT$87, #REF!) &gt; 0, "X", "")</f>
        <v/>
      </c>
      <c r="AU107" s="269"/>
      <c r="AV107" s="269"/>
      <c r="AW107" s="463" t="str">
        <f t="shared" ref="AW107:BD107" si="49">AW22</f>
        <v>#REF!</v>
      </c>
      <c r="AX107" s="206">
        <f t="shared" si="49"/>
        <v>49</v>
      </c>
      <c r="AY107" s="464">
        <f t="shared" si="49"/>
        <v>52</v>
      </c>
      <c r="AZ107" s="206">
        <f t="shared" si="49"/>
        <v>45</v>
      </c>
      <c r="BA107" s="206">
        <f t="shared" si="49"/>
        <v>43</v>
      </c>
      <c r="BB107" s="206">
        <f t="shared" si="49"/>
        <v>0</v>
      </c>
      <c r="BC107" s="465">
        <f t="shared" si="49"/>
        <v>1512</v>
      </c>
      <c r="BD107" s="206" t="str">
        <f t="shared" si="49"/>
        <v/>
      </c>
      <c r="BE107" s="466"/>
    </row>
    <row r="108">
      <c r="A108" s="94"/>
      <c r="B108" s="305" t="s">
        <v>653</v>
      </c>
      <c r="C108" s="306" t="s">
        <v>654</v>
      </c>
      <c r="D108" s="476" t="s">
        <v>398</v>
      </c>
      <c r="E108" s="259"/>
      <c r="F108" s="307"/>
      <c r="G108" s="298"/>
      <c r="H108" s="307"/>
      <c r="I108" s="298"/>
      <c r="J108" s="307"/>
      <c r="K108" s="298"/>
      <c r="L108" s="261"/>
      <c r="M108" s="250"/>
      <c r="N108" s="298"/>
      <c r="O108" s="309" t="s">
        <v>458</v>
      </c>
      <c r="P108" s="298"/>
      <c r="Q108" s="307"/>
      <c r="R108" s="298"/>
      <c r="S108" s="261"/>
      <c r="T108" s="307"/>
      <c r="U108" s="298"/>
      <c r="V108" s="307"/>
      <c r="W108" s="298"/>
      <c r="X108" s="307"/>
      <c r="Y108" s="298"/>
      <c r="Z108" s="261"/>
      <c r="AA108" s="250"/>
      <c r="AB108" s="298"/>
      <c r="AC108" s="307"/>
      <c r="AD108" s="298"/>
      <c r="AE108" s="308" t="s">
        <v>434</v>
      </c>
      <c r="AF108" s="298"/>
      <c r="AG108" s="261"/>
      <c r="AH108" s="307"/>
      <c r="AI108" s="298"/>
      <c r="AJ108" s="307"/>
      <c r="AK108" s="298"/>
      <c r="AL108" s="307"/>
      <c r="AM108" s="298"/>
      <c r="AN108" s="261"/>
      <c r="AO108" s="250"/>
      <c r="AP108" s="298"/>
      <c r="AQ108" s="307"/>
      <c r="AR108" s="298"/>
      <c r="AS108" s="307"/>
      <c r="AT108" s="254" t="str">
        <f t="shared" si="50"/>
        <v/>
      </c>
      <c r="AU108" s="269"/>
      <c r="AV108" s="269"/>
      <c r="AW108" s="463" t="str">
        <f t="shared" ref="AW108:BD108" si="51">AW23</f>
        <v>#REF!</v>
      </c>
      <c r="AX108" s="206">
        <f t="shared" si="51"/>
        <v>49</v>
      </c>
      <c r="AY108" s="464">
        <f t="shared" si="51"/>
        <v>52</v>
      </c>
      <c r="AZ108" s="206">
        <f t="shared" si="51"/>
        <v>45</v>
      </c>
      <c r="BA108" s="206">
        <f t="shared" si="51"/>
        <v>43</v>
      </c>
      <c r="BB108" s="206">
        <f t="shared" si="51"/>
        <v>0</v>
      </c>
      <c r="BC108" s="465">
        <f t="shared" si="51"/>
        <v>1512</v>
      </c>
      <c r="BD108" s="206" t="str">
        <f t="shared" si="51"/>
        <v/>
      </c>
      <c r="BE108" s="466"/>
    </row>
    <row r="109">
      <c r="A109" s="94"/>
      <c r="B109" s="310" t="s">
        <v>656</v>
      </c>
      <c r="C109" s="278" t="s">
        <v>657</v>
      </c>
      <c r="D109" s="243"/>
      <c r="E109" s="259"/>
      <c r="F109" s="281"/>
      <c r="G109" s="246"/>
      <c r="H109" s="282"/>
      <c r="I109" s="246"/>
      <c r="J109" s="477"/>
      <c r="K109" s="246"/>
      <c r="L109" s="261"/>
      <c r="M109" s="250"/>
      <c r="N109" s="246"/>
      <c r="O109" s="311" t="s">
        <v>434</v>
      </c>
      <c r="P109" s="246"/>
      <c r="Q109" s="282"/>
      <c r="R109" s="246"/>
      <c r="S109" s="261"/>
      <c r="T109" s="282"/>
      <c r="U109" s="246"/>
      <c r="V109" s="282"/>
      <c r="W109" s="246"/>
      <c r="X109" s="281"/>
      <c r="Y109" s="246"/>
      <c r="Z109" s="261"/>
      <c r="AA109" s="250"/>
      <c r="AB109" s="246"/>
      <c r="AC109" s="282"/>
      <c r="AD109" s="246"/>
      <c r="AF109" s="246"/>
      <c r="AG109" s="261"/>
      <c r="AH109" s="282"/>
      <c r="AI109" s="246"/>
      <c r="AJ109" s="282"/>
      <c r="AK109" s="246"/>
      <c r="AL109" s="471" t="s">
        <v>419</v>
      </c>
      <c r="AM109" s="246"/>
      <c r="AN109" s="261"/>
      <c r="AO109" s="250"/>
      <c r="AP109" s="246"/>
      <c r="AQ109" s="276"/>
      <c r="AR109" s="246"/>
      <c r="AS109" s="276"/>
      <c r="AT109" s="254" t="str">
        <f t="shared" si="50"/>
        <v/>
      </c>
      <c r="AU109" s="269"/>
      <c r="AV109" s="269"/>
      <c r="AW109" s="463" t="str">
        <f t="shared" ref="AW109:BD109" si="52">AW24</f>
        <v>#REF!</v>
      </c>
      <c r="AX109" s="206">
        <f t="shared" si="52"/>
        <v>49</v>
      </c>
      <c r="AY109" s="464">
        <f t="shared" si="52"/>
        <v>52</v>
      </c>
      <c r="AZ109" s="206">
        <f t="shared" si="52"/>
        <v>45</v>
      </c>
      <c r="BA109" s="206">
        <f t="shared" si="52"/>
        <v>43</v>
      </c>
      <c r="BB109" s="206">
        <f t="shared" si="52"/>
        <v>0</v>
      </c>
      <c r="BC109" s="465">
        <f t="shared" si="52"/>
        <v>1512</v>
      </c>
      <c r="BD109" s="206" t="str">
        <f t="shared" si="52"/>
        <v/>
      </c>
      <c r="BE109" s="466"/>
    </row>
    <row r="110">
      <c r="A110" s="94"/>
      <c r="B110" s="277" t="s">
        <v>658</v>
      </c>
      <c r="C110" s="278" t="s">
        <v>657</v>
      </c>
      <c r="D110" s="243"/>
      <c r="E110" s="259"/>
      <c r="F110" s="281"/>
      <c r="G110" s="246"/>
      <c r="H110" s="282"/>
      <c r="I110" s="246"/>
      <c r="J110" s="282"/>
      <c r="K110" s="246"/>
      <c r="L110" s="261"/>
      <c r="M110" s="250"/>
      <c r="N110" s="246"/>
      <c r="P110" s="246"/>
      <c r="Q110" s="282"/>
      <c r="R110" s="246"/>
      <c r="S110" s="261"/>
      <c r="T110" s="282"/>
      <c r="U110" s="246"/>
      <c r="V110" s="282"/>
      <c r="W110" s="246"/>
      <c r="X110" s="478"/>
      <c r="Y110" s="246"/>
      <c r="Z110" s="261"/>
      <c r="AA110" s="250"/>
      <c r="AB110" s="246"/>
      <c r="AC110" s="478" t="s">
        <v>759</v>
      </c>
      <c r="AD110" s="246"/>
      <c r="AF110" s="246"/>
      <c r="AG110" s="261"/>
      <c r="AH110" s="282"/>
      <c r="AI110" s="246"/>
      <c r="AJ110" s="282"/>
      <c r="AK110" s="246"/>
      <c r="AM110" s="246"/>
      <c r="AN110" s="261"/>
      <c r="AO110" s="250"/>
      <c r="AP110" s="246"/>
      <c r="AQ110" s="276"/>
      <c r="AR110" s="246"/>
      <c r="AT110" s="254" t="str">
        <f t="shared" si="50"/>
        <v/>
      </c>
      <c r="AU110" s="269"/>
      <c r="AV110" s="269"/>
      <c r="AW110" s="463" t="str">
        <f t="shared" ref="AW110:BD110" si="53">AW25</f>
        <v>#REF!</v>
      </c>
      <c r="AX110" s="206">
        <f t="shared" si="53"/>
        <v>49</v>
      </c>
      <c r="AY110" s="464">
        <f t="shared" si="53"/>
        <v>52</v>
      </c>
      <c r="AZ110" s="206">
        <f t="shared" si="53"/>
        <v>45</v>
      </c>
      <c r="BA110" s="206">
        <f t="shared" si="53"/>
        <v>43</v>
      </c>
      <c r="BB110" s="206">
        <f t="shared" si="53"/>
        <v>0</v>
      </c>
      <c r="BC110" s="465">
        <f t="shared" si="53"/>
        <v>1512</v>
      </c>
      <c r="BD110" s="206" t="str">
        <f t="shared" si="53"/>
        <v/>
      </c>
      <c r="BE110" s="466"/>
    </row>
    <row r="111">
      <c r="A111" s="94"/>
      <c r="B111" s="314" t="s">
        <v>660</v>
      </c>
      <c r="C111" s="315" t="s">
        <v>649</v>
      </c>
      <c r="D111" s="243"/>
      <c r="E111" s="259"/>
      <c r="F111" s="253" t="s">
        <v>417</v>
      </c>
      <c r="G111" s="246"/>
      <c r="H111" s="293" t="s">
        <v>416</v>
      </c>
      <c r="I111" s="246"/>
      <c r="J111" s="293" t="s">
        <v>421</v>
      </c>
      <c r="K111" s="246"/>
      <c r="L111" s="261"/>
      <c r="M111" s="316"/>
      <c r="N111" s="246"/>
      <c r="O111" s="293" t="s">
        <v>416</v>
      </c>
      <c r="P111" s="246"/>
      <c r="Q111" s="293" t="s">
        <v>421</v>
      </c>
      <c r="R111" s="246"/>
      <c r="S111" s="261"/>
      <c r="T111" s="479"/>
      <c r="U111" s="246"/>
      <c r="V111" s="293" t="s">
        <v>416</v>
      </c>
      <c r="W111" s="246"/>
      <c r="X111" s="356" t="s">
        <v>423</v>
      </c>
      <c r="Y111" s="246"/>
      <c r="Z111" s="261"/>
      <c r="AA111" s="316"/>
      <c r="AB111" s="246"/>
      <c r="AC111" s="293" t="s">
        <v>416</v>
      </c>
      <c r="AD111" s="246"/>
      <c r="AE111" s="480" t="s">
        <v>760</v>
      </c>
      <c r="AF111" s="246"/>
      <c r="AG111" s="261"/>
      <c r="AH111" s="479"/>
      <c r="AI111" s="246"/>
      <c r="AJ111" s="293" t="s">
        <v>416</v>
      </c>
      <c r="AK111" s="246"/>
      <c r="AL111" s="481" t="s">
        <v>424</v>
      </c>
      <c r="AM111" s="246"/>
      <c r="AN111" s="261"/>
      <c r="AO111" s="316"/>
      <c r="AP111" s="246"/>
      <c r="AQ111" s="293" t="s">
        <v>421</v>
      </c>
      <c r="AR111" s="246"/>
      <c r="AS111" s="356" t="s">
        <v>423</v>
      </c>
      <c r="AT111" s="254" t="str">
        <f>IF(COUNTIF($AO$85:$AT$87, AS120) &gt; 0, "X", "")</f>
        <v/>
      </c>
      <c r="AU111" s="269"/>
      <c r="AV111" s="269"/>
      <c r="AW111" s="463" t="str">
        <f t="shared" ref="AW111:BD111" si="54">AW26</f>
        <v>#REF!</v>
      </c>
      <c r="AX111" s="206">
        <f t="shared" si="54"/>
        <v>49</v>
      </c>
      <c r="AY111" s="464">
        <f t="shared" si="54"/>
        <v>52</v>
      </c>
      <c r="AZ111" s="206">
        <f t="shared" si="54"/>
        <v>45</v>
      </c>
      <c r="BA111" s="206">
        <f t="shared" si="54"/>
        <v>43</v>
      </c>
      <c r="BB111" s="206">
        <f t="shared" si="54"/>
        <v>0</v>
      </c>
      <c r="BC111" s="465">
        <f t="shared" si="54"/>
        <v>1512</v>
      </c>
      <c r="BD111" s="206" t="str">
        <f t="shared" si="54"/>
        <v/>
      </c>
      <c r="BE111" s="466"/>
    </row>
    <row r="112">
      <c r="A112" s="94"/>
      <c r="B112" s="296" t="s">
        <v>650</v>
      </c>
      <c r="C112" s="297" t="s">
        <v>649</v>
      </c>
      <c r="D112" s="243"/>
      <c r="E112" s="259"/>
      <c r="F112" s="299"/>
      <c r="G112" s="298"/>
      <c r="H112" s="299"/>
      <c r="I112" s="298"/>
      <c r="J112" s="299"/>
      <c r="K112" s="298"/>
      <c r="L112" s="261"/>
      <c r="M112" s="250"/>
      <c r="N112" s="298"/>
      <c r="O112" s="300"/>
      <c r="P112" s="298"/>
      <c r="Q112" s="356" t="s">
        <v>423</v>
      </c>
      <c r="R112" s="298"/>
      <c r="S112" s="261"/>
      <c r="T112" s="482" t="s">
        <v>761</v>
      </c>
      <c r="U112" s="298"/>
      <c r="V112" s="300"/>
      <c r="W112" s="298"/>
      <c r="X112" s="481" t="s">
        <v>424</v>
      </c>
      <c r="Y112" s="298"/>
      <c r="Z112" s="261"/>
      <c r="AA112" s="250"/>
      <c r="AB112" s="298"/>
      <c r="AC112" s="319"/>
      <c r="AD112" s="298"/>
      <c r="AE112" s="293" t="s">
        <v>421</v>
      </c>
      <c r="AF112" s="298"/>
      <c r="AG112" s="261"/>
      <c r="AH112" s="317"/>
      <c r="AI112" s="298"/>
      <c r="AJ112" s="300"/>
      <c r="AK112" s="298"/>
      <c r="AL112" s="293" t="s">
        <v>426</v>
      </c>
      <c r="AM112" s="298"/>
      <c r="AN112" s="261"/>
      <c r="AO112" s="250"/>
      <c r="AP112" s="298"/>
      <c r="AQ112" s="300"/>
      <c r="AR112" s="298"/>
      <c r="AS112" s="299"/>
      <c r="AT112" s="254" t="str">
        <f>IF(COUNTIF($AO$85:$AT$87, #REF!) &gt; 0, "X", "")</f>
        <v/>
      </c>
      <c r="AU112" s="269"/>
      <c r="AV112" s="269"/>
      <c r="AW112" s="463" t="str">
        <f t="shared" ref="AW112:BD112" si="55">AW27</f>
        <v>#REF!</v>
      </c>
      <c r="AX112" s="206">
        <f t="shared" si="55"/>
        <v>49</v>
      </c>
      <c r="AY112" s="464">
        <f t="shared" si="55"/>
        <v>52</v>
      </c>
      <c r="AZ112" s="206">
        <f t="shared" si="55"/>
        <v>45</v>
      </c>
      <c r="BA112" s="206">
        <f t="shared" si="55"/>
        <v>43</v>
      </c>
      <c r="BB112" s="206">
        <f t="shared" si="55"/>
        <v>0</v>
      </c>
      <c r="BC112" s="465">
        <f t="shared" si="55"/>
        <v>1512</v>
      </c>
      <c r="BD112" s="206" t="str">
        <f t="shared" si="55"/>
        <v/>
      </c>
      <c r="BE112" s="466"/>
    </row>
    <row r="113">
      <c r="A113" s="94"/>
      <c r="B113" s="301" t="s">
        <v>651</v>
      </c>
      <c r="C113" s="302" t="s">
        <v>652</v>
      </c>
      <c r="D113" s="243"/>
      <c r="E113" s="259"/>
      <c r="F113" s="303"/>
      <c r="G113" s="298"/>
      <c r="H113" s="321" t="s">
        <v>661</v>
      </c>
      <c r="I113" s="298"/>
      <c r="J113" s="483" t="s">
        <v>762</v>
      </c>
      <c r="K113" s="298"/>
      <c r="L113" s="261"/>
      <c r="M113" s="250"/>
      <c r="N113" s="298"/>
      <c r="O113" s="303"/>
      <c r="P113" s="298"/>
      <c r="Q113" s="484"/>
      <c r="R113" s="298"/>
      <c r="S113" s="261"/>
      <c r="T113" s="320"/>
      <c r="U113" s="298"/>
      <c r="V113" s="321" t="s">
        <v>661</v>
      </c>
      <c r="W113" s="298"/>
      <c r="X113" s="321" t="s">
        <v>763</v>
      </c>
      <c r="Y113" s="298"/>
      <c r="Z113" s="261"/>
      <c r="AA113" s="250"/>
      <c r="AB113" s="298"/>
      <c r="AC113" s="303"/>
      <c r="AD113" s="298"/>
      <c r="AE113" s="321" t="s">
        <v>661</v>
      </c>
      <c r="AF113" s="298"/>
      <c r="AG113" s="261"/>
      <c r="AH113" s="320"/>
      <c r="AI113" s="298"/>
      <c r="AJ113" s="303"/>
      <c r="AK113" s="298"/>
      <c r="AL113" s="321" t="s">
        <v>661</v>
      </c>
      <c r="AM113" s="298"/>
      <c r="AN113" s="261"/>
      <c r="AO113" s="250"/>
      <c r="AP113" s="298"/>
      <c r="AQ113" s="303"/>
      <c r="AR113" s="298"/>
      <c r="AS113" s="484"/>
      <c r="AT113" s="254" t="str">
        <f>IF(COUNTIF($AO$85:$AT$87, AQ113) &gt; 0, "X", "")</f>
        <v/>
      </c>
      <c r="AU113" s="269"/>
      <c r="AV113" s="269"/>
      <c r="AW113" s="463" t="str">
        <f t="shared" ref="AW113:BD113" si="56">AW28</f>
        <v>#REF!</v>
      </c>
      <c r="AX113" s="206">
        <f t="shared" si="56"/>
        <v>49</v>
      </c>
      <c r="AY113" s="464">
        <f t="shared" si="56"/>
        <v>52</v>
      </c>
      <c r="AZ113" s="206">
        <f t="shared" si="56"/>
        <v>45</v>
      </c>
      <c r="BA113" s="206">
        <f t="shared" si="56"/>
        <v>43</v>
      </c>
      <c r="BB113" s="206">
        <f t="shared" si="56"/>
        <v>0</v>
      </c>
      <c r="BC113" s="465">
        <f t="shared" si="56"/>
        <v>1512</v>
      </c>
      <c r="BD113" s="206" t="str">
        <f t="shared" si="56"/>
        <v/>
      </c>
      <c r="BE113" s="466"/>
    </row>
    <row r="114">
      <c r="A114" s="94"/>
      <c r="B114" s="322" t="s">
        <v>662</v>
      </c>
      <c r="C114" s="306" t="s">
        <v>663</v>
      </c>
      <c r="D114" s="323"/>
      <c r="E114" s="259"/>
      <c r="F114" s="307"/>
      <c r="G114" s="298"/>
      <c r="H114" s="307"/>
      <c r="I114" s="298"/>
      <c r="J114" s="307"/>
      <c r="K114" s="298"/>
      <c r="L114" s="261"/>
      <c r="M114" s="324"/>
      <c r="N114" s="298"/>
      <c r="O114" s="307"/>
      <c r="P114" s="298"/>
      <c r="Q114" s="307"/>
      <c r="R114" s="298"/>
      <c r="S114" s="261"/>
      <c r="T114" s="317"/>
      <c r="U114" s="298"/>
      <c r="V114" s="307"/>
      <c r="W114" s="298"/>
      <c r="X114" s="309" t="s">
        <v>414</v>
      </c>
      <c r="Y114" s="298"/>
      <c r="Z114" s="261"/>
      <c r="AA114" s="324"/>
      <c r="AB114" s="298"/>
      <c r="AC114" s="307"/>
      <c r="AD114" s="298"/>
      <c r="AE114" s="307"/>
      <c r="AF114" s="298"/>
      <c r="AG114" s="261"/>
      <c r="AH114" s="317"/>
      <c r="AI114" s="298"/>
      <c r="AJ114" s="307"/>
      <c r="AK114" s="298"/>
      <c r="AL114" s="307"/>
      <c r="AM114" s="298"/>
      <c r="AN114" s="261"/>
      <c r="AO114" s="324"/>
      <c r="AP114" s="298"/>
      <c r="AQ114" s="307"/>
      <c r="AR114" s="298"/>
      <c r="AS114" s="307"/>
      <c r="AT114" s="254" t="str">
        <f>IF(COUNTIF($AO$85:$AT$87, #REF!) &gt; 0, "X", "")</f>
        <v/>
      </c>
      <c r="AU114" s="269"/>
      <c r="AV114" s="269"/>
      <c r="AW114" s="463" t="str">
        <f t="shared" ref="AW114:BD114" si="57">AW29</f>
        <v>#REF!</v>
      </c>
      <c r="AX114" s="206">
        <f t="shared" si="57"/>
        <v>49</v>
      </c>
      <c r="AY114" s="464">
        <f t="shared" si="57"/>
        <v>52</v>
      </c>
      <c r="AZ114" s="206">
        <f t="shared" si="57"/>
        <v>45</v>
      </c>
      <c r="BA114" s="206">
        <f t="shared" si="57"/>
        <v>43</v>
      </c>
      <c r="BB114" s="206">
        <f t="shared" si="57"/>
        <v>0</v>
      </c>
      <c r="BC114" s="465">
        <f t="shared" si="57"/>
        <v>1512</v>
      </c>
      <c r="BD114" s="206" t="str">
        <f t="shared" si="57"/>
        <v/>
      </c>
      <c r="BE114" s="466"/>
    </row>
    <row r="115">
      <c r="A115" s="94"/>
      <c r="B115" s="328" t="s">
        <v>665</v>
      </c>
      <c r="C115" s="329" t="s">
        <v>654</v>
      </c>
      <c r="D115" s="330"/>
      <c r="E115" s="259"/>
      <c r="F115" s="274" t="s">
        <v>655</v>
      </c>
      <c r="G115" s="246"/>
      <c r="H115" s="274" t="s">
        <v>458</v>
      </c>
      <c r="I115" s="246"/>
      <c r="J115" s="274" t="s">
        <v>443</v>
      </c>
      <c r="K115" s="246"/>
      <c r="L115" s="261"/>
      <c r="M115" s="333"/>
      <c r="N115" s="246"/>
      <c r="O115" s="336" t="s">
        <v>450</v>
      </c>
      <c r="P115" s="246"/>
      <c r="Q115" s="274" t="s">
        <v>655</v>
      </c>
      <c r="R115" s="246"/>
      <c r="S115" s="261"/>
      <c r="T115" s="479"/>
      <c r="U115" s="246"/>
      <c r="V115" s="274" t="s">
        <v>458</v>
      </c>
      <c r="W115" s="246"/>
      <c r="X115" s="311" t="s">
        <v>434</v>
      </c>
      <c r="Y115" s="246"/>
      <c r="Z115" s="261"/>
      <c r="AA115" s="333"/>
      <c r="AB115" s="246"/>
      <c r="AC115" s="274" t="s">
        <v>439</v>
      </c>
      <c r="AD115" s="246"/>
      <c r="AE115" s="274" t="s">
        <v>449</v>
      </c>
      <c r="AF115" s="246"/>
      <c r="AG115" s="261"/>
      <c r="AH115" s="320"/>
      <c r="AI115" s="246"/>
      <c r="AJ115" s="336" t="s">
        <v>450</v>
      </c>
      <c r="AK115" s="246"/>
      <c r="AL115" s="311" t="s">
        <v>434</v>
      </c>
      <c r="AM115" s="246"/>
      <c r="AN115" s="261"/>
      <c r="AO115" s="333"/>
      <c r="AP115" s="246"/>
      <c r="AQ115" s="274" t="s">
        <v>458</v>
      </c>
      <c r="AR115" s="246"/>
      <c r="AS115" s="274" t="s">
        <v>449</v>
      </c>
      <c r="AT115" s="254" t="str">
        <f t="shared" ref="AT115:AT116" si="59">IF(COUNTIF($AO$85:$AT$87, AQ114) &gt; 0, "X", "")</f>
        <v/>
      </c>
      <c r="AU115" s="269"/>
      <c r="AV115" s="269"/>
      <c r="AW115" s="463" t="str">
        <f t="shared" ref="AW115:BD115" si="58">AW30</f>
        <v>#REF!</v>
      </c>
      <c r="AX115" s="206">
        <f t="shared" si="58"/>
        <v>49</v>
      </c>
      <c r="AY115" s="464">
        <f t="shared" si="58"/>
        <v>52</v>
      </c>
      <c r="AZ115" s="206">
        <f t="shared" si="58"/>
        <v>45</v>
      </c>
      <c r="BA115" s="206">
        <f t="shared" si="58"/>
        <v>43</v>
      </c>
      <c r="BB115" s="206">
        <f t="shared" si="58"/>
        <v>0</v>
      </c>
      <c r="BC115" s="465">
        <f t="shared" si="58"/>
        <v>1512</v>
      </c>
      <c r="BD115" s="206" t="str">
        <f t="shared" si="58"/>
        <v/>
      </c>
      <c r="BE115" s="466"/>
    </row>
    <row r="116">
      <c r="A116" s="94"/>
      <c r="B116" s="337" t="s">
        <v>665</v>
      </c>
      <c r="C116" s="338" t="s">
        <v>657</v>
      </c>
      <c r="D116" s="330"/>
      <c r="E116" s="259"/>
      <c r="F116" s="274" t="s">
        <v>448</v>
      </c>
      <c r="G116" s="246"/>
      <c r="H116" s="336" t="s">
        <v>450</v>
      </c>
      <c r="I116" s="246"/>
      <c r="J116" s="311" t="s">
        <v>434</v>
      </c>
      <c r="K116" s="246"/>
      <c r="L116" s="261"/>
      <c r="M116" s="324"/>
      <c r="N116" s="246"/>
      <c r="O116" s="339" t="s">
        <v>459</v>
      </c>
      <c r="P116" s="246"/>
      <c r="Q116" s="274" t="s">
        <v>448</v>
      </c>
      <c r="R116" s="246"/>
      <c r="S116" s="261"/>
      <c r="T116" s="479"/>
      <c r="U116" s="246"/>
      <c r="V116" s="485" t="s">
        <v>764</v>
      </c>
      <c r="W116" s="246"/>
      <c r="X116" s="274" t="s">
        <v>448</v>
      </c>
      <c r="Y116" s="246"/>
      <c r="Z116" s="261"/>
      <c r="AA116" s="324"/>
      <c r="AB116" s="246"/>
      <c r="AC116" s="336" t="s">
        <v>398</v>
      </c>
      <c r="AD116" s="246"/>
      <c r="AE116" s="274" t="s">
        <v>655</v>
      </c>
      <c r="AF116" s="246"/>
      <c r="AG116" s="261"/>
      <c r="AH116" s="320"/>
      <c r="AI116" s="246"/>
      <c r="AJ116" s="274" t="s">
        <v>655</v>
      </c>
      <c r="AK116" s="246"/>
      <c r="AL116" s="274" t="s">
        <v>448</v>
      </c>
      <c r="AM116" s="246"/>
      <c r="AN116" s="261"/>
      <c r="AO116" s="324"/>
      <c r="AP116" s="246"/>
      <c r="AQ116" s="336" t="s">
        <v>450</v>
      </c>
      <c r="AR116" s="246"/>
      <c r="AS116" s="274" t="s">
        <v>443</v>
      </c>
      <c r="AT116" s="254" t="str">
        <f t="shared" si="59"/>
        <v/>
      </c>
      <c r="AU116" s="269"/>
      <c r="AV116" s="269"/>
      <c r="AW116" s="463" t="str">
        <f t="shared" ref="AW116:BD116" si="60">AW31</f>
        <v>#REF!</v>
      </c>
      <c r="AX116" s="206">
        <f t="shared" si="60"/>
        <v>49</v>
      </c>
      <c r="AY116" s="464">
        <f t="shared" si="60"/>
        <v>52</v>
      </c>
      <c r="AZ116" s="206">
        <f t="shared" si="60"/>
        <v>45</v>
      </c>
      <c r="BA116" s="206">
        <f t="shared" si="60"/>
        <v>43</v>
      </c>
      <c r="BB116" s="206">
        <f t="shared" si="60"/>
        <v>0</v>
      </c>
      <c r="BC116" s="465">
        <f t="shared" si="60"/>
        <v>1512</v>
      </c>
      <c r="BD116" s="206" t="str">
        <f t="shared" si="60"/>
        <v/>
      </c>
      <c r="BE116" s="466"/>
    </row>
    <row r="117">
      <c r="A117" s="94"/>
      <c r="B117" s="256" t="s">
        <v>665</v>
      </c>
      <c r="C117" s="257" t="s">
        <v>663</v>
      </c>
      <c r="D117" s="330"/>
      <c r="E117" s="259"/>
      <c r="G117" s="246"/>
      <c r="I117" s="246"/>
      <c r="K117" s="246"/>
      <c r="L117" s="261"/>
      <c r="M117" s="341"/>
      <c r="N117" s="246"/>
      <c r="O117" s="282"/>
      <c r="P117" s="246"/>
      <c r="Q117" s="282"/>
      <c r="R117" s="246"/>
      <c r="S117" s="261"/>
      <c r="T117" s="479"/>
      <c r="U117" s="246"/>
      <c r="V117" s="281"/>
      <c r="W117" s="246"/>
      <c r="Y117" s="246"/>
      <c r="Z117" s="261"/>
      <c r="AA117" s="341"/>
      <c r="AB117" s="246"/>
      <c r="AD117" s="246"/>
      <c r="AF117" s="246"/>
      <c r="AG117" s="261"/>
      <c r="AH117" s="320"/>
      <c r="AI117" s="246"/>
      <c r="AJ117" s="282"/>
      <c r="AK117" s="246"/>
      <c r="AL117" s="282"/>
      <c r="AM117" s="246"/>
      <c r="AN117" s="261"/>
      <c r="AO117" s="341"/>
      <c r="AP117" s="246"/>
      <c r="AQ117" s="282"/>
      <c r="AR117" s="246"/>
      <c r="AS117" s="282"/>
      <c r="AT117" s="254" t="str">
        <f t="shared" ref="AT117:AT118" si="62">IF(COUNTIF($AO$85:$AT$87, #REF!) &gt; 0, "X", "")</f>
        <v/>
      </c>
      <c r="AU117" s="269"/>
      <c r="AV117" s="269"/>
      <c r="AW117" s="463" t="str">
        <f t="shared" ref="AW117:BD117" si="61">AW32</f>
        <v>#REF!</v>
      </c>
      <c r="AX117" s="206">
        <f t="shared" si="61"/>
        <v>49</v>
      </c>
      <c r="AY117" s="464">
        <f t="shared" si="61"/>
        <v>52</v>
      </c>
      <c r="AZ117" s="206">
        <f t="shared" si="61"/>
        <v>45</v>
      </c>
      <c r="BA117" s="206">
        <f t="shared" si="61"/>
        <v>43</v>
      </c>
      <c r="BB117" s="206">
        <f t="shared" si="61"/>
        <v>0</v>
      </c>
      <c r="BC117" s="465">
        <f t="shared" si="61"/>
        <v>1512</v>
      </c>
      <c r="BD117" s="206" t="str">
        <f t="shared" si="61"/>
        <v/>
      </c>
      <c r="BE117" s="466"/>
    </row>
    <row r="118">
      <c r="A118" s="94"/>
      <c r="B118" s="328" t="s">
        <v>665</v>
      </c>
      <c r="C118" s="329" t="s">
        <v>645</v>
      </c>
      <c r="D118" s="330"/>
      <c r="E118" s="259"/>
      <c r="F118" s="274" t="s">
        <v>439</v>
      </c>
      <c r="G118" s="246"/>
      <c r="H118" s="339" t="s">
        <v>459</v>
      </c>
      <c r="I118" s="246"/>
      <c r="J118" s="274" t="s">
        <v>415</v>
      </c>
      <c r="K118" s="246"/>
      <c r="L118" s="261"/>
      <c r="M118" s="341"/>
      <c r="N118" s="246"/>
      <c r="P118" s="246"/>
      <c r="Q118" s="274" t="s">
        <v>415</v>
      </c>
      <c r="R118" s="246"/>
      <c r="S118" s="261"/>
      <c r="U118" s="246"/>
      <c r="V118" s="339" t="s">
        <v>459</v>
      </c>
      <c r="W118" s="246"/>
      <c r="X118" s="274" t="s">
        <v>655</v>
      </c>
      <c r="Y118" s="246"/>
      <c r="Z118" s="261"/>
      <c r="AA118" s="341"/>
      <c r="AB118" s="246"/>
      <c r="AC118" s="274" t="s">
        <v>448</v>
      </c>
      <c r="AD118" s="246"/>
      <c r="AE118" s="274" t="s">
        <v>415</v>
      </c>
      <c r="AF118" s="246"/>
      <c r="AG118" s="261"/>
      <c r="AH118" s="371"/>
      <c r="AI118" s="246"/>
      <c r="AJ118" s="339" t="s">
        <v>459</v>
      </c>
      <c r="AK118" s="246"/>
      <c r="AL118" s="274" t="s">
        <v>415</v>
      </c>
      <c r="AM118" s="246"/>
      <c r="AN118" s="261"/>
      <c r="AO118" s="341"/>
      <c r="AP118" s="246"/>
      <c r="AQ118" s="339" t="s">
        <v>459</v>
      </c>
      <c r="AR118" s="246"/>
      <c r="AS118" s="274" t="s">
        <v>414</v>
      </c>
      <c r="AT118" s="254" t="str">
        <f t="shared" si="62"/>
        <v/>
      </c>
      <c r="AU118" s="269"/>
      <c r="AV118" s="269"/>
      <c r="AW118" s="463" t="str">
        <f t="shared" ref="AW118:BD118" si="63">AW33</f>
        <v>#REF!</v>
      </c>
      <c r="AX118" s="206">
        <f t="shared" si="63"/>
        <v>49</v>
      </c>
      <c r="AY118" s="464">
        <f t="shared" si="63"/>
        <v>52</v>
      </c>
      <c r="AZ118" s="206">
        <f t="shared" si="63"/>
        <v>45</v>
      </c>
      <c r="BA118" s="206">
        <f t="shared" si="63"/>
        <v>43</v>
      </c>
      <c r="BB118" s="206">
        <f t="shared" si="63"/>
        <v>0</v>
      </c>
      <c r="BC118" s="465">
        <f t="shared" si="63"/>
        <v>1512</v>
      </c>
      <c r="BD118" s="206" t="str">
        <f t="shared" si="63"/>
        <v/>
      </c>
      <c r="BE118" s="466"/>
    </row>
    <row r="119">
      <c r="A119" s="94"/>
      <c r="B119" s="342" t="s">
        <v>667</v>
      </c>
      <c r="C119" s="343" t="s">
        <v>657</v>
      </c>
      <c r="D119" s="323"/>
      <c r="E119" s="261"/>
      <c r="F119" s="345" t="s">
        <v>401</v>
      </c>
      <c r="G119" s="246"/>
      <c r="I119" s="246"/>
      <c r="K119" s="246"/>
      <c r="L119" s="261"/>
      <c r="M119" s="346"/>
      <c r="N119" s="246"/>
      <c r="O119" s="345" t="s">
        <v>401</v>
      </c>
      <c r="P119" s="246"/>
      <c r="Q119" s="282"/>
      <c r="R119" s="246"/>
      <c r="S119" s="261"/>
      <c r="T119" s="345" t="s">
        <v>401</v>
      </c>
      <c r="U119" s="246"/>
      <c r="V119" s="282"/>
      <c r="W119" s="246"/>
      <c r="X119" s="282"/>
      <c r="Y119" s="246"/>
      <c r="Z119" s="261"/>
      <c r="AA119" s="346"/>
      <c r="AB119" s="246"/>
      <c r="AC119" s="345" t="s">
        <v>401</v>
      </c>
      <c r="AD119" s="246"/>
      <c r="AE119" s="282"/>
      <c r="AF119" s="246"/>
      <c r="AG119" s="261"/>
      <c r="AH119" s="345" t="s">
        <v>401</v>
      </c>
      <c r="AI119" s="246"/>
      <c r="AJ119" s="282"/>
      <c r="AK119" s="246"/>
      <c r="AM119" s="246"/>
      <c r="AN119" s="261"/>
      <c r="AO119" s="346"/>
      <c r="AP119" s="246"/>
      <c r="AQ119" s="345" t="s">
        <v>401</v>
      </c>
      <c r="AR119" s="246"/>
      <c r="AS119" s="282"/>
      <c r="AT119" s="254" t="str">
        <f>IF(COUNTIF($AO$85:$AT$87, AS119) &gt; 0, "X", "")</f>
        <v/>
      </c>
      <c r="AU119" s="269"/>
      <c r="AV119" s="269"/>
      <c r="AW119" s="463" t="str">
        <f t="shared" ref="AW119:BD119" si="64">AW34</f>
        <v>#REF!</v>
      </c>
      <c r="AX119" s="206">
        <f t="shared" si="64"/>
        <v>49</v>
      </c>
      <c r="AY119" s="464">
        <f t="shared" si="64"/>
        <v>52</v>
      </c>
      <c r="AZ119" s="206">
        <f t="shared" si="64"/>
        <v>45</v>
      </c>
      <c r="BA119" s="206">
        <f t="shared" si="64"/>
        <v>43</v>
      </c>
      <c r="BB119" s="206">
        <f t="shared" si="64"/>
        <v>0</v>
      </c>
      <c r="BC119" s="465">
        <f t="shared" si="64"/>
        <v>1512</v>
      </c>
      <c r="BD119" s="206" t="str">
        <f t="shared" si="64"/>
        <v/>
      </c>
      <c r="BE119" s="466"/>
    </row>
    <row r="120">
      <c r="A120" s="94"/>
      <c r="B120" s="349" t="s">
        <v>669</v>
      </c>
      <c r="C120" s="350" t="s">
        <v>649</v>
      </c>
      <c r="D120" s="351"/>
      <c r="E120" s="259"/>
      <c r="F120" s="353" t="s">
        <v>422</v>
      </c>
      <c r="G120" s="246"/>
      <c r="H120" s="357" t="s">
        <v>420</v>
      </c>
      <c r="I120" s="246"/>
      <c r="J120" s="293" t="s">
        <v>424</v>
      </c>
      <c r="K120" s="246"/>
      <c r="L120" s="261"/>
      <c r="M120" s="354"/>
      <c r="N120" s="246"/>
      <c r="O120" s="253" t="s">
        <v>417</v>
      </c>
      <c r="P120" s="246"/>
      <c r="Q120" s="293" t="s">
        <v>424</v>
      </c>
      <c r="R120" s="246"/>
      <c r="S120" s="261"/>
      <c r="T120" s="353" t="s">
        <v>422</v>
      </c>
      <c r="U120" s="246"/>
      <c r="V120" s="253" t="s">
        <v>417</v>
      </c>
      <c r="W120" s="246"/>
      <c r="X120" s="355" t="s">
        <v>670</v>
      </c>
      <c r="Y120" s="246"/>
      <c r="Z120" s="261"/>
      <c r="AA120" s="354"/>
      <c r="AB120" s="246"/>
      <c r="AC120" s="253" t="s">
        <v>417</v>
      </c>
      <c r="AD120" s="246"/>
      <c r="AE120" s="481" t="s">
        <v>424</v>
      </c>
      <c r="AF120" s="246"/>
      <c r="AG120" s="261"/>
      <c r="AH120" s="353" t="s">
        <v>422</v>
      </c>
      <c r="AI120" s="246"/>
      <c r="AJ120" s="253" t="s">
        <v>417</v>
      </c>
      <c r="AK120" s="246"/>
      <c r="AL120" s="356" t="s">
        <v>423</v>
      </c>
      <c r="AM120" s="246"/>
      <c r="AN120" s="261"/>
      <c r="AO120" s="354"/>
      <c r="AP120" s="246"/>
      <c r="AQ120" s="293" t="s">
        <v>426</v>
      </c>
      <c r="AR120" s="246"/>
      <c r="AS120" s="293" t="s">
        <v>422</v>
      </c>
      <c r="AT120" s="254" t="str">
        <f>IF(COUNTIF($AO$85:$AT$87, #REF!) &gt; 0, "X", "")</f>
        <v/>
      </c>
      <c r="AU120" s="269"/>
      <c r="AV120" s="269"/>
      <c r="AW120" s="463" t="str">
        <f t="shared" ref="AW120:BD120" si="65">AW35</f>
        <v>#REF!</v>
      </c>
      <c r="AX120" s="206">
        <f t="shared" si="65"/>
        <v>49</v>
      </c>
      <c r="AY120" s="464">
        <f t="shared" si="65"/>
        <v>52</v>
      </c>
      <c r="AZ120" s="206">
        <f t="shared" si="65"/>
        <v>45</v>
      </c>
      <c r="BA120" s="206">
        <f t="shared" si="65"/>
        <v>43</v>
      </c>
      <c r="BB120" s="206">
        <f t="shared" si="65"/>
        <v>0</v>
      </c>
      <c r="BC120" s="465">
        <f t="shared" si="65"/>
        <v>1512</v>
      </c>
      <c r="BD120" s="206" t="str">
        <f t="shared" si="65"/>
        <v/>
      </c>
      <c r="BE120" s="466"/>
    </row>
    <row r="121">
      <c r="A121" s="234"/>
      <c r="B121" s="296" t="s">
        <v>650</v>
      </c>
      <c r="C121" s="297" t="s">
        <v>649</v>
      </c>
      <c r="D121" s="323"/>
      <c r="E121" s="259"/>
      <c r="F121" s="318"/>
      <c r="G121" s="298"/>
      <c r="H121" s="358" t="s">
        <v>397</v>
      </c>
      <c r="I121" s="298"/>
      <c r="J121" s="318"/>
      <c r="K121" s="298"/>
      <c r="L121" s="261"/>
      <c r="M121" s="324"/>
      <c r="N121" s="298"/>
      <c r="O121" s="318"/>
      <c r="P121" s="298"/>
      <c r="Q121" s="318"/>
      <c r="R121" s="298"/>
      <c r="S121" s="261"/>
      <c r="T121" s="299"/>
      <c r="U121" s="298"/>
      <c r="V121" s="358" t="s">
        <v>397</v>
      </c>
      <c r="W121" s="298"/>
      <c r="X121" s="293" t="s">
        <v>426</v>
      </c>
      <c r="Y121" s="298"/>
      <c r="Z121" s="261"/>
      <c r="AA121" s="324"/>
      <c r="AB121" s="298"/>
      <c r="AC121" s="319"/>
      <c r="AD121" s="298"/>
      <c r="AE121" s="319"/>
      <c r="AF121" s="298"/>
      <c r="AG121" s="261"/>
      <c r="AH121" s="319"/>
      <c r="AI121" s="298"/>
      <c r="AJ121" s="358" t="s">
        <v>397</v>
      </c>
      <c r="AK121" s="298"/>
      <c r="AL121" s="321" t="s">
        <v>763</v>
      </c>
      <c r="AM121" s="298"/>
      <c r="AN121" s="261"/>
      <c r="AO121" s="324"/>
      <c r="AP121" s="298"/>
      <c r="AQ121" s="359"/>
      <c r="AR121" s="298"/>
      <c r="AS121" s="359"/>
      <c r="AT121" s="254" t="str">
        <f>IF(COUNTIF($AO$85:$AT$87, AS121) &gt; 0, "X", "")</f>
        <v/>
      </c>
      <c r="AU121" s="269"/>
      <c r="AV121" s="269"/>
      <c r="AW121" s="463" t="str">
        <f t="shared" ref="AW121:BD121" si="66">AW36</f>
        <v>#REF!</v>
      </c>
      <c r="AX121" s="206">
        <f t="shared" si="66"/>
        <v>49</v>
      </c>
      <c r="AY121" s="464">
        <f t="shared" si="66"/>
        <v>52</v>
      </c>
      <c r="AZ121" s="206">
        <f t="shared" si="66"/>
        <v>45</v>
      </c>
      <c r="BA121" s="206">
        <f t="shared" si="66"/>
        <v>43</v>
      </c>
      <c r="BB121" s="206">
        <f t="shared" si="66"/>
        <v>0</v>
      </c>
      <c r="BC121" s="465">
        <f t="shared" si="66"/>
        <v>1512</v>
      </c>
      <c r="BD121" s="206" t="str">
        <f t="shared" si="66"/>
        <v/>
      </c>
      <c r="BE121" s="466"/>
    </row>
    <row r="122">
      <c r="A122" s="94"/>
      <c r="B122" s="301" t="s">
        <v>651</v>
      </c>
      <c r="C122" s="302" t="s">
        <v>652</v>
      </c>
      <c r="D122" s="330"/>
      <c r="E122" s="259"/>
      <c r="F122" s="303"/>
      <c r="G122" s="298"/>
      <c r="H122" s="360" t="s">
        <v>672</v>
      </c>
      <c r="I122" s="298"/>
      <c r="J122" s="321" t="s">
        <v>763</v>
      </c>
      <c r="K122" s="298"/>
      <c r="L122" s="261"/>
      <c r="M122" s="250"/>
      <c r="N122" s="298"/>
      <c r="O122" s="303"/>
      <c r="P122" s="298"/>
      <c r="Q122" s="321" t="s">
        <v>661</v>
      </c>
      <c r="R122" s="298"/>
      <c r="S122" s="261"/>
      <c r="T122" s="303"/>
      <c r="U122" s="298"/>
      <c r="V122" s="303"/>
      <c r="W122" s="298"/>
      <c r="X122" s="483" t="s">
        <v>762</v>
      </c>
      <c r="Y122" s="298"/>
      <c r="Z122" s="261"/>
      <c r="AA122" s="250"/>
      <c r="AB122" s="298"/>
      <c r="AC122" s="304"/>
      <c r="AD122" s="298"/>
      <c r="AE122" s="303"/>
      <c r="AF122" s="298"/>
      <c r="AG122" s="261"/>
      <c r="AH122" s="303"/>
      <c r="AI122" s="298"/>
      <c r="AJ122" s="360" t="s">
        <v>672</v>
      </c>
      <c r="AK122" s="298"/>
      <c r="AL122" s="483" t="s">
        <v>762</v>
      </c>
      <c r="AM122" s="298"/>
      <c r="AN122" s="261"/>
      <c r="AO122" s="250"/>
      <c r="AP122" s="298"/>
      <c r="AQ122" s="303"/>
      <c r="AR122" s="298"/>
      <c r="AS122" s="303"/>
      <c r="AT122" s="254" t="str">
        <f>IF(COUNTIF($AO$85:$AT$87, #REF!) &gt; 0, "X", "")</f>
        <v/>
      </c>
      <c r="AU122" s="269"/>
      <c r="AV122" s="269"/>
      <c r="AW122" s="463" t="str">
        <f t="shared" ref="AW122:BD122" si="67">AW37</f>
        <v>#REF!</v>
      </c>
      <c r="AX122" s="206">
        <f t="shared" si="67"/>
        <v>49</v>
      </c>
      <c r="AY122" s="464">
        <f t="shared" si="67"/>
        <v>52</v>
      </c>
      <c r="AZ122" s="206">
        <f t="shared" si="67"/>
        <v>45</v>
      </c>
      <c r="BA122" s="206">
        <f t="shared" si="67"/>
        <v>43</v>
      </c>
      <c r="BB122" s="206">
        <f t="shared" si="67"/>
        <v>0</v>
      </c>
      <c r="BC122" s="465">
        <f t="shared" si="67"/>
        <v>1512</v>
      </c>
      <c r="BD122" s="206" t="str">
        <f t="shared" si="67"/>
        <v/>
      </c>
      <c r="BE122" s="466"/>
    </row>
    <row r="123">
      <c r="A123" s="94"/>
      <c r="B123" s="361" t="s">
        <v>673</v>
      </c>
      <c r="C123" s="362" t="s">
        <v>674</v>
      </c>
      <c r="D123" s="363"/>
      <c r="E123" s="259"/>
      <c r="F123" s="311" t="s">
        <v>433</v>
      </c>
      <c r="G123" s="298"/>
      <c r="H123" s="251" t="s">
        <v>412</v>
      </c>
      <c r="I123" s="298"/>
      <c r="J123" s="366" t="s">
        <v>676</v>
      </c>
      <c r="K123" s="298"/>
      <c r="L123" s="261"/>
      <c r="M123" s="324"/>
      <c r="N123" s="298"/>
      <c r="O123" s="336" t="s">
        <v>412</v>
      </c>
      <c r="P123" s="298"/>
      <c r="Q123" s="366" t="s">
        <v>676</v>
      </c>
      <c r="R123" s="298"/>
      <c r="S123" s="261"/>
      <c r="T123" s="366" t="s">
        <v>676</v>
      </c>
      <c r="U123" s="298"/>
      <c r="V123" s="251" t="s">
        <v>412</v>
      </c>
      <c r="W123" s="298"/>
      <c r="X123" s="251" t="s">
        <v>457</v>
      </c>
      <c r="Y123" s="298"/>
      <c r="Z123" s="261"/>
      <c r="AA123" s="324"/>
      <c r="AB123" s="298"/>
      <c r="AC123" s="365" t="s">
        <v>412</v>
      </c>
      <c r="AD123" s="298"/>
      <c r="AE123" s="251" t="s">
        <v>457</v>
      </c>
      <c r="AF123" s="298"/>
      <c r="AG123" s="261"/>
      <c r="AH123" s="366" t="s">
        <v>676</v>
      </c>
      <c r="AI123" s="298"/>
      <c r="AJ123" s="365" t="s">
        <v>412</v>
      </c>
      <c r="AK123" s="298"/>
      <c r="AL123" s="251" t="s">
        <v>457</v>
      </c>
      <c r="AM123" s="298"/>
      <c r="AN123" s="261"/>
      <c r="AO123" s="324"/>
      <c r="AP123" s="298"/>
      <c r="AQ123" s="251" t="s">
        <v>457</v>
      </c>
      <c r="AR123" s="298"/>
      <c r="AS123" s="311" t="s">
        <v>765</v>
      </c>
      <c r="AT123" s="254" t="str">
        <f>IF(COUNTIF($AO$85:$AT$87, AS123) &gt; 0, "X", "")</f>
        <v/>
      </c>
      <c r="AU123" s="269"/>
      <c r="AV123" s="269"/>
      <c r="AW123" s="463" t="str">
        <f t="shared" ref="AW123:BD123" si="68">AW38</f>
        <v>#REF!</v>
      </c>
      <c r="AX123" s="206">
        <f t="shared" si="68"/>
        <v>49</v>
      </c>
      <c r="AY123" s="464">
        <f t="shared" si="68"/>
        <v>52</v>
      </c>
      <c r="AZ123" s="206">
        <f t="shared" si="68"/>
        <v>45</v>
      </c>
      <c r="BA123" s="206">
        <f t="shared" si="68"/>
        <v>43</v>
      </c>
      <c r="BB123" s="206">
        <f t="shared" si="68"/>
        <v>0</v>
      </c>
      <c r="BC123" s="465">
        <f t="shared" si="68"/>
        <v>1512</v>
      </c>
      <c r="BD123" s="206" t="str">
        <f t="shared" si="68"/>
        <v/>
      </c>
      <c r="BE123" s="466"/>
    </row>
    <row r="124">
      <c r="A124" s="94"/>
      <c r="B124" s="367" t="s">
        <v>677</v>
      </c>
      <c r="C124" s="368" t="s">
        <v>674</v>
      </c>
      <c r="D124" s="369"/>
      <c r="E124" s="259"/>
      <c r="F124" s="282"/>
      <c r="G124" s="246"/>
      <c r="I124" s="246"/>
      <c r="J124" s="282"/>
      <c r="K124" s="246"/>
      <c r="L124" s="261"/>
      <c r="M124" s="250"/>
      <c r="N124" s="246"/>
      <c r="O124" s="282"/>
      <c r="P124" s="246"/>
      <c r="R124" s="246"/>
      <c r="S124" s="261"/>
      <c r="U124" s="246"/>
      <c r="V124" s="282"/>
      <c r="W124" s="246"/>
      <c r="X124" s="282"/>
      <c r="Y124" s="246"/>
      <c r="Z124" s="261"/>
      <c r="AA124" s="250"/>
      <c r="AB124" s="246"/>
      <c r="AC124" s="282"/>
      <c r="AD124" s="246"/>
      <c r="AF124" s="246"/>
      <c r="AG124" s="261"/>
      <c r="AH124" s="371"/>
      <c r="AI124" s="246"/>
      <c r="AJ124" s="282"/>
      <c r="AK124" s="246"/>
      <c r="AM124" s="246"/>
      <c r="AN124" s="261"/>
      <c r="AO124" s="250"/>
      <c r="AP124" s="246"/>
      <c r="AR124" s="246"/>
      <c r="AT124" s="254" t="str">
        <f>IF(COUNTIF($AO$85:$AT$87, AS122) &gt; 0, "X", "")</f>
        <v/>
      </c>
      <c r="AU124" s="269"/>
      <c r="AV124" s="269"/>
      <c r="AW124" s="463" t="str">
        <f t="shared" ref="AW124:BD124" si="69">AW39</f>
        <v>#REF!</v>
      </c>
      <c r="AX124" s="206">
        <f t="shared" si="69"/>
        <v>49</v>
      </c>
      <c r="AY124" s="464">
        <f t="shared" si="69"/>
        <v>52</v>
      </c>
      <c r="AZ124" s="206">
        <f t="shared" si="69"/>
        <v>45</v>
      </c>
      <c r="BA124" s="206">
        <f t="shared" si="69"/>
        <v>43</v>
      </c>
      <c r="BB124" s="206">
        <f t="shared" si="69"/>
        <v>0</v>
      </c>
      <c r="BC124" s="465">
        <f t="shared" si="69"/>
        <v>1512</v>
      </c>
      <c r="BD124" s="206" t="str">
        <f t="shared" si="69"/>
        <v/>
      </c>
      <c r="BE124" s="466"/>
    </row>
    <row r="125">
      <c r="A125" s="94"/>
      <c r="B125" s="256" t="s">
        <v>679</v>
      </c>
      <c r="C125" s="257" t="s">
        <v>680</v>
      </c>
      <c r="D125" s="330"/>
      <c r="E125" s="259"/>
      <c r="F125" s="376" t="s">
        <v>453</v>
      </c>
      <c r="G125" s="246"/>
      <c r="H125" s="374" t="s">
        <v>436</v>
      </c>
      <c r="I125" s="246"/>
      <c r="J125" s="274" t="s">
        <v>437</v>
      </c>
      <c r="K125" s="246"/>
      <c r="L125" s="261"/>
      <c r="M125" s="333"/>
      <c r="N125" s="246"/>
      <c r="O125" s="374" t="s">
        <v>436</v>
      </c>
      <c r="P125" s="246"/>
      <c r="Q125" s="274" t="s">
        <v>449</v>
      </c>
      <c r="R125" s="246"/>
      <c r="S125" s="261"/>
      <c r="T125" s="311" t="s">
        <v>433</v>
      </c>
      <c r="U125" s="246"/>
      <c r="V125" s="274" t="s">
        <v>439</v>
      </c>
      <c r="W125" s="246"/>
      <c r="X125" s="274" t="s">
        <v>437</v>
      </c>
      <c r="Y125" s="246"/>
      <c r="Z125" s="261"/>
      <c r="AA125" s="333"/>
      <c r="AB125" s="246"/>
      <c r="AC125" s="374" t="s">
        <v>436</v>
      </c>
      <c r="AD125" s="246"/>
      <c r="AE125" s="376" t="s">
        <v>453</v>
      </c>
      <c r="AF125" s="246"/>
      <c r="AG125" s="261"/>
      <c r="AH125" s="311" t="s">
        <v>433</v>
      </c>
      <c r="AI125" s="246"/>
      <c r="AJ125" s="274" t="s">
        <v>439</v>
      </c>
      <c r="AK125" s="246"/>
      <c r="AL125" s="274" t="s">
        <v>437</v>
      </c>
      <c r="AM125" s="246"/>
      <c r="AN125" s="261"/>
      <c r="AO125" s="333"/>
      <c r="AP125" s="246"/>
      <c r="AQ125" s="274" t="s">
        <v>439</v>
      </c>
      <c r="AR125" s="246"/>
      <c r="AS125" s="311" t="s">
        <v>436</v>
      </c>
      <c r="AT125" s="254" t="str">
        <f t="shared" ref="AT125:AT126" si="71">IF(COUNTIF($AO$85:$AT$87, #REF!) &gt; 0, "X", "")</f>
        <v/>
      </c>
      <c r="AU125" s="269"/>
      <c r="AV125" s="269"/>
      <c r="AW125" s="463" t="str">
        <f t="shared" ref="AW125:BD125" si="70">AW40</f>
        <v>#REF!</v>
      </c>
      <c r="AX125" s="206">
        <f t="shared" si="70"/>
        <v>49</v>
      </c>
      <c r="AY125" s="464">
        <f t="shared" si="70"/>
        <v>52</v>
      </c>
      <c r="AZ125" s="206">
        <f t="shared" si="70"/>
        <v>45</v>
      </c>
      <c r="BA125" s="206">
        <f t="shared" si="70"/>
        <v>43</v>
      </c>
      <c r="BB125" s="206">
        <f t="shared" si="70"/>
        <v>0</v>
      </c>
      <c r="BC125" s="465">
        <f t="shared" si="70"/>
        <v>1512</v>
      </c>
      <c r="BD125" s="206" t="str">
        <f t="shared" si="70"/>
        <v/>
      </c>
      <c r="BE125" s="466"/>
    </row>
    <row r="126">
      <c r="A126" s="372"/>
      <c r="B126" s="328" t="s">
        <v>679</v>
      </c>
      <c r="C126" s="329" t="s">
        <v>652</v>
      </c>
      <c r="D126" s="330"/>
      <c r="E126" s="259"/>
      <c r="G126" s="246"/>
      <c r="I126" s="246"/>
      <c r="K126" s="246"/>
      <c r="L126" s="261"/>
      <c r="M126" s="346"/>
      <c r="N126" s="246"/>
      <c r="O126" s="274" t="s">
        <v>439</v>
      </c>
      <c r="P126" s="246"/>
      <c r="Q126" s="311" t="s">
        <v>433</v>
      </c>
      <c r="R126" s="246"/>
      <c r="S126" s="261"/>
      <c r="T126" s="282"/>
      <c r="U126" s="246"/>
      <c r="W126" s="246"/>
      <c r="Y126" s="246"/>
      <c r="Z126" s="261"/>
      <c r="AA126" s="346"/>
      <c r="AB126" s="246"/>
      <c r="AC126" s="274" t="s">
        <v>406</v>
      </c>
      <c r="AD126" s="246"/>
      <c r="AF126" s="246"/>
      <c r="AG126" s="261"/>
      <c r="AI126" s="246"/>
      <c r="AK126" s="246"/>
      <c r="AL126" s="274" t="s">
        <v>443</v>
      </c>
      <c r="AM126" s="246"/>
      <c r="AN126" s="261"/>
      <c r="AO126" s="346"/>
      <c r="AP126" s="246"/>
      <c r="AQ126" s="274" t="s">
        <v>406</v>
      </c>
      <c r="AR126" s="246"/>
      <c r="AS126" s="366" t="s">
        <v>676</v>
      </c>
      <c r="AT126" s="254" t="str">
        <f t="shared" si="71"/>
        <v/>
      </c>
      <c r="AU126" s="269"/>
      <c r="AV126" s="269"/>
      <c r="AW126" s="463" t="str">
        <f t="shared" ref="AW126:BD126" si="72">AW41</f>
        <v>#REF!</v>
      </c>
      <c r="AX126" s="206">
        <f t="shared" si="72"/>
        <v>49</v>
      </c>
      <c r="AY126" s="464">
        <f t="shared" si="72"/>
        <v>52</v>
      </c>
      <c r="AZ126" s="206">
        <f t="shared" si="72"/>
        <v>45</v>
      </c>
      <c r="BA126" s="206">
        <f t="shared" si="72"/>
        <v>43</v>
      </c>
      <c r="BB126" s="206">
        <f t="shared" si="72"/>
        <v>0</v>
      </c>
      <c r="BC126" s="465">
        <f t="shared" si="72"/>
        <v>1512</v>
      </c>
      <c r="BD126" s="206" t="str">
        <f t="shared" si="72"/>
        <v/>
      </c>
      <c r="BE126" s="466"/>
    </row>
    <row r="127">
      <c r="A127" s="94"/>
      <c r="B127" s="328" t="s">
        <v>679</v>
      </c>
      <c r="C127" s="329" t="s">
        <v>683</v>
      </c>
      <c r="D127" s="330"/>
      <c r="E127" s="259"/>
      <c r="F127" s="486" t="s">
        <v>466</v>
      </c>
      <c r="G127" s="246"/>
      <c r="H127" s="428" t="s">
        <v>407</v>
      </c>
      <c r="I127" s="246"/>
      <c r="K127" s="246"/>
      <c r="L127" s="261"/>
      <c r="M127" s="341"/>
      <c r="N127" s="246"/>
      <c r="O127" s="340" t="s">
        <v>406</v>
      </c>
      <c r="P127" s="246"/>
      <c r="R127" s="246"/>
      <c r="S127" s="261"/>
      <c r="T127" s="376" t="s">
        <v>453</v>
      </c>
      <c r="U127" s="246"/>
      <c r="V127" s="374" t="s">
        <v>436</v>
      </c>
      <c r="W127" s="246"/>
      <c r="Y127" s="246"/>
      <c r="Z127" s="261"/>
      <c r="AA127" s="341"/>
      <c r="AB127" s="246"/>
      <c r="AC127" s="251" t="s">
        <v>397</v>
      </c>
      <c r="AD127" s="246"/>
      <c r="AF127" s="246"/>
      <c r="AG127" s="261"/>
      <c r="AH127" s="274" t="s">
        <v>406</v>
      </c>
      <c r="AI127" s="246"/>
      <c r="AJ127" s="287" t="s">
        <v>407</v>
      </c>
      <c r="AK127" s="246"/>
      <c r="AM127" s="246"/>
      <c r="AN127" s="261"/>
      <c r="AO127" s="341"/>
      <c r="AP127" s="246"/>
      <c r="AQ127" s="251" t="s">
        <v>397</v>
      </c>
      <c r="AR127" s="246"/>
      <c r="AS127" s="487" t="s">
        <v>433</v>
      </c>
      <c r="AT127" s="254" t="str">
        <f>IF(COUNTIF($AO$85:$AT$87, AS125) &gt; 0, "X", "")</f>
        <v/>
      </c>
      <c r="AU127" s="269"/>
      <c r="AV127" s="269"/>
      <c r="AW127" s="463" t="str">
        <f t="shared" ref="AW127:BD127" si="73">AW42</f>
        <v>#REF!</v>
      </c>
      <c r="AX127" s="206">
        <f t="shared" si="73"/>
        <v>49</v>
      </c>
      <c r="AY127" s="464">
        <f t="shared" si="73"/>
        <v>52</v>
      </c>
      <c r="AZ127" s="206">
        <f t="shared" si="73"/>
        <v>45</v>
      </c>
      <c r="BA127" s="206">
        <f t="shared" si="73"/>
        <v>43</v>
      </c>
      <c r="BB127" s="206">
        <f t="shared" si="73"/>
        <v>0</v>
      </c>
      <c r="BC127" s="465">
        <f t="shared" si="73"/>
        <v>1512</v>
      </c>
      <c r="BD127" s="206" t="str">
        <f t="shared" si="73"/>
        <v/>
      </c>
      <c r="BE127" s="466"/>
    </row>
    <row r="128">
      <c r="A128" s="94"/>
      <c r="B128" s="377" t="s">
        <v>684</v>
      </c>
      <c r="C128" s="378" t="s">
        <v>685</v>
      </c>
      <c r="D128" s="379"/>
      <c r="E128" s="380"/>
      <c r="G128" s="246"/>
      <c r="I128" s="246"/>
      <c r="J128" s="340" t="s">
        <v>406</v>
      </c>
      <c r="K128" s="246"/>
      <c r="L128" s="381"/>
      <c r="M128" s="341"/>
      <c r="N128" s="246"/>
      <c r="O128" s="282"/>
      <c r="P128" s="246"/>
      <c r="Q128" s="251" t="s">
        <v>405</v>
      </c>
      <c r="R128" s="246"/>
      <c r="S128" s="381"/>
      <c r="T128" s="282"/>
      <c r="U128" s="246"/>
      <c r="W128" s="246"/>
      <c r="X128" s="311" t="s">
        <v>455</v>
      </c>
      <c r="Y128" s="246"/>
      <c r="Z128" s="381"/>
      <c r="AA128" s="341"/>
      <c r="AB128" s="246"/>
      <c r="AD128" s="246"/>
      <c r="AE128" s="287" t="s">
        <v>410</v>
      </c>
      <c r="AF128" s="246"/>
      <c r="AG128" s="381"/>
      <c r="AI128" s="246"/>
      <c r="AK128" s="246"/>
      <c r="AL128" s="287" t="s">
        <v>405</v>
      </c>
      <c r="AM128" s="246"/>
      <c r="AN128" s="381"/>
      <c r="AO128" s="341"/>
      <c r="AP128" s="246"/>
      <c r="AR128" s="246"/>
      <c r="AT128" s="254" t="str">
        <f>IF(COUNTIF($AO$85:$AT$87, AQ107) &gt; 0, "X", "")</f>
        <v/>
      </c>
      <c r="AU128" s="269"/>
      <c r="AV128" s="269"/>
      <c r="AW128" s="463" t="str">
        <f t="shared" ref="AW128:BD128" si="74">AW43</f>
        <v>#REF!</v>
      </c>
      <c r="AX128" s="206">
        <f t="shared" si="74"/>
        <v>49</v>
      </c>
      <c r="AY128" s="464">
        <f t="shared" si="74"/>
        <v>52</v>
      </c>
      <c r="AZ128" s="206">
        <f t="shared" si="74"/>
        <v>45</v>
      </c>
      <c r="BA128" s="206">
        <f t="shared" si="74"/>
        <v>43</v>
      </c>
      <c r="BB128" s="206">
        <f t="shared" si="74"/>
        <v>0</v>
      </c>
      <c r="BC128" s="465">
        <f t="shared" si="74"/>
        <v>1512</v>
      </c>
      <c r="BD128" s="206" t="str">
        <f t="shared" si="74"/>
        <v/>
      </c>
      <c r="BE128" s="466"/>
    </row>
    <row r="129">
      <c r="A129" s="270"/>
      <c r="B129" s="382" t="s">
        <v>686</v>
      </c>
      <c r="C129" s="242" t="s">
        <v>652</v>
      </c>
      <c r="D129" s="363"/>
      <c r="E129" s="259"/>
      <c r="F129" s="251" t="s">
        <v>429</v>
      </c>
      <c r="G129" s="246"/>
      <c r="H129" s="251" t="s">
        <v>435</v>
      </c>
      <c r="I129" s="246"/>
      <c r="J129" s="251" t="s">
        <v>455</v>
      </c>
      <c r="K129" s="246"/>
      <c r="L129" s="261"/>
      <c r="M129" s="341"/>
      <c r="N129" s="246"/>
      <c r="O129" s="385" t="s">
        <v>428</v>
      </c>
      <c r="P129" s="246"/>
      <c r="Q129" s="280" t="s">
        <v>455</v>
      </c>
      <c r="R129" s="246"/>
      <c r="S129" s="261"/>
      <c r="T129" s="376" t="s">
        <v>466</v>
      </c>
      <c r="U129" s="246"/>
      <c r="V129" s="251" t="s">
        <v>435</v>
      </c>
      <c r="W129" s="246"/>
      <c r="X129" s="251" t="s">
        <v>429</v>
      </c>
      <c r="Y129" s="246"/>
      <c r="Z129" s="261"/>
      <c r="AA129" s="341"/>
      <c r="AB129" s="246"/>
      <c r="AC129" s="251" t="s">
        <v>435</v>
      </c>
      <c r="AD129" s="246"/>
      <c r="AE129" s="311" t="s">
        <v>455</v>
      </c>
      <c r="AF129" s="246"/>
      <c r="AG129" s="261"/>
      <c r="AH129" s="311" t="s">
        <v>455</v>
      </c>
      <c r="AI129" s="246"/>
      <c r="AJ129" s="385" t="s">
        <v>428</v>
      </c>
      <c r="AK129" s="246"/>
      <c r="AL129" s="251" t="s">
        <v>429</v>
      </c>
      <c r="AM129" s="246"/>
      <c r="AN129" s="261"/>
      <c r="AO129" s="341"/>
      <c r="AP129" s="246"/>
      <c r="AQ129" s="251" t="s">
        <v>435</v>
      </c>
      <c r="AR129" s="246"/>
      <c r="AS129" s="311" t="s">
        <v>466</v>
      </c>
      <c r="AT129" s="254" t="str">
        <f t="shared" ref="AT129:AT130" si="76">IF(COUNTIF($AO$85:$AT$87, #REF!) &gt; 0, "X", "")</f>
        <v/>
      </c>
      <c r="AU129" s="269"/>
      <c r="AV129" s="269"/>
      <c r="AW129" s="463" t="str">
        <f t="shared" ref="AW129:BD129" si="75">AW44</f>
        <v>#REF!</v>
      </c>
      <c r="AX129" s="206">
        <f t="shared" si="75"/>
        <v>49</v>
      </c>
      <c r="AY129" s="464">
        <f t="shared" si="75"/>
        <v>52</v>
      </c>
      <c r="AZ129" s="206">
        <f t="shared" si="75"/>
        <v>45</v>
      </c>
      <c r="BA129" s="206">
        <f t="shared" si="75"/>
        <v>43</v>
      </c>
      <c r="BB129" s="206">
        <f t="shared" si="75"/>
        <v>0</v>
      </c>
      <c r="BC129" s="465">
        <f t="shared" si="75"/>
        <v>1512</v>
      </c>
      <c r="BD129" s="206" t="str">
        <f t="shared" si="75"/>
        <v/>
      </c>
      <c r="BE129" s="466"/>
    </row>
    <row r="130">
      <c r="A130" s="234"/>
      <c r="B130" s="337" t="s">
        <v>686</v>
      </c>
      <c r="C130" s="338" t="s">
        <v>687</v>
      </c>
      <c r="D130" s="330"/>
      <c r="E130" s="259"/>
      <c r="G130" s="246"/>
      <c r="H130" s="385" t="s">
        <v>428</v>
      </c>
      <c r="I130" s="246"/>
      <c r="K130" s="246"/>
      <c r="L130" s="261"/>
      <c r="M130" s="250"/>
      <c r="N130" s="246"/>
      <c r="O130" s="251" t="s">
        <v>435</v>
      </c>
      <c r="P130" s="246"/>
      <c r="Q130" s="376" t="s">
        <v>453</v>
      </c>
      <c r="R130" s="246"/>
      <c r="S130" s="261"/>
      <c r="U130" s="246"/>
      <c r="V130" s="385" t="s">
        <v>428</v>
      </c>
      <c r="W130" s="246"/>
      <c r="Y130" s="246"/>
      <c r="Z130" s="261"/>
      <c r="AA130" s="250"/>
      <c r="AB130" s="246"/>
      <c r="AC130" s="376" t="s">
        <v>466</v>
      </c>
      <c r="AD130" s="246"/>
      <c r="AE130" s="251" t="s">
        <v>429</v>
      </c>
      <c r="AF130" s="246"/>
      <c r="AG130" s="261"/>
      <c r="AI130" s="246"/>
      <c r="AJ130" s="376" t="s">
        <v>466</v>
      </c>
      <c r="AK130" s="246"/>
      <c r="AL130" s="376" t="s">
        <v>453</v>
      </c>
      <c r="AM130" s="246"/>
      <c r="AN130" s="261"/>
      <c r="AO130" s="250"/>
      <c r="AP130" s="246"/>
      <c r="AQ130" s="385" t="s">
        <v>428</v>
      </c>
      <c r="AR130" s="246"/>
      <c r="AS130" s="251" t="s">
        <v>429</v>
      </c>
      <c r="AT130" s="254" t="str">
        <f t="shared" si="76"/>
        <v/>
      </c>
      <c r="AU130" s="269"/>
      <c r="AV130" s="269"/>
      <c r="AW130" s="463" t="str">
        <f t="shared" ref="AW130:BD130" si="77">AW45</f>
        <v>#REF!</v>
      </c>
      <c r="AX130" s="206">
        <f t="shared" si="77"/>
        <v>49</v>
      </c>
      <c r="AY130" s="464">
        <f t="shared" si="77"/>
        <v>52</v>
      </c>
      <c r="AZ130" s="206">
        <f t="shared" si="77"/>
        <v>45</v>
      </c>
      <c r="BA130" s="206">
        <f t="shared" si="77"/>
        <v>43</v>
      </c>
      <c r="BB130" s="206">
        <f t="shared" si="77"/>
        <v>0</v>
      </c>
      <c r="BC130" s="465">
        <f t="shared" si="77"/>
        <v>1512</v>
      </c>
      <c r="BD130" s="206" t="str">
        <f t="shared" si="77"/>
        <v/>
      </c>
      <c r="BE130" s="466"/>
    </row>
    <row r="131">
      <c r="A131" s="94"/>
      <c r="B131" s="337" t="s">
        <v>688</v>
      </c>
      <c r="C131" s="285" t="s">
        <v>687</v>
      </c>
      <c r="D131" s="330"/>
      <c r="E131" s="259"/>
      <c r="F131" s="265"/>
      <c r="G131" s="246"/>
      <c r="H131" s="282"/>
      <c r="I131" s="246"/>
      <c r="J131" s="282"/>
      <c r="K131" s="246"/>
      <c r="L131" s="261"/>
      <c r="M131" s="262"/>
      <c r="N131" s="246"/>
      <c r="O131" s="265"/>
      <c r="P131" s="246"/>
      <c r="Q131" s="282"/>
      <c r="R131" s="246"/>
      <c r="S131" s="261"/>
      <c r="T131" s="265"/>
      <c r="U131" s="246"/>
      <c r="V131" s="265"/>
      <c r="W131" s="246"/>
      <c r="X131" s="282"/>
      <c r="Y131" s="246"/>
      <c r="Z131" s="261"/>
      <c r="AA131" s="262"/>
      <c r="AB131" s="246"/>
      <c r="AC131" s="265"/>
      <c r="AD131" s="246"/>
      <c r="AE131" s="282"/>
      <c r="AF131" s="246"/>
      <c r="AG131" s="261"/>
      <c r="AH131" s="265"/>
      <c r="AI131" s="246"/>
      <c r="AJ131" s="282"/>
      <c r="AK131" s="246"/>
      <c r="AL131" s="282"/>
      <c r="AM131" s="246"/>
      <c r="AN131" s="261"/>
      <c r="AO131" s="262"/>
      <c r="AP131" s="246"/>
      <c r="AQ131" s="265"/>
      <c r="AR131" s="246"/>
      <c r="AT131" s="254" t="str">
        <f>IF(COUNTIF($AO$85:$AT$87, AJ130) &gt; 0, "X", "")</f>
        <v/>
      </c>
      <c r="AU131" s="269"/>
      <c r="AV131" s="269"/>
      <c r="AW131" s="463" t="str">
        <f t="shared" ref="AW131:BD131" si="78">AW46</f>
        <v>#REF!</v>
      </c>
      <c r="AX131" s="206">
        <f t="shared" si="78"/>
        <v>49</v>
      </c>
      <c r="AY131" s="464">
        <f t="shared" si="78"/>
        <v>52</v>
      </c>
      <c r="AZ131" s="206">
        <f t="shared" si="78"/>
        <v>45</v>
      </c>
      <c r="BA131" s="206">
        <f t="shared" si="78"/>
        <v>43</v>
      </c>
      <c r="BB131" s="206">
        <f t="shared" si="78"/>
        <v>0</v>
      </c>
      <c r="BC131" s="465">
        <f t="shared" si="78"/>
        <v>1512</v>
      </c>
      <c r="BD131" s="206" t="str">
        <f t="shared" si="78"/>
        <v/>
      </c>
      <c r="BE131" s="466"/>
    </row>
    <row r="132">
      <c r="A132" s="94"/>
      <c r="B132" s="387" t="s">
        <v>690</v>
      </c>
      <c r="C132" s="388" t="s">
        <v>649</v>
      </c>
      <c r="D132" s="389"/>
      <c r="E132" s="259"/>
      <c r="F132" s="390"/>
      <c r="G132" s="246"/>
      <c r="H132" s="390"/>
      <c r="I132" s="246"/>
      <c r="J132" s="390"/>
      <c r="K132" s="246"/>
      <c r="L132" s="261"/>
      <c r="M132" s="250"/>
      <c r="N132" s="246"/>
      <c r="O132" s="357" t="s">
        <v>420</v>
      </c>
      <c r="P132" s="246"/>
      <c r="Q132" s="390"/>
      <c r="R132" s="246"/>
      <c r="S132" s="261"/>
      <c r="T132" s="390"/>
      <c r="U132" s="246"/>
      <c r="V132" s="390"/>
      <c r="W132" s="246"/>
      <c r="X132" s="357" t="s">
        <v>420</v>
      </c>
      <c r="Y132" s="246"/>
      <c r="Z132" s="261"/>
      <c r="AA132" s="250"/>
      <c r="AB132" s="246"/>
      <c r="AC132" s="390"/>
      <c r="AD132" s="246"/>
      <c r="AE132" s="390"/>
      <c r="AF132" s="246"/>
      <c r="AG132" s="261"/>
      <c r="AH132" s="390"/>
      <c r="AI132" s="246"/>
      <c r="AJ132" s="390"/>
      <c r="AK132" s="246"/>
      <c r="AL132" s="390"/>
      <c r="AM132" s="246"/>
      <c r="AN132" s="261"/>
      <c r="AO132" s="250"/>
      <c r="AP132" s="246"/>
      <c r="AQ132" s="390"/>
      <c r="AR132" s="246"/>
      <c r="AS132" s="390"/>
      <c r="AT132" s="254" t="str">
        <f>IF(COUNTIF($AO$85:$AT$87, #REF!) &gt; 0, "X", "")</f>
        <v/>
      </c>
      <c r="AU132" s="269"/>
      <c r="AV132" s="269"/>
      <c r="AW132" s="463" t="str">
        <f t="shared" ref="AW132:BD132" si="79">AW47</f>
        <v>#REF!</v>
      </c>
      <c r="AX132" s="206">
        <f t="shared" si="79"/>
        <v>49</v>
      </c>
      <c r="AY132" s="464">
        <f t="shared" si="79"/>
        <v>52</v>
      </c>
      <c r="AZ132" s="206">
        <f t="shared" si="79"/>
        <v>45</v>
      </c>
      <c r="BA132" s="206">
        <f t="shared" si="79"/>
        <v>43</v>
      </c>
      <c r="BB132" s="206">
        <f t="shared" si="79"/>
        <v>0</v>
      </c>
      <c r="BC132" s="465">
        <f t="shared" si="79"/>
        <v>1512</v>
      </c>
      <c r="BD132" s="206" t="str">
        <f t="shared" si="79"/>
        <v/>
      </c>
      <c r="BE132" s="466"/>
    </row>
    <row r="133">
      <c r="A133" s="94"/>
      <c r="B133" s="296" t="s">
        <v>650</v>
      </c>
      <c r="C133" s="297" t="s">
        <v>649</v>
      </c>
      <c r="D133" s="323"/>
      <c r="E133" s="259"/>
      <c r="F133" s="300"/>
      <c r="G133" s="246"/>
      <c r="H133" s="319"/>
      <c r="I133" s="246"/>
      <c r="J133" s="300"/>
      <c r="K133" s="246"/>
      <c r="L133" s="261"/>
      <c r="M133" s="250"/>
      <c r="N133" s="246"/>
      <c r="O133" s="300"/>
      <c r="P133" s="246"/>
      <c r="Q133" s="300"/>
      <c r="R133" s="246"/>
      <c r="S133" s="261"/>
      <c r="T133" s="300"/>
      <c r="U133" s="246"/>
      <c r="V133" s="319"/>
      <c r="W133" s="246"/>
      <c r="X133" s="300"/>
      <c r="Y133" s="246"/>
      <c r="Z133" s="261"/>
      <c r="AA133" s="250"/>
      <c r="AB133" s="246"/>
      <c r="AC133" s="300"/>
      <c r="AD133" s="246"/>
      <c r="AE133" s="300"/>
      <c r="AF133" s="246"/>
      <c r="AG133" s="261"/>
      <c r="AH133" s="300"/>
      <c r="AI133" s="246"/>
      <c r="AJ133" s="300"/>
      <c r="AK133" s="246"/>
      <c r="AL133" s="300"/>
      <c r="AM133" s="246"/>
      <c r="AN133" s="261"/>
      <c r="AO133" s="250"/>
      <c r="AP133" s="246"/>
      <c r="AQ133" s="300"/>
      <c r="AR133" s="246"/>
      <c r="AS133" s="300"/>
      <c r="AT133" s="254" t="str">
        <f t="shared" ref="AT133:AT140" si="81">IF(COUNTIF($AO$85:$AT$87, AS133) &gt; 0, "X", "")</f>
        <v/>
      </c>
      <c r="AU133" s="269"/>
      <c r="AV133" s="269"/>
      <c r="AW133" s="463" t="str">
        <f t="shared" ref="AW133:BD133" si="80">AW48</f>
        <v>#REF!</v>
      </c>
      <c r="AX133" s="206">
        <f t="shared" si="80"/>
        <v>49</v>
      </c>
      <c r="AY133" s="464">
        <f t="shared" si="80"/>
        <v>52</v>
      </c>
      <c r="AZ133" s="206">
        <f t="shared" si="80"/>
        <v>45</v>
      </c>
      <c r="BA133" s="206">
        <f t="shared" si="80"/>
        <v>43</v>
      </c>
      <c r="BB133" s="206">
        <f t="shared" si="80"/>
        <v>0</v>
      </c>
      <c r="BC133" s="465">
        <f t="shared" si="80"/>
        <v>1512</v>
      </c>
      <c r="BD133" s="206" t="str">
        <f t="shared" si="80"/>
        <v/>
      </c>
      <c r="BE133" s="466"/>
    </row>
    <row r="134">
      <c r="A134" s="94"/>
      <c r="B134" s="301" t="s">
        <v>651</v>
      </c>
      <c r="C134" s="391" t="s">
        <v>652</v>
      </c>
      <c r="D134" s="323"/>
      <c r="E134" s="261"/>
      <c r="F134" s="304"/>
      <c r="G134" s="246"/>
      <c r="H134" s="304"/>
      <c r="I134" s="246"/>
      <c r="J134" s="304"/>
      <c r="K134" s="246"/>
      <c r="L134" s="261"/>
      <c r="M134" s="250"/>
      <c r="N134" s="246"/>
      <c r="O134" s="360" t="s">
        <v>672</v>
      </c>
      <c r="P134" s="246"/>
      <c r="Q134" s="304"/>
      <c r="R134" s="246"/>
      <c r="S134" s="261"/>
      <c r="T134" s="304"/>
      <c r="U134" s="246"/>
      <c r="V134" s="304"/>
      <c r="W134" s="246"/>
      <c r="X134" s="360" t="s">
        <v>672</v>
      </c>
      <c r="Y134" s="246"/>
      <c r="Z134" s="261"/>
      <c r="AA134" s="250"/>
      <c r="AB134" s="246"/>
      <c r="AC134" s="304"/>
      <c r="AD134" s="246"/>
      <c r="AE134" s="304"/>
      <c r="AF134" s="246"/>
      <c r="AG134" s="261"/>
      <c r="AH134" s="304"/>
      <c r="AI134" s="246"/>
      <c r="AK134" s="246"/>
      <c r="AL134" s="304"/>
      <c r="AM134" s="246"/>
      <c r="AN134" s="261"/>
      <c r="AO134" s="250"/>
      <c r="AP134" s="246"/>
      <c r="AQ134" s="304"/>
      <c r="AR134" s="246"/>
      <c r="AS134" s="304"/>
      <c r="AT134" s="254" t="str">
        <f t="shared" si="81"/>
        <v/>
      </c>
      <c r="AU134" s="269"/>
      <c r="AV134" s="269"/>
      <c r="AW134" s="463" t="str">
        <f t="shared" ref="AW134:BD134" si="82">AW49</f>
        <v>#REF!</v>
      </c>
      <c r="AX134" s="206">
        <f t="shared" si="82"/>
        <v>49</v>
      </c>
      <c r="AY134" s="464">
        <f t="shared" si="82"/>
        <v>52</v>
      </c>
      <c r="AZ134" s="206">
        <f t="shared" si="82"/>
        <v>45</v>
      </c>
      <c r="BA134" s="206">
        <f t="shared" si="82"/>
        <v>43</v>
      </c>
      <c r="BB134" s="206">
        <f t="shared" si="82"/>
        <v>0</v>
      </c>
      <c r="BC134" s="465">
        <f t="shared" si="82"/>
        <v>1512</v>
      </c>
      <c r="BD134" s="206" t="str">
        <f t="shared" si="82"/>
        <v/>
      </c>
      <c r="BE134" s="466"/>
    </row>
    <row r="135">
      <c r="A135" s="94"/>
      <c r="B135" s="392" t="s">
        <v>691</v>
      </c>
      <c r="C135" s="393" t="s">
        <v>652</v>
      </c>
      <c r="D135" s="323"/>
      <c r="E135" s="259"/>
      <c r="F135" s="307"/>
      <c r="G135" s="246"/>
      <c r="H135" s="307"/>
      <c r="I135" s="246"/>
      <c r="J135" s="307"/>
      <c r="K135" s="246"/>
      <c r="L135" s="261"/>
      <c r="M135" s="250"/>
      <c r="N135" s="246"/>
      <c r="O135" s="395" t="s">
        <v>398</v>
      </c>
      <c r="P135" s="246"/>
      <c r="Q135" s="307"/>
      <c r="R135" s="246"/>
      <c r="S135" s="261"/>
      <c r="T135" s="307"/>
      <c r="U135" s="246"/>
      <c r="V135" s="488"/>
      <c r="W135" s="246"/>
      <c r="X135" s="395" t="s">
        <v>398</v>
      </c>
      <c r="Y135" s="246"/>
      <c r="Z135" s="261"/>
      <c r="AA135" s="250"/>
      <c r="AB135" s="246"/>
      <c r="AD135" s="246"/>
      <c r="AE135" s="307"/>
      <c r="AF135" s="246"/>
      <c r="AG135" s="261"/>
      <c r="AH135" s="307"/>
      <c r="AI135" s="246"/>
      <c r="AJ135" s="307"/>
      <c r="AK135" s="246"/>
      <c r="AL135" s="307"/>
      <c r="AM135" s="246"/>
      <c r="AN135" s="261"/>
      <c r="AO135" s="250"/>
      <c r="AP135" s="246"/>
      <c r="AQ135" s="307"/>
      <c r="AR135" s="246"/>
      <c r="AS135" s="307"/>
      <c r="AT135" s="254" t="str">
        <f t="shared" si="81"/>
        <v/>
      </c>
      <c r="AU135" s="269"/>
      <c r="AV135" s="269"/>
      <c r="AW135" s="463" t="str">
        <f t="shared" ref="AW135:BD135" si="83">AW50</f>
        <v>#REF!</v>
      </c>
      <c r="AX135" s="206">
        <f t="shared" si="83"/>
        <v>49</v>
      </c>
      <c r="AY135" s="464">
        <f t="shared" si="83"/>
        <v>52</v>
      </c>
      <c r="AZ135" s="206">
        <f t="shared" si="83"/>
        <v>45</v>
      </c>
      <c r="BA135" s="206">
        <f t="shared" si="83"/>
        <v>43</v>
      </c>
      <c r="BB135" s="206">
        <f t="shared" si="83"/>
        <v>0</v>
      </c>
      <c r="BC135" s="465">
        <f t="shared" si="83"/>
        <v>1512</v>
      </c>
      <c r="BD135" s="206" t="str">
        <f t="shared" si="83"/>
        <v/>
      </c>
      <c r="BE135" s="466"/>
    </row>
    <row r="136">
      <c r="A136" s="94"/>
      <c r="B136" s="328" t="s">
        <v>692</v>
      </c>
      <c r="C136" s="329" t="s">
        <v>652</v>
      </c>
      <c r="D136" s="330"/>
      <c r="E136" s="259"/>
      <c r="F136" s="371"/>
      <c r="G136" s="246"/>
      <c r="H136" s="371"/>
      <c r="I136" s="246"/>
      <c r="J136" s="371"/>
      <c r="K136" s="246"/>
      <c r="L136" s="261"/>
      <c r="M136" s="250"/>
      <c r="N136" s="246"/>
      <c r="O136" s="251" t="s">
        <v>397</v>
      </c>
      <c r="P136" s="246"/>
      <c r="R136" s="246"/>
      <c r="S136" s="261"/>
      <c r="T136" s="371"/>
      <c r="U136" s="246"/>
      <c r="V136" s="371"/>
      <c r="W136" s="246"/>
      <c r="Y136" s="246"/>
      <c r="Z136" s="261"/>
      <c r="AA136" s="250"/>
      <c r="AB136" s="246"/>
      <c r="AC136" s="371"/>
      <c r="AD136" s="246"/>
      <c r="AE136" s="371"/>
      <c r="AF136" s="246"/>
      <c r="AG136" s="261"/>
      <c r="AH136" s="371"/>
      <c r="AI136" s="246"/>
      <c r="AJ136" s="371"/>
      <c r="AK136" s="246"/>
      <c r="AL136" s="371"/>
      <c r="AM136" s="246"/>
      <c r="AN136" s="261"/>
      <c r="AO136" s="250"/>
      <c r="AP136" s="246"/>
      <c r="AQ136" s="371"/>
      <c r="AR136" s="246"/>
      <c r="AS136" s="371"/>
      <c r="AT136" s="254" t="str">
        <f t="shared" si="81"/>
        <v/>
      </c>
      <c r="AU136" s="269"/>
      <c r="AV136" s="269"/>
      <c r="AW136" s="463" t="str">
        <f t="shared" ref="AW136:BD136" si="84">AW51</f>
        <v>#REF!</v>
      </c>
      <c r="AX136" s="206">
        <f t="shared" si="84"/>
        <v>49</v>
      </c>
      <c r="AY136" s="464">
        <f t="shared" si="84"/>
        <v>52</v>
      </c>
      <c r="AZ136" s="206">
        <f t="shared" si="84"/>
        <v>45</v>
      </c>
      <c r="BA136" s="206">
        <f t="shared" si="84"/>
        <v>43</v>
      </c>
      <c r="BB136" s="206">
        <f t="shared" si="84"/>
        <v>0</v>
      </c>
      <c r="BC136" s="465">
        <f t="shared" si="84"/>
        <v>1512</v>
      </c>
      <c r="BD136" s="206" t="str">
        <f t="shared" si="84"/>
        <v/>
      </c>
      <c r="BE136" s="466"/>
    </row>
    <row r="137">
      <c r="A137" s="94"/>
      <c r="B137" s="397" t="s">
        <v>692</v>
      </c>
      <c r="C137" s="398" t="s">
        <v>687</v>
      </c>
      <c r="D137" s="369"/>
      <c r="E137" s="259"/>
      <c r="F137" s="399"/>
      <c r="G137" s="246"/>
      <c r="H137" s="399"/>
      <c r="I137" s="246"/>
      <c r="J137" s="399"/>
      <c r="K137" s="246"/>
      <c r="L137" s="261"/>
      <c r="M137" s="250"/>
      <c r="N137" s="246"/>
      <c r="O137" s="282"/>
      <c r="P137" s="246"/>
      <c r="Q137" s="399"/>
      <c r="R137" s="246"/>
      <c r="S137" s="261"/>
      <c r="T137" s="399"/>
      <c r="U137" s="246"/>
      <c r="V137" s="282"/>
      <c r="W137" s="246"/>
      <c r="X137" s="399"/>
      <c r="Y137" s="246"/>
      <c r="Z137" s="261"/>
      <c r="AA137" s="250"/>
      <c r="AB137" s="246"/>
      <c r="AC137" s="399"/>
      <c r="AD137" s="246"/>
      <c r="AE137" s="399"/>
      <c r="AF137" s="246"/>
      <c r="AG137" s="261"/>
      <c r="AH137" s="399"/>
      <c r="AI137" s="246"/>
      <c r="AJ137" s="399"/>
      <c r="AK137" s="246"/>
      <c r="AL137" s="399"/>
      <c r="AM137" s="246"/>
      <c r="AN137" s="261"/>
      <c r="AO137" s="250"/>
      <c r="AP137" s="246"/>
      <c r="AQ137" s="399"/>
      <c r="AR137" s="246"/>
      <c r="AS137" s="399"/>
      <c r="AT137" s="254" t="str">
        <f t="shared" si="81"/>
        <v/>
      </c>
      <c r="AU137" s="269"/>
      <c r="AV137" s="269"/>
      <c r="AW137" s="463" t="str">
        <f t="shared" ref="AW137:BD137" si="85">AW52</f>
        <v>#REF!</v>
      </c>
      <c r="AX137" s="206">
        <f t="shared" si="85"/>
        <v>49</v>
      </c>
      <c r="AY137" s="464">
        <f t="shared" si="85"/>
        <v>52</v>
      </c>
      <c r="AZ137" s="206">
        <f t="shared" si="85"/>
        <v>45</v>
      </c>
      <c r="BA137" s="206">
        <f t="shared" si="85"/>
        <v>43</v>
      </c>
      <c r="BB137" s="206">
        <f t="shared" si="85"/>
        <v>0</v>
      </c>
      <c r="BC137" s="465">
        <f t="shared" si="85"/>
        <v>1512</v>
      </c>
      <c r="BD137" s="206" t="str">
        <f t="shared" si="85"/>
        <v/>
      </c>
      <c r="BE137" s="466"/>
    </row>
    <row r="138">
      <c r="A138" s="94"/>
      <c r="B138" s="387" t="s">
        <v>694</v>
      </c>
      <c r="C138" s="388" t="s">
        <v>649</v>
      </c>
      <c r="D138" s="389"/>
      <c r="E138" s="259"/>
      <c r="F138" s="390"/>
      <c r="G138" s="246"/>
      <c r="H138" s="390"/>
      <c r="I138" s="246"/>
      <c r="J138" s="390"/>
      <c r="K138" s="246"/>
      <c r="L138" s="261"/>
      <c r="M138" s="250"/>
      <c r="N138" s="246"/>
      <c r="O138" s="390"/>
      <c r="P138" s="246"/>
      <c r="Q138" s="357" t="s">
        <v>425</v>
      </c>
      <c r="R138" s="246"/>
      <c r="S138" s="261"/>
      <c r="T138" s="390"/>
      <c r="U138" s="246"/>
      <c r="V138" s="390"/>
      <c r="W138" s="246"/>
      <c r="X138" s="489" t="s">
        <v>425</v>
      </c>
      <c r="Y138" s="246"/>
      <c r="Z138" s="261"/>
      <c r="AA138" s="250"/>
      <c r="AB138" s="246"/>
      <c r="AC138" s="390"/>
      <c r="AD138" s="246"/>
      <c r="AE138" s="490" t="s">
        <v>425</v>
      </c>
      <c r="AF138" s="246"/>
      <c r="AG138" s="261"/>
      <c r="AH138" s="390"/>
      <c r="AI138" s="246"/>
      <c r="AJ138" s="390"/>
      <c r="AK138" s="246"/>
      <c r="AL138" s="490" t="s">
        <v>425</v>
      </c>
      <c r="AM138" s="246"/>
      <c r="AN138" s="261"/>
      <c r="AO138" s="250"/>
      <c r="AP138" s="246"/>
      <c r="AQ138" s="390"/>
      <c r="AR138" s="246"/>
      <c r="AS138" s="357" t="s">
        <v>425</v>
      </c>
      <c r="AT138" s="254" t="str">
        <f t="shared" si="81"/>
        <v/>
      </c>
      <c r="AU138" s="269"/>
      <c r="AV138" s="269"/>
      <c r="AW138" s="463" t="str">
        <f t="shared" ref="AW138:BD138" si="86">AW53</f>
        <v>#REF!</v>
      </c>
      <c r="AX138" s="206">
        <f t="shared" si="86"/>
        <v>49</v>
      </c>
      <c r="AY138" s="464">
        <f t="shared" si="86"/>
        <v>52</v>
      </c>
      <c r="AZ138" s="206">
        <f t="shared" si="86"/>
        <v>45</v>
      </c>
      <c r="BA138" s="206">
        <f t="shared" si="86"/>
        <v>43</v>
      </c>
      <c r="BB138" s="206">
        <f t="shared" si="86"/>
        <v>0</v>
      </c>
      <c r="BC138" s="465">
        <f t="shared" si="86"/>
        <v>1512</v>
      </c>
      <c r="BD138" s="206" t="str">
        <f t="shared" si="86"/>
        <v/>
      </c>
      <c r="BE138" s="466"/>
    </row>
    <row r="139">
      <c r="A139" s="94"/>
      <c r="B139" s="296" t="s">
        <v>650</v>
      </c>
      <c r="C139" s="297" t="s">
        <v>649</v>
      </c>
      <c r="D139" s="323"/>
      <c r="E139" s="259"/>
      <c r="F139" s="300"/>
      <c r="G139" s="298"/>
      <c r="H139" s="300"/>
      <c r="I139" s="298"/>
      <c r="J139" s="300"/>
      <c r="K139" s="298"/>
      <c r="L139" s="261"/>
      <c r="M139" s="250"/>
      <c r="N139" s="298"/>
      <c r="O139" s="300"/>
      <c r="P139" s="298"/>
      <c r="Q139" s="319"/>
      <c r="R139" s="298"/>
      <c r="S139" s="261"/>
      <c r="T139" s="300"/>
      <c r="U139" s="298"/>
      <c r="V139" s="300"/>
      <c r="W139" s="298"/>
      <c r="X139" s="400" t="s">
        <v>695</v>
      </c>
      <c r="Y139" s="298"/>
      <c r="Z139" s="261"/>
      <c r="AA139" s="250"/>
      <c r="AB139" s="298"/>
      <c r="AC139" s="300"/>
      <c r="AD139" s="298"/>
      <c r="AE139" s="400" t="s">
        <v>695</v>
      </c>
      <c r="AF139" s="298"/>
      <c r="AG139" s="261"/>
      <c r="AH139" s="300"/>
      <c r="AI139" s="298"/>
      <c r="AJ139" s="300"/>
      <c r="AK139" s="298"/>
      <c r="AL139" s="400" t="s">
        <v>695</v>
      </c>
      <c r="AM139" s="298"/>
      <c r="AN139" s="261"/>
      <c r="AO139" s="250"/>
      <c r="AP139" s="298"/>
      <c r="AQ139" s="300"/>
      <c r="AR139" s="298"/>
      <c r="AS139" s="299"/>
      <c r="AT139" s="254" t="str">
        <f t="shared" si="81"/>
        <v/>
      </c>
      <c r="AU139" s="269"/>
      <c r="AV139" s="269"/>
      <c r="AW139" s="463" t="str">
        <f t="shared" ref="AW139:BD139" si="87">AW54</f>
        <v>#REF!</v>
      </c>
      <c r="AX139" s="206">
        <f t="shared" si="87"/>
        <v>49</v>
      </c>
      <c r="AY139" s="464">
        <f t="shared" si="87"/>
        <v>52</v>
      </c>
      <c r="AZ139" s="206">
        <f t="shared" si="87"/>
        <v>45</v>
      </c>
      <c r="BA139" s="206">
        <f t="shared" si="87"/>
        <v>43</v>
      </c>
      <c r="BB139" s="206">
        <f t="shared" si="87"/>
        <v>0</v>
      </c>
      <c r="BC139" s="465">
        <f t="shared" si="87"/>
        <v>1512</v>
      </c>
      <c r="BD139" s="206" t="str">
        <f t="shared" si="87"/>
        <v/>
      </c>
      <c r="BE139" s="466"/>
    </row>
    <row r="140">
      <c r="A140" s="94"/>
      <c r="B140" s="301" t="s">
        <v>651</v>
      </c>
      <c r="C140" s="391" t="s">
        <v>652</v>
      </c>
      <c r="D140" s="323"/>
      <c r="E140" s="261"/>
      <c r="F140" s="304"/>
      <c r="G140" s="298"/>
      <c r="H140" s="304"/>
      <c r="I140" s="298"/>
      <c r="J140" s="304"/>
      <c r="K140" s="298"/>
      <c r="L140" s="261"/>
      <c r="M140" s="250"/>
      <c r="N140" s="298"/>
      <c r="O140" s="304"/>
      <c r="P140" s="298"/>
      <c r="Q140" s="304"/>
      <c r="R140" s="298"/>
      <c r="S140" s="261"/>
      <c r="T140" s="304"/>
      <c r="U140" s="298"/>
      <c r="V140" s="304"/>
      <c r="W140" s="298"/>
      <c r="X140" s="360" t="s">
        <v>696</v>
      </c>
      <c r="Y140" s="298"/>
      <c r="Z140" s="261"/>
      <c r="AA140" s="250"/>
      <c r="AB140" s="298"/>
      <c r="AC140" s="304"/>
      <c r="AD140" s="298"/>
      <c r="AE140" s="360" t="s">
        <v>696</v>
      </c>
      <c r="AF140" s="298"/>
      <c r="AG140" s="261"/>
      <c r="AH140" s="304"/>
      <c r="AI140" s="298"/>
      <c r="AJ140" s="304"/>
      <c r="AK140" s="298"/>
      <c r="AL140" s="360" t="s">
        <v>696</v>
      </c>
      <c r="AM140" s="298"/>
      <c r="AN140" s="261"/>
      <c r="AO140" s="250"/>
      <c r="AP140" s="298"/>
      <c r="AQ140" s="304"/>
      <c r="AR140" s="298"/>
      <c r="AS140" s="491"/>
      <c r="AT140" s="254" t="str">
        <f t="shared" si="81"/>
        <v/>
      </c>
      <c r="AU140" s="269"/>
      <c r="AV140" s="269"/>
      <c r="AW140" s="463" t="str">
        <f t="shared" ref="AW140:BD140" si="88">AW55</f>
        <v>#REF!</v>
      </c>
      <c r="AX140" s="206">
        <f t="shared" si="88"/>
        <v>49</v>
      </c>
      <c r="AY140" s="464">
        <f t="shared" si="88"/>
        <v>52</v>
      </c>
      <c r="AZ140" s="206">
        <f t="shared" si="88"/>
        <v>45</v>
      </c>
      <c r="BA140" s="206">
        <f t="shared" si="88"/>
        <v>43</v>
      </c>
      <c r="BB140" s="206">
        <f t="shared" si="88"/>
        <v>0</v>
      </c>
      <c r="BC140" s="465">
        <f t="shared" si="88"/>
        <v>1512</v>
      </c>
      <c r="BD140" s="206" t="str">
        <f t="shared" si="88"/>
        <v/>
      </c>
      <c r="BE140" s="466"/>
    </row>
    <row r="141">
      <c r="A141" s="94"/>
      <c r="B141" s="392" t="s">
        <v>691</v>
      </c>
      <c r="C141" s="393" t="s">
        <v>652</v>
      </c>
      <c r="D141" s="323"/>
      <c r="E141" s="259"/>
      <c r="F141" s="307"/>
      <c r="G141" s="298"/>
      <c r="H141" s="307"/>
      <c r="I141" s="298"/>
      <c r="J141" s="307"/>
      <c r="K141" s="298"/>
      <c r="L141" s="261"/>
      <c r="M141" s="250"/>
      <c r="N141" s="298"/>
      <c r="O141" s="307"/>
      <c r="P141" s="298"/>
      <c r="Q141" s="309" t="s">
        <v>414</v>
      </c>
      <c r="R141" s="298"/>
      <c r="S141" s="261"/>
      <c r="T141" s="307"/>
      <c r="U141" s="298"/>
      <c r="V141" s="307"/>
      <c r="W141" s="298"/>
      <c r="X141" s="395" t="s">
        <v>430</v>
      </c>
      <c r="Y141" s="298"/>
      <c r="Z141" s="261"/>
      <c r="AA141" s="250"/>
      <c r="AB141" s="298"/>
      <c r="AC141" s="307"/>
      <c r="AD141" s="298"/>
      <c r="AE141" s="492" t="s">
        <v>430</v>
      </c>
      <c r="AF141" s="298"/>
      <c r="AG141" s="261"/>
      <c r="AH141" s="307"/>
      <c r="AI141" s="298"/>
      <c r="AJ141" s="307"/>
      <c r="AK141" s="298"/>
      <c r="AL141" s="308" t="s">
        <v>445</v>
      </c>
      <c r="AM141" s="298"/>
      <c r="AN141" s="261"/>
      <c r="AO141" s="250"/>
      <c r="AP141" s="298"/>
      <c r="AQ141" s="307"/>
      <c r="AR141" s="298"/>
      <c r="AS141" s="308" t="s">
        <v>445</v>
      </c>
      <c r="AT141" s="254" t="str">
        <f>IF(COUNTIF($AO$85:$AT$87, #REF!) &gt; 0, "X", "")</f>
        <v/>
      </c>
      <c r="AU141" s="269"/>
      <c r="AV141" s="269"/>
      <c r="AW141" s="463" t="str">
        <f t="shared" ref="AW141:BD141" si="89">AW56</f>
        <v>#REF!</v>
      </c>
      <c r="AX141" s="206">
        <f t="shared" si="89"/>
        <v>49</v>
      </c>
      <c r="AY141" s="464">
        <f t="shared" si="89"/>
        <v>52</v>
      </c>
      <c r="AZ141" s="206">
        <f t="shared" si="89"/>
        <v>45</v>
      </c>
      <c r="BA141" s="206">
        <f t="shared" si="89"/>
        <v>43</v>
      </c>
      <c r="BB141" s="206">
        <f t="shared" si="89"/>
        <v>0</v>
      </c>
      <c r="BC141" s="465">
        <f t="shared" si="89"/>
        <v>1512</v>
      </c>
      <c r="BD141" s="206" t="str">
        <f t="shared" si="89"/>
        <v/>
      </c>
      <c r="BE141" s="466"/>
    </row>
    <row r="142">
      <c r="A142" s="94"/>
      <c r="B142" s="328" t="s">
        <v>692</v>
      </c>
      <c r="C142" s="329" t="s">
        <v>652</v>
      </c>
      <c r="D142" s="330"/>
      <c r="E142" s="259"/>
      <c r="F142" s="371"/>
      <c r="G142" s="246"/>
      <c r="H142" s="371"/>
      <c r="I142" s="246"/>
      <c r="J142" s="371"/>
      <c r="K142" s="246"/>
      <c r="L142" s="261"/>
      <c r="M142" s="250"/>
      <c r="N142" s="246"/>
      <c r="O142" s="371"/>
      <c r="P142" s="246"/>
      <c r="R142" s="246"/>
      <c r="S142" s="261"/>
      <c r="T142" s="371"/>
      <c r="U142" s="246"/>
      <c r="V142" s="371"/>
      <c r="W142" s="246"/>
      <c r="X142" s="282"/>
      <c r="Y142" s="246"/>
      <c r="Z142" s="261"/>
      <c r="AA142" s="250"/>
      <c r="AB142" s="246"/>
      <c r="AC142" s="282"/>
      <c r="AD142" s="246"/>
      <c r="AE142" s="311"/>
      <c r="AF142" s="246"/>
      <c r="AG142" s="261"/>
      <c r="AH142" s="371"/>
      <c r="AI142" s="246"/>
      <c r="AJ142" s="371"/>
      <c r="AK142" s="246"/>
      <c r="AL142" s="282"/>
      <c r="AM142" s="246"/>
      <c r="AN142" s="261"/>
      <c r="AO142" s="250"/>
      <c r="AP142" s="246"/>
      <c r="AQ142" s="371"/>
      <c r="AR142" s="246"/>
      <c r="AT142" s="254" t="str">
        <f>IF(COUNTIF($AO$85:$AT$87, AS141) &gt; 0, "X", "")</f>
        <v/>
      </c>
      <c r="AU142" s="269"/>
      <c r="AV142" s="269"/>
      <c r="AW142" s="463" t="str">
        <f t="shared" ref="AW142:BD142" si="90">AW57</f>
        <v>#REF!</v>
      </c>
      <c r="AX142" s="206">
        <f t="shared" si="90"/>
        <v>49</v>
      </c>
      <c r="AY142" s="464">
        <f t="shared" si="90"/>
        <v>52</v>
      </c>
      <c r="AZ142" s="206">
        <f t="shared" si="90"/>
        <v>45</v>
      </c>
      <c r="BA142" s="206">
        <f t="shared" si="90"/>
        <v>43</v>
      </c>
      <c r="BB142" s="206">
        <f t="shared" si="90"/>
        <v>0</v>
      </c>
      <c r="BC142" s="465">
        <f t="shared" si="90"/>
        <v>1512</v>
      </c>
      <c r="BD142" s="206" t="str">
        <f t="shared" si="90"/>
        <v/>
      </c>
      <c r="BE142" s="466"/>
    </row>
    <row r="143">
      <c r="A143" s="94"/>
      <c r="B143" s="397" t="s">
        <v>692</v>
      </c>
      <c r="C143" s="398" t="s">
        <v>687</v>
      </c>
      <c r="D143" s="369"/>
      <c r="E143" s="259"/>
      <c r="F143" s="399"/>
      <c r="G143" s="246"/>
      <c r="H143" s="399"/>
      <c r="I143" s="246"/>
      <c r="J143" s="399"/>
      <c r="K143" s="246"/>
      <c r="L143" s="261"/>
      <c r="M143" s="250"/>
      <c r="N143" s="246"/>
      <c r="O143" s="399"/>
      <c r="P143" s="246"/>
      <c r="Q143" s="399"/>
      <c r="R143" s="246"/>
      <c r="S143" s="261"/>
      <c r="T143" s="399"/>
      <c r="U143" s="246"/>
      <c r="V143" s="399"/>
      <c r="W143" s="246"/>
      <c r="X143" s="399"/>
      <c r="Y143" s="246"/>
      <c r="Z143" s="261"/>
      <c r="AA143" s="250"/>
      <c r="AB143" s="246"/>
      <c r="AC143" s="282"/>
      <c r="AD143" s="246"/>
      <c r="AE143" s="399"/>
      <c r="AF143" s="246"/>
      <c r="AG143" s="261"/>
      <c r="AH143" s="399"/>
      <c r="AI143" s="246"/>
      <c r="AJ143" s="399"/>
      <c r="AK143" s="246"/>
      <c r="AL143" s="399"/>
      <c r="AM143" s="246"/>
      <c r="AN143" s="261"/>
      <c r="AO143" s="250"/>
      <c r="AP143" s="246"/>
      <c r="AQ143" s="399"/>
      <c r="AR143" s="246"/>
      <c r="AS143" s="399"/>
      <c r="AT143" s="254" t="str">
        <f t="shared" ref="AT143:AT149" si="92">IF(COUNTIF($AO$85:$AT$87, AS143) &gt; 0, "X", "")</f>
        <v/>
      </c>
      <c r="AU143" s="269"/>
      <c r="AV143" s="269"/>
      <c r="AW143" s="463" t="str">
        <f t="shared" ref="AW143:BD143" si="91">AW58</f>
        <v>#REF!</v>
      </c>
      <c r="AX143" s="206">
        <f t="shared" si="91"/>
        <v>49</v>
      </c>
      <c r="AY143" s="464">
        <f t="shared" si="91"/>
        <v>52</v>
      </c>
      <c r="AZ143" s="206">
        <f t="shared" si="91"/>
        <v>45</v>
      </c>
      <c r="BA143" s="206">
        <f t="shared" si="91"/>
        <v>43</v>
      </c>
      <c r="BB143" s="206">
        <f t="shared" si="91"/>
        <v>0</v>
      </c>
      <c r="BC143" s="465">
        <f t="shared" si="91"/>
        <v>1512</v>
      </c>
      <c r="BD143" s="206" t="str">
        <f t="shared" si="91"/>
        <v/>
      </c>
      <c r="BE143" s="466"/>
    </row>
    <row r="144">
      <c r="A144" s="270"/>
      <c r="B144" s="402" t="s">
        <v>699</v>
      </c>
      <c r="C144" s="403" t="s">
        <v>649</v>
      </c>
      <c r="D144" s="404"/>
      <c r="E144" s="259"/>
      <c r="F144" s="294"/>
      <c r="G144" s="246"/>
      <c r="H144" s="294"/>
      <c r="I144" s="246"/>
      <c r="J144" s="294"/>
      <c r="K144" s="246"/>
      <c r="L144" s="261"/>
      <c r="M144" s="250"/>
      <c r="N144" s="246"/>
      <c r="O144" s="294"/>
      <c r="P144" s="246"/>
      <c r="Q144" s="293" t="s">
        <v>426</v>
      </c>
      <c r="R144" s="246"/>
      <c r="S144" s="261"/>
      <c r="T144" s="294"/>
      <c r="U144" s="246"/>
      <c r="V144" s="294"/>
      <c r="W144" s="246"/>
      <c r="X144" s="294"/>
      <c r="Y144" s="246"/>
      <c r="Z144" s="261"/>
      <c r="AA144" s="250"/>
      <c r="AB144" s="246"/>
      <c r="AC144" s="294"/>
      <c r="AD144" s="246"/>
      <c r="AE144" s="293" t="s">
        <v>422</v>
      </c>
      <c r="AF144" s="246"/>
      <c r="AG144" s="261"/>
      <c r="AH144" s="294"/>
      <c r="AI144" s="246"/>
      <c r="AJ144" s="294"/>
      <c r="AK144" s="246"/>
      <c r="AL144" s="294"/>
      <c r="AM144" s="246"/>
      <c r="AN144" s="261"/>
      <c r="AO144" s="250"/>
      <c r="AP144" s="246"/>
      <c r="AQ144" s="294"/>
      <c r="AR144" s="246"/>
      <c r="AS144" s="294"/>
      <c r="AT144" s="254" t="str">
        <f t="shared" si="92"/>
        <v/>
      </c>
      <c r="AU144" s="269"/>
      <c r="AV144" s="269"/>
      <c r="AW144" s="463" t="str">
        <f t="shared" ref="AW144:BD144" si="93">AW59</f>
        <v>#REF!</v>
      </c>
      <c r="AX144" s="206">
        <f t="shared" si="93"/>
        <v>49</v>
      </c>
      <c r="AY144" s="464">
        <f t="shared" si="93"/>
        <v>52</v>
      </c>
      <c r="AZ144" s="206">
        <f t="shared" si="93"/>
        <v>45</v>
      </c>
      <c r="BA144" s="206">
        <f t="shared" si="93"/>
        <v>43</v>
      </c>
      <c r="BB144" s="206">
        <f t="shared" si="93"/>
        <v>0</v>
      </c>
      <c r="BC144" s="465">
        <f t="shared" si="93"/>
        <v>1512</v>
      </c>
      <c r="BD144" s="206" t="str">
        <f t="shared" si="93"/>
        <v/>
      </c>
      <c r="BE144" s="466"/>
    </row>
    <row r="145">
      <c r="A145" s="94"/>
      <c r="B145" s="328" t="s">
        <v>700</v>
      </c>
      <c r="C145" s="329" t="s">
        <v>657</v>
      </c>
      <c r="D145" s="330"/>
      <c r="E145" s="259"/>
      <c r="F145" s="371"/>
      <c r="G145" s="246"/>
      <c r="H145" s="371"/>
      <c r="I145" s="246"/>
      <c r="J145" s="371"/>
      <c r="K145" s="246"/>
      <c r="L145" s="261"/>
      <c r="M145" s="250"/>
      <c r="N145" s="246"/>
      <c r="O145" s="371"/>
      <c r="P145" s="246"/>
      <c r="Q145" s="280" t="s">
        <v>437</v>
      </c>
      <c r="R145" s="246"/>
      <c r="S145" s="261"/>
      <c r="T145" s="371"/>
      <c r="U145" s="246"/>
      <c r="V145" s="371"/>
      <c r="W145" s="246"/>
      <c r="X145" s="371"/>
      <c r="Y145" s="246"/>
      <c r="Z145" s="261"/>
      <c r="AA145" s="250"/>
      <c r="AB145" s="246"/>
      <c r="AC145" s="371"/>
      <c r="AD145" s="246"/>
      <c r="AE145" s="347" t="s">
        <v>437</v>
      </c>
      <c r="AF145" s="246"/>
      <c r="AG145" s="261"/>
      <c r="AH145" s="371"/>
      <c r="AI145" s="246"/>
      <c r="AJ145" s="371"/>
      <c r="AK145" s="246"/>
      <c r="AL145" s="371"/>
      <c r="AM145" s="246"/>
      <c r="AN145" s="261"/>
      <c r="AO145" s="250"/>
      <c r="AP145" s="246"/>
      <c r="AQ145" s="282"/>
      <c r="AR145" s="246"/>
      <c r="AS145" s="371"/>
      <c r="AT145" s="254" t="str">
        <f t="shared" si="92"/>
        <v/>
      </c>
      <c r="AU145" s="269"/>
      <c r="AV145" s="269"/>
      <c r="AW145" s="463" t="str">
        <f t="shared" ref="AW145:BD145" si="94">AW60</f>
        <v>#REF!</v>
      </c>
      <c r="AX145" s="206">
        <f t="shared" si="94"/>
        <v>49</v>
      </c>
      <c r="AY145" s="464">
        <f t="shared" si="94"/>
        <v>52</v>
      </c>
      <c r="AZ145" s="206">
        <f t="shared" si="94"/>
        <v>45</v>
      </c>
      <c r="BA145" s="206">
        <f t="shared" si="94"/>
        <v>43</v>
      </c>
      <c r="BB145" s="206">
        <f t="shared" si="94"/>
        <v>0</v>
      </c>
      <c r="BC145" s="465">
        <f t="shared" si="94"/>
        <v>1512</v>
      </c>
      <c r="BD145" s="206" t="str">
        <f t="shared" si="94"/>
        <v/>
      </c>
      <c r="BE145" s="466"/>
    </row>
    <row r="146">
      <c r="A146" s="94"/>
      <c r="B146" s="328" t="s">
        <v>700</v>
      </c>
      <c r="C146" s="329" t="s">
        <v>657</v>
      </c>
      <c r="D146" s="330"/>
      <c r="E146" s="259"/>
      <c r="F146" s="264"/>
      <c r="G146" s="246"/>
      <c r="H146" s="264"/>
      <c r="I146" s="246"/>
      <c r="J146" s="264"/>
      <c r="K146" s="246"/>
      <c r="L146" s="261"/>
      <c r="M146" s="262"/>
      <c r="N146" s="246"/>
      <c r="O146" s="264"/>
      <c r="P146" s="246"/>
      <c r="Q146" s="405" t="s">
        <v>462</v>
      </c>
      <c r="R146" s="246"/>
      <c r="S146" s="261"/>
      <c r="T146" s="264"/>
      <c r="U146" s="246"/>
      <c r="V146" s="264"/>
      <c r="W146" s="246"/>
      <c r="X146" s="264"/>
      <c r="Y146" s="246"/>
      <c r="Z146" s="261"/>
      <c r="AA146" s="262"/>
      <c r="AB146" s="246"/>
      <c r="AC146" s="264"/>
      <c r="AD146" s="246"/>
      <c r="AE146" s="405" t="s">
        <v>462</v>
      </c>
      <c r="AF146" s="246"/>
      <c r="AG146" s="261"/>
      <c r="AH146" s="264"/>
      <c r="AI146" s="246"/>
      <c r="AJ146" s="264"/>
      <c r="AK146" s="246"/>
      <c r="AL146" s="264"/>
      <c r="AM146" s="246"/>
      <c r="AN146" s="261"/>
      <c r="AO146" s="262"/>
      <c r="AP146" s="246"/>
      <c r="AQ146" s="264"/>
      <c r="AR146" s="246"/>
      <c r="AS146" s="264"/>
      <c r="AT146" s="254" t="str">
        <f t="shared" si="92"/>
        <v/>
      </c>
      <c r="AU146" s="269"/>
      <c r="AV146" s="269"/>
      <c r="AW146" s="463" t="str">
        <f t="shared" ref="AW146:BD146" si="95">AW61</f>
        <v>#REF!</v>
      </c>
      <c r="AX146" s="206">
        <f t="shared" si="95"/>
        <v>49</v>
      </c>
      <c r="AY146" s="464">
        <f t="shared" si="95"/>
        <v>52</v>
      </c>
      <c r="AZ146" s="206">
        <f t="shared" si="95"/>
        <v>45</v>
      </c>
      <c r="BA146" s="206">
        <f t="shared" si="95"/>
        <v>43</v>
      </c>
      <c r="BB146" s="206">
        <f t="shared" si="95"/>
        <v>0</v>
      </c>
      <c r="BC146" s="465">
        <f t="shared" si="95"/>
        <v>1512</v>
      </c>
      <c r="BD146" s="206" t="str">
        <f t="shared" si="95"/>
        <v/>
      </c>
      <c r="BE146" s="466"/>
    </row>
    <row r="147">
      <c r="A147" s="94"/>
      <c r="B147" s="328" t="s">
        <v>700</v>
      </c>
      <c r="C147" s="329" t="s">
        <v>657</v>
      </c>
      <c r="D147" s="330"/>
      <c r="E147" s="259"/>
      <c r="F147" s="371"/>
      <c r="G147" s="246"/>
      <c r="H147" s="371"/>
      <c r="I147" s="246"/>
      <c r="J147" s="282"/>
      <c r="K147" s="246"/>
      <c r="L147" s="261"/>
      <c r="M147" s="250"/>
      <c r="N147" s="246"/>
      <c r="O147" s="282"/>
      <c r="P147" s="246"/>
      <c r="Q147" s="282"/>
      <c r="R147" s="246"/>
      <c r="S147" s="261"/>
      <c r="T147" s="371"/>
      <c r="U147" s="246"/>
      <c r="V147" s="282"/>
      <c r="W147" s="246"/>
      <c r="X147" s="282"/>
      <c r="Y147" s="246"/>
      <c r="Z147" s="261"/>
      <c r="AA147" s="250"/>
      <c r="AB147" s="246"/>
      <c r="AC147" s="282"/>
      <c r="AD147" s="246"/>
      <c r="AF147" s="246"/>
      <c r="AG147" s="261"/>
      <c r="AH147" s="371"/>
      <c r="AI147" s="246"/>
      <c r="AJ147" s="282"/>
      <c r="AK147" s="246"/>
      <c r="AL147" s="282"/>
      <c r="AM147" s="246"/>
      <c r="AN147" s="261"/>
      <c r="AO147" s="250"/>
      <c r="AP147" s="246"/>
      <c r="AQ147" s="371"/>
      <c r="AR147" s="246"/>
      <c r="AS147" s="282"/>
      <c r="AT147" s="254" t="str">
        <f t="shared" si="92"/>
        <v/>
      </c>
      <c r="AU147" s="269"/>
      <c r="AV147" s="269"/>
      <c r="AW147" s="463" t="str">
        <f t="shared" ref="AW147:BD147" si="96">AW62</f>
        <v>#REF!</v>
      </c>
      <c r="AX147" s="206">
        <f t="shared" si="96"/>
        <v>49</v>
      </c>
      <c r="AY147" s="464">
        <f t="shared" si="96"/>
        <v>52</v>
      </c>
      <c r="AZ147" s="206">
        <f t="shared" si="96"/>
        <v>45</v>
      </c>
      <c r="BA147" s="206">
        <f t="shared" si="96"/>
        <v>43</v>
      </c>
      <c r="BB147" s="206">
        <f t="shared" si="96"/>
        <v>0</v>
      </c>
      <c r="BC147" s="465">
        <f t="shared" si="96"/>
        <v>1512</v>
      </c>
      <c r="BD147" s="206" t="str">
        <f t="shared" si="96"/>
        <v/>
      </c>
      <c r="BE147" s="466"/>
    </row>
    <row r="148">
      <c r="A148" s="94"/>
      <c r="B148" s="408" t="s">
        <v>702</v>
      </c>
      <c r="C148" s="409" t="s">
        <v>652</v>
      </c>
      <c r="D148" s="351"/>
      <c r="E148" s="259"/>
      <c r="F148" s="411"/>
      <c r="G148" s="246"/>
      <c r="H148" s="411"/>
      <c r="I148" s="246"/>
      <c r="J148" s="411"/>
      <c r="K148" s="246"/>
      <c r="L148" s="261"/>
      <c r="M148" s="262"/>
      <c r="N148" s="246"/>
      <c r="O148" s="411"/>
      <c r="P148" s="246"/>
      <c r="Q148" s="411"/>
      <c r="R148" s="246"/>
      <c r="S148" s="261"/>
      <c r="T148" s="411"/>
      <c r="U148" s="246"/>
      <c r="V148" s="411"/>
      <c r="W148" s="246"/>
      <c r="X148" s="411"/>
      <c r="Y148" s="246"/>
      <c r="Z148" s="261"/>
      <c r="AA148" s="262"/>
      <c r="AB148" s="246"/>
      <c r="AC148" s="411"/>
      <c r="AD148" s="246"/>
      <c r="AE148" s="411"/>
      <c r="AF148" s="246"/>
      <c r="AG148" s="261"/>
      <c r="AH148" s="411"/>
      <c r="AI148" s="246"/>
      <c r="AJ148" s="411"/>
      <c r="AK148" s="246"/>
      <c r="AL148" s="411"/>
      <c r="AM148" s="246"/>
      <c r="AN148" s="261"/>
      <c r="AO148" s="262"/>
      <c r="AP148" s="246"/>
      <c r="AQ148" s="411"/>
      <c r="AR148" s="246"/>
      <c r="AS148" s="411"/>
      <c r="AT148" s="254" t="str">
        <f t="shared" si="92"/>
        <v/>
      </c>
      <c r="AU148" s="269"/>
      <c r="AV148" s="269"/>
      <c r="AW148" s="463" t="str">
        <f t="shared" ref="AW148:BD148" si="97">AW63</f>
        <v>#REF!</v>
      </c>
      <c r="AX148" s="206">
        <f t="shared" si="97"/>
        <v>49</v>
      </c>
      <c r="AY148" s="464">
        <f t="shared" si="97"/>
        <v>52</v>
      </c>
      <c r="AZ148" s="206">
        <f t="shared" si="97"/>
        <v>45</v>
      </c>
      <c r="BA148" s="206">
        <f t="shared" si="97"/>
        <v>43</v>
      </c>
      <c r="BB148" s="206">
        <f t="shared" si="97"/>
        <v>0</v>
      </c>
      <c r="BC148" s="465">
        <f t="shared" si="97"/>
        <v>1512</v>
      </c>
      <c r="BD148" s="206" t="str">
        <f t="shared" si="97"/>
        <v/>
      </c>
      <c r="BE148" s="466"/>
    </row>
    <row r="149">
      <c r="A149" s="234"/>
      <c r="B149" s="401" t="s">
        <v>703</v>
      </c>
      <c r="C149" s="412" t="s">
        <v>704</v>
      </c>
      <c r="D149" s="323"/>
      <c r="E149" s="259"/>
      <c r="F149" s="413"/>
      <c r="G149" s="246"/>
      <c r="H149" s="413"/>
      <c r="I149" s="246"/>
      <c r="J149" s="413"/>
      <c r="K149" s="246"/>
      <c r="L149" s="261"/>
      <c r="M149" s="262"/>
      <c r="N149" s="246"/>
      <c r="O149" s="413"/>
      <c r="P149" s="246"/>
      <c r="Q149" s="413"/>
      <c r="R149" s="246"/>
      <c r="S149" s="261"/>
      <c r="T149" s="413"/>
      <c r="U149" s="246"/>
      <c r="V149" s="413"/>
      <c r="W149" s="246"/>
      <c r="X149" s="413"/>
      <c r="Y149" s="246"/>
      <c r="Z149" s="261"/>
      <c r="AA149" s="262"/>
      <c r="AB149" s="246"/>
      <c r="AC149" s="413"/>
      <c r="AD149" s="246"/>
      <c r="AE149" s="413"/>
      <c r="AF149" s="246"/>
      <c r="AG149" s="261"/>
      <c r="AH149" s="413"/>
      <c r="AI149" s="246"/>
      <c r="AJ149" s="413"/>
      <c r="AK149" s="246"/>
      <c r="AL149" s="413"/>
      <c r="AM149" s="246"/>
      <c r="AN149" s="261"/>
      <c r="AO149" s="262"/>
      <c r="AP149" s="246"/>
      <c r="AQ149" s="413"/>
      <c r="AR149" s="246"/>
      <c r="AS149" s="413"/>
      <c r="AT149" s="254" t="str">
        <f t="shared" si="92"/>
        <v/>
      </c>
      <c r="AU149" s="269"/>
      <c r="AV149" s="269"/>
      <c r="AW149" s="463" t="str">
        <f t="shared" ref="AW149:BD149" si="98">AW64</f>
        <v>#REF!</v>
      </c>
      <c r="AX149" s="206">
        <f t="shared" si="98"/>
        <v>49</v>
      </c>
      <c r="AY149" s="464">
        <f t="shared" si="98"/>
        <v>52</v>
      </c>
      <c r="AZ149" s="206">
        <f t="shared" si="98"/>
        <v>45</v>
      </c>
      <c r="BA149" s="206">
        <f t="shared" si="98"/>
        <v>43</v>
      </c>
      <c r="BB149" s="206">
        <f t="shared" si="98"/>
        <v>0</v>
      </c>
      <c r="BC149" s="465">
        <f t="shared" si="98"/>
        <v>1512</v>
      </c>
      <c r="BD149" s="206" t="str">
        <f t="shared" si="98"/>
        <v/>
      </c>
      <c r="BE149" s="466"/>
    </row>
    <row r="150">
      <c r="A150" s="234"/>
      <c r="B150" s="414" t="s">
        <v>705</v>
      </c>
      <c r="C150" s="415" t="s">
        <v>704</v>
      </c>
      <c r="D150" s="330"/>
      <c r="E150" s="259"/>
      <c r="F150" s="251" t="s">
        <v>706</v>
      </c>
      <c r="G150" s="246"/>
      <c r="H150" s="418" t="s">
        <v>394</v>
      </c>
      <c r="I150" s="246"/>
      <c r="J150" s="418" t="s">
        <v>410</v>
      </c>
      <c r="K150" s="246"/>
      <c r="L150" s="261"/>
      <c r="M150" s="341"/>
      <c r="N150" s="246"/>
      <c r="O150" s="418" t="s">
        <v>407</v>
      </c>
      <c r="P150" s="246"/>
      <c r="Q150" s="287" t="s">
        <v>432</v>
      </c>
      <c r="R150" s="246"/>
      <c r="S150" s="261"/>
      <c r="U150" s="246"/>
      <c r="V150" s="287" t="s">
        <v>407</v>
      </c>
      <c r="W150" s="246"/>
      <c r="X150" s="418" t="s">
        <v>410</v>
      </c>
      <c r="Y150" s="246"/>
      <c r="Z150" s="261"/>
      <c r="AA150" s="341"/>
      <c r="AB150" s="246"/>
      <c r="AC150" s="287" t="s">
        <v>407</v>
      </c>
      <c r="AD150" s="246"/>
      <c r="AE150" s="251" t="s">
        <v>706</v>
      </c>
      <c r="AF150" s="246"/>
      <c r="AG150" s="261"/>
      <c r="AH150" s="282"/>
      <c r="AI150" s="246"/>
      <c r="AJ150" s="418" t="s">
        <v>394</v>
      </c>
      <c r="AK150" s="246"/>
      <c r="AL150" s="287" t="s">
        <v>432</v>
      </c>
      <c r="AM150" s="246"/>
      <c r="AN150" s="261"/>
      <c r="AO150" s="341"/>
      <c r="AP150" s="246"/>
      <c r="AQ150" s="418" t="s">
        <v>394</v>
      </c>
      <c r="AR150" s="246"/>
      <c r="AS150" s="290" t="s">
        <v>410</v>
      </c>
      <c r="AT150" s="254" t="str">
        <f t="shared" ref="AT150:AT152" si="100">IF(COUNTIF($AO$85:$AT$87, #REF!) &gt; 0, "X", "")</f>
        <v/>
      </c>
      <c r="AU150" s="269"/>
      <c r="AV150" s="269"/>
      <c r="AW150" s="463" t="str">
        <f t="shared" ref="AW150:BD150" si="99">AW65</f>
        <v>#REF!</v>
      </c>
      <c r="AX150" s="206">
        <f t="shared" si="99"/>
        <v>49</v>
      </c>
      <c r="AY150" s="464">
        <f t="shared" si="99"/>
        <v>52</v>
      </c>
      <c r="AZ150" s="206">
        <f t="shared" si="99"/>
        <v>45</v>
      </c>
      <c r="BA150" s="206">
        <f t="shared" si="99"/>
        <v>43</v>
      </c>
      <c r="BB150" s="206">
        <f t="shared" si="99"/>
        <v>0</v>
      </c>
      <c r="BC150" s="465">
        <f t="shared" si="99"/>
        <v>1512</v>
      </c>
      <c r="BD150" s="206" t="str">
        <f t="shared" si="99"/>
        <v/>
      </c>
      <c r="BE150" s="466"/>
    </row>
    <row r="151">
      <c r="A151" s="94"/>
      <c r="B151" s="328" t="s">
        <v>705</v>
      </c>
      <c r="C151" s="257" t="s">
        <v>657</v>
      </c>
      <c r="D151" s="330"/>
      <c r="E151" s="259"/>
      <c r="F151" s="282"/>
      <c r="G151" s="246"/>
      <c r="H151" s="384" t="s">
        <v>432</v>
      </c>
      <c r="I151" s="246"/>
      <c r="J151" s="417" t="s">
        <v>452</v>
      </c>
      <c r="K151" s="246"/>
      <c r="L151" s="261"/>
      <c r="M151" s="341"/>
      <c r="N151" s="246"/>
      <c r="O151" s="418" t="s">
        <v>394</v>
      </c>
      <c r="P151" s="246"/>
      <c r="Q151" s="418" t="s">
        <v>410</v>
      </c>
      <c r="R151" s="246"/>
      <c r="S151" s="261"/>
      <c r="T151" s="251" t="s">
        <v>706</v>
      </c>
      <c r="U151" s="246"/>
      <c r="V151" s="384" t="s">
        <v>438</v>
      </c>
      <c r="W151" s="246"/>
      <c r="X151" s="417" t="s">
        <v>452</v>
      </c>
      <c r="Y151" s="246"/>
      <c r="Z151" s="261"/>
      <c r="AA151" s="341"/>
      <c r="AB151" s="246"/>
      <c r="AC151" s="418" t="s">
        <v>394</v>
      </c>
      <c r="AD151" s="246"/>
      <c r="AE151" s="290" t="s">
        <v>467</v>
      </c>
      <c r="AF151" s="246"/>
      <c r="AG151" s="261"/>
      <c r="AH151" s="251" t="s">
        <v>706</v>
      </c>
      <c r="AI151" s="246"/>
      <c r="AJ151" s="384" t="s">
        <v>438</v>
      </c>
      <c r="AK151" s="246"/>
      <c r="AL151" s="290" t="s">
        <v>467</v>
      </c>
      <c r="AM151" s="246"/>
      <c r="AN151" s="261"/>
      <c r="AO151" s="341"/>
      <c r="AP151" s="246"/>
      <c r="AQ151" s="384" t="s">
        <v>438</v>
      </c>
      <c r="AR151" s="246"/>
      <c r="AS151" s="417" t="s">
        <v>452</v>
      </c>
      <c r="AT151" s="254" t="str">
        <f t="shared" si="100"/>
        <v/>
      </c>
      <c r="AU151" s="269"/>
      <c r="AV151" s="269"/>
      <c r="AW151" s="463" t="str">
        <f t="shared" ref="AW151:BD151" si="101">AW66</f>
        <v>#REF!</v>
      </c>
      <c r="AX151" s="206">
        <f t="shared" si="101"/>
        <v>49</v>
      </c>
      <c r="AY151" s="464">
        <f t="shared" si="101"/>
        <v>52</v>
      </c>
      <c r="AZ151" s="206">
        <f t="shared" si="101"/>
        <v>45</v>
      </c>
      <c r="BA151" s="206">
        <f t="shared" si="101"/>
        <v>43</v>
      </c>
      <c r="BB151" s="206">
        <f t="shared" si="101"/>
        <v>0</v>
      </c>
      <c r="BC151" s="465">
        <f t="shared" si="101"/>
        <v>1512</v>
      </c>
      <c r="BD151" s="206" t="str">
        <f t="shared" si="101"/>
        <v/>
      </c>
      <c r="BE151" s="466"/>
    </row>
    <row r="152">
      <c r="A152" s="94"/>
      <c r="B152" s="277" t="s">
        <v>705</v>
      </c>
      <c r="C152" s="329" t="s">
        <v>685</v>
      </c>
      <c r="D152" s="330"/>
      <c r="E152" s="259"/>
      <c r="F152" s="282"/>
      <c r="G152" s="246"/>
      <c r="H152" s="287" t="s">
        <v>440</v>
      </c>
      <c r="I152" s="246"/>
      <c r="J152" s="290" t="s">
        <v>467</v>
      </c>
      <c r="K152" s="246"/>
      <c r="L152" s="261"/>
      <c r="M152" s="341"/>
      <c r="N152" s="246"/>
      <c r="O152" s="287" t="s">
        <v>440</v>
      </c>
      <c r="P152" s="246"/>
      <c r="Q152" s="311" t="s">
        <v>470</v>
      </c>
      <c r="R152" s="246"/>
      <c r="S152" s="261"/>
      <c r="T152" s="311" t="s">
        <v>470</v>
      </c>
      <c r="U152" s="246"/>
      <c r="V152" s="420" t="s">
        <v>440</v>
      </c>
      <c r="W152" s="246"/>
      <c r="X152" s="290" t="s">
        <v>467</v>
      </c>
      <c r="Y152" s="246"/>
      <c r="Z152" s="261"/>
      <c r="AA152" s="341"/>
      <c r="AB152" s="246"/>
      <c r="AC152" s="384" t="s">
        <v>438</v>
      </c>
      <c r="AD152" s="246"/>
      <c r="AE152" s="311" t="s">
        <v>470</v>
      </c>
      <c r="AF152" s="246"/>
      <c r="AG152" s="261"/>
      <c r="AI152" s="246"/>
      <c r="AJ152" s="287" t="s">
        <v>440</v>
      </c>
      <c r="AK152" s="246"/>
      <c r="AL152" s="417" t="s">
        <v>452</v>
      </c>
      <c r="AM152" s="246"/>
      <c r="AN152" s="261"/>
      <c r="AO152" s="341"/>
      <c r="AP152" s="246"/>
      <c r="AQ152" s="287" t="s">
        <v>440</v>
      </c>
      <c r="AR152" s="246"/>
      <c r="AS152" s="251" t="s">
        <v>706</v>
      </c>
      <c r="AT152" s="254" t="str">
        <f t="shared" si="100"/>
        <v/>
      </c>
      <c r="AU152" s="269"/>
      <c r="AV152" s="269"/>
      <c r="AW152" s="463" t="str">
        <f t="shared" ref="AW152:BD152" si="102">AW67</f>
        <v>#REF!</v>
      </c>
      <c r="AX152" s="206">
        <f t="shared" si="102"/>
        <v>49</v>
      </c>
      <c r="AY152" s="464">
        <f t="shared" si="102"/>
        <v>52</v>
      </c>
      <c r="AZ152" s="206">
        <f t="shared" si="102"/>
        <v>45</v>
      </c>
      <c r="BA152" s="206">
        <f t="shared" si="102"/>
        <v>43</v>
      </c>
      <c r="BB152" s="206">
        <f t="shared" si="102"/>
        <v>0</v>
      </c>
      <c r="BC152" s="465">
        <f t="shared" si="102"/>
        <v>1512</v>
      </c>
      <c r="BD152" s="206" t="str">
        <f t="shared" si="102"/>
        <v/>
      </c>
      <c r="BE152" s="466"/>
    </row>
    <row r="153">
      <c r="A153" s="94"/>
      <c r="B153" s="271" t="s">
        <v>705</v>
      </c>
      <c r="C153" s="272" t="s">
        <v>687</v>
      </c>
      <c r="D153" s="369"/>
      <c r="E153" s="259"/>
      <c r="F153" s="311" t="s">
        <v>470</v>
      </c>
      <c r="G153" s="246"/>
      <c r="H153" s="265"/>
      <c r="I153" s="246"/>
      <c r="K153" s="246"/>
      <c r="L153" s="261"/>
      <c r="M153" s="341"/>
      <c r="N153" s="246"/>
      <c r="P153" s="246"/>
      <c r="R153" s="246"/>
      <c r="S153" s="261"/>
      <c r="U153" s="246"/>
      <c r="W153" s="246"/>
      <c r="Y153" s="246"/>
      <c r="Z153" s="261"/>
      <c r="AA153" s="341"/>
      <c r="AB153" s="246"/>
      <c r="AD153" s="246"/>
      <c r="AF153" s="246"/>
      <c r="AG153" s="261"/>
      <c r="AH153" s="311" t="s">
        <v>470</v>
      </c>
      <c r="AI153" s="246"/>
      <c r="AK153" s="246"/>
      <c r="AM153" s="246"/>
      <c r="AN153" s="261"/>
      <c r="AO153" s="341"/>
      <c r="AP153" s="246"/>
      <c r="AR153" s="246"/>
      <c r="AT153" s="254" t="str">
        <f>IF(COUNTIF($AO$85:$AT$87, AS150) &gt; 0, "X", "")</f>
        <v/>
      </c>
      <c r="AU153" s="269"/>
      <c r="AV153" s="269"/>
      <c r="AW153" s="463" t="str">
        <f t="shared" ref="AW153:BD153" si="103">AW68</f>
        <v>#REF!</v>
      </c>
      <c r="AX153" s="206">
        <f t="shared" si="103"/>
        <v>49</v>
      </c>
      <c r="AY153" s="464">
        <f t="shared" si="103"/>
        <v>52</v>
      </c>
      <c r="AZ153" s="206">
        <f t="shared" si="103"/>
        <v>45</v>
      </c>
      <c r="BA153" s="206">
        <f t="shared" si="103"/>
        <v>43</v>
      </c>
      <c r="BB153" s="206">
        <f t="shared" si="103"/>
        <v>0</v>
      </c>
      <c r="BC153" s="465">
        <f t="shared" si="103"/>
        <v>1512</v>
      </c>
      <c r="BD153" s="206" t="str">
        <f t="shared" si="103"/>
        <v/>
      </c>
      <c r="BE153" s="466"/>
    </row>
    <row r="154">
      <c r="A154" s="270"/>
      <c r="B154" s="397" t="s">
        <v>708</v>
      </c>
      <c r="C154" s="398" t="s">
        <v>654</v>
      </c>
      <c r="D154" s="330"/>
      <c r="E154" s="259"/>
      <c r="F154" s="275"/>
      <c r="G154" s="246"/>
      <c r="H154" s="384" t="s">
        <v>441</v>
      </c>
      <c r="I154" s="246"/>
      <c r="J154" s="418" t="s">
        <v>446</v>
      </c>
      <c r="K154" s="246"/>
      <c r="L154" s="261"/>
      <c r="M154" s="341"/>
      <c r="N154" s="246"/>
      <c r="O154" s="384" t="s">
        <v>441</v>
      </c>
      <c r="P154" s="246"/>
      <c r="Q154" s="418" t="s">
        <v>446</v>
      </c>
      <c r="R154" s="246"/>
      <c r="S154" s="261"/>
      <c r="T154" s="275"/>
      <c r="U154" s="246"/>
      <c r="V154" s="420" t="s">
        <v>469</v>
      </c>
      <c r="W154" s="246"/>
      <c r="X154" s="384" t="s">
        <v>441</v>
      </c>
      <c r="Y154" s="246"/>
      <c r="Z154" s="261"/>
      <c r="AA154" s="341"/>
      <c r="AB154" s="246"/>
      <c r="AC154" s="384" t="s">
        <v>441</v>
      </c>
      <c r="AD154" s="246"/>
      <c r="AE154" s="418" t="s">
        <v>446</v>
      </c>
      <c r="AF154" s="246"/>
      <c r="AG154" s="261"/>
      <c r="AH154" s="275"/>
      <c r="AI154" s="246"/>
      <c r="AJ154" s="384" t="s">
        <v>441</v>
      </c>
      <c r="AK154" s="246"/>
      <c r="AL154" s="418" t="s">
        <v>446</v>
      </c>
      <c r="AM154" s="246"/>
      <c r="AN154" s="261"/>
      <c r="AO154" s="341"/>
      <c r="AP154" s="246"/>
      <c r="AQ154" s="287" t="s">
        <v>469</v>
      </c>
      <c r="AR154" s="246"/>
      <c r="AS154" s="418" t="s">
        <v>446</v>
      </c>
      <c r="AT154" s="254" t="str">
        <f>IF(COUNTIF($AO$85:$AT$87, AQ125) &gt; 0, "X", "")</f>
        <v/>
      </c>
      <c r="AU154" s="269"/>
      <c r="AV154" s="269"/>
      <c r="AW154" s="463" t="str">
        <f t="shared" ref="AW154:BD154" si="104">AW69</f>
        <v>#REF!</v>
      </c>
      <c r="AX154" s="206">
        <f t="shared" si="104"/>
        <v>49</v>
      </c>
      <c r="AY154" s="464">
        <f t="shared" si="104"/>
        <v>52</v>
      </c>
      <c r="AZ154" s="206">
        <f t="shared" si="104"/>
        <v>45</v>
      </c>
      <c r="BA154" s="206">
        <f t="shared" si="104"/>
        <v>43</v>
      </c>
      <c r="BB154" s="206">
        <f t="shared" si="104"/>
        <v>0</v>
      </c>
      <c r="BC154" s="465">
        <f t="shared" si="104"/>
        <v>1512</v>
      </c>
      <c r="BD154" s="206" t="str">
        <f t="shared" si="104"/>
        <v/>
      </c>
      <c r="BE154" s="466"/>
    </row>
    <row r="155">
      <c r="A155" s="94"/>
      <c r="B155" s="277" t="s">
        <v>709</v>
      </c>
      <c r="C155" s="278" t="s">
        <v>710</v>
      </c>
      <c r="D155" s="330"/>
      <c r="E155" s="259"/>
      <c r="F155" s="281"/>
      <c r="G155" s="246"/>
      <c r="I155" s="246"/>
      <c r="J155" s="422"/>
      <c r="K155" s="246"/>
      <c r="L155" s="261"/>
      <c r="M155" s="341"/>
      <c r="N155" s="246"/>
      <c r="O155" s="422"/>
      <c r="P155" s="246"/>
      <c r="R155" s="246"/>
      <c r="S155" s="261"/>
      <c r="T155" s="281"/>
      <c r="U155" s="246"/>
      <c r="V155" s="265"/>
      <c r="W155" s="246"/>
      <c r="X155" s="422"/>
      <c r="Y155" s="246"/>
      <c r="Z155" s="261"/>
      <c r="AA155" s="341"/>
      <c r="AB155" s="246"/>
      <c r="AC155" s="265"/>
      <c r="AD155" s="246"/>
      <c r="AE155" s="265"/>
      <c r="AF155" s="246"/>
      <c r="AG155" s="261"/>
      <c r="AH155" s="281"/>
      <c r="AI155" s="246"/>
      <c r="AJ155" s="422"/>
      <c r="AK155" s="246"/>
      <c r="AL155" s="265"/>
      <c r="AM155" s="246"/>
      <c r="AN155" s="261"/>
      <c r="AO155" s="341"/>
      <c r="AP155" s="246"/>
      <c r="AQ155" s="422"/>
      <c r="AR155" s="246"/>
      <c r="AS155" s="422"/>
      <c r="AT155" s="254" t="str">
        <f t="shared" ref="AT155:AT156" si="106">IF(COUNTIF($AO$85:$AT$87, AS155) &gt; 0, "X", "")</f>
        <v/>
      </c>
      <c r="AU155" s="269"/>
      <c r="AV155" s="269"/>
      <c r="AW155" s="463" t="str">
        <f t="shared" ref="AW155:BD155" si="105">AW70</f>
        <v>#REF!</v>
      </c>
      <c r="AX155" s="206">
        <f t="shared" si="105"/>
        <v>49</v>
      </c>
      <c r="AY155" s="464">
        <f t="shared" si="105"/>
        <v>52</v>
      </c>
      <c r="AZ155" s="206">
        <f t="shared" si="105"/>
        <v>45</v>
      </c>
      <c r="BA155" s="206">
        <f t="shared" si="105"/>
        <v>43</v>
      </c>
      <c r="BB155" s="206">
        <f t="shared" si="105"/>
        <v>0</v>
      </c>
      <c r="BC155" s="465">
        <f t="shared" si="105"/>
        <v>1512</v>
      </c>
      <c r="BD155" s="206" t="str">
        <f t="shared" si="105"/>
        <v/>
      </c>
      <c r="BE155" s="466"/>
    </row>
    <row r="156">
      <c r="A156" s="94"/>
      <c r="B156" s="271" t="s">
        <v>712</v>
      </c>
      <c r="C156" s="272" t="s">
        <v>710</v>
      </c>
      <c r="D156" s="323"/>
      <c r="E156" s="259"/>
      <c r="F156" s="282"/>
      <c r="G156" s="246"/>
      <c r="H156" s="265"/>
      <c r="I156" s="246"/>
      <c r="J156" s="426"/>
      <c r="K156" s="246"/>
      <c r="L156" s="261"/>
      <c r="M156" s="341"/>
      <c r="N156" s="246"/>
      <c r="O156" s="265"/>
      <c r="P156" s="246"/>
      <c r="Q156" s="426"/>
      <c r="R156" s="246"/>
      <c r="S156" s="261"/>
      <c r="T156" s="282"/>
      <c r="U156" s="246"/>
      <c r="V156" s="265"/>
      <c r="W156" s="246"/>
      <c r="X156" s="265"/>
      <c r="Y156" s="246"/>
      <c r="Z156" s="261"/>
      <c r="AA156" s="341"/>
      <c r="AB156" s="246"/>
      <c r="AC156" s="426"/>
      <c r="AD156" s="246"/>
      <c r="AE156" s="426"/>
      <c r="AF156" s="246"/>
      <c r="AG156" s="261"/>
      <c r="AH156" s="282"/>
      <c r="AI156" s="246"/>
      <c r="AJ156" s="422"/>
      <c r="AK156" s="246"/>
      <c r="AL156" s="426"/>
      <c r="AM156" s="246"/>
      <c r="AN156" s="261"/>
      <c r="AO156" s="341"/>
      <c r="AP156" s="246"/>
      <c r="AQ156" s="426"/>
      <c r="AR156" s="246"/>
      <c r="AS156" s="265"/>
      <c r="AT156" s="254" t="str">
        <f t="shared" si="106"/>
        <v/>
      </c>
      <c r="AU156" s="269"/>
      <c r="AV156" s="269"/>
      <c r="AW156" s="463" t="str">
        <f t="shared" ref="AW156:BD156" si="107">AW71</f>
        <v>#REF!</v>
      </c>
      <c r="AX156" s="206">
        <f t="shared" si="107"/>
        <v>49</v>
      </c>
      <c r="AY156" s="464">
        <f t="shared" si="107"/>
        <v>52</v>
      </c>
      <c r="AZ156" s="206">
        <f t="shared" si="107"/>
        <v>45</v>
      </c>
      <c r="BA156" s="206">
        <f t="shared" si="107"/>
        <v>43</v>
      </c>
      <c r="BB156" s="206">
        <f t="shared" si="107"/>
        <v>0</v>
      </c>
      <c r="BC156" s="465">
        <f t="shared" si="107"/>
        <v>1512</v>
      </c>
      <c r="BD156" s="206" t="str">
        <f t="shared" si="107"/>
        <v/>
      </c>
      <c r="BE156" s="466"/>
    </row>
    <row r="157">
      <c r="A157" s="94"/>
      <c r="B157" s="429" t="s">
        <v>714</v>
      </c>
      <c r="C157" s="430"/>
      <c r="D157" s="431"/>
      <c r="E157" s="259"/>
      <c r="F157" s="432"/>
      <c r="G157" s="433"/>
      <c r="H157" s="432"/>
      <c r="I157" s="432"/>
      <c r="J157" s="432"/>
      <c r="K157" s="432"/>
      <c r="L157" s="261"/>
      <c r="M157" s="432"/>
      <c r="N157" s="433"/>
      <c r="O157" s="432"/>
      <c r="P157" s="432"/>
      <c r="Q157" s="432"/>
      <c r="R157" s="432"/>
      <c r="S157" s="261"/>
      <c r="T157" s="432"/>
      <c r="U157" s="433"/>
      <c r="V157" s="432"/>
      <c r="W157" s="432"/>
      <c r="X157" s="432"/>
      <c r="Y157" s="432"/>
      <c r="Z157" s="261"/>
      <c r="AA157" s="432"/>
      <c r="AB157" s="433"/>
      <c r="AC157" s="432"/>
      <c r="AD157" s="432"/>
      <c r="AE157" s="432"/>
      <c r="AF157" s="432"/>
      <c r="AG157" s="261"/>
      <c r="AH157" s="432"/>
      <c r="AI157" s="433"/>
      <c r="AJ157" s="432"/>
      <c r="AK157" s="432"/>
      <c r="AL157" s="432"/>
      <c r="AM157" s="432"/>
      <c r="AN157" s="261"/>
      <c r="AO157" s="432"/>
      <c r="AP157" s="433"/>
      <c r="AQ157" s="432"/>
      <c r="AR157" s="432"/>
      <c r="AS157" s="432"/>
      <c r="AT157" s="430"/>
      <c r="AU157" s="269"/>
      <c r="AV157" s="269"/>
      <c r="AW157" s="463" t="str">
        <f t="shared" ref="AW157:BD157" si="108">AW72</f>
        <v>#REF!</v>
      </c>
      <c r="AX157" s="206">
        <f t="shared" si="108"/>
        <v>49</v>
      </c>
      <c r="AY157" s="464">
        <f t="shared" si="108"/>
        <v>52</v>
      </c>
      <c r="AZ157" s="206">
        <f t="shared" si="108"/>
        <v>45</v>
      </c>
      <c r="BA157" s="206">
        <f t="shared" si="108"/>
        <v>43</v>
      </c>
      <c r="BB157" s="206">
        <f t="shared" si="108"/>
        <v>0</v>
      </c>
      <c r="BC157" s="465">
        <f t="shared" si="108"/>
        <v>1512</v>
      </c>
      <c r="BD157" s="206" t="str">
        <f t="shared" si="108"/>
        <v/>
      </c>
      <c r="BE157" s="466"/>
    </row>
    <row r="158">
      <c r="A158" s="94"/>
      <c r="B158" s="401" t="s">
        <v>715</v>
      </c>
      <c r="C158" s="412" t="s">
        <v>716</v>
      </c>
      <c r="D158" s="323"/>
      <c r="E158" s="259"/>
      <c r="F158" s="434" t="str">
        <f>AW69</f>
        <v>#REF!</v>
      </c>
      <c r="G158" s="246"/>
      <c r="H158" s="434" t="s">
        <v>766</v>
      </c>
      <c r="I158" s="246"/>
      <c r="J158" s="434" t="str">
        <f>TEAM!B71</f>
        <v>#REF!</v>
      </c>
      <c r="K158" s="246"/>
      <c r="L158" s="261"/>
      <c r="M158" s="434" t="str">
        <f>AW69</f>
        <v>#REF!</v>
      </c>
      <c r="N158" s="246"/>
      <c r="O158" s="434" t="str">
        <f t="shared" ref="O158:O159" si="110">TEAM!B76</f>
        <v>#REF!</v>
      </c>
      <c r="P158" s="246"/>
      <c r="Q158" s="434" t="str">
        <f>TEAM!B71</f>
        <v>#REF!</v>
      </c>
      <c r="R158" s="246"/>
      <c r="S158" s="261"/>
      <c r="T158" s="434"/>
      <c r="U158" s="246"/>
      <c r="V158" s="434" t="str">
        <f t="shared" ref="V158:V159" si="111">TEAM!B76</f>
        <v>#REF!</v>
      </c>
      <c r="W158" s="246"/>
      <c r="X158" s="434"/>
      <c r="Y158" s="246"/>
      <c r="Z158" s="261"/>
      <c r="AA158" s="434" t="str">
        <f>AW69</f>
        <v>#REF!</v>
      </c>
      <c r="AB158" s="246"/>
      <c r="AC158" s="434" t="str">
        <f t="shared" ref="AC158:AC159" si="112">TEAM!B76</f>
        <v>#REF!</v>
      </c>
      <c r="AD158" s="246"/>
      <c r="AE158" s="434" t="str">
        <f>TEAM!B71</f>
        <v>#REF!</v>
      </c>
      <c r="AF158" s="246"/>
      <c r="AG158" s="261"/>
      <c r="AH158" s="434" t="str">
        <f>AW69</f>
        <v>#REF!</v>
      </c>
      <c r="AI158" s="246"/>
      <c r="AJ158" s="434" t="str">
        <f t="shared" ref="AJ158:AJ159" si="113">TEAM!B76</f>
        <v>#REF!</v>
      </c>
      <c r="AK158" s="246"/>
      <c r="AL158" s="434" t="str">
        <f>TEAM!B71</f>
        <v>#REF!</v>
      </c>
      <c r="AM158" s="246"/>
      <c r="AN158" s="261"/>
      <c r="AO158" s="434" t="str">
        <f>AW69</f>
        <v>#REF!</v>
      </c>
      <c r="AP158" s="246"/>
      <c r="AQ158" s="434" t="str">
        <f>TEAM!B71</f>
        <v>#REF!</v>
      </c>
      <c r="AR158" s="246"/>
      <c r="AS158" s="434"/>
      <c r="AT158" s="254" t="str">
        <f t="shared" ref="AT158:AT170" si="114">IF(COUNTIF($AO$85:$AT$87, AS158) &gt; 0, "X", "")</f>
        <v/>
      </c>
      <c r="AU158" s="269"/>
      <c r="AV158" s="269"/>
      <c r="AW158" s="463" t="str">
        <f t="shared" ref="AW158:BD158" si="109">AW73</f>
        <v>#REF!</v>
      </c>
      <c r="AX158" s="206">
        <f t="shared" si="109"/>
        <v>49</v>
      </c>
      <c r="AY158" s="464">
        <f t="shared" si="109"/>
        <v>52</v>
      </c>
      <c r="AZ158" s="206">
        <f t="shared" si="109"/>
        <v>45</v>
      </c>
      <c r="BA158" s="206">
        <f t="shared" si="109"/>
        <v>43</v>
      </c>
      <c r="BB158" s="206">
        <f t="shared" si="109"/>
        <v>0</v>
      </c>
      <c r="BC158" s="465">
        <f t="shared" si="109"/>
        <v>1512</v>
      </c>
      <c r="BD158" s="206" t="str">
        <f t="shared" si="109"/>
        <v/>
      </c>
      <c r="BE158" s="466"/>
    </row>
    <row r="159">
      <c r="A159" s="94"/>
      <c r="B159" s="435" t="s">
        <v>717</v>
      </c>
      <c r="C159" s="415" t="s">
        <v>718</v>
      </c>
      <c r="D159" s="363"/>
      <c r="E159" s="259"/>
      <c r="F159" s="406"/>
      <c r="G159" s="246"/>
      <c r="H159" s="406" t="str">
        <f>TEAM!B78</f>
        <v>#REF!</v>
      </c>
      <c r="I159" s="246"/>
      <c r="J159" s="406"/>
      <c r="K159" s="246"/>
      <c r="L159" s="261"/>
      <c r="M159" s="406"/>
      <c r="N159" s="246"/>
      <c r="O159" s="406" t="str">
        <f t="shared" si="110"/>
        <v>#REF!</v>
      </c>
      <c r="P159" s="246"/>
      <c r="Q159" s="406"/>
      <c r="R159" s="246"/>
      <c r="S159" s="261"/>
      <c r="T159" s="406"/>
      <c r="U159" s="246"/>
      <c r="V159" s="406" t="str">
        <f t="shared" si="111"/>
        <v>#REF!</v>
      </c>
      <c r="W159" s="246"/>
      <c r="X159" s="406"/>
      <c r="Y159" s="246"/>
      <c r="Z159" s="261"/>
      <c r="AA159" s="406"/>
      <c r="AB159" s="246"/>
      <c r="AC159" s="406" t="str">
        <f t="shared" si="112"/>
        <v>#REF!</v>
      </c>
      <c r="AD159" s="246"/>
      <c r="AE159" s="406"/>
      <c r="AF159" s="246"/>
      <c r="AG159" s="261"/>
      <c r="AH159" s="406"/>
      <c r="AI159" s="246"/>
      <c r="AJ159" s="406" t="str">
        <f t="shared" si="113"/>
        <v>#REF!</v>
      </c>
      <c r="AK159" s="246"/>
      <c r="AL159" s="406"/>
      <c r="AM159" s="246"/>
      <c r="AN159" s="261"/>
      <c r="AO159" s="406"/>
      <c r="AP159" s="246"/>
      <c r="AQ159" s="406" t="str">
        <f>TEAM!B77</f>
        <v>#REF!</v>
      </c>
      <c r="AR159" s="246"/>
      <c r="AS159" s="406"/>
      <c r="AT159" s="254" t="str">
        <f t="shared" si="114"/>
        <v/>
      </c>
      <c r="AU159" s="269"/>
      <c r="AV159" s="269"/>
      <c r="AW159" s="463" t="str">
        <f t="shared" ref="AW159:BD159" si="115">AW74</f>
        <v>#REF!</v>
      </c>
      <c r="AX159" s="206">
        <f t="shared" si="115"/>
        <v>49</v>
      </c>
      <c r="AY159" s="464">
        <f t="shared" si="115"/>
        <v>52</v>
      </c>
      <c r="AZ159" s="206">
        <f t="shared" si="115"/>
        <v>45</v>
      </c>
      <c r="BA159" s="206">
        <f t="shared" si="115"/>
        <v>43</v>
      </c>
      <c r="BB159" s="206">
        <f t="shared" si="115"/>
        <v>0</v>
      </c>
      <c r="BC159" s="465">
        <f t="shared" si="115"/>
        <v>1512</v>
      </c>
      <c r="BD159" s="206" t="str">
        <f t="shared" si="115"/>
        <v/>
      </c>
      <c r="BE159" s="466"/>
    </row>
    <row r="160">
      <c r="A160" s="94"/>
      <c r="B160" s="436" t="s">
        <v>719</v>
      </c>
      <c r="C160" s="437" t="s">
        <v>720</v>
      </c>
      <c r="D160" s="330"/>
      <c r="E160" s="259"/>
      <c r="F160" s="406"/>
      <c r="G160" s="246"/>
      <c r="H160" s="406" t="str">
        <f>TEAM!B80</f>
        <v>#REF!</v>
      </c>
      <c r="I160" s="246"/>
      <c r="J160" s="406"/>
      <c r="K160" s="246"/>
      <c r="L160" s="261"/>
      <c r="M160" s="406"/>
      <c r="N160" s="246"/>
      <c r="O160" s="406" t="str">
        <f>TEAM!B80</f>
        <v>#REF!</v>
      </c>
      <c r="P160" s="246"/>
      <c r="Q160" s="406"/>
      <c r="R160" s="246"/>
      <c r="S160" s="261"/>
      <c r="T160" s="406"/>
      <c r="U160" s="246"/>
      <c r="V160" s="406" t="str">
        <f>TEAM!B80</f>
        <v>#REF!</v>
      </c>
      <c r="W160" s="246"/>
      <c r="X160" s="406"/>
      <c r="Y160" s="246"/>
      <c r="Z160" s="261"/>
      <c r="AA160" s="406"/>
      <c r="AB160" s="246"/>
      <c r="AC160" s="493" t="s">
        <v>767</v>
      </c>
      <c r="AD160" s="246"/>
      <c r="AE160" s="406"/>
      <c r="AF160" s="246"/>
      <c r="AG160" s="261"/>
      <c r="AH160" s="406"/>
      <c r="AI160" s="246"/>
      <c r="AJ160" s="494" t="s">
        <v>768</v>
      </c>
      <c r="AK160" s="246"/>
      <c r="AL160" s="406"/>
      <c r="AM160" s="246"/>
      <c r="AN160" s="261"/>
      <c r="AO160" s="406"/>
      <c r="AP160" s="246"/>
      <c r="AQ160" s="406"/>
      <c r="AR160" s="246"/>
      <c r="AS160" s="406"/>
      <c r="AT160" s="254" t="str">
        <f t="shared" si="114"/>
        <v/>
      </c>
      <c r="AU160" s="269"/>
      <c r="AV160" s="269"/>
      <c r="AW160" s="463" t="str">
        <f t="shared" ref="AW160:BD160" si="116">AW75</f>
        <v>#REF!</v>
      </c>
      <c r="AX160" s="206">
        <f t="shared" si="116"/>
        <v>49</v>
      </c>
      <c r="AY160" s="464">
        <f t="shared" si="116"/>
        <v>52</v>
      </c>
      <c r="AZ160" s="206">
        <f t="shared" si="116"/>
        <v>45</v>
      </c>
      <c r="BA160" s="206">
        <f t="shared" si="116"/>
        <v>43</v>
      </c>
      <c r="BB160" s="206">
        <f t="shared" si="116"/>
        <v>0</v>
      </c>
      <c r="BC160" s="465">
        <f t="shared" si="116"/>
        <v>1512</v>
      </c>
      <c r="BD160" s="206" t="str">
        <f t="shared" si="116"/>
        <v/>
      </c>
      <c r="BE160" s="466"/>
    </row>
    <row r="161">
      <c r="A161" s="94"/>
      <c r="B161" s="439" t="s">
        <v>721</v>
      </c>
      <c r="C161" s="440" t="s">
        <v>722</v>
      </c>
      <c r="D161" s="330"/>
      <c r="E161" s="259"/>
      <c r="F161" s="406"/>
      <c r="G161" s="246"/>
      <c r="H161" s="406" t="str">
        <f>TEAM!B75</f>
        <v>#REF!</v>
      </c>
      <c r="I161" s="246"/>
      <c r="J161" s="406"/>
      <c r="K161" s="246"/>
      <c r="L161" s="261"/>
      <c r="M161" s="406"/>
      <c r="N161" s="246"/>
      <c r="O161" s="406" t="str">
        <f>TEAM!B75</f>
        <v>#REF!</v>
      </c>
      <c r="P161" s="246"/>
      <c r="Q161" s="406"/>
      <c r="R161" s="246"/>
      <c r="S161" s="261"/>
      <c r="T161" s="406"/>
      <c r="U161" s="246"/>
      <c r="V161" s="406" t="str">
        <f t="shared" ref="V161:V162" si="118">TEAM!B78</f>
        <v>#REF!</v>
      </c>
      <c r="W161" s="246"/>
      <c r="Y161" s="246"/>
      <c r="Z161" s="261"/>
      <c r="AA161" s="406"/>
      <c r="AB161" s="246"/>
      <c r="AC161" s="406" t="str">
        <f>TEAM!B75</f>
        <v>#REF!</v>
      </c>
      <c r="AD161" s="246"/>
      <c r="AE161" s="406"/>
      <c r="AF161" s="246"/>
      <c r="AG161" s="261"/>
      <c r="AH161" s="406"/>
      <c r="AI161" s="246"/>
      <c r="AJ161" s="406" t="str">
        <f>TEAM!B75</f>
        <v>#REF!</v>
      </c>
      <c r="AK161" s="246"/>
      <c r="AL161" s="406"/>
      <c r="AM161" s="246"/>
      <c r="AN161" s="261"/>
      <c r="AO161" s="406"/>
      <c r="AP161" s="246"/>
      <c r="AQ161" s="406"/>
      <c r="AR161" s="246"/>
      <c r="AS161" s="406"/>
      <c r="AT161" s="254" t="str">
        <f t="shared" si="114"/>
        <v/>
      </c>
      <c r="AU161" s="269"/>
      <c r="AV161" s="269"/>
      <c r="AW161" s="463" t="str">
        <f t="shared" ref="AW161:BD161" si="117">AW76</f>
        <v>#REF!</v>
      </c>
      <c r="AX161" s="206">
        <f t="shared" si="117"/>
        <v>49</v>
      </c>
      <c r="AY161" s="464">
        <f t="shared" si="117"/>
        <v>52</v>
      </c>
      <c r="AZ161" s="206">
        <f t="shared" si="117"/>
        <v>45</v>
      </c>
      <c r="BA161" s="206">
        <f t="shared" si="117"/>
        <v>43</v>
      </c>
      <c r="BB161" s="206">
        <f t="shared" si="117"/>
        <v>0</v>
      </c>
      <c r="BC161" s="465">
        <f t="shared" si="117"/>
        <v>1512</v>
      </c>
      <c r="BD161" s="206" t="str">
        <f t="shared" si="117"/>
        <v/>
      </c>
      <c r="BE161" s="466"/>
    </row>
    <row r="162">
      <c r="A162" s="94"/>
      <c r="B162" s="439" t="s">
        <v>723</v>
      </c>
      <c r="C162" s="440" t="s">
        <v>724</v>
      </c>
      <c r="D162" s="330"/>
      <c r="E162" s="259"/>
      <c r="F162" s="441"/>
      <c r="G162" s="246"/>
      <c r="H162" s="406" t="str">
        <f>TEAM!B79</f>
        <v>#REF!</v>
      </c>
      <c r="I162" s="246"/>
      <c r="J162" s="441"/>
      <c r="K162" s="246"/>
      <c r="L162" s="261"/>
      <c r="M162" s="441"/>
      <c r="N162" s="246"/>
      <c r="O162" s="406" t="str">
        <f>TEAM!B79</f>
        <v>#REF!</v>
      </c>
      <c r="P162" s="246"/>
      <c r="Q162" s="441"/>
      <c r="R162" s="246"/>
      <c r="S162" s="261"/>
      <c r="T162" s="441"/>
      <c r="U162" s="246"/>
      <c r="V162" s="406" t="str">
        <f t="shared" si="118"/>
        <v>#REF!</v>
      </c>
      <c r="W162" s="246"/>
      <c r="X162" s="441"/>
      <c r="Y162" s="246"/>
      <c r="Z162" s="261"/>
      <c r="AA162" s="441"/>
      <c r="AB162" s="246"/>
      <c r="AC162" s="406" t="str">
        <f t="shared" ref="AC162:AC163" si="120">TEAM!B78</f>
        <v>#REF!</v>
      </c>
      <c r="AD162" s="246"/>
      <c r="AE162" s="441"/>
      <c r="AF162" s="246"/>
      <c r="AG162" s="261"/>
      <c r="AH162" s="441"/>
      <c r="AI162" s="246"/>
      <c r="AJ162" s="406" t="str">
        <f t="shared" ref="AJ162:AJ163" si="121">TEAM!B79</f>
        <v>#REF!</v>
      </c>
      <c r="AK162" s="246"/>
      <c r="AL162" s="441"/>
      <c r="AM162" s="246"/>
      <c r="AN162" s="261"/>
      <c r="AO162" s="441"/>
      <c r="AP162" s="246"/>
      <c r="AQ162" s="406"/>
      <c r="AR162" s="246"/>
      <c r="AS162" s="441"/>
      <c r="AT162" s="254" t="str">
        <f t="shared" si="114"/>
        <v/>
      </c>
      <c r="AU162" s="269"/>
      <c r="AV162" s="269"/>
      <c r="AW162" s="463" t="str">
        <f t="shared" ref="AW162:BD162" si="119">AW77</f>
        <v>#REF!</v>
      </c>
      <c r="AX162" s="206">
        <f t="shared" si="119"/>
        <v>49</v>
      </c>
      <c r="AY162" s="464">
        <f t="shared" si="119"/>
        <v>52</v>
      </c>
      <c r="AZ162" s="206">
        <f t="shared" si="119"/>
        <v>45</v>
      </c>
      <c r="BA162" s="206">
        <f t="shared" si="119"/>
        <v>43</v>
      </c>
      <c r="BB162" s="206">
        <f t="shared" si="119"/>
        <v>0</v>
      </c>
      <c r="BC162" s="465">
        <f t="shared" si="119"/>
        <v>1512</v>
      </c>
      <c r="BD162" s="206" t="str">
        <f t="shared" si="119"/>
        <v/>
      </c>
      <c r="BE162" s="466"/>
    </row>
    <row r="163">
      <c r="A163" s="94"/>
      <c r="B163" s="439" t="s">
        <v>725</v>
      </c>
      <c r="C163" s="442" t="s">
        <v>726</v>
      </c>
      <c r="D163" s="330"/>
      <c r="E163" s="259"/>
      <c r="F163" s="441"/>
      <c r="G163" s="246"/>
      <c r="H163" s="441" t="str">
        <f>TEAM!B73</f>
        <v>#REF!</v>
      </c>
      <c r="I163" s="246"/>
      <c r="J163" s="441"/>
      <c r="K163" s="246"/>
      <c r="L163" s="261"/>
      <c r="M163" s="441"/>
      <c r="N163" s="246"/>
      <c r="O163" s="441" t="str">
        <f>TEAM!B78</f>
        <v>#REF!</v>
      </c>
      <c r="P163" s="246"/>
      <c r="Q163" s="441"/>
      <c r="R163" s="246"/>
      <c r="S163" s="261"/>
      <c r="T163" s="441"/>
      <c r="U163" s="246"/>
      <c r="V163" s="441" t="str">
        <f>TEAM!B74</f>
        <v>#REF!</v>
      </c>
      <c r="W163" s="246"/>
      <c r="X163" s="441"/>
      <c r="Y163" s="246"/>
      <c r="Z163" s="261"/>
      <c r="AA163" s="441"/>
      <c r="AB163" s="246"/>
      <c r="AC163" s="441" t="str">
        <f t="shared" si="120"/>
        <v>#REF!</v>
      </c>
      <c r="AD163" s="246"/>
      <c r="AE163" s="441"/>
      <c r="AF163" s="246"/>
      <c r="AG163" s="261"/>
      <c r="AH163" s="441"/>
      <c r="AI163" s="246"/>
      <c r="AJ163" s="441" t="str">
        <f t="shared" si="121"/>
        <v>#REF!</v>
      </c>
      <c r="AK163" s="246"/>
      <c r="AL163" s="441"/>
      <c r="AM163" s="246"/>
      <c r="AN163" s="261"/>
      <c r="AO163" s="441"/>
      <c r="AP163" s="246"/>
      <c r="AQ163" s="441" t="str">
        <f>TEAM!B80</f>
        <v>#REF!</v>
      </c>
      <c r="AR163" s="246"/>
      <c r="AS163" s="441"/>
      <c r="AT163" s="254" t="str">
        <f t="shared" si="114"/>
        <v/>
      </c>
      <c r="AU163" s="269"/>
      <c r="AV163" s="269"/>
      <c r="AW163" s="463" t="str">
        <f t="shared" ref="AW163:BD163" si="122">AW78</f>
        <v>#REF!</v>
      </c>
      <c r="AX163" s="206">
        <f t="shared" si="122"/>
        <v>49</v>
      </c>
      <c r="AY163" s="464">
        <f t="shared" si="122"/>
        <v>52</v>
      </c>
      <c r="AZ163" s="206">
        <f t="shared" si="122"/>
        <v>45</v>
      </c>
      <c r="BA163" s="206">
        <f t="shared" si="122"/>
        <v>43</v>
      </c>
      <c r="BB163" s="206">
        <f t="shared" si="122"/>
        <v>0</v>
      </c>
      <c r="BC163" s="465">
        <f t="shared" si="122"/>
        <v>1512</v>
      </c>
      <c r="BD163" s="206" t="str">
        <f t="shared" si="122"/>
        <v/>
      </c>
      <c r="BE163" s="466"/>
    </row>
    <row r="164">
      <c r="A164" s="94"/>
      <c r="B164" s="444" t="s">
        <v>727</v>
      </c>
      <c r="C164" s="445" t="s">
        <v>728</v>
      </c>
      <c r="D164" s="369"/>
      <c r="E164" s="259"/>
      <c r="F164" s="446"/>
      <c r="G164" s="246"/>
      <c r="H164" s="446"/>
      <c r="I164" s="246"/>
      <c r="J164" s="446"/>
      <c r="K164" s="246"/>
      <c r="L164" s="261"/>
      <c r="M164" s="446"/>
      <c r="N164" s="246"/>
      <c r="O164" s="446"/>
      <c r="P164" s="246"/>
      <c r="Q164" s="446"/>
      <c r="R164" s="246"/>
      <c r="S164" s="261"/>
      <c r="T164" s="446"/>
      <c r="U164" s="246"/>
      <c r="V164" s="446"/>
      <c r="W164" s="246"/>
      <c r="X164" s="446"/>
      <c r="Y164" s="246"/>
      <c r="Z164" s="261"/>
      <c r="AA164" s="446"/>
      <c r="AB164" s="246"/>
      <c r="AC164" s="446"/>
      <c r="AD164" s="246"/>
      <c r="AE164" s="446"/>
      <c r="AF164" s="246"/>
      <c r="AG164" s="261"/>
      <c r="AH164" s="446"/>
      <c r="AI164" s="246"/>
      <c r="AJ164" s="446"/>
      <c r="AK164" s="246"/>
      <c r="AL164" s="446"/>
      <c r="AM164" s="246"/>
      <c r="AN164" s="261"/>
      <c r="AO164" s="446"/>
      <c r="AP164" s="246"/>
      <c r="AQ164" s="446"/>
      <c r="AR164" s="246"/>
      <c r="AS164" s="446"/>
      <c r="AT164" s="254" t="str">
        <f t="shared" si="114"/>
        <v/>
      </c>
      <c r="AU164" s="269"/>
      <c r="AV164" s="269"/>
      <c r="AW164" s="463" t="str">
        <f t="shared" ref="AW164:BD164" si="123">AW79</f>
        <v>#REF!</v>
      </c>
      <c r="AX164" s="206">
        <f t="shared" si="123"/>
        <v>49</v>
      </c>
      <c r="AY164" s="464">
        <f t="shared" si="123"/>
        <v>52</v>
      </c>
      <c r="AZ164" s="206">
        <f t="shared" si="123"/>
        <v>45</v>
      </c>
      <c r="BA164" s="206">
        <f t="shared" si="123"/>
        <v>43</v>
      </c>
      <c r="BB164" s="206">
        <f t="shared" si="123"/>
        <v>0</v>
      </c>
      <c r="BC164" s="465">
        <f t="shared" si="123"/>
        <v>1512</v>
      </c>
      <c r="BD164" s="206" t="str">
        <f t="shared" si="123"/>
        <v/>
      </c>
      <c r="BE164" s="466"/>
    </row>
    <row r="165">
      <c r="A165" s="94"/>
      <c r="B165" s="447" t="s">
        <v>729</v>
      </c>
      <c r="C165" s="448" t="s">
        <v>730</v>
      </c>
      <c r="D165" s="330"/>
      <c r="E165" s="259"/>
      <c r="F165" s="441"/>
      <c r="G165" s="246"/>
      <c r="H165" s="441"/>
      <c r="I165" s="246"/>
      <c r="J165" s="441"/>
      <c r="K165" s="246"/>
      <c r="L165" s="261"/>
      <c r="M165" s="441"/>
      <c r="N165" s="246"/>
      <c r="O165" s="441"/>
      <c r="P165" s="246"/>
      <c r="Q165" s="441"/>
      <c r="R165" s="246"/>
      <c r="S165" s="261"/>
      <c r="T165" s="441"/>
      <c r="U165" s="246"/>
      <c r="V165" s="441"/>
      <c r="W165" s="246"/>
      <c r="X165" s="441"/>
      <c r="Y165" s="246"/>
      <c r="Z165" s="261"/>
      <c r="AA165" s="441"/>
      <c r="AB165" s="246"/>
      <c r="AC165" s="441"/>
      <c r="AD165" s="246"/>
      <c r="AE165" s="441"/>
      <c r="AF165" s="246"/>
      <c r="AG165" s="261"/>
      <c r="AH165" s="441"/>
      <c r="AI165" s="246"/>
      <c r="AJ165" s="441"/>
      <c r="AK165" s="246"/>
      <c r="AL165" s="441"/>
      <c r="AM165" s="246"/>
      <c r="AN165" s="261"/>
      <c r="AO165" s="441"/>
      <c r="AP165" s="246"/>
      <c r="AQ165" s="441"/>
      <c r="AR165" s="246"/>
      <c r="AS165" s="441"/>
      <c r="AT165" s="254" t="str">
        <f t="shared" si="114"/>
        <v/>
      </c>
      <c r="AU165" s="269"/>
      <c r="AV165" s="269"/>
      <c r="AW165" s="463" t="str">
        <f t="shared" ref="AW165:BD165" si="124">AW80</f>
        <v>#REF!</v>
      </c>
      <c r="AX165" s="206">
        <f t="shared" si="124"/>
        <v>49</v>
      </c>
      <c r="AY165" s="464">
        <f t="shared" si="124"/>
        <v>52</v>
      </c>
      <c r="AZ165" s="206">
        <f t="shared" si="124"/>
        <v>45</v>
      </c>
      <c r="BA165" s="206">
        <f t="shared" si="124"/>
        <v>43</v>
      </c>
      <c r="BB165" s="206">
        <f t="shared" si="124"/>
        <v>0</v>
      </c>
      <c r="BC165" s="465">
        <f t="shared" si="124"/>
        <v>1512</v>
      </c>
      <c r="BD165" s="206" t="str">
        <f t="shared" si="124"/>
        <v/>
      </c>
      <c r="BE165" s="466"/>
    </row>
    <row r="166">
      <c r="A166" s="94"/>
      <c r="B166" s="450" t="s">
        <v>731</v>
      </c>
      <c r="C166" s="451" t="s">
        <v>732</v>
      </c>
      <c r="D166" s="363"/>
      <c r="E166" s="259"/>
      <c r="F166" s="206"/>
      <c r="G166" s="246"/>
      <c r="H166" s="495" t="str">
        <f>TEAM!B74</f>
        <v>#REF!</v>
      </c>
      <c r="I166" s="246"/>
      <c r="J166" s="206"/>
      <c r="K166" s="246"/>
      <c r="L166" s="261"/>
      <c r="M166" s="206"/>
      <c r="N166" s="246"/>
      <c r="O166" s="206" t="str">
        <f>TEAM!B74</f>
        <v>#REF!</v>
      </c>
      <c r="P166" s="246"/>
      <c r="Q166" s="206"/>
      <c r="R166" s="246"/>
      <c r="S166" s="261"/>
      <c r="T166" s="206"/>
      <c r="U166" s="246"/>
      <c r="V166" s="206" t="str">
        <f>TEAM!B73</f>
        <v>#REF!</v>
      </c>
      <c r="W166" s="246"/>
      <c r="X166" s="206"/>
      <c r="Y166" s="246"/>
      <c r="Z166" s="261"/>
      <c r="AA166" s="496" t="str">
        <f>TEAM!B74</f>
        <v>#REF!</v>
      </c>
      <c r="AB166" s="246"/>
      <c r="AC166" s="497" t="str">
        <f>TEAM!B73</f>
        <v>#REF!</v>
      </c>
      <c r="AD166" s="246"/>
      <c r="AE166" s="206"/>
      <c r="AF166" s="246"/>
      <c r="AG166" s="261"/>
      <c r="AH166" s="498" t="str">
        <f>AW76</f>
        <v>#REF!</v>
      </c>
      <c r="AI166" s="246"/>
      <c r="AJ166" s="499" t="s">
        <v>769</v>
      </c>
      <c r="AK166" s="246"/>
      <c r="AL166" s="206"/>
      <c r="AM166" s="246"/>
      <c r="AN166" s="261"/>
      <c r="AO166" s="206"/>
      <c r="AP166" s="246"/>
      <c r="AQ166" s="206"/>
      <c r="AR166" s="246"/>
      <c r="AS166" s="206"/>
      <c r="AT166" s="254" t="str">
        <f t="shared" si="114"/>
        <v/>
      </c>
      <c r="AU166" s="269"/>
      <c r="AV166" s="269"/>
      <c r="AW166" s="463" t="str">
        <f t="shared" ref="AW166:BD166" si="125">AW81</f>
        <v>#REF!</v>
      </c>
      <c r="AX166" s="206">
        <f t="shared" si="125"/>
        <v>49</v>
      </c>
      <c r="AY166" s="464">
        <f t="shared" si="125"/>
        <v>52</v>
      </c>
      <c r="AZ166" s="206">
        <f t="shared" si="125"/>
        <v>45</v>
      </c>
      <c r="BA166" s="206">
        <f t="shared" si="125"/>
        <v>43</v>
      </c>
      <c r="BB166" s="206">
        <f t="shared" si="125"/>
        <v>0</v>
      </c>
      <c r="BC166" s="465">
        <f t="shared" si="125"/>
        <v>1512</v>
      </c>
      <c r="BD166" s="206" t="str">
        <f t="shared" si="125"/>
        <v/>
      </c>
      <c r="BE166" s="466"/>
    </row>
    <row r="167">
      <c r="A167" s="94"/>
      <c r="B167" s="452" t="s">
        <v>733</v>
      </c>
      <c r="C167" s="453" t="s">
        <v>734</v>
      </c>
      <c r="D167" s="363"/>
      <c r="E167" s="259"/>
      <c r="F167" s="74"/>
      <c r="G167" s="246"/>
      <c r="H167" s="74" t="str">
        <f>TEAM!B72</f>
        <v>#REF!</v>
      </c>
      <c r="I167" s="246"/>
      <c r="J167" s="74"/>
      <c r="K167" s="246"/>
      <c r="L167" s="261"/>
      <c r="M167" s="74"/>
      <c r="N167" s="246"/>
      <c r="O167" s="74" t="str">
        <f>TEAM!B72</f>
        <v>#REF!</v>
      </c>
      <c r="P167" s="246"/>
      <c r="Q167" s="74"/>
      <c r="R167" s="246"/>
      <c r="S167" s="261"/>
      <c r="T167" s="74"/>
      <c r="U167" s="246"/>
      <c r="V167" s="74" t="str">
        <f>TEAM!B72</f>
        <v>#REF!</v>
      </c>
      <c r="W167" s="246"/>
      <c r="X167" s="74"/>
      <c r="Y167" s="246"/>
      <c r="Z167" s="261"/>
      <c r="AA167" s="74"/>
      <c r="AB167" s="246"/>
      <c r="AC167" s="74" t="str">
        <f>TEAM!B72</f>
        <v>#REF!</v>
      </c>
      <c r="AD167" s="246"/>
      <c r="AE167" s="74"/>
      <c r="AF167" s="246"/>
      <c r="AG167" s="261"/>
      <c r="AH167" s="500" t="str">
        <f>TEAM!B73</f>
        <v>#REF!</v>
      </c>
      <c r="AI167" s="246"/>
      <c r="AJ167" s="501" t="str">
        <f>TEAM!B72</f>
        <v>#REF!</v>
      </c>
      <c r="AK167" s="246"/>
      <c r="AL167" s="74"/>
      <c r="AM167" s="246"/>
      <c r="AN167" s="261"/>
      <c r="AO167" s="74"/>
      <c r="AP167" s="246"/>
      <c r="AQ167" s="74" t="str">
        <f>TEAM!B75</f>
        <v>#REF!</v>
      </c>
      <c r="AR167" s="246"/>
      <c r="AS167" s="74"/>
      <c r="AT167" s="254" t="str">
        <f t="shared" si="114"/>
        <v/>
      </c>
      <c r="AU167" s="269"/>
      <c r="AV167" s="269"/>
      <c r="AW167" s="463" t="str">
        <f t="shared" ref="AW167:BD167" si="126">AW82</f>
        <v>#REF!</v>
      </c>
      <c r="AX167" s="206">
        <f t="shared" si="126"/>
        <v>49</v>
      </c>
      <c r="AY167" s="464">
        <f t="shared" si="126"/>
        <v>52</v>
      </c>
      <c r="AZ167" s="206">
        <f t="shared" si="126"/>
        <v>45</v>
      </c>
      <c r="BA167" s="206">
        <f t="shared" si="126"/>
        <v>43</v>
      </c>
      <c r="BB167" s="206">
        <f t="shared" si="126"/>
        <v>0</v>
      </c>
      <c r="BC167" s="465">
        <f t="shared" si="126"/>
        <v>1512</v>
      </c>
      <c r="BD167" s="206" t="str">
        <f t="shared" si="126"/>
        <v/>
      </c>
      <c r="BE167" s="466"/>
    </row>
    <row r="168">
      <c r="A168" s="94"/>
      <c r="B168" s="454" t="s">
        <v>735</v>
      </c>
      <c r="C168" s="455" t="s">
        <v>736</v>
      </c>
      <c r="D168" s="363"/>
      <c r="E168" s="259"/>
      <c r="F168" s="441"/>
      <c r="G168" s="246"/>
      <c r="H168" s="441"/>
      <c r="I168" s="246"/>
      <c r="J168" s="441"/>
      <c r="K168" s="246"/>
      <c r="L168" s="261"/>
      <c r="M168" s="441"/>
      <c r="N168" s="246"/>
      <c r="O168" s="441"/>
      <c r="P168" s="246"/>
      <c r="Q168" s="441"/>
      <c r="R168" s="246"/>
      <c r="S168" s="261"/>
      <c r="T168" s="441"/>
      <c r="U168" s="246"/>
      <c r="V168" s="441"/>
      <c r="W168" s="246"/>
      <c r="X168" s="405" t="s">
        <v>462</v>
      </c>
      <c r="Y168" s="246"/>
      <c r="Z168" s="261"/>
      <c r="AA168" s="441"/>
      <c r="AB168" s="246"/>
      <c r="AC168" s="441"/>
      <c r="AD168" s="246"/>
      <c r="AE168" s="441"/>
      <c r="AF168" s="246"/>
      <c r="AG168" s="261"/>
      <c r="AH168" s="441"/>
      <c r="AI168" s="246"/>
      <c r="AJ168" s="441"/>
      <c r="AK168" s="246"/>
      <c r="AL168" s="405" t="s">
        <v>462</v>
      </c>
      <c r="AM168" s="246"/>
      <c r="AN168" s="261"/>
      <c r="AO168" s="441"/>
      <c r="AP168" s="246"/>
      <c r="AQ168" s="441"/>
      <c r="AR168" s="246"/>
      <c r="AS168" s="405" t="s">
        <v>462</v>
      </c>
      <c r="AT168" s="254" t="str">
        <f t="shared" si="114"/>
        <v/>
      </c>
      <c r="AU168" s="269"/>
      <c r="AV168" s="269"/>
      <c r="AW168" s="463" t="str">
        <f t="shared" ref="AW168:BD168" si="127">AW83</f>
        <v>#REF!</v>
      </c>
      <c r="AX168" s="206">
        <f t="shared" si="127"/>
        <v>49</v>
      </c>
      <c r="AY168" s="464">
        <f t="shared" si="127"/>
        <v>52</v>
      </c>
      <c r="AZ168" s="206">
        <f t="shared" si="127"/>
        <v>45</v>
      </c>
      <c r="BA168" s="206">
        <f t="shared" si="127"/>
        <v>43</v>
      </c>
      <c r="BB168" s="206">
        <f t="shared" si="127"/>
        <v>0</v>
      </c>
      <c r="BC168" s="465">
        <f t="shared" si="127"/>
        <v>1512</v>
      </c>
      <c r="BD168" s="206" t="str">
        <f t="shared" si="127"/>
        <v/>
      </c>
      <c r="BE168" s="466"/>
    </row>
    <row r="169">
      <c r="A169" s="94"/>
      <c r="B169" s="454" t="s">
        <v>735</v>
      </c>
      <c r="C169" s="442" t="s">
        <v>736</v>
      </c>
      <c r="D169" s="363"/>
      <c r="E169" s="259"/>
      <c r="F169" s="456"/>
      <c r="G169" s="246"/>
      <c r="H169" s="456"/>
      <c r="I169" s="246"/>
      <c r="J169" s="502" t="s">
        <v>462</v>
      </c>
      <c r="K169" s="246"/>
      <c r="L169" s="261"/>
      <c r="M169" s="456"/>
      <c r="N169" s="246"/>
      <c r="O169" s="456"/>
      <c r="P169" s="246"/>
      <c r="Q169" s="456"/>
      <c r="R169" s="246"/>
      <c r="S169" s="261"/>
      <c r="T169" s="456"/>
      <c r="U169" s="246"/>
      <c r="V169" s="456"/>
      <c r="W169" s="246"/>
      <c r="X169" s="456"/>
      <c r="Y169" s="246"/>
      <c r="Z169" s="261"/>
      <c r="AA169" s="456"/>
      <c r="AB169" s="246"/>
      <c r="AC169" s="456"/>
      <c r="AD169" s="246"/>
      <c r="AE169" s="456"/>
      <c r="AF169" s="246"/>
      <c r="AG169" s="261"/>
      <c r="AH169" s="456"/>
      <c r="AI169" s="246"/>
      <c r="AJ169" s="456"/>
      <c r="AK169" s="246"/>
      <c r="AL169" s="456"/>
      <c r="AM169" s="246"/>
      <c r="AN169" s="261"/>
      <c r="AO169" s="456"/>
      <c r="AP169" s="246"/>
      <c r="AQ169" s="456"/>
      <c r="AR169" s="246"/>
      <c r="AS169" s="456"/>
      <c r="AT169" s="254" t="str">
        <f t="shared" si="114"/>
        <v/>
      </c>
      <c r="AU169" s="269"/>
      <c r="AV169" s="269"/>
      <c r="AW169" s="463" t="str">
        <f t="shared" ref="AW169:BD169" si="128">AW84</f>
        <v>#REF!</v>
      </c>
      <c r="AX169" s="206">
        <f t="shared" si="128"/>
        <v>49</v>
      </c>
      <c r="AY169" s="464">
        <f t="shared" si="128"/>
        <v>52</v>
      </c>
      <c r="AZ169" s="206">
        <f t="shared" si="128"/>
        <v>45</v>
      </c>
      <c r="BA169" s="206">
        <f t="shared" si="128"/>
        <v>43</v>
      </c>
      <c r="BB169" s="206">
        <f t="shared" si="128"/>
        <v>0</v>
      </c>
      <c r="BC169" s="465">
        <f t="shared" si="128"/>
        <v>1512</v>
      </c>
      <c r="BD169" s="206" t="str">
        <f t="shared" si="128"/>
        <v/>
      </c>
      <c r="BE169" s="466"/>
    </row>
    <row r="170">
      <c r="A170" s="94"/>
      <c r="B170" s="457" t="s">
        <v>735</v>
      </c>
      <c r="C170" s="458" t="s">
        <v>737</v>
      </c>
      <c r="D170" s="363"/>
      <c r="E170" s="259"/>
      <c r="F170" s="406"/>
      <c r="G170" s="246"/>
      <c r="H170" s="406"/>
      <c r="I170" s="246"/>
      <c r="J170" s="406"/>
      <c r="K170" s="246"/>
      <c r="L170" s="261"/>
      <c r="M170" s="406"/>
      <c r="N170" s="246"/>
      <c r="O170" s="406"/>
      <c r="P170" s="246"/>
      <c r="Q170" s="406"/>
      <c r="R170" s="246"/>
      <c r="S170" s="261"/>
      <c r="T170" s="406"/>
      <c r="U170" s="246"/>
      <c r="V170" s="406"/>
      <c r="W170" s="246"/>
      <c r="X170" s="406"/>
      <c r="Y170" s="246"/>
      <c r="Z170" s="261"/>
      <c r="AA170" s="406"/>
      <c r="AB170" s="246"/>
      <c r="AC170" s="406"/>
      <c r="AD170" s="246"/>
      <c r="AE170" s="406"/>
      <c r="AF170" s="246"/>
      <c r="AG170" s="261"/>
      <c r="AH170" s="406"/>
      <c r="AI170" s="246"/>
      <c r="AJ170" s="406"/>
      <c r="AK170" s="246"/>
      <c r="AL170" s="406"/>
      <c r="AM170" s="246"/>
      <c r="AN170" s="261"/>
      <c r="AO170" s="406"/>
      <c r="AP170" s="246"/>
      <c r="AQ170" s="406"/>
      <c r="AR170" s="246"/>
      <c r="AS170" s="406"/>
      <c r="AT170" s="254" t="str">
        <f t="shared" si="114"/>
        <v/>
      </c>
      <c r="AU170" s="269"/>
      <c r="AV170" s="269"/>
      <c r="AW170" s="463" t="str">
        <f t="shared" ref="AW170:BD170" si="129">AW85</f>
        <v>#REF!</v>
      </c>
      <c r="AX170" s="206">
        <f t="shared" si="129"/>
        <v>49</v>
      </c>
      <c r="AY170" s="464">
        <f t="shared" si="129"/>
        <v>52</v>
      </c>
      <c r="AZ170" s="206">
        <f t="shared" si="129"/>
        <v>45</v>
      </c>
      <c r="BA170" s="206">
        <f t="shared" si="129"/>
        <v>43</v>
      </c>
      <c r="BB170" s="206">
        <f t="shared" si="129"/>
        <v>0</v>
      </c>
      <c r="BC170" s="465">
        <f t="shared" si="129"/>
        <v>1512</v>
      </c>
      <c r="BD170" s="206" t="str">
        <f t="shared" si="129"/>
        <v/>
      </c>
      <c r="BE170" s="466"/>
    </row>
    <row r="171">
      <c r="A171" s="94"/>
      <c r="B171" s="459"/>
      <c r="C171" s="460" t="s">
        <v>738</v>
      </c>
      <c r="D171" s="363"/>
      <c r="E171" s="259"/>
      <c r="F171" s="461" t="s">
        <v>770</v>
      </c>
      <c r="G171" s="246"/>
      <c r="H171" s="132"/>
      <c r="I171" s="246"/>
      <c r="J171" s="132"/>
      <c r="K171" s="246"/>
      <c r="L171" s="462"/>
      <c r="M171" s="461" t="s">
        <v>771</v>
      </c>
      <c r="N171" s="246"/>
      <c r="O171" s="132"/>
      <c r="P171" s="246"/>
      <c r="Q171" s="132"/>
      <c r="R171" s="246"/>
      <c r="S171" s="462"/>
      <c r="T171" s="461" t="s">
        <v>772</v>
      </c>
      <c r="U171" s="246"/>
      <c r="V171" s="132" t="s">
        <v>773</v>
      </c>
      <c r="W171" s="246"/>
      <c r="X171" s="132"/>
      <c r="Y171" s="246"/>
      <c r="Z171" s="462"/>
      <c r="AA171" s="461" t="s">
        <v>774</v>
      </c>
      <c r="AB171" s="246"/>
      <c r="AC171" s="132"/>
      <c r="AD171" s="246"/>
      <c r="AE171" s="132"/>
      <c r="AF171" s="246"/>
      <c r="AG171" s="462"/>
      <c r="AH171" s="461" t="s">
        <v>775</v>
      </c>
      <c r="AI171" s="246"/>
      <c r="AJ171" s="132"/>
      <c r="AK171" s="246"/>
      <c r="AL171" s="132"/>
      <c r="AM171" s="246"/>
      <c r="AN171" s="462"/>
      <c r="AO171" s="461" t="s">
        <v>776</v>
      </c>
      <c r="AP171" s="246"/>
      <c r="AQ171" s="132"/>
      <c r="AR171" s="246"/>
      <c r="AS171" s="132"/>
      <c r="AT171" s="460"/>
      <c r="AU171" s="269"/>
      <c r="AV171" s="269"/>
      <c r="AW171" s="463" t="str">
        <f t="shared" ref="AW171:BD171" si="130">AW86</f>
        <v>#REF!</v>
      </c>
      <c r="AX171" s="206">
        <f t="shared" si="130"/>
        <v>49</v>
      </c>
      <c r="AY171" s="464">
        <f t="shared" si="130"/>
        <v>52</v>
      </c>
      <c r="AZ171" s="206">
        <f t="shared" si="130"/>
        <v>45</v>
      </c>
      <c r="BA171" s="206">
        <f t="shared" si="130"/>
        <v>43</v>
      </c>
      <c r="BB171" s="206">
        <f t="shared" si="130"/>
        <v>0</v>
      </c>
      <c r="BC171" s="465">
        <f t="shared" si="130"/>
        <v>1512</v>
      </c>
      <c r="BD171" s="206" t="str">
        <f t="shared" si="130"/>
        <v/>
      </c>
      <c r="BE171" s="466"/>
    </row>
    <row r="172">
      <c r="A172" s="270"/>
      <c r="B172" s="459"/>
      <c r="C172" s="460" t="s">
        <v>738</v>
      </c>
      <c r="D172" s="363"/>
      <c r="E172" s="259"/>
      <c r="F172" s="461" t="s">
        <v>514</v>
      </c>
      <c r="G172" s="246"/>
      <c r="H172" s="132"/>
      <c r="I172" s="246"/>
      <c r="J172" s="132"/>
      <c r="K172" s="246"/>
      <c r="L172" s="462"/>
      <c r="M172" s="461" t="s">
        <v>514</v>
      </c>
      <c r="N172" s="246"/>
      <c r="O172" s="132"/>
      <c r="P172" s="246"/>
      <c r="Q172" s="132"/>
      <c r="R172" s="246"/>
      <c r="S172" s="462"/>
      <c r="T172" s="461" t="s">
        <v>777</v>
      </c>
      <c r="U172" s="246"/>
      <c r="V172" s="132"/>
      <c r="W172" s="246"/>
      <c r="X172" s="132"/>
      <c r="Y172" s="246"/>
      <c r="Z172" s="462"/>
      <c r="AA172" s="461" t="s">
        <v>514</v>
      </c>
      <c r="AB172" s="246"/>
      <c r="AC172" s="132"/>
      <c r="AD172" s="246"/>
      <c r="AE172" s="132"/>
      <c r="AF172" s="246"/>
      <c r="AG172" s="462"/>
      <c r="AH172" s="461" t="s">
        <v>514</v>
      </c>
      <c r="AI172" s="246"/>
      <c r="AJ172" s="132"/>
      <c r="AK172" s="246"/>
      <c r="AL172" s="132"/>
      <c r="AM172" s="246"/>
      <c r="AN172" s="462"/>
      <c r="AO172" s="132"/>
      <c r="AP172" s="246"/>
      <c r="AQ172" s="132"/>
      <c r="AR172" s="246"/>
      <c r="AS172" s="132"/>
      <c r="AT172" s="460"/>
      <c r="AU172" s="236"/>
      <c r="AV172" s="236"/>
      <c r="AW172" s="463" t="str">
        <f t="shared" ref="AW172:BD172" si="131">AW87</f>
        <v>#REF!</v>
      </c>
      <c r="AX172" s="206">
        <f t="shared" si="131"/>
        <v>49</v>
      </c>
      <c r="AY172" s="464">
        <f t="shared" si="131"/>
        <v>52</v>
      </c>
      <c r="AZ172" s="206">
        <f t="shared" si="131"/>
        <v>45</v>
      </c>
      <c r="BA172" s="206">
        <f t="shared" si="131"/>
        <v>43</v>
      </c>
      <c r="BB172" s="206">
        <f t="shared" si="131"/>
        <v>0</v>
      </c>
      <c r="BC172" s="465">
        <f t="shared" si="131"/>
        <v>1512</v>
      </c>
      <c r="BD172" s="206" t="str">
        <f t="shared" si="131"/>
        <v/>
      </c>
      <c r="BE172" s="466"/>
    </row>
    <row r="173">
      <c r="A173" s="236"/>
      <c r="B173" s="459"/>
      <c r="C173" s="460" t="s">
        <v>738</v>
      </c>
      <c r="D173" s="363"/>
      <c r="E173" s="259"/>
      <c r="F173" s="132"/>
      <c r="G173" s="246"/>
      <c r="H173" s="132"/>
      <c r="I173" s="246"/>
      <c r="J173" s="132"/>
      <c r="K173" s="246"/>
      <c r="L173" s="462"/>
      <c r="M173" s="132"/>
      <c r="N173" s="246"/>
      <c r="O173" s="132"/>
      <c r="P173" s="246"/>
      <c r="Q173" s="132"/>
      <c r="R173" s="246"/>
      <c r="S173" s="462"/>
      <c r="T173" s="132"/>
      <c r="U173" s="246"/>
      <c r="V173" s="132"/>
      <c r="W173" s="246"/>
      <c r="X173" s="132"/>
      <c r="Y173" s="246"/>
      <c r="Z173" s="462"/>
      <c r="AA173" s="132"/>
      <c r="AB173" s="246"/>
      <c r="AC173" s="132"/>
      <c r="AD173" s="246"/>
      <c r="AE173" s="132"/>
      <c r="AF173" s="246"/>
      <c r="AG173" s="462"/>
      <c r="AH173" s="132"/>
      <c r="AI173" s="246"/>
      <c r="AJ173" s="132"/>
      <c r="AK173" s="246"/>
      <c r="AL173" s="132"/>
      <c r="AM173" s="246"/>
      <c r="AN173" s="462"/>
      <c r="AO173" s="461" t="s">
        <v>565</v>
      </c>
      <c r="AP173" s="246"/>
      <c r="AQ173" s="132"/>
      <c r="AR173" s="246"/>
      <c r="AS173" s="132"/>
      <c r="AT173" s="460"/>
      <c r="AU173" s="236"/>
      <c r="AV173" s="236"/>
      <c r="AW173" s="463" t="str">
        <f t="shared" ref="AW173:BD173" si="132">AW88</f>
        <v/>
      </c>
      <c r="AX173" s="206" t="str">
        <f t="shared" si="132"/>
        <v/>
      </c>
      <c r="AY173" s="464" t="str">
        <f t="shared" si="132"/>
        <v/>
      </c>
      <c r="AZ173" s="206" t="str">
        <f t="shared" si="132"/>
        <v/>
      </c>
      <c r="BA173" s="206" t="str">
        <f t="shared" si="132"/>
        <v/>
      </c>
      <c r="BB173" s="206" t="str">
        <f t="shared" si="132"/>
        <v/>
      </c>
      <c r="BC173" s="465" t="str">
        <f t="shared" si="132"/>
        <v/>
      </c>
      <c r="BD173" s="206" t="str">
        <f t="shared" si="132"/>
        <v/>
      </c>
      <c r="BE173" s="466"/>
    </row>
    <row r="174">
      <c r="A174" s="182"/>
      <c r="B174" s="183" t="s">
        <v>778</v>
      </c>
      <c r="C174" s="184" t="s">
        <v>605</v>
      </c>
      <c r="D174" s="185" t="s">
        <v>486</v>
      </c>
      <c r="E174" s="186"/>
      <c r="F174" s="185" t="s">
        <v>487</v>
      </c>
      <c r="M174" s="185" t="s">
        <v>488</v>
      </c>
      <c r="T174" s="185" t="s">
        <v>489</v>
      </c>
      <c r="AA174" s="185" t="s">
        <v>490</v>
      </c>
      <c r="AH174" s="185" t="s">
        <v>491</v>
      </c>
      <c r="AO174" s="185" t="s">
        <v>492</v>
      </c>
      <c r="AU174" s="182"/>
      <c r="AV174" s="182"/>
      <c r="AW174" s="182"/>
      <c r="AX174" s="182"/>
      <c r="AY174" s="182"/>
      <c r="AZ174" s="182"/>
      <c r="BA174" s="182"/>
      <c r="BB174" s="182"/>
      <c r="BC174" s="182"/>
      <c r="BD174" s="182"/>
      <c r="BE174" s="182"/>
    </row>
    <row r="175">
      <c r="A175" s="182"/>
      <c r="B175" s="187"/>
      <c r="C175" s="187"/>
      <c r="D175" s="188">
        <f>AO89+1</f>
        <v>18</v>
      </c>
      <c r="E175" s="189"/>
      <c r="F175" s="188">
        <f>D175+1</f>
        <v>19</v>
      </c>
      <c r="M175" s="188">
        <f>F175+1</f>
        <v>20</v>
      </c>
      <c r="T175" s="188">
        <f>M175+1</f>
        <v>21</v>
      </c>
      <c r="AA175" s="188">
        <f>T175+1</f>
        <v>22</v>
      </c>
      <c r="AH175" s="188">
        <f>AA175+1</f>
        <v>23</v>
      </c>
      <c r="AO175" s="188">
        <f>AH175+1</f>
        <v>24</v>
      </c>
      <c r="AU175" s="182"/>
      <c r="AV175" s="182"/>
      <c r="AW175" s="190" t="s">
        <v>606</v>
      </c>
      <c r="BB175" s="190"/>
      <c r="BC175" s="191" t="s">
        <v>607</v>
      </c>
      <c r="BD175" s="191"/>
      <c r="BE175" s="192"/>
    </row>
    <row r="176">
      <c r="A176" s="182"/>
      <c r="B176" s="193" t="s">
        <v>608</v>
      </c>
      <c r="C176" s="193" t="s">
        <v>609</v>
      </c>
      <c r="D176" s="187"/>
      <c r="E176" s="189"/>
      <c r="F176" s="194" t="s">
        <v>610</v>
      </c>
      <c r="G176" s="195"/>
      <c r="H176" s="193" t="s">
        <v>611</v>
      </c>
      <c r="J176" s="194" t="s">
        <v>612</v>
      </c>
      <c r="M176" s="194" t="s">
        <v>610</v>
      </c>
      <c r="N176" s="195"/>
      <c r="O176" s="193" t="s">
        <v>611</v>
      </c>
      <c r="P176" s="195"/>
      <c r="Q176" s="194" t="s">
        <v>612</v>
      </c>
      <c r="S176" s="193"/>
      <c r="T176" s="194" t="s">
        <v>610</v>
      </c>
      <c r="U176" s="195"/>
      <c r="V176" s="193" t="s">
        <v>611</v>
      </c>
      <c r="W176" s="195"/>
      <c r="X176" s="194" t="s">
        <v>612</v>
      </c>
      <c r="Z176" s="193"/>
      <c r="AA176" s="194" t="s">
        <v>610</v>
      </c>
      <c r="AB176" s="195"/>
      <c r="AC176" s="193" t="s">
        <v>611</v>
      </c>
      <c r="AD176" s="195"/>
      <c r="AE176" s="194" t="s">
        <v>612</v>
      </c>
      <c r="AG176" s="193"/>
      <c r="AH176" s="194" t="s">
        <v>610</v>
      </c>
      <c r="AI176" s="195"/>
      <c r="AJ176" s="193" t="s">
        <v>611</v>
      </c>
      <c r="AK176" s="195"/>
      <c r="AL176" s="194" t="s">
        <v>612</v>
      </c>
      <c r="AN176" s="193"/>
      <c r="AO176" s="194" t="s">
        <v>610</v>
      </c>
      <c r="AP176" s="195"/>
      <c r="AQ176" s="193" t="s">
        <v>611</v>
      </c>
      <c r="AR176" s="195"/>
      <c r="AS176" s="194" t="s">
        <v>612</v>
      </c>
      <c r="AU176" s="182"/>
      <c r="AV176" s="182"/>
      <c r="AW176" s="196" t="s">
        <v>613</v>
      </c>
      <c r="AX176" s="197" t="s">
        <v>614</v>
      </c>
      <c r="AY176" s="197" t="s">
        <v>615</v>
      </c>
      <c r="AZ176" s="197" t="s">
        <v>616</v>
      </c>
      <c r="BA176" s="197" t="s">
        <v>617</v>
      </c>
      <c r="BB176" s="197" t="s">
        <v>618</v>
      </c>
      <c r="BC176" s="197" t="s">
        <v>619</v>
      </c>
      <c r="BD176" s="197"/>
      <c r="BE176" s="198"/>
    </row>
    <row r="177">
      <c r="A177" s="199"/>
      <c r="B177" s="200" t="s">
        <v>620</v>
      </c>
      <c r="C177" s="201"/>
      <c r="D177" s="201"/>
      <c r="E177" s="202"/>
      <c r="F177" s="203"/>
      <c r="G177" s="204"/>
      <c r="H177" s="203"/>
      <c r="I177" s="204"/>
      <c r="J177" s="203"/>
      <c r="K177" s="204"/>
      <c r="L177" s="205"/>
      <c r="M177" s="203" t="s">
        <v>621</v>
      </c>
      <c r="N177" s="204"/>
      <c r="O177" s="203"/>
      <c r="P177" s="204"/>
      <c r="Q177" s="203" t="s">
        <v>779</v>
      </c>
      <c r="R177" s="204"/>
      <c r="S177" s="205"/>
      <c r="T177" s="203"/>
      <c r="U177" s="204"/>
      <c r="V177" s="203"/>
      <c r="W177" s="204"/>
      <c r="X177" s="203"/>
      <c r="Y177" s="204"/>
      <c r="Z177" s="205"/>
      <c r="AA177" s="203" t="s">
        <v>621</v>
      </c>
      <c r="AB177" s="204"/>
      <c r="AC177" s="203"/>
      <c r="AD177" s="204"/>
      <c r="AE177" s="203" t="s">
        <v>779</v>
      </c>
      <c r="AF177" s="204"/>
      <c r="AG177" s="205"/>
      <c r="AH177" s="203"/>
      <c r="AI177" s="204"/>
      <c r="AJ177" s="203"/>
      <c r="AK177" s="204"/>
      <c r="AL177" s="203"/>
      <c r="AM177" s="204"/>
      <c r="AN177" s="205"/>
      <c r="AO177" s="203" t="s">
        <v>621</v>
      </c>
      <c r="AP177" s="204"/>
      <c r="AQ177" s="203"/>
      <c r="AR177" s="204"/>
      <c r="AS177" s="203"/>
      <c r="AT177" s="204"/>
      <c r="AU177" s="199"/>
      <c r="AV177" s="199"/>
      <c r="AW177" s="206" t="str">
        <f t="shared" ref="AW177:BC177" si="133">AW6</f>
        <v>#REF!</v>
      </c>
      <c r="AX177" s="206">
        <f t="shared" si="133"/>
        <v>49</v>
      </c>
      <c r="AY177" s="206">
        <f t="shared" si="133"/>
        <v>52</v>
      </c>
      <c r="AZ177" s="464">
        <f t="shared" si="133"/>
        <v>45</v>
      </c>
      <c r="BA177" s="206">
        <f t="shared" si="133"/>
        <v>43</v>
      </c>
      <c r="BB177" s="206">
        <f t="shared" si="133"/>
        <v>0</v>
      </c>
      <c r="BC177" s="465">
        <f t="shared" si="133"/>
        <v>1512</v>
      </c>
      <c r="BD177" s="206"/>
      <c r="BE177" s="466"/>
    </row>
    <row r="178">
      <c r="A178" s="199"/>
      <c r="B178" s="213" t="s">
        <v>623</v>
      </c>
      <c r="C178" s="214"/>
      <c r="D178" s="215"/>
      <c r="E178" s="216"/>
      <c r="F178" s="219" t="s">
        <v>627</v>
      </c>
      <c r="G178" s="218"/>
      <c r="H178" s="223" t="s">
        <v>628</v>
      </c>
      <c r="I178" s="220"/>
      <c r="J178" s="219" t="s">
        <v>626</v>
      </c>
      <c r="K178" s="221"/>
      <c r="L178" s="216"/>
      <c r="M178" s="217"/>
      <c r="N178" s="218"/>
      <c r="O178" s="222" t="s">
        <v>625</v>
      </c>
      <c r="P178" s="220"/>
      <c r="Q178" s="219" t="s">
        <v>626</v>
      </c>
      <c r="R178" s="221"/>
      <c r="S178" s="216"/>
      <c r="T178" s="228" t="s">
        <v>780</v>
      </c>
      <c r="U178" s="218"/>
      <c r="V178" s="223" t="s">
        <v>628</v>
      </c>
      <c r="W178" s="220"/>
      <c r="X178" s="219" t="s">
        <v>626</v>
      </c>
      <c r="Y178" s="221"/>
      <c r="Z178" s="216"/>
      <c r="AA178" s="217"/>
      <c r="AB178" s="218"/>
      <c r="AC178" s="222" t="s">
        <v>625</v>
      </c>
      <c r="AD178" s="220"/>
      <c r="AE178" s="219" t="s">
        <v>626</v>
      </c>
      <c r="AF178" s="221"/>
      <c r="AG178" s="216"/>
      <c r="AH178" s="219" t="s">
        <v>627</v>
      </c>
      <c r="AI178" s="218"/>
      <c r="AJ178" s="223" t="s">
        <v>628</v>
      </c>
      <c r="AK178" s="220"/>
      <c r="AL178" s="228" t="s">
        <v>626</v>
      </c>
      <c r="AM178" s="221"/>
      <c r="AN178" s="216"/>
      <c r="AO178" s="217"/>
      <c r="AP178" s="218"/>
      <c r="AQ178" s="222" t="s">
        <v>625</v>
      </c>
      <c r="AR178" s="220"/>
      <c r="AS178" s="219" t="s">
        <v>626</v>
      </c>
      <c r="AT178" s="221"/>
      <c r="AU178" s="225">
        <f>counta(F178:AT178)*20</f>
        <v>300</v>
      </c>
      <c r="AW178" s="206" t="str">
        <f t="shared" ref="AW178:BC178" si="134">AW7</f>
        <v>#REF!</v>
      </c>
      <c r="AX178" s="206">
        <f t="shared" si="134"/>
        <v>49</v>
      </c>
      <c r="AY178" s="206">
        <f t="shared" si="134"/>
        <v>52</v>
      </c>
      <c r="AZ178" s="464">
        <f t="shared" si="134"/>
        <v>45</v>
      </c>
      <c r="BA178" s="206">
        <f t="shared" si="134"/>
        <v>43</v>
      </c>
      <c r="BB178" s="206">
        <f t="shared" si="134"/>
        <v>0</v>
      </c>
      <c r="BC178" s="465">
        <f t="shared" si="134"/>
        <v>1512</v>
      </c>
      <c r="BD178" s="206"/>
      <c r="BE178" s="466"/>
    </row>
    <row r="179">
      <c r="A179" s="199"/>
      <c r="B179" s="226" t="s">
        <v>629</v>
      </c>
      <c r="C179" s="214"/>
      <c r="D179" s="215"/>
      <c r="E179" s="216"/>
      <c r="F179" s="227">
        <v>0.0</v>
      </c>
      <c r="G179" s="218"/>
      <c r="H179" s="227">
        <v>4.0</v>
      </c>
      <c r="I179" s="220"/>
      <c r="J179" s="227">
        <v>4.0</v>
      </c>
      <c r="K179" s="221"/>
      <c r="L179" s="216"/>
      <c r="M179" s="227"/>
      <c r="N179" s="218"/>
      <c r="O179" s="227">
        <v>3.0</v>
      </c>
      <c r="P179" s="220"/>
      <c r="Q179" s="227">
        <v>5.0</v>
      </c>
      <c r="R179" s="221"/>
      <c r="S179" s="216"/>
      <c r="T179" s="227"/>
      <c r="U179" s="218"/>
      <c r="V179" s="227">
        <v>4.0</v>
      </c>
      <c r="W179" s="220"/>
      <c r="X179" s="227">
        <v>4.0</v>
      </c>
      <c r="Y179" s="221"/>
      <c r="Z179" s="216"/>
      <c r="AA179" s="227"/>
      <c r="AB179" s="218"/>
      <c r="AC179" s="227">
        <v>4.0</v>
      </c>
      <c r="AD179" s="220"/>
      <c r="AE179" s="227" t="s">
        <v>781</v>
      </c>
      <c r="AF179" s="221"/>
      <c r="AG179" s="216"/>
      <c r="AH179" s="227">
        <v>4.0</v>
      </c>
      <c r="AI179" s="218"/>
      <c r="AJ179" s="227">
        <v>3.0</v>
      </c>
      <c r="AK179" s="220"/>
      <c r="AL179" s="227">
        <v>4.0</v>
      </c>
      <c r="AM179" s="221"/>
      <c r="AN179" s="216"/>
      <c r="AO179" s="227"/>
      <c r="AP179" s="218"/>
      <c r="AQ179" s="227">
        <v>3.0</v>
      </c>
      <c r="AR179" s="220"/>
      <c r="AS179" s="227">
        <v>4.0</v>
      </c>
      <c r="AT179" s="221"/>
      <c r="AU179" s="225">
        <f>sum(F179:AK179)</f>
        <v>35</v>
      </c>
      <c r="AW179" s="206" t="str">
        <f t="shared" ref="AW179:BC179" si="135">AW8</f>
        <v>#REF!</v>
      </c>
      <c r="AX179" s="206">
        <f t="shared" si="135"/>
        <v>49</v>
      </c>
      <c r="AY179" s="206">
        <f t="shared" si="135"/>
        <v>52</v>
      </c>
      <c r="AZ179" s="464">
        <f t="shared" si="135"/>
        <v>45</v>
      </c>
      <c r="BA179" s="206">
        <f t="shared" si="135"/>
        <v>43</v>
      </c>
      <c r="BB179" s="206">
        <f t="shared" si="135"/>
        <v>0</v>
      </c>
      <c r="BC179" s="465">
        <f t="shared" si="135"/>
        <v>1512</v>
      </c>
      <c r="BD179" s="206"/>
      <c r="BE179" s="466"/>
    </row>
    <row r="180">
      <c r="A180" s="199"/>
      <c r="B180" s="213" t="s">
        <v>630</v>
      </c>
      <c r="C180" s="214"/>
      <c r="D180" s="215"/>
      <c r="E180" s="216"/>
      <c r="F180" s="215"/>
      <c r="G180" s="218"/>
      <c r="H180" s="215"/>
      <c r="I180" s="220"/>
      <c r="J180" s="215"/>
      <c r="K180" s="221"/>
      <c r="L180" s="216"/>
      <c r="M180" s="215"/>
      <c r="N180" s="218"/>
      <c r="O180" s="228" t="s">
        <v>631</v>
      </c>
      <c r="P180" s="220"/>
      <c r="Q180" s="215"/>
      <c r="R180" s="221"/>
      <c r="S180" s="216"/>
      <c r="T180" s="215"/>
      <c r="U180" s="218"/>
      <c r="V180" s="215"/>
      <c r="W180" s="220"/>
      <c r="X180" s="215"/>
      <c r="Y180" s="221"/>
      <c r="Z180" s="216"/>
      <c r="AA180" s="215"/>
      <c r="AB180" s="218"/>
      <c r="AC180" s="228" t="s">
        <v>631</v>
      </c>
      <c r="AD180" s="220"/>
      <c r="AE180" s="215"/>
      <c r="AF180" s="221"/>
      <c r="AG180" s="216"/>
      <c r="AH180" s="215"/>
      <c r="AI180" s="218"/>
      <c r="AJ180" s="228" t="s">
        <v>631</v>
      </c>
      <c r="AK180" s="220"/>
      <c r="AL180" s="215"/>
      <c r="AM180" s="221"/>
      <c r="AN180" s="216"/>
      <c r="AO180" s="215"/>
      <c r="AP180" s="218"/>
      <c r="AQ180" s="215"/>
      <c r="AR180" s="220"/>
      <c r="AS180" s="215"/>
      <c r="AT180" s="221"/>
      <c r="AU180" s="225">
        <f>countA(F180:AJ180)*5</f>
        <v>15</v>
      </c>
      <c r="AW180" s="206" t="str">
        <f t="shared" ref="AW180:BC180" si="136">AW9</f>
        <v>#REF!</v>
      </c>
      <c r="AX180" s="206">
        <f t="shared" si="136"/>
        <v>49</v>
      </c>
      <c r="AY180" s="206">
        <f t="shared" si="136"/>
        <v>52</v>
      </c>
      <c r="AZ180" s="464">
        <f t="shared" si="136"/>
        <v>45</v>
      </c>
      <c r="BA180" s="206">
        <f t="shared" si="136"/>
        <v>43</v>
      </c>
      <c r="BB180" s="206">
        <f t="shared" si="136"/>
        <v>0</v>
      </c>
      <c r="BC180" s="465">
        <f t="shared" si="136"/>
        <v>1512</v>
      </c>
      <c r="BD180" s="206"/>
      <c r="BE180" s="466"/>
    </row>
    <row r="181">
      <c r="A181" s="199"/>
      <c r="B181" s="229" t="s">
        <v>632</v>
      </c>
      <c r="C181" s="214"/>
      <c r="D181" s="215"/>
      <c r="E181" s="216"/>
      <c r="F181" s="215"/>
      <c r="G181" s="221"/>
      <c r="H181" s="215"/>
      <c r="I181" s="220"/>
      <c r="J181" s="215"/>
      <c r="K181" s="221"/>
      <c r="L181" s="216"/>
      <c r="M181" s="215"/>
      <c r="N181" s="221"/>
      <c r="O181" s="215"/>
      <c r="P181" s="220"/>
      <c r="Q181" s="215"/>
      <c r="R181" s="221"/>
      <c r="S181" s="216"/>
      <c r="T181" s="215"/>
      <c r="U181" s="221"/>
      <c r="V181" s="215"/>
      <c r="W181" s="220"/>
      <c r="X181" s="215"/>
      <c r="Y181" s="221"/>
      <c r="Z181" s="216"/>
      <c r="AA181" s="215"/>
      <c r="AB181" s="221"/>
      <c r="AC181" s="215"/>
      <c r="AD181" s="220"/>
      <c r="AE181" s="215"/>
      <c r="AF181" s="221"/>
      <c r="AG181" s="216"/>
      <c r="AH181" s="215"/>
      <c r="AI181" s="221"/>
      <c r="AJ181" s="215"/>
      <c r="AK181" s="220"/>
      <c r="AL181" s="215"/>
      <c r="AM181" s="221"/>
      <c r="AN181" s="216"/>
      <c r="AO181" s="215"/>
      <c r="AP181" s="221"/>
      <c r="AQ181" s="215"/>
      <c r="AR181" s="220"/>
      <c r="AS181" s="215"/>
      <c r="AT181" s="221"/>
      <c r="AU181" s="225">
        <f>countA(F181:AK181)*12</f>
        <v>0</v>
      </c>
      <c r="AW181" s="206" t="str">
        <f t="shared" ref="AW181:BC181" si="137">AW10</f>
        <v>#REF!</v>
      </c>
      <c r="AX181" s="206">
        <f t="shared" si="137"/>
        <v>49</v>
      </c>
      <c r="AY181" s="206">
        <f t="shared" si="137"/>
        <v>52</v>
      </c>
      <c r="AZ181" s="464">
        <f t="shared" si="137"/>
        <v>45</v>
      </c>
      <c r="BA181" s="206">
        <f t="shared" si="137"/>
        <v>43</v>
      </c>
      <c r="BB181" s="206">
        <f t="shared" si="137"/>
        <v>0</v>
      </c>
      <c r="BC181" s="465">
        <f t="shared" si="137"/>
        <v>1512</v>
      </c>
      <c r="BD181" s="206"/>
      <c r="BE181" s="466"/>
    </row>
    <row r="182">
      <c r="A182" s="199"/>
      <c r="B182" s="213" t="s">
        <v>633</v>
      </c>
      <c r="C182" s="214"/>
      <c r="D182" s="215"/>
      <c r="E182" s="216"/>
      <c r="F182" s="215"/>
      <c r="G182" s="230"/>
      <c r="H182" s="215"/>
      <c r="I182" s="231"/>
      <c r="J182" s="215"/>
      <c r="K182" s="216"/>
      <c r="L182" s="216"/>
      <c r="M182" s="215"/>
      <c r="N182" s="230"/>
      <c r="O182" s="232" t="s">
        <v>782</v>
      </c>
      <c r="P182" s="231"/>
      <c r="Q182" s="215"/>
      <c r="R182" s="216"/>
      <c r="S182" s="216"/>
      <c r="T182" s="215"/>
      <c r="U182" s="230"/>
      <c r="V182" s="215"/>
      <c r="W182" s="231"/>
      <c r="X182" s="232" t="s">
        <v>753</v>
      </c>
      <c r="Y182" s="216"/>
      <c r="Z182" s="216"/>
      <c r="AA182" s="215"/>
      <c r="AB182" s="230"/>
      <c r="AC182" s="215"/>
      <c r="AD182" s="231"/>
      <c r="AE182" s="232" t="s">
        <v>783</v>
      </c>
      <c r="AF182" s="216"/>
      <c r="AG182" s="216"/>
      <c r="AH182" s="215"/>
      <c r="AI182" s="230"/>
      <c r="AJ182" s="215"/>
      <c r="AK182" s="231"/>
      <c r="AL182" s="232" t="s">
        <v>753</v>
      </c>
      <c r="AM182" s="216"/>
      <c r="AN182" s="216"/>
      <c r="AO182" s="215"/>
      <c r="AP182" s="230"/>
      <c r="AQ182" s="215"/>
      <c r="AR182" s="231"/>
      <c r="AS182" s="232" t="s">
        <v>753</v>
      </c>
      <c r="AT182" s="216"/>
      <c r="AU182" s="225">
        <f>counta(F182:AT182)*4</f>
        <v>20</v>
      </c>
      <c r="AW182" s="206" t="str">
        <f t="shared" ref="AW182:BC182" si="138">AW11</f>
        <v>#REF!</v>
      </c>
      <c r="AX182" s="206">
        <f t="shared" si="138"/>
        <v>49</v>
      </c>
      <c r="AY182" s="206">
        <f t="shared" si="138"/>
        <v>52</v>
      </c>
      <c r="AZ182" s="464">
        <f t="shared" si="138"/>
        <v>45</v>
      </c>
      <c r="BA182" s="206">
        <f t="shared" si="138"/>
        <v>43</v>
      </c>
      <c r="BB182" s="206">
        <f t="shared" si="138"/>
        <v>0</v>
      </c>
      <c r="BC182" s="465">
        <f t="shared" si="138"/>
        <v>1512</v>
      </c>
      <c r="BD182" s="206"/>
      <c r="BE182" s="466"/>
    </row>
    <row r="183">
      <c r="A183" s="199"/>
      <c r="B183" s="213" t="s">
        <v>637</v>
      </c>
      <c r="C183" s="214"/>
      <c r="D183" s="215"/>
      <c r="E183" s="216"/>
      <c r="F183" s="215"/>
      <c r="G183" s="230"/>
      <c r="H183" s="215"/>
      <c r="I183" s="231"/>
      <c r="J183" s="215"/>
      <c r="K183" s="216"/>
      <c r="L183" s="216"/>
      <c r="M183" s="215"/>
      <c r="N183" s="230"/>
      <c r="O183" s="215"/>
      <c r="P183" s="231"/>
      <c r="Q183" s="232" t="s">
        <v>756</v>
      </c>
      <c r="R183" s="216"/>
      <c r="S183" s="216"/>
      <c r="T183" s="215"/>
      <c r="U183" s="230"/>
      <c r="V183" s="215"/>
      <c r="W183" s="231"/>
      <c r="X183" s="215"/>
      <c r="Y183" s="216"/>
      <c r="Z183" s="216"/>
      <c r="AA183" s="215"/>
      <c r="AB183" s="230"/>
      <c r="AC183" s="215"/>
      <c r="AD183" s="231"/>
      <c r="AE183" s="232" t="s">
        <v>756</v>
      </c>
      <c r="AF183" s="216"/>
      <c r="AG183" s="216"/>
      <c r="AH183" s="215"/>
      <c r="AI183" s="230"/>
      <c r="AJ183" s="215"/>
      <c r="AK183" s="231"/>
      <c r="AL183" s="215"/>
      <c r="AM183" s="216"/>
      <c r="AN183" s="216"/>
      <c r="AO183" s="215"/>
      <c r="AP183" s="230"/>
      <c r="AQ183" s="215"/>
      <c r="AR183" s="231"/>
      <c r="AS183" s="215"/>
      <c r="AT183" s="216"/>
      <c r="AU183" s="225">
        <f>sum(F183:AT183)</f>
        <v>0</v>
      </c>
      <c r="AW183" s="206" t="str">
        <f t="shared" ref="AW183:BC183" si="139">AW12</f>
        <v>#REF!</v>
      </c>
      <c r="AX183" s="206">
        <f t="shared" si="139"/>
        <v>49</v>
      </c>
      <c r="AY183" s="206">
        <f t="shared" si="139"/>
        <v>52</v>
      </c>
      <c r="AZ183" s="464">
        <f t="shared" si="139"/>
        <v>45</v>
      </c>
      <c r="BA183" s="206">
        <f t="shared" si="139"/>
        <v>43</v>
      </c>
      <c r="BB183" s="206">
        <f t="shared" si="139"/>
        <v>0</v>
      </c>
      <c r="BC183" s="465">
        <f t="shared" si="139"/>
        <v>1512</v>
      </c>
      <c r="BD183" s="206"/>
      <c r="BE183" s="466"/>
    </row>
    <row r="184">
      <c r="A184" s="234"/>
      <c r="B184" s="235" t="s">
        <v>608</v>
      </c>
      <c r="C184" s="195" t="s">
        <v>609</v>
      </c>
      <c r="D184" s="236"/>
      <c r="E184" s="237"/>
      <c r="F184" s="238"/>
      <c r="G184" s="182"/>
      <c r="H184" s="238"/>
      <c r="I184" s="239"/>
      <c r="J184" s="238"/>
      <c r="K184" s="239"/>
      <c r="L184" s="237"/>
      <c r="M184" s="238"/>
      <c r="N184" s="182"/>
      <c r="O184" s="238"/>
      <c r="P184" s="239"/>
      <c r="Q184" s="238"/>
      <c r="R184" s="239"/>
      <c r="S184" s="237"/>
      <c r="T184" s="238"/>
      <c r="U184" s="182"/>
      <c r="V184" s="238"/>
      <c r="W184" s="239"/>
      <c r="X184" s="238"/>
      <c r="Y184" s="239"/>
      <c r="Z184" s="237"/>
      <c r="AA184" s="238"/>
      <c r="AB184" s="182"/>
      <c r="AC184" s="238"/>
      <c r="AD184" s="239"/>
      <c r="AE184" s="238"/>
      <c r="AF184" s="239"/>
      <c r="AG184" s="237"/>
      <c r="AH184" s="238"/>
      <c r="AI184" s="182"/>
      <c r="AJ184" s="238"/>
      <c r="AK184" s="239"/>
      <c r="AL184" s="238"/>
      <c r="AM184" s="239"/>
      <c r="AN184" s="237"/>
      <c r="AO184" s="238"/>
      <c r="AP184" s="182"/>
      <c r="AQ184" s="238"/>
      <c r="AR184" s="239"/>
      <c r="AS184" s="238"/>
      <c r="AT184" s="239"/>
      <c r="AU184" s="236"/>
      <c r="AV184" s="236"/>
      <c r="AW184" s="206" t="str">
        <f t="shared" ref="AW184:BC184" si="140">AW13</f>
        <v>#REF!</v>
      </c>
      <c r="AX184" s="206">
        <f t="shared" si="140"/>
        <v>49</v>
      </c>
      <c r="AY184" s="206">
        <f t="shared" si="140"/>
        <v>52</v>
      </c>
      <c r="AZ184" s="464">
        <f t="shared" si="140"/>
        <v>45</v>
      </c>
      <c r="BA184" s="206">
        <f t="shared" si="140"/>
        <v>43</v>
      </c>
      <c r="BB184" s="206">
        <f t="shared" si="140"/>
        <v>0</v>
      </c>
      <c r="BC184" s="465">
        <f t="shared" si="140"/>
        <v>1512</v>
      </c>
      <c r="BD184" s="206"/>
      <c r="BE184" s="466"/>
    </row>
    <row r="185">
      <c r="A185" s="240"/>
      <c r="B185" s="241" t="s">
        <v>638</v>
      </c>
      <c r="C185" s="242" t="s">
        <v>639</v>
      </c>
      <c r="D185" s="243"/>
      <c r="E185" s="244"/>
      <c r="F185" s="247"/>
      <c r="G185" s="246"/>
      <c r="H185" s="247"/>
      <c r="I185" s="246"/>
      <c r="J185" s="471" t="s">
        <v>419</v>
      </c>
      <c r="K185" s="246"/>
      <c r="L185" s="249"/>
      <c r="M185" s="250"/>
      <c r="N185" s="246"/>
      <c r="O185" s="265"/>
      <c r="P185" s="246"/>
      <c r="Q185" s="471" t="s">
        <v>419</v>
      </c>
      <c r="R185" s="246"/>
      <c r="S185" s="249"/>
      <c r="T185" s="247"/>
      <c r="U185" s="246"/>
      <c r="V185" s="247"/>
      <c r="W185" s="246"/>
      <c r="X185" s="247"/>
      <c r="Y185" s="246"/>
      <c r="Z185" s="249"/>
      <c r="AA185" s="250"/>
      <c r="AB185" s="246"/>
      <c r="AC185" s="247"/>
      <c r="AD185" s="246"/>
      <c r="AE185" s="471" t="s">
        <v>419</v>
      </c>
      <c r="AF185" s="246"/>
      <c r="AG185" s="249"/>
      <c r="AH185" s="247"/>
      <c r="AI185" s="246"/>
      <c r="AJ185" s="247"/>
      <c r="AK185" s="246"/>
      <c r="AL185" s="471" t="s">
        <v>419</v>
      </c>
      <c r="AM185" s="246"/>
      <c r="AN185" s="249"/>
      <c r="AO185" s="250"/>
      <c r="AP185" s="246"/>
      <c r="AQ185" s="247"/>
      <c r="AR185" s="246"/>
      <c r="AS185" s="247"/>
      <c r="AT185" s="254" t="str">
        <f>IF(COUNTIF($AO$85:$AT$87, AS185) &gt; 0, "X", "")</f>
        <v/>
      </c>
      <c r="AU185" s="255"/>
      <c r="AV185" s="255"/>
      <c r="AW185" s="503" t="str">
        <f t="shared" ref="AW185:BC185" si="141">AW14</f>
        <v>#REF!</v>
      </c>
      <c r="AX185" s="206">
        <f t="shared" si="141"/>
        <v>49</v>
      </c>
      <c r="AY185" s="206">
        <f t="shared" si="141"/>
        <v>52</v>
      </c>
      <c r="AZ185" s="464">
        <f t="shared" si="141"/>
        <v>45</v>
      </c>
      <c r="BA185" s="206">
        <f t="shared" si="141"/>
        <v>43</v>
      </c>
      <c r="BB185" s="206">
        <f t="shared" si="141"/>
        <v>0</v>
      </c>
      <c r="BC185" s="465">
        <f t="shared" si="141"/>
        <v>1512</v>
      </c>
      <c r="BD185" s="206"/>
      <c r="BE185" s="466"/>
    </row>
    <row r="186">
      <c r="A186" s="94"/>
      <c r="B186" s="256" t="s">
        <v>638</v>
      </c>
      <c r="C186" s="257" t="s">
        <v>639</v>
      </c>
      <c r="D186" s="243"/>
      <c r="E186" s="259"/>
      <c r="F186" s="264"/>
      <c r="G186" s="246"/>
      <c r="I186" s="246"/>
      <c r="J186" s="265"/>
      <c r="K186" s="246"/>
      <c r="L186" s="261"/>
      <c r="M186" s="262"/>
      <c r="N186" s="246"/>
      <c r="O186" s="265"/>
      <c r="P186" s="246"/>
      <c r="Q186" s="504" t="s">
        <v>414</v>
      </c>
      <c r="R186" s="246"/>
      <c r="S186" s="261"/>
      <c r="T186" s="264"/>
      <c r="U186" s="246"/>
      <c r="V186" s="265"/>
      <c r="W186" s="246"/>
      <c r="Y186" s="246"/>
      <c r="Z186" s="261"/>
      <c r="AA186" s="262"/>
      <c r="AB186" s="246"/>
      <c r="AD186" s="246"/>
      <c r="AE186" s="504" t="s">
        <v>414</v>
      </c>
      <c r="AF186" s="246"/>
      <c r="AG186" s="261"/>
      <c r="AH186" s="264"/>
      <c r="AI186" s="246"/>
      <c r="AJ186" s="265"/>
      <c r="AK186" s="246"/>
      <c r="AL186" s="265"/>
      <c r="AM186" s="246"/>
      <c r="AN186" s="261"/>
      <c r="AO186" s="262"/>
      <c r="AP186" s="246"/>
      <c r="AQ186" s="505"/>
      <c r="AR186" s="246"/>
      <c r="AS186" s="264"/>
      <c r="AT186" s="254" t="str">
        <f>IF(COUNTIF($AO$85:$AT$87, AQ185) &gt; 0, "X", "")</f>
        <v/>
      </c>
      <c r="AU186" s="269"/>
      <c r="AV186" s="269"/>
      <c r="AW186" s="206" t="str">
        <f t="shared" ref="AW186:BC186" si="142">AW15</f>
        <v>#REF!</v>
      </c>
      <c r="AX186" s="206">
        <f t="shared" si="142"/>
        <v>49</v>
      </c>
      <c r="AY186" s="206">
        <f t="shared" si="142"/>
        <v>52</v>
      </c>
      <c r="AZ186" s="464">
        <f t="shared" si="142"/>
        <v>45</v>
      </c>
      <c r="BA186" s="206">
        <f t="shared" si="142"/>
        <v>43</v>
      </c>
      <c r="BB186" s="206">
        <f t="shared" si="142"/>
        <v>0</v>
      </c>
      <c r="BC186" s="465">
        <f t="shared" si="142"/>
        <v>1512</v>
      </c>
      <c r="BD186" s="206"/>
      <c r="BE186" s="466"/>
    </row>
    <row r="187">
      <c r="A187" s="270"/>
      <c r="B187" s="271" t="s">
        <v>642</v>
      </c>
      <c r="C187" s="272" t="s">
        <v>639</v>
      </c>
      <c r="D187" s="243"/>
      <c r="E187" s="259"/>
      <c r="F187" s="275"/>
      <c r="G187" s="246"/>
      <c r="H187" s="275"/>
      <c r="I187" s="246"/>
      <c r="J187" s="282"/>
      <c r="K187" s="246"/>
      <c r="L187" s="261"/>
      <c r="M187" s="250"/>
      <c r="N187" s="246"/>
      <c r="O187" s="274" t="s">
        <v>406</v>
      </c>
      <c r="P187" s="246"/>
      <c r="Q187" s="474" t="s">
        <v>421</v>
      </c>
      <c r="R187" s="246"/>
      <c r="S187" s="261"/>
      <c r="T187" s="275"/>
      <c r="U187" s="246"/>
      <c r="V187" s="275"/>
      <c r="W187" s="246"/>
      <c r="X187" s="311"/>
      <c r="Y187" s="246"/>
      <c r="Z187" s="261"/>
      <c r="AA187" s="250"/>
      <c r="AB187" s="246"/>
      <c r="AD187" s="246"/>
      <c r="AE187" s="474" t="s">
        <v>421</v>
      </c>
      <c r="AF187" s="246"/>
      <c r="AG187" s="261"/>
      <c r="AH187" s="275"/>
      <c r="AI187" s="246"/>
      <c r="AJ187" s="275"/>
      <c r="AK187" s="246"/>
      <c r="AM187" s="246"/>
      <c r="AN187" s="261"/>
      <c r="AO187" s="250"/>
      <c r="AP187" s="246"/>
      <c r="AQ187" s="275"/>
      <c r="AR187" s="246"/>
      <c r="AS187" s="275"/>
      <c r="AT187" s="254" t="str">
        <f t="shared" ref="AT187:AT189" si="144">IF(COUNTIF($AO$85:$AT$87, AS187) &gt; 0, "X", "")</f>
        <v/>
      </c>
      <c r="AU187" s="269"/>
      <c r="AV187" s="269"/>
      <c r="AW187" s="206" t="str">
        <f t="shared" ref="AW187:BC187" si="143">AW16</f>
        <v>#REF!</v>
      </c>
      <c r="AX187" s="206">
        <f t="shared" si="143"/>
        <v>49</v>
      </c>
      <c r="AY187" s="206">
        <f t="shared" si="143"/>
        <v>52</v>
      </c>
      <c r="AZ187" s="464">
        <f t="shared" si="143"/>
        <v>45</v>
      </c>
      <c r="BA187" s="206">
        <f t="shared" si="143"/>
        <v>43</v>
      </c>
      <c r="BB187" s="206">
        <f t="shared" si="143"/>
        <v>0</v>
      </c>
      <c r="BC187" s="465">
        <f t="shared" si="143"/>
        <v>1512</v>
      </c>
      <c r="BD187" s="206"/>
      <c r="BE187" s="466"/>
    </row>
    <row r="188">
      <c r="A188" s="234"/>
      <c r="B188" s="277" t="s">
        <v>644</v>
      </c>
      <c r="C188" s="278" t="s">
        <v>645</v>
      </c>
      <c r="D188" s="243"/>
      <c r="E188" s="259"/>
      <c r="F188" s="281"/>
      <c r="G188" s="246"/>
      <c r="H188" s="280" t="s">
        <v>400</v>
      </c>
      <c r="I188" s="246"/>
      <c r="J188" s="282"/>
      <c r="K188" s="246"/>
      <c r="L188" s="261"/>
      <c r="M188" s="250"/>
      <c r="N188" s="246"/>
      <c r="O188" s="280" t="s">
        <v>400</v>
      </c>
      <c r="P188" s="246"/>
      <c r="R188" s="246"/>
      <c r="S188" s="261"/>
      <c r="T188" s="281"/>
      <c r="U188" s="246"/>
      <c r="V188" s="281"/>
      <c r="W188" s="246"/>
      <c r="X188" s="280" t="s">
        <v>400</v>
      </c>
      <c r="Y188" s="246"/>
      <c r="Z188" s="261"/>
      <c r="AA188" s="250"/>
      <c r="AB188" s="246"/>
      <c r="AC188" s="280" t="s">
        <v>400</v>
      </c>
      <c r="AD188" s="246"/>
      <c r="AF188" s="246"/>
      <c r="AG188" s="261"/>
      <c r="AH188" s="281"/>
      <c r="AI188" s="246"/>
      <c r="AJ188" s="280" t="s">
        <v>400</v>
      </c>
      <c r="AK188" s="246"/>
      <c r="AL188" s="281"/>
      <c r="AM188" s="246"/>
      <c r="AN188" s="261"/>
      <c r="AO188" s="250"/>
      <c r="AP188" s="246"/>
      <c r="AQ188" s="281"/>
      <c r="AR188" s="246"/>
      <c r="AS188" s="281"/>
      <c r="AT188" s="254" t="str">
        <f t="shared" si="144"/>
        <v/>
      </c>
      <c r="AU188" s="269"/>
      <c r="AV188" s="269"/>
      <c r="AW188" s="206" t="str">
        <f t="shared" ref="AW188:BC188" si="145">AW17</f>
        <v>#REF!</v>
      </c>
      <c r="AX188" s="206">
        <f t="shared" si="145"/>
        <v>49</v>
      </c>
      <c r="AY188" s="206">
        <f t="shared" si="145"/>
        <v>52</v>
      </c>
      <c r="AZ188" s="464">
        <f t="shared" si="145"/>
        <v>45</v>
      </c>
      <c r="BA188" s="206">
        <f t="shared" si="145"/>
        <v>43</v>
      </c>
      <c r="BB188" s="206">
        <f t="shared" si="145"/>
        <v>0</v>
      </c>
      <c r="BC188" s="465">
        <f t="shared" si="145"/>
        <v>1512</v>
      </c>
      <c r="BD188" s="206"/>
      <c r="BE188" s="466"/>
    </row>
    <row r="189">
      <c r="A189" s="94"/>
      <c r="B189" s="256" t="s">
        <v>757</v>
      </c>
      <c r="C189" s="257" t="s">
        <v>645</v>
      </c>
      <c r="D189" s="243"/>
      <c r="E189" s="259"/>
      <c r="F189" s="274" t="s">
        <v>402</v>
      </c>
      <c r="G189" s="246"/>
      <c r="H189" s="371"/>
      <c r="I189" s="246"/>
      <c r="J189" s="371"/>
      <c r="K189" s="246"/>
      <c r="L189" s="261"/>
      <c r="M189" s="324"/>
      <c r="N189" s="246"/>
      <c r="O189" s="371"/>
      <c r="P189" s="246"/>
      <c r="Q189" s="280" t="s">
        <v>402</v>
      </c>
      <c r="R189" s="246"/>
      <c r="S189" s="261"/>
      <c r="T189" s="371"/>
      <c r="U189" s="246"/>
      <c r="V189" s="371"/>
      <c r="W189" s="246"/>
      <c r="X189" s="274" t="s">
        <v>402</v>
      </c>
      <c r="Y189" s="246"/>
      <c r="Z189" s="261"/>
      <c r="AA189" s="280" t="s">
        <v>402</v>
      </c>
      <c r="AB189" s="246"/>
      <c r="AC189" s="371"/>
      <c r="AD189" s="246"/>
      <c r="AF189" s="246"/>
      <c r="AG189" s="261"/>
      <c r="AH189" s="371"/>
      <c r="AI189" s="246"/>
      <c r="AJ189" s="371"/>
      <c r="AK189" s="246"/>
      <c r="AL189" s="274" t="s">
        <v>402</v>
      </c>
      <c r="AM189" s="246"/>
      <c r="AN189" s="261"/>
      <c r="AO189" s="324"/>
      <c r="AP189" s="246"/>
      <c r="AQ189" s="274" t="s">
        <v>402</v>
      </c>
      <c r="AR189" s="246"/>
      <c r="AS189" s="371"/>
      <c r="AT189" s="254" t="str">
        <f t="shared" si="144"/>
        <v/>
      </c>
      <c r="AU189" s="269"/>
      <c r="AV189" s="269"/>
      <c r="AW189" s="206" t="str">
        <f t="shared" ref="AW189:BC189" si="146">AW18</f>
        <v>#REF!</v>
      </c>
      <c r="AX189" s="206">
        <f t="shared" si="146"/>
        <v>49</v>
      </c>
      <c r="AY189" s="206">
        <f t="shared" si="146"/>
        <v>52</v>
      </c>
      <c r="AZ189" s="464">
        <f t="shared" si="146"/>
        <v>45</v>
      </c>
      <c r="BA189" s="206">
        <f t="shared" si="146"/>
        <v>43</v>
      </c>
      <c r="BB189" s="206">
        <f t="shared" si="146"/>
        <v>0</v>
      </c>
      <c r="BC189" s="465">
        <f t="shared" si="146"/>
        <v>1512</v>
      </c>
      <c r="BD189" s="206"/>
      <c r="BE189" s="466"/>
    </row>
    <row r="190">
      <c r="A190" s="94"/>
      <c r="B190" s="284" t="s">
        <v>646</v>
      </c>
      <c r="C190" s="285" t="s">
        <v>647</v>
      </c>
      <c r="D190" s="243"/>
      <c r="E190" s="259"/>
      <c r="F190" s="287" t="s">
        <v>427</v>
      </c>
      <c r="G190" s="246"/>
      <c r="H190" s="289"/>
      <c r="I190" s="246"/>
      <c r="J190" s="289"/>
      <c r="K190" s="246"/>
      <c r="L190" s="261"/>
      <c r="M190" s="288"/>
      <c r="N190" s="246"/>
      <c r="P190" s="246"/>
      <c r="Q190" s="287" t="s">
        <v>427</v>
      </c>
      <c r="R190" s="246"/>
      <c r="S190" s="261"/>
      <c r="T190" s="287" t="s">
        <v>427</v>
      </c>
      <c r="U190" s="246"/>
      <c r="V190" s="290" t="s">
        <v>432</v>
      </c>
      <c r="W190" s="246"/>
      <c r="X190" s="289"/>
      <c r="Y190" s="246"/>
      <c r="Z190" s="261"/>
      <c r="AA190" s="287" t="s">
        <v>427</v>
      </c>
      <c r="AB190" s="246"/>
      <c r="AD190" s="246"/>
      <c r="AE190" s="290" t="s">
        <v>432</v>
      </c>
      <c r="AF190" s="246"/>
      <c r="AG190" s="261"/>
      <c r="AH190" s="287" t="s">
        <v>427</v>
      </c>
      <c r="AI190" s="246"/>
      <c r="AJ190" s="274" t="s">
        <v>406</v>
      </c>
      <c r="AK190" s="246"/>
      <c r="AL190" s="265"/>
      <c r="AM190" s="246"/>
      <c r="AN190" s="261"/>
      <c r="AO190" s="288"/>
      <c r="AP190" s="246"/>
      <c r="AQ190" s="289"/>
      <c r="AR190" s="246"/>
      <c r="AS190" s="289"/>
      <c r="AT190" s="254" t="str">
        <f>IF(COUNTIF($AO$85:$AT$87, #REF!) &gt; 0, "X", "")</f>
        <v/>
      </c>
      <c r="AU190" s="269"/>
      <c r="AV190" s="269"/>
      <c r="AW190" s="206" t="str">
        <f t="shared" ref="AW190:BC190" si="147">AW19</f>
        <v>#REF!</v>
      </c>
      <c r="AX190" s="206">
        <f t="shared" si="147"/>
        <v>49</v>
      </c>
      <c r="AY190" s="206">
        <f t="shared" si="147"/>
        <v>52</v>
      </c>
      <c r="AZ190" s="464">
        <f t="shared" si="147"/>
        <v>45</v>
      </c>
      <c r="BA190" s="206">
        <f t="shared" si="147"/>
        <v>43</v>
      </c>
      <c r="BB190" s="206">
        <f t="shared" si="147"/>
        <v>0</v>
      </c>
      <c r="BC190" s="465">
        <f t="shared" si="147"/>
        <v>1512</v>
      </c>
      <c r="BD190" s="206"/>
      <c r="BE190" s="466"/>
    </row>
    <row r="191">
      <c r="A191" s="270"/>
      <c r="B191" s="291" t="s">
        <v>648</v>
      </c>
      <c r="C191" s="292" t="s">
        <v>649</v>
      </c>
      <c r="D191" s="243"/>
      <c r="E191" s="259"/>
      <c r="F191" s="294"/>
      <c r="G191" s="246"/>
      <c r="H191" s="293" t="s">
        <v>418</v>
      </c>
      <c r="I191" s="246"/>
      <c r="J191" s="294"/>
      <c r="K191" s="246"/>
      <c r="L191" s="261"/>
      <c r="M191" s="250"/>
      <c r="N191" s="246"/>
      <c r="O191" s="293" t="s">
        <v>418</v>
      </c>
      <c r="P191" s="246"/>
      <c r="Q191" s="294"/>
      <c r="R191" s="246"/>
      <c r="S191" s="261"/>
      <c r="T191" s="294"/>
      <c r="U191" s="246"/>
      <c r="V191" s="293" t="s">
        <v>418</v>
      </c>
      <c r="W191" s="246"/>
      <c r="X191" s="294"/>
      <c r="Y191" s="246"/>
      <c r="Z191" s="261"/>
      <c r="AA191" s="250"/>
      <c r="AB191" s="246"/>
      <c r="AC191" s="294"/>
      <c r="AD191" s="246"/>
      <c r="AE191" s="293" t="s">
        <v>418</v>
      </c>
      <c r="AF191" s="246"/>
      <c r="AG191" s="261"/>
      <c r="AH191" s="294"/>
      <c r="AI191" s="246"/>
      <c r="AJ191" s="293" t="s">
        <v>418</v>
      </c>
      <c r="AK191" s="246"/>
      <c r="AL191" s="294"/>
      <c r="AM191" s="246"/>
      <c r="AN191" s="261"/>
      <c r="AO191" s="250"/>
      <c r="AP191" s="246"/>
      <c r="AQ191" s="294"/>
      <c r="AR191" s="246"/>
      <c r="AS191" s="294"/>
      <c r="AT191" s="254" t="str">
        <f t="shared" ref="AT191:AT195" si="149">IF(COUNTIF($AO$85:$AT$87, AS191) &gt; 0, "X", "")</f>
        <v/>
      </c>
      <c r="AU191" s="269"/>
      <c r="AV191" s="269"/>
      <c r="AW191" s="206" t="str">
        <f t="shared" ref="AW191:BC191" si="148">AW20</f>
        <v>#REF!</v>
      </c>
      <c r="AX191" s="206">
        <f t="shared" si="148"/>
        <v>49</v>
      </c>
      <c r="AY191" s="206">
        <f t="shared" si="148"/>
        <v>52</v>
      </c>
      <c r="AZ191" s="464">
        <f t="shared" si="148"/>
        <v>45</v>
      </c>
      <c r="BA191" s="206">
        <f t="shared" si="148"/>
        <v>43</v>
      </c>
      <c r="BB191" s="206">
        <f t="shared" si="148"/>
        <v>0</v>
      </c>
      <c r="BC191" s="465">
        <f t="shared" si="148"/>
        <v>1512</v>
      </c>
      <c r="BD191" s="206"/>
      <c r="BE191" s="466"/>
    </row>
    <row r="192">
      <c r="A192" s="94"/>
      <c r="B192" s="296" t="s">
        <v>650</v>
      </c>
      <c r="C192" s="297" t="s">
        <v>649</v>
      </c>
      <c r="D192" s="243"/>
      <c r="E192" s="259"/>
      <c r="F192" s="299"/>
      <c r="G192" s="298"/>
      <c r="H192" s="299"/>
      <c r="I192" s="298"/>
      <c r="J192" s="299"/>
      <c r="K192" s="298"/>
      <c r="L192" s="261"/>
      <c r="M192" s="250"/>
      <c r="N192" s="298"/>
      <c r="O192" s="299"/>
      <c r="P192" s="298"/>
      <c r="Q192" s="299"/>
      <c r="R192" s="298"/>
      <c r="S192" s="261"/>
      <c r="T192" s="299"/>
      <c r="U192" s="298"/>
      <c r="V192" s="299"/>
      <c r="W192" s="298"/>
      <c r="X192" s="299"/>
      <c r="Y192" s="298"/>
      <c r="Z192" s="261"/>
      <c r="AA192" s="250"/>
      <c r="AB192" s="298"/>
      <c r="AC192" s="299"/>
      <c r="AD192" s="298"/>
      <c r="AE192" s="356" t="s">
        <v>423</v>
      </c>
      <c r="AF192" s="298"/>
      <c r="AG192" s="261"/>
      <c r="AH192" s="299"/>
      <c r="AI192" s="298"/>
      <c r="AJ192" s="299"/>
      <c r="AK192" s="298"/>
      <c r="AL192" s="299"/>
      <c r="AM192" s="298"/>
      <c r="AN192" s="261"/>
      <c r="AO192" s="250"/>
      <c r="AP192" s="298"/>
      <c r="AQ192" s="299"/>
      <c r="AR192" s="298"/>
      <c r="AS192" s="299"/>
      <c r="AT192" s="254" t="str">
        <f t="shared" si="149"/>
        <v/>
      </c>
      <c r="AU192" s="269"/>
      <c r="AV192" s="269"/>
      <c r="AW192" s="206" t="str">
        <f t="shared" ref="AW192:BC192" si="150">AW21</f>
        <v>#REF!</v>
      </c>
      <c r="AX192" s="206">
        <f t="shared" si="150"/>
        <v>49</v>
      </c>
      <c r="AY192" s="206">
        <f t="shared" si="150"/>
        <v>52</v>
      </c>
      <c r="AZ192" s="464">
        <f t="shared" si="150"/>
        <v>45</v>
      </c>
      <c r="BA192" s="206">
        <f t="shared" si="150"/>
        <v>43</v>
      </c>
      <c r="BB192" s="206">
        <f t="shared" si="150"/>
        <v>0</v>
      </c>
      <c r="BC192" s="465">
        <f t="shared" si="150"/>
        <v>1512</v>
      </c>
      <c r="BD192" s="206"/>
      <c r="BE192" s="466"/>
    </row>
    <row r="193">
      <c r="A193" s="94"/>
      <c r="B193" s="301" t="s">
        <v>651</v>
      </c>
      <c r="C193" s="302" t="s">
        <v>652</v>
      </c>
      <c r="D193" s="243"/>
      <c r="E193" s="259"/>
      <c r="F193" s="303"/>
      <c r="G193" s="298"/>
      <c r="H193" s="303"/>
      <c r="I193" s="298"/>
      <c r="J193" s="303"/>
      <c r="K193" s="298"/>
      <c r="L193" s="261"/>
      <c r="M193" s="250"/>
      <c r="N193" s="298"/>
      <c r="O193" s="303"/>
      <c r="P193" s="298"/>
      <c r="Q193" s="303"/>
      <c r="R193" s="298"/>
      <c r="S193" s="261"/>
      <c r="T193" s="303"/>
      <c r="U193" s="298"/>
      <c r="V193" s="303"/>
      <c r="W193" s="298"/>
      <c r="X193" s="303"/>
      <c r="Y193" s="298"/>
      <c r="Z193" s="261"/>
      <c r="AA193" s="250"/>
      <c r="AB193" s="298"/>
      <c r="AC193" s="303"/>
      <c r="AD193" s="298"/>
      <c r="AE193" s="303"/>
      <c r="AF193" s="298"/>
      <c r="AG193" s="261"/>
      <c r="AH193" s="303"/>
      <c r="AI193" s="298"/>
      <c r="AJ193" s="303"/>
      <c r="AK193" s="298"/>
      <c r="AL193" s="303"/>
      <c r="AM193" s="298"/>
      <c r="AN193" s="261"/>
      <c r="AO193" s="250"/>
      <c r="AP193" s="298"/>
      <c r="AQ193" s="303"/>
      <c r="AR193" s="298"/>
      <c r="AS193" s="303"/>
      <c r="AT193" s="254" t="str">
        <f t="shared" si="149"/>
        <v/>
      </c>
      <c r="AU193" s="269"/>
      <c r="AV193" s="269"/>
      <c r="AW193" s="206" t="str">
        <f t="shared" ref="AW193:BC193" si="151">AW22</f>
        <v>#REF!</v>
      </c>
      <c r="AX193" s="206">
        <f t="shared" si="151"/>
        <v>49</v>
      </c>
      <c r="AY193" s="206">
        <f t="shared" si="151"/>
        <v>52</v>
      </c>
      <c r="AZ193" s="464">
        <f t="shared" si="151"/>
        <v>45</v>
      </c>
      <c r="BA193" s="206">
        <f t="shared" si="151"/>
        <v>43</v>
      </c>
      <c r="BB193" s="206">
        <f t="shared" si="151"/>
        <v>0</v>
      </c>
      <c r="BC193" s="465">
        <f t="shared" si="151"/>
        <v>1512</v>
      </c>
      <c r="BD193" s="206"/>
      <c r="BE193" s="466"/>
    </row>
    <row r="194">
      <c r="A194" s="94"/>
      <c r="B194" s="305" t="s">
        <v>653</v>
      </c>
      <c r="C194" s="306" t="s">
        <v>654</v>
      </c>
      <c r="D194" s="243"/>
      <c r="E194" s="259"/>
      <c r="F194" s="307"/>
      <c r="G194" s="298"/>
      <c r="H194" s="307"/>
      <c r="I194" s="298"/>
      <c r="J194" s="307"/>
      <c r="K194" s="298"/>
      <c r="L194" s="261"/>
      <c r="M194" s="250"/>
      <c r="N194" s="298"/>
      <c r="O194" s="308" t="s">
        <v>434</v>
      </c>
      <c r="P194" s="298"/>
      <c r="Q194" s="307"/>
      <c r="R194" s="298"/>
      <c r="S194" s="261"/>
      <c r="T194" s="307"/>
      <c r="U194" s="298"/>
      <c r="V194" s="307"/>
      <c r="W194" s="298"/>
      <c r="X194" s="307"/>
      <c r="Y194" s="298"/>
      <c r="Z194" s="261"/>
      <c r="AA194" s="250"/>
      <c r="AB194" s="298"/>
      <c r="AC194" s="307"/>
      <c r="AD194" s="298"/>
      <c r="AE194" s="309" t="s">
        <v>449</v>
      </c>
      <c r="AF194" s="298"/>
      <c r="AG194" s="261"/>
      <c r="AH194" s="307"/>
      <c r="AI194" s="298"/>
      <c r="AJ194" s="307"/>
      <c r="AK194" s="298"/>
      <c r="AL194" s="307"/>
      <c r="AM194" s="298"/>
      <c r="AN194" s="261"/>
      <c r="AO194" s="250"/>
      <c r="AP194" s="298"/>
      <c r="AQ194" s="307"/>
      <c r="AR194" s="298"/>
      <c r="AS194" s="307"/>
      <c r="AT194" s="254" t="str">
        <f t="shared" si="149"/>
        <v/>
      </c>
      <c r="AU194" s="269"/>
      <c r="AV194" s="269"/>
      <c r="AW194" s="206" t="str">
        <f t="shared" ref="AW194:BC194" si="152">AW23</f>
        <v>#REF!</v>
      </c>
      <c r="AX194" s="206">
        <f t="shared" si="152"/>
        <v>49</v>
      </c>
      <c r="AY194" s="206">
        <f t="shared" si="152"/>
        <v>52</v>
      </c>
      <c r="AZ194" s="464">
        <f t="shared" si="152"/>
        <v>45</v>
      </c>
      <c r="BA194" s="206">
        <f t="shared" si="152"/>
        <v>43</v>
      </c>
      <c r="BB194" s="206">
        <f t="shared" si="152"/>
        <v>0</v>
      </c>
      <c r="BC194" s="465">
        <f t="shared" si="152"/>
        <v>1512</v>
      </c>
      <c r="BD194" s="206"/>
      <c r="BE194" s="466"/>
    </row>
    <row r="195">
      <c r="A195" s="94"/>
      <c r="B195" s="310" t="s">
        <v>656</v>
      </c>
      <c r="C195" s="278" t="s">
        <v>657</v>
      </c>
      <c r="D195" s="243"/>
      <c r="E195" s="259"/>
      <c r="F195" s="281"/>
      <c r="G195" s="246"/>
      <c r="H195" s="282"/>
      <c r="I195" s="246"/>
      <c r="J195" s="282"/>
      <c r="K195" s="246"/>
      <c r="L195" s="261"/>
      <c r="M195" s="250"/>
      <c r="N195" s="246"/>
      <c r="O195" s="274" t="s">
        <v>458</v>
      </c>
      <c r="P195" s="246"/>
      <c r="Q195" s="281"/>
      <c r="R195" s="246"/>
      <c r="S195" s="261"/>
      <c r="T195" s="282"/>
      <c r="U195" s="246"/>
      <c r="V195" s="282"/>
      <c r="W195" s="246"/>
      <c r="X195" s="282"/>
      <c r="Y195" s="246"/>
      <c r="Z195" s="261"/>
      <c r="AA195" s="250"/>
      <c r="AB195" s="246"/>
      <c r="AC195" s="282"/>
      <c r="AD195" s="246"/>
      <c r="AE195" s="311" t="s">
        <v>434</v>
      </c>
      <c r="AF195" s="246"/>
      <c r="AG195" s="261"/>
      <c r="AH195" s="282"/>
      <c r="AI195" s="246"/>
      <c r="AK195" s="246"/>
      <c r="AL195" s="282"/>
      <c r="AM195" s="246"/>
      <c r="AN195" s="261"/>
      <c r="AO195" s="250"/>
      <c r="AP195" s="246"/>
      <c r="AQ195" s="371"/>
      <c r="AR195" s="246"/>
      <c r="AS195" s="281"/>
      <c r="AT195" s="254" t="str">
        <f t="shared" si="149"/>
        <v/>
      </c>
      <c r="AU195" s="269"/>
      <c r="AV195" s="269"/>
      <c r="AW195" s="206" t="str">
        <f t="shared" ref="AW195:BC195" si="153">AW24</f>
        <v>#REF!</v>
      </c>
      <c r="AX195" s="206">
        <f t="shared" si="153"/>
        <v>49</v>
      </c>
      <c r="AY195" s="206">
        <f t="shared" si="153"/>
        <v>52</v>
      </c>
      <c r="AZ195" s="464">
        <f t="shared" si="153"/>
        <v>45</v>
      </c>
      <c r="BA195" s="206">
        <f t="shared" si="153"/>
        <v>43</v>
      </c>
      <c r="BB195" s="206">
        <f t="shared" si="153"/>
        <v>0</v>
      </c>
      <c r="BC195" s="465">
        <f t="shared" si="153"/>
        <v>1512</v>
      </c>
      <c r="BD195" s="206"/>
      <c r="BE195" s="466"/>
    </row>
    <row r="196">
      <c r="A196" s="94"/>
      <c r="B196" s="277" t="s">
        <v>658</v>
      </c>
      <c r="C196" s="278" t="s">
        <v>657</v>
      </c>
      <c r="D196" s="243"/>
      <c r="E196" s="259"/>
      <c r="F196" s="282"/>
      <c r="G196" s="246"/>
      <c r="I196" s="246"/>
      <c r="J196" s="281"/>
      <c r="K196" s="246"/>
      <c r="L196" s="261"/>
      <c r="M196" s="250"/>
      <c r="N196" s="246"/>
      <c r="O196" s="282"/>
      <c r="P196" s="246"/>
      <c r="R196" s="246"/>
      <c r="S196" s="261"/>
      <c r="T196" s="282"/>
      <c r="U196" s="246"/>
      <c r="W196" s="246"/>
      <c r="Y196" s="246"/>
      <c r="Z196" s="261"/>
      <c r="AA196" s="250"/>
      <c r="AB196" s="246"/>
      <c r="AD196" s="246"/>
      <c r="AE196" s="282"/>
      <c r="AF196" s="246"/>
      <c r="AG196" s="261"/>
      <c r="AI196" s="246"/>
      <c r="AK196" s="246"/>
      <c r="AL196" s="282"/>
      <c r="AM196" s="246"/>
      <c r="AN196" s="261"/>
      <c r="AO196" s="250"/>
      <c r="AP196" s="246"/>
      <c r="AR196" s="246"/>
      <c r="AT196" s="254" t="str">
        <f t="shared" ref="AT196:AT201" si="155">IF(COUNTIF($AO$85:$AT$87, #REF!) &gt; 0, "X", "")</f>
        <v/>
      </c>
      <c r="AU196" s="269"/>
      <c r="AV196" s="269"/>
      <c r="AW196" s="206" t="str">
        <f t="shared" ref="AW196:BC196" si="154">AW25</f>
        <v>#REF!</v>
      </c>
      <c r="AX196" s="206">
        <f t="shared" si="154"/>
        <v>49</v>
      </c>
      <c r="AY196" s="206">
        <f t="shared" si="154"/>
        <v>52</v>
      </c>
      <c r="AZ196" s="464">
        <f t="shared" si="154"/>
        <v>45</v>
      </c>
      <c r="BA196" s="206">
        <f t="shared" si="154"/>
        <v>43</v>
      </c>
      <c r="BB196" s="206">
        <f t="shared" si="154"/>
        <v>0</v>
      </c>
      <c r="BC196" s="465">
        <f t="shared" si="154"/>
        <v>1512</v>
      </c>
      <c r="BD196" s="206"/>
      <c r="BE196" s="466"/>
    </row>
    <row r="197">
      <c r="A197" s="94"/>
      <c r="B197" s="314" t="s">
        <v>660</v>
      </c>
      <c r="C197" s="315" t="s">
        <v>649</v>
      </c>
      <c r="D197" s="243"/>
      <c r="E197" s="259"/>
      <c r="F197" s="506"/>
      <c r="G197" s="246"/>
      <c r="H197" s="293" t="s">
        <v>416</v>
      </c>
      <c r="I197" s="246"/>
      <c r="J197" s="293" t="s">
        <v>422</v>
      </c>
      <c r="K197" s="246"/>
      <c r="L197" s="261"/>
      <c r="M197" s="316"/>
      <c r="N197" s="246"/>
      <c r="O197" s="293" t="s">
        <v>426</v>
      </c>
      <c r="P197" s="246"/>
      <c r="Q197" s="293" t="s">
        <v>416</v>
      </c>
      <c r="R197" s="246"/>
      <c r="S197" s="261"/>
      <c r="T197" s="507"/>
      <c r="U197" s="246"/>
      <c r="V197" s="253" t="s">
        <v>417</v>
      </c>
      <c r="W197" s="246"/>
      <c r="X197" s="293" t="s">
        <v>416</v>
      </c>
      <c r="Y197" s="246"/>
      <c r="Z197" s="261"/>
      <c r="AA197" s="316"/>
      <c r="AB197" s="246"/>
      <c r="AC197" s="293" t="s">
        <v>416</v>
      </c>
      <c r="AD197" s="246"/>
      <c r="AE197" s="508"/>
      <c r="AF197" s="246"/>
      <c r="AG197" s="261"/>
      <c r="AH197" s="353" t="s">
        <v>426</v>
      </c>
      <c r="AI197" s="246"/>
      <c r="AJ197" s="293" t="s">
        <v>416</v>
      </c>
      <c r="AK197" s="246"/>
      <c r="AL197" s="293" t="s">
        <v>421</v>
      </c>
      <c r="AM197" s="246"/>
      <c r="AN197" s="261"/>
      <c r="AO197" s="316"/>
      <c r="AP197" s="246"/>
      <c r="AQ197" s="253" t="s">
        <v>417</v>
      </c>
      <c r="AR197" s="246"/>
      <c r="AS197" s="293" t="s">
        <v>422</v>
      </c>
      <c r="AT197" s="254" t="str">
        <f t="shared" si="155"/>
        <v/>
      </c>
      <c r="AU197" s="269"/>
      <c r="AV197" s="269"/>
      <c r="AW197" s="206" t="str">
        <f t="shared" ref="AW197:BC197" si="156">AW26</f>
        <v>#REF!</v>
      </c>
      <c r="AX197" s="206">
        <f t="shared" si="156"/>
        <v>49</v>
      </c>
      <c r="AY197" s="206">
        <f t="shared" si="156"/>
        <v>52</v>
      </c>
      <c r="AZ197" s="464">
        <f t="shared" si="156"/>
        <v>45</v>
      </c>
      <c r="BA197" s="206">
        <f t="shared" si="156"/>
        <v>43</v>
      </c>
      <c r="BB197" s="206">
        <f t="shared" si="156"/>
        <v>0</v>
      </c>
      <c r="BC197" s="465">
        <f t="shared" si="156"/>
        <v>1512</v>
      </c>
      <c r="BD197" s="206"/>
      <c r="BE197" s="466"/>
    </row>
    <row r="198">
      <c r="A198" s="94"/>
      <c r="B198" s="296" t="s">
        <v>650</v>
      </c>
      <c r="C198" s="297" t="s">
        <v>649</v>
      </c>
      <c r="D198" s="243"/>
      <c r="E198" s="259"/>
      <c r="F198" s="509"/>
      <c r="G198" s="298"/>
      <c r="H198" s="299"/>
      <c r="I198" s="298"/>
      <c r="J198" s="510"/>
      <c r="K198" s="298"/>
      <c r="L198" s="261"/>
      <c r="M198" s="250"/>
      <c r="N198" s="298"/>
      <c r="O198" s="300"/>
      <c r="P198" s="298"/>
      <c r="Q198" s="510"/>
      <c r="R198" s="298"/>
      <c r="S198" s="261"/>
      <c r="T198" s="507"/>
      <c r="U198" s="298"/>
      <c r="V198" s="300"/>
      <c r="W198" s="298"/>
      <c r="X198" s="300"/>
      <c r="Y198" s="298"/>
      <c r="Z198" s="261"/>
      <c r="AA198" s="250"/>
      <c r="AB198" s="298"/>
      <c r="AC198" s="300"/>
      <c r="AD198" s="298"/>
      <c r="AE198" s="508"/>
      <c r="AF198" s="298"/>
      <c r="AG198" s="261"/>
      <c r="AH198" s="300"/>
      <c r="AI198" s="298"/>
      <c r="AJ198" s="300"/>
      <c r="AK198" s="298"/>
      <c r="AL198" s="510"/>
      <c r="AM198" s="298"/>
      <c r="AN198" s="261"/>
      <c r="AO198" s="250"/>
      <c r="AP198" s="298"/>
      <c r="AQ198" s="299"/>
      <c r="AR198" s="298"/>
      <c r="AS198" s="299"/>
      <c r="AT198" s="254" t="str">
        <f t="shared" si="155"/>
        <v/>
      </c>
      <c r="AU198" s="269"/>
      <c r="AV198" s="269"/>
      <c r="AW198" s="206" t="str">
        <f t="shared" ref="AW198:BC198" si="157">AW27</f>
        <v>#REF!</v>
      </c>
      <c r="AX198" s="206">
        <f t="shared" si="157"/>
        <v>49</v>
      </c>
      <c r="AY198" s="206">
        <f t="shared" si="157"/>
        <v>52</v>
      </c>
      <c r="AZ198" s="464">
        <f t="shared" si="157"/>
        <v>45</v>
      </c>
      <c r="BA198" s="206">
        <f t="shared" si="157"/>
        <v>43</v>
      </c>
      <c r="BB198" s="206">
        <f t="shared" si="157"/>
        <v>0</v>
      </c>
      <c r="BC198" s="465">
        <f t="shared" si="157"/>
        <v>1512</v>
      </c>
      <c r="BD198" s="206"/>
      <c r="BE198" s="466"/>
    </row>
    <row r="199">
      <c r="A199" s="94"/>
      <c r="B199" s="301" t="s">
        <v>651</v>
      </c>
      <c r="C199" s="302" t="s">
        <v>652</v>
      </c>
      <c r="D199" s="243"/>
      <c r="E199" s="259"/>
      <c r="F199" s="320"/>
      <c r="G199" s="298"/>
      <c r="H199" s="303"/>
      <c r="I199" s="298"/>
      <c r="J199" s="511" t="s">
        <v>763</v>
      </c>
      <c r="K199" s="298"/>
      <c r="L199" s="261"/>
      <c r="M199" s="250"/>
      <c r="N199" s="298"/>
      <c r="O199" s="303"/>
      <c r="P199" s="298"/>
      <c r="Q199" s="484"/>
      <c r="R199" s="298"/>
      <c r="S199" s="261"/>
      <c r="T199" s="507"/>
      <c r="U199" s="298"/>
      <c r="V199" s="303"/>
      <c r="W199" s="298"/>
      <c r="X199" s="511" t="s">
        <v>763</v>
      </c>
      <c r="Y199" s="298"/>
      <c r="Z199" s="261"/>
      <c r="AA199" s="250"/>
      <c r="AB199" s="298"/>
      <c r="AC199" s="303"/>
      <c r="AD199" s="298"/>
      <c r="AE199" s="508"/>
      <c r="AF199" s="298"/>
      <c r="AG199" s="261"/>
      <c r="AH199" s="303"/>
      <c r="AI199" s="298"/>
      <c r="AJ199" s="303"/>
      <c r="AK199" s="298"/>
      <c r="AL199" s="512" t="s">
        <v>762</v>
      </c>
      <c r="AM199" s="298"/>
      <c r="AN199" s="261"/>
      <c r="AO199" s="250"/>
      <c r="AP199" s="298"/>
      <c r="AQ199" s="303"/>
      <c r="AR199" s="298"/>
      <c r="AS199" s="303"/>
      <c r="AT199" s="254" t="str">
        <f t="shared" si="155"/>
        <v/>
      </c>
      <c r="AU199" s="269"/>
      <c r="AV199" s="269"/>
      <c r="AW199" s="206" t="str">
        <f t="shared" ref="AW199:BC199" si="158">AW28</f>
        <v>#REF!</v>
      </c>
      <c r="AX199" s="206">
        <f t="shared" si="158"/>
        <v>49</v>
      </c>
      <c r="AY199" s="206">
        <f t="shared" si="158"/>
        <v>52</v>
      </c>
      <c r="AZ199" s="464">
        <f t="shared" si="158"/>
        <v>45</v>
      </c>
      <c r="BA199" s="206">
        <f t="shared" si="158"/>
        <v>43</v>
      </c>
      <c r="BB199" s="206">
        <f t="shared" si="158"/>
        <v>0</v>
      </c>
      <c r="BC199" s="465">
        <f t="shared" si="158"/>
        <v>1512</v>
      </c>
      <c r="BD199" s="206"/>
      <c r="BE199" s="466"/>
    </row>
    <row r="200">
      <c r="A200" s="94"/>
      <c r="B200" s="322" t="s">
        <v>662</v>
      </c>
      <c r="C200" s="306" t="s">
        <v>663</v>
      </c>
      <c r="D200" s="323"/>
      <c r="E200" s="259"/>
      <c r="F200" s="317"/>
      <c r="G200" s="298"/>
      <c r="H200" s="307"/>
      <c r="I200" s="298"/>
      <c r="J200" s="513" t="s">
        <v>414</v>
      </c>
      <c r="K200" s="298"/>
      <c r="L200" s="261"/>
      <c r="M200" s="324"/>
      <c r="N200" s="298"/>
      <c r="O200" s="348" t="s">
        <v>664</v>
      </c>
      <c r="P200" s="298"/>
      <c r="Q200" s="307"/>
      <c r="R200" s="298"/>
      <c r="S200" s="261"/>
      <c r="T200" s="507"/>
      <c r="U200" s="298"/>
      <c r="V200" s="307"/>
      <c r="W200" s="298"/>
      <c r="X200" s="513" t="s">
        <v>414</v>
      </c>
      <c r="Y200" s="298"/>
      <c r="Z200" s="261"/>
      <c r="AA200" s="324"/>
      <c r="AB200" s="298"/>
      <c r="AC200" s="307"/>
      <c r="AD200" s="298"/>
      <c r="AE200" s="508"/>
      <c r="AF200" s="298"/>
      <c r="AG200" s="261"/>
      <c r="AH200" s="307"/>
      <c r="AI200" s="298"/>
      <c r="AJ200" s="307"/>
      <c r="AK200" s="298"/>
      <c r="AL200" s="307"/>
      <c r="AM200" s="298"/>
      <c r="AN200" s="261"/>
      <c r="AO200" s="324"/>
      <c r="AP200" s="298"/>
      <c r="AQ200" s="307"/>
      <c r="AR200" s="298"/>
      <c r="AS200" s="307"/>
      <c r="AT200" s="254" t="str">
        <f t="shared" si="155"/>
        <v/>
      </c>
      <c r="AU200" s="269"/>
      <c r="AV200" s="269"/>
      <c r="AW200" s="206" t="str">
        <f t="shared" ref="AW200:BC200" si="159">AW29</f>
        <v>#REF!</v>
      </c>
      <c r="AX200" s="206">
        <f t="shared" si="159"/>
        <v>49</v>
      </c>
      <c r="AY200" s="206">
        <f t="shared" si="159"/>
        <v>52</v>
      </c>
      <c r="AZ200" s="464">
        <f t="shared" si="159"/>
        <v>45</v>
      </c>
      <c r="BA200" s="206">
        <f t="shared" si="159"/>
        <v>43</v>
      </c>
      <c r="BB200" s="206">
        <f t="shared" si="159"/>
        <v>0</v>
      </c>
      <c r="BC200" s="465">
        <f t="shared" si="159"/>
        <v>1512</v>
      </c>
      <c r="BD200" s="206"/>
      <c r="BE200" s="466"/>
    </row>
    <row r="201">
      <c r="A201" s="94"/>
      <c r="B201" s="328" t="s">
        <v>665</v>
      </c>
      <c r="C201" s="329" t="s">
        <v>654</v>
      </c>
      <c r="D201" s="330"/>
      <c r="E201" s="259"/>
      <c r="F201" s="506"/>
      <c r="G201" s="246"/>
      <c r="H201" s="274" t="s">
        <v>458</v>
      </c>
      <c r="I201" s="246"/>
      <c r="J201" s="311" t="s">
        <v>434</v>
      </c>
      <c r="K201" s="246"/>
      <c r="L201" s="261"/>
      <c r="M201" s="333"/>
      <c r="N201" s="246"/>
      <c r="O201" s="336" t="s">
        <v>450</v>
      </c>
      <c r="P201" s="246"/>
      <c r="Q201" s="274" t="s">
        <v>449</v>
      </c>
      <c r="R201" s="246"/>
      <c r="S201" s="261"/>
      <c r="T201" s="514"/>
      <c r="U201" s="246"/>
      <c r="V201" s="274" t="s">
        <v>458</v>
      </c>
      <c r="W201" s="246"/>
      <c r="X201" s="311" t="s">
        <v>434</v>
      </c>
      <c r="Y201" s="246"/>
      <c r="Z201" s="261"/>
      <c r="AA201" s="333"/>
      <c r="AB201" s="246"/>
      <c r="AC201" s="280" t="s">
        <v>655</v>
      </c>
      <c r="AD201" s="246"/>
      <c r="AE201" s="515"/>
      <c r="AF201" s="246"/>
      <c r="AG201" s="261"/>
      <c r="AH201" s="280" t="s">
        <v>443</v>
      </c>
      <c r="AI201" s="246"/>
      <c r="AJ201" s="336" t="s">
        <v>450</v>
      </c>
      <c r="AK201" s="246"/>
      <c r="AL201" s="311" t="s">
        <v>434</v>
      </c>
      <c r="AM201" s="246"/>
      <c r="AN201" s="261"/>
      <c r="AO201" s="333"/>
      <c r="AP201" s="246"/>
      <c r="AQ201" s="274" t="s">
        <v>458</v>
      </c>
      <c r="AR201" s="246"/>
      <c r="AS201" s="274" t="s">
        <v>449</v>
      </c>
      <c r="AT201" s="254" t="str">
        <f t="shared" si="155"/>
        <v/>
      </c>
      <c r="AU201" s="269"/>
      <c r="AV201" s="269"/>
      <c r="AW201" s="206" t="str">
        <f t="shared" ref="AW201:BC201" si="160">AW30</f>
        <v>#REF!</v>
      </c>
      <c r="AX201" s="206">
        <f t="shared" si="160"/>
        <v>49</v>
      </c>
      <c r="AY201" s="206">
        <f t="shared" si="160"/>
        <v>52</v>
      </c>
      <c r="AZ201" s="464">
        <f t="shared" si="160"/>
        <v>45</v>
      </c>
      <c r="BA201" s="206">
        <f t="shared" si="160"/>
        <v>43</v>
      </c>
      <c r="BB201" s="206">
        <f t="shared" si="160"/>
        <v>0</v>
      </c>
      <c r="BC201" s="465">
        <f t="shared" si="160"/>
        <v>1512</v>
      </c>
      <c r="BD201" s="206"/>
      <c r="BE201" s="466"/>
    </row>
    <row r="202">
      <c r="A202" s="94"/>
      <c r="B202" s="337" t="s">
        <v>665</v>
      </c>
      <c r="C202" s="338" t="s">
        <v>657</v>
      </c>
      <c r="D202" s="330"/>
      <c r="E202" s="259"/>
      <c r="F202" s="506"/>
      <c r="G202" s="246"/>
      <c r="I202" s="246"/>
      <c r="J202" s="274" t="s">
        <v>443</v>
      </c>
      <c r="K202" s="246"/>
      <c r="L202" s="261"/>
      <c r="M202" s="324"/>
      <c r="N202" s="246"/>
      <c r="O202" s="339" t="s">
        <v>459</v>
      </c>
      <c r="P202" s="246"/>
      <c r="Q202" s="274" t="s">
        <v>655</v>
      </c>
      <c r="R202" s="246"/>
      <c r="S202" s="261"/>
      <c r="T202" s="514"/>
      <c r="U202" s="246"/>
      <c r="V202" s="283" t="s">
        <v>450</v>
      </c>
      <c r="W202" s="246"/>
      <c r="X202" s="274" t="s">
        <v>655</v>
      </c>
      <c r="Y202" s="246"/>
      <c r="Z202" s="261"/>
      <c r="AA202" s="324"/>
      <c r="AB202" s="246"/>
      <c r="AC202" s="251" t="s">
        <v>398</v>
      </c>
      <c r="AD202" s="246"/>
      <c r="AE202" s="515"/>
      <c r="AF202" s="246"/>
      <c r="AG202" s="261"/>
      <c r="AH202" s="274" t="s">
        <v>655</v>
      </c>
      <c r="AI202" s="246"/>
      <c r="AJ202" s="339" t="s">
        <v>459</v>
      </c>
      <c r="AK202" s="246"/>
      <c r="AL202" s="274" t="s">
        <v>415</v>
      </c>
      <c r="AM202" s="246"/>
      <c r="AN202" s="261"/>
      <c r="AO202" s="324"/>
      <c r="AP202" s="246"/>
      <c r="AQ202" s="283" t="s">
        <v>450</v>
      </c>
      <c r="AR202" s="246"/>
      <c r="AS202" s="274" t="s">
        <v>443</v>
      </c>
      <c r="AT202" s="254" t="str">
        <f>IF(COUNTIF($AO$85:$AT$87, AS209) &gt; 0, "X", "")</f>
        <v/>
      </c>
      <c r="AU202" s="269"/>
      <c r="AV202" s="269"/>
      <c r="AW202" s="206" t="str">
        <f t="shared" ref="AW202:BC202" si="161">AW31</f>
        <v>#REF!</v>
      </c>
      <c r="AX202" s="206">
        <f t="shared" si="161"/>
        <v>49</v>
      </c>
      <c r="AY202" s="206">
        <f t="shared" si="161"/>
        <v>52</v>
      </c>
      <c r="AZ202" s="464">
        <f t="shared" si="161"/>
        <v>45</v>
      </c>
      <c r="BA202" s="206">
        <f t="shared" si="161"/>
        <v>43</v>
      </c>
      <c r="BB202" s="206">
        <f t="shared" si="161"/>
        <v>0</v>
      </c>
      <c r="BC202" s="465">
        <f t="shared" si="161"/>
        <v>1512</v>
      </c>
      <c r="BD202" s="206"/>
      <c r="BE202" s="466"/>
    </row>
    <row r="203">
      <c r="A203" s="94"/>
      <c r="B203" s="256" t="s">
        <v>665</v>
      </c>
      <c r="C203" s="257" t="s">
        <v>663</v>
      </c>
      <c r="D203" s="330"/>
      <c r="E203" s="259"/>
      <c r="F203" s="506"/>
      <c r="G203" s="246"/>
      <c r="H203" s="283" t="s">
        <v>450</v>
      </c>
      <c r="I203" s="246"/>
      <c r="K203" s="246"/>
      <c r="L203" s="261"/>
      <c r="M203" s="341"/>
      <c r="N203" s="246"/>
      <c r="O203" s="516"/>
      <c r="P203" s="246"/>
      <c r="R203" s="246"/>
      <c r="S203" s="261"/>
      <c r="T203" s="514"/>
      <c r="U203" s="246"/>
      <c r="W203" s="246"/>
      <c r="X203" s="274" t="s">
        <v>448</v>
      </c>
      <c r="Y203" s="246"/>
      <c r="Z203" s="261"/>
      <c r="AA203" s="341"/>
      <c r="AB203" s="246"/>
      <c r="AD203" s="246"/>
      <c r="AE203" s="506"/>
      <c r="AF203" s="246"/>
      <c r="AG203" s="261"/>
      <c r="AH203" s="282"/>
      <c r="AI203" s="246"/>
      <c r="AK203" s="246"/>
      <c r="AM203" s="246"/>
      <c r="AN203" s="261"/>
      <c r="AO203" s="341"/>
      <c r="AP203" s="246"/>
      <c r="AR203" s="246"/>
      <c r="AT203" s="254" t="str">
        <f>IF(COUNTIF($AO$85:$AT$87, #REF!) &gt; 0, "X", "")</f>
        <v/>
      </c>
      <c r="AU203" s="269"/>
      <c r="AV203" s="269"/>
      <c r="AW203" s="206" t="str">
        <f t="shared" ref="AW203:BC203" si="162">AW32</f>
        <v>#REF!</v>
      </c>
      <c r="AX203" s="206">
        <f t="shared" si="162"/>
        <v>49</v>
      </c>
      <c r="AY203" s="206">
        <f t="shared" si="162"/>
        <v>52</v>
      </c>
      <c r="AZ203" s="464">
        <f t="shared" si="162"/>
        <v>45</v>
      </c>
      <c r="BA203" s="206">
        <f t="shared" si="162"/>
        <v>43</v>
      </c>
      <c r="BB203" s="206">
        <f t="shared" si="162"/>
        <v>0</v>
      </c>
      <c r="BC203" s="465">
        <f t="shared" si="162"/>
        <v>1512</v>
      </c>
      <c r="BD203" s="206"/>
      <c r="BE203" s="466"/>
    </row>
    <row r="204">
      <c r="A204" s="94"/>
      <c r="B204" s="328" t="s">
        <v>665</v>
      </c>
      <c r="C204" s="329" t="s">
        <v>645</v>
      </c>
      <c r="D204" s="330"/>
      <c r="E204" s="259"/>
      <c r="F204" s="506"/>
      <c r="G204" s="246"/>
      <c r="H204" s="339" t="s">
        <v>459</v>
      </c>
      <c r="I204" s="246"/>
      <c r="J204" s="274" t="s">
        <v>448</v>
      </c>
      <c r="K204" s="246"/>
      <c r="L204" s="261"/>
      <c r="M204" s="341"/>
      <c r="N204" s="246"/>
      <c r="O204" s="274" t="s">
        <v>415</v>
      </c>
      <c r="P204" s="246"/>
      <c r="Q204" s="274" t="s">
        <v>448</v>
      </c>
      <c r="R204" s="246"/>
      <c r="S204" s="261"/>
      <c r="T204" s="514"/>
      <c r="U204" s="246"/>
      <c r="V204" s="339" t="s">
        <v>459</v>
      </c>
      <c r="W204" s="246"/>
      <c r="Y204" s="246"/>
      <c r="Z204" s="261"/>
      <c r="AA204" s="341"/>
      <c r="AB204" s="246"/>
      <c r="AC204" s="274" t="s">
        <v>448</v>
      </c>
      <c r="AD204" s="246"/>
      <c r="AE204" s="515"/>
      <c r="AF204" s="246"/>
      <c r="AG204" s="261"/>
      <c r="AH204" s="274" t="s">
        <v>448</v>
      </c>
      <c r="AI204" s="246"/>
      <c r="AK204" s="246"/>
      <c r="AL204" s="274" t="s">
        <v>414</v>
      </c>
      <c r="AM204" s="246"/>
      <c r="AN204" s="261"/>
      <c r="AO204" s="341"/>
      <c r="AP204" s="246"/>
      <c r="AQ204" s="339" t="s">
        <v>459</v>
      </c>
      <c r="AR204" s="246"/>
      <c r="AS204" s="274" t="s">
        <v>415</v>
      </c>
      <c r="AT204" s="254" t="str">
        <f>IF(COUNTIF($AO$85:$AT$87, AQ202) &gt; 0, "X", "")</f>
        <v/>
      </c>
      <c r="AU204" s="269"/>
      <c r="AV204" s="269"/>
      <c r="AW204" s="206" t="str">
        <f t="shared" ref="AW204:BC204" si="163">AW33</f>
        <v>#REF!</v>
      </c>
      <c r="AX204" s="206">
        <f t="shared" si="163"/>
        <v>49</v>
      </c>
      <c r="AY204" s="206">
        <f t="shared" si="163"/>
        <v>52</v>
      </c>
      <c r="AZ204" s="464">
        <f t="shared" si="163"/>
        <v>45</v>
      </c>
      <c r="BA204" s="206">
        <f t="shared" si="163"/>
        <v>43</v>
      </c>
      <c r="BB204" s="206">
        <f t="shared" si="163"/>
        <v>0</v>
      </c>
      <c r="BC204" s="465">
        <f t="shared" si="163"/>
        <v>1512</v>
      </c>
      <c r="BD204" s="206"/>
      <c r="BE204" s="466"/>
    </row>
    <row r="205">
      <c r="A205" s="94"/>
      <c r="B205" s="342" t="s">
        <v>667</v>
      </c>
      <c r="C205" s="343" t="s">
        <v>657</v>
      </c>
      <c r="D205" s="323"/>
      <c r="E205" s="261"/>
      <c r="F205" s="345" t="s">
        <v>401</v>
      </c>
      <c r="G205" s="246"/>
      <c r="I205" s="246"/>
      <c r="K205" s="246"/>
      <c r="L205" s="261"/>
      <c r="M205" s="346"/>
      <c r="N205" s="246"/>
      <c r="O205" s="345" t="s">
        <v>401</v>
      </c>
      <c r="P205" s="246"/>
      <c r="Q205" s="282"/>
      <c r="R205" s="246"/>
      <c r="S205" s="261"/>
      <c r="T205" s="345" t="s">
        <v>401</v>
      </c>
      <c r="U205" s="246"/>
      <c r="W205" s="246"/>
      <c r="Y205" s="246"/>
      <c r="Z205" s="261"/>
      <c r="AA205" s="346"/>
      <c r="AB205" s="246"/>
      <c r="AC205" s="347" t="s">
        <v>401</v>
      </c>
      <c r="AD205" s="246"/>
      <c r="AE205" s="282"/>
      <c r="AF205" s="246"/>
      <c r="AG205" s="261"/>
      <c r="AH205" s="345" t="s">
        <v>401</v>
      </c>
      <c r="AI205" s="246"/>
      <c r="AJ205" s="348" t="s">
        <v>664</v>
      </c>
      <c r="AK205" s="246"/>
      <c r="AL205" s="282"/>
      <c r="AM205" s="246"/>
      <c r="AN205" s="261"/>
      <c r="AO205" s="346"/>
      <c r="AP205" s="246"/>
      <c r="AQ205" s="345" t="s">
        <v>401</v>
      </c>
      <c r="AR205" s="246"/>
      <c r="AS205" s="282"/>
      <c r="AT205" s="254" t="str">
        <f t="shared" ref="AT205:AT207" si="165">IF(COUNTIF($AO$85:$AT$87, #REF!) &gt; 0, "X", "")</f>
        <v/>
      </c>
      <c r="AU205" s="269"/>
      <c r="AV205" s="269"/>
      <c r="AW205" s="206" t="str">
        <f t="shared" ref="AW205:BC205" si="164">AW34</f>
        <v>#REF!</v>
      </c>
      <c r="AX205" s="206">
        <f t="shared" si="164"/>
        <v>49</v>
      </c>
      <c r="AY205" s="206">
        <f t="shared" si="164"/>
        <v>52</v>
      </c>
      <c r="AZ205" s="464">
        <f t="shared" si="164"/>
        <v>45</v>
      </c>
      <c r="BA205" s="206">
        <f t="shared" si="164"/>
        <v>43</v>
      </c>
      <c r="BB205" s="206">
        <f t="shared" si="164"/>
        <v>0</v>
      </c>
      <c r="BC205" s="465">
        <f t="shared" si="164"/>
        <v>1512</v>
      </c>
      <c r="BD205" s="206"/>
      <c r="BE205" s="466"/>
    </row>
    <row r="206">
      <c r="A206" s="94"/>
      <c r="B206" s="349" t="s">
        <v>669</v>
      </c>
      <c r="C206" s="350" t="s">
        <v>649</v>
      </c>
      <c r="D206" s="351"/>
      <c r="E206" s="259"/>
      <c r="F206" s="293" t="s">
        <v>426</v>
      </c>
      <c r="G206" s="246"/>
      <c r="H206" s="293" t="s">
        <v>421</v>
      </c>
      <c r="I206" s="246"/>
      <c r="J206" s="356" t="s">
        <v>423</v>
      </c>
      <c r="K206" s="246"/>
      <c r="L206" s="261"/>
      <c r="M206" s="354"/>
      <c r="N206" s="246"/>
      <c r="O206" s="253" t="s">
        <v>417</v>
      </c>
      <c r="P206" s="246"/>
      <c r="Q206" s="356" t="s">
        <v>423</v>
      </c>
      <c r="R206" s="246"/>
      <c r="S206" s="261"/>
      <c r="T206" s="356" t="s">
        <v>423</v>
      </c>
      <c r="U206" s="246"/>
      <c r="V206" s="357" t="s">
        <v>420</v>
      </c>
      <c r="W206" s="246"/>
      <c r="X206" s="293" t="s">
        <v>421</v>
      </c>
      <c r="Y206" s="246"/>
      <c r="Z206" s="261"/>
      <c r="AA206" s="354"/>
      <c r="AB206" s="246"/>
      <c r="AC206" s="253" t="s">
        <v>417</v>
      </c>
      <c r="AD206" s="246"/>
      <c r="AE206" s="293" t="s">
        <v>422</v>
      </c>
      <c r="AF206" s="246"/>
      <c r="AG206" s="261"/>
      <c r="AH206" s="293" t="s">
        <v>422</v>
      </c>
      <c r="AI206" s="246"/>
      <c r="AJ206" s="253" t="s">
        <v>417</v>
      </c>
      <c r="AK206" s="246"/>
      <c r="AL206" s="356" t="s">
        <v>423</v>
      </c>
      <c r="AM206" s="246"/>
      <c r="AN206" s="261"/>
      <c r="AO206" s="354"/>
      <c r="AP206" s="246"/>
      <c r="AQ206" s="357" t="s">
        <v>420</v>
      </c>
      <c r="AR206" s="246"/>
      <c r="AS206" s="353" t="s">
        <v>426</v>
      </c>
      <c r="AT206" s="254" t="str">
        <f t="shared" si="165"/>
        <v/>
      </c>
      <c r="AU206" s="269"/>
      <c r="AV206" s="269"/>
      <c r="AW206" s="206" t="str">
        <f t="shared" ref="AW206:BC206" si="166">AW35</f>
        <v>#REF!</v>
      </c>
      <c r="AX206" s="206">
        <f t="shared" si="166"/>
        <v>49</v>
      </c>
      <c r="AY206" s="206">
        <f t="shared" si="166"/>
        <v>52</v>
      </c>
      <c r="AZ206" s="464">
        <f t="shared" si="166"/>
        <v>45</v>
      </c>
      <c r="BA206" s="206">
        <f t="shared" si="166"/>
        <v>43</v>
      </c>
      <c r="BB206" s="206">
        <f t="shared" si="166"/>
        <v>0</v>
      </c>
      <c r="BC206" s="465">
        <f t="shared" si="166"/>
        <v>1512</v>
      </c>
      <c r="BD206" s="206"/>
      <c r="BE206" s="466"/>
    </row>
    <row r="207">
      <c r="A207" s="234"/>
      <c r="B207" s="296" t="s">
        <v>650</v>
      </c>
      <c r="C207" s="297" t="s">
        <v>649</v>
      </c>
      <c r="D207" s="323"/>
      <c r="E207" s="259"/>
      <c r="F207" s="299"/>
      <c r="G207" s="298"/>
      <c r="H207" s="517" t="s">
        <v>397</v>
      </c>
      <c r="I207" s="298"/>
      <c r="J207" s="299"/>
      <c r="K207" s="298"/>
      <c r="L207" s="261"/>
      <c r="M207" s="324"/>
      <c r="N207" s="298"/>
      <c r="O207" s="319"/>
      <c r="P207" s="298"/>
      <c r="Q207" s="319"/>
      <c r="R207" s="298"/>
      <c r="S207" s="261"/>
      <c r="T207" s="299"/>
      <c r="U207" s="298"/>
      <c r="V207" s="517" t="s">
        <v>397</v>
      </c>
      <c r="W207" s="298"/>
      <c r="X207" s="299"/>
      <c r="Y207" s="298"/>
      <c r="Z207" s="261"/>
      <c r="AA207" s="324"/>
      <c r="AB207" s="298"/>
      <c r="AC207" s="319"/>
      <c r="AD207" s="298"/>
      <c r="AE207" s="319"/>
      <c r="AF207" s="298"/>
      <c r="AG207" s="261"/>
      <c r="AH207" s="300"/>
      <c r="AI207" s="298"/>
      <c r="AJ207" s="517" t="s">
        <v>397</v>
      </c>
      <c r="AK207" s="298"/>
      <c r="AL207" s="300"/>
      <c r="AM207" s="298"/>
      <c r="AN207" s="261"/>
      <c r="AO207" s="324"/>
      <c r="AP207" s="298"/>
      <c r="AQ207" s="299"/>
      <c r="AR207" s="298"/>
      <c r="AS207" s="299"/>
      <c r="AT207" s="254" t="str">
        <f t="shared" si="165"/>
        <v/>
      </c>
      <c r="AU207" s="269"/>
      <c r="AV207" s="269"/>
      <c r="AW207" s="206" t="str">
        <f t="shared" ref="AW207:BC207" si="167">AW36</f>
        <v>#REF!</v>
      </c>
      <c r="AX207" s="206">
        <f t="shared" si="167"/>
        <v>49</v>
      </c>
      <c r="AY207" s="206">
        <f t="shared" si="167"/>
        <v>52</v>
      </c>
      <c r="AZ207" s="464">
        <f t="shared" si="167"/>
        <v>45</v>
      </c>
      <c r="BA207" s="206">
        <f t="shared" si="167"/>
        <v>43</v>
      </c>
      <c r="BB207" s="206">
        <f t="shared" si="167"/>
        <v>0</v>
      </c>
      <c r="BC207" s="465">
        <f t="shared" si="167"/>
        <v>1512</v>
      </c>
      <c r="BD207" s="206"/>
      <c r="BE207" s="466"/>
    </row>
    <row r="208">
      <c r="A208" s="94"/>
      <c r="B208" s="301" t="s">
        <v>651</v>
      </c>
      <c r="C208" s="302" t="s">
        <v>652</v>
      </c>
      <c r="D208" s="330"/>
      <c r="E208" s="259"/>
      <c r="F208" s="303"/>
      <c r="G208" s="298"/>
      <c r="H208" s="518" t="s">
        <v>672</v>
      </c>
      <c r="I208" s="298"/>
      <c r="J208" s="512" t="s">
        <v>762</v>
      </c>
      <c r="K208" s="298"/>
      <c r="L208" s="261"/>
      <c r="M208" s="250"/>
      <c r="N208" s="298"/>
      <c r="O208" s="303"/>
      <c r="P208" s="298"/>
      <c r="Q208" s="303"/>
      <c r="R208" s="298"/>
      <c r="S208" s="261"/>
      <c r="T208" s="303"/>
      <c r="U208" s="298"/>
      <c r="V208" s="518" t="s">
        <v>672</v>
      </c>
      <c r="W208" s="298"/>
      <c r="X208" s="512" t="s">
        <v>762</v>
      </c>
      <c r="Y208" s="298"/>
      <c r="Z208" s="261"/>
      <c r="AA208" s="250"/>
      <c r="AB208" s="298"/>
      <c r="AC208" s="303"/>
      <c r="AD208" s="298"/>
      <c r="AE208" s="303"/>
      <c r="AF208" s="298"/>
      <c r="AG208" s="261"/>
      <c r="AH208" s="304"/>
      <c r="AI208" s="298"/>
      <c r="AJ208" s="304"/>
      <c r="AK208" s="298"/>
      <c r="AL208" s="511" t="s">
        <v>763</v>
      </c>
      <c r="AM208" s="298"/>
      <c r="AN208" s="261"/>
      <c r="AO208" s="250"/>
      <c r="AP208" s="298"/>
      <c r="AQ208" s="303"/>
      <c r="AR208" s="298"/>
      <c r="AS208" s="303"/>
      <c r="AT208" s="254" t="str">
        <f>IF(COUNTIF($AO$85:$AT$87, AS208) &gt; 0, "X", "")</f>
        <v/>
      </c>
      <c r="AU208" s="269"/>
      <c r="AV208" s="269"/>
      <c r="AW208" s="206" t="str">
        <f t="shared" ref="AW208:BC208" si="168">AW37</f>
        <v>#REF!</v>
      </c>
      <c r="AX208" s="206">
        <f t="shared" si="168"/>
        <v>49</v>
      </c>
      <c r="AY208" s="206">
        <f t="shared" si="168"/>
        <v>52</v>
      </c>
      <c r="AZ208" s="464">
        <f t="shared" si="168"/>
        <v>45</v>
      </c>
      <c r="BA208" s="206">
        <f t="shared" si="168"/>
        <v>43</v>
      </c>
      <c r="BB208" s="206">
        <f t="shared" si="168"/>
        <v>0</v>
      </c>
      <c r="BC208" s="465">
        <f t="shared" si="168"/>
        <v>1512</v>
      </c>
      <c r="BD208" s="206"/>
      <c r="BE208" s="466"/>
    </row>
    <row r="209">
      <c r="A209" s="94"/>
      <c r="B209" s="361" t="s">
        <v>673</v>
      </c>
      <c r="C209" s="362" t="s">
        <v>674</v>
      </c>
      <c r="D209" s="363"/>
      <c r="E209" s="259"/>
      <c r="F209" s="366" t="s">
        <v>676</v>
      </c>
      <c r="G209" s="298"/>
      <c r="H209" s="251" t="s">
        <v>412</v>
      </c>
      <c r="I209" s="298"/>
      <c r="J209" s="311" t="s">
        <v>765</v>
      </c>
      <c r="K209" s="298"/>
      <c r="L209" s="261"/>
      <c r="M209" s="324"/>
      <c r="N209" s="298"/>
      <c r="O209" s="336" t="s">
        <v>412</v>
      </c>
      <c r="P209" s="298"/>
      <c r="Q209" s="366" t="s">
        <v>676</v>
      </c>
      <c r="R209" s="298"/>
      <c r="S209" s="261"/>
      <c r="T209" s="251" t="s">
        <v>433</v>
      </c>
      <c r="U209" s="298"/>
      <c r="V209" s="251" t="s">
        <v>412</v>
      </c>
      <c r="W209" s="298"/>
      <c r="X209" s="366" t="s">
        <v>676</v>
      </c>
      <c r="Y209" s="298"/>
      <c r="Z209" s="261"/>
      <c r="AA209" s="324"/>
      <c r="AB209" s="298"/>
      <c r="AC209" s="365" t="s">
        <v>412</v>
      </c>
      <c r="AD209" s="298"/>
      <c r="AE209" s="274" t="s">
        <v>433</v>
      </c>
      <c r="AF209" s="298"/>
      <c r="AG209" s="261"/>
      <c r="AH209" s="366" t="s">
        <v>676</v>
      </c>
      <c r="AI209" s="298"/>
      <c r="AJ209" s="365" t="s">
        <v>412</v>
      </c>
      <c r="AK209" s="298"/>
      <c r="AL209" s="274" t="s">
        <v>433</v>
      </c>
      <c r="AM209" s="298"/>
      <c r="AN209" s="261"/>
      <c r="AO209" s="324"/>
      <c r="AP209" s="298"/>
      <c r="AQ209" s="366" t="s">
        <v>676</v>
      </c>
      <c r="AR209" s="298"/>
      <c r="AS209" s="274" t="s">
        <v>433</v>
      </c>
      <c r="AT209" s="254" t="str">
        <f t="shared" ref="AT209:AT216" si="170">IF(COUNTIF($AO$85:$AT$87, #REF!) &gt; 0, "X", "")</f>
        <v/>
      </c>
      <c r="AU209" s="269"/>
      <c r="AV209" s="269"/>
      <c r="AW209" s="206" t="str">
        <f t="shared" ref="AW209:BC209" si="169">AW38</f>
        <v>#REF!</v>
      </c>
      <c r="AX209" s="206">
        <f t="shared" si="169"/>
        <v>49</v>
      </c>
      <c r="AY209" s="206">
        <f t="shared" si="169"/>
        <v>52</v>
      </c>
      <c r="AZ209" s="464">
        <f t="shared" si="169"/>
        <v>45</v>
      </c>
      <c r="BA209" s="206">
        <f t="shared" si="169"/>
        <v>43</v>
      </c>
      <c r="BB209" s="206">
        <f t="shared" si="169"/>
        <v>0</v>
      </c>
      <c r="BC209" s="465">
        <f t="shared" si="169"/>
        <v>1512</v>
      </c>
      <c r="BD209" s="206"/>
      <c r="BE209" s="466"/>
    </row>
    <row r="210">
      <c r="A210" s="94"/>
      <c r="B210" s="367" t="s">
        <v>677</v>
      </c>
      <c r="C210" s="368" t="s">
        <v>674</v>
      </c>
      <c r="D210" s="369"/>
      <c r="E210" s="259"/>
      <c r="F210" s="348" t="s">
        <v>664</v>
      </c>
      <c r="G210" s="246"/>
      <c r="H210" s="282"/>
      <c r="I210" s="246"/>
      <c r="J210" s="282"/>
      <c r="K210" s="246"/>
      <c r="L210" s="261"/>
      <c r="M210" s="250"/>
      <c r="N210" s="246"/>
      <c r="O210" s="282"/>
      <c r="P210" s="246"/>
      <c r="Q210" s="282"/>
      <c r="R210" s="246"/>
      <c r="S210" s="261"/>
      <c r="T210" s="325" t="s">
        <v>784</v>
      </c>
      <c r="U210" s="246"/>
      <c r="W210" s="246"/>
      <c r="X210" s="282"/>
      <c r="Y210" s="246"/>
      <c r="Z210" s="261"/>
      <c r="AA210" s="250"/>
      <c r="AB210" s="246"/>
      <c r="AC210" s="282"/>
      <c r="AD210" s="246"/>
      <c r="AE210" s="348" t="s">
        <v>664</v>
      </c>
      <c r="AF210" s="246"/>
      <c r="AG210" s="261"/>
      <c r="AI210" s="246"/>
      <c r="AK210" s="246"/>
      <c r="AL210" s="282"/>
      <c r="AM210" s="246"/>
      <c r="AN210" s="261"/>
      <c r="AO210" s="250"/>
      <c r="AP210" s="246"/>
      <c r="AQ210" s="348" t="s">
        <v>664</v>
      </c>
      <c r="AR210" s="246"/>
      <c r="AS210" s="282"/>
      <c r="AT210" s="254" t="str">
        <f t="shared" si="170"/>
        <v/>
      </c>
      <c r="AU210" s="269"/>
      <c r="AV210" s="269"/>
      <c r="AW210" s="206" t="str">
        <f t="shared" ref="AW210:BC210" si="171">AW39</f>
        <v>#REF!</v>
      </c>
      <c r="AX210" s="206">
        <f t="shared" si="171"/>
        <v>49</v>
      </c>
      <c r="AY210" s="206">
        <f t="shared" si="171"/>
        <v>52</v>
      </c>
      <c r="AZ210" s="464">
        <f t="shared" si="171"/>
        <v>45</v>
      </c>
      <c r="BA210" s="206">
        <f t="shared" si="171"/>
        <v>43</v>
      </c>
      <c r="BB210" s="206">
        <f t="shared" si="171"/>
        <v>0</v>
      </c>
      <c r="BC210" s="465">
        <f t="shared" si="171"/>
        <v>1512</v>
      </c>
      <c r="BD210" s="206"/>
      <c r="BE210" s="466"/>
    </row>
    <row r="211">
      <c r="A211" s="94"/>
      <c r="B211" s="256" t="s">
        <v>679</v>
      </c>
      <c r="C211" s="257" t="s">
        <v>680</v>
      </c>
      <c r="D211" s="330"/>
      <c r="E211" s="259"/>
      <c r="F211" s="274" t="s">
        <v>655</v>
      </c>
      <c r="G211" s="246"/>
      <c r="H211" s="374" t="s">
        <v>436</v>
      </c>
      <c r="I211" s="246"/>
      <c r="J211" s="280" t="s">
        <v>433</v>
      </c>
      <c r="K211" s="246"/>
      <c r="L211" s="261"/>
      <c r="M211" s="333"/>
      <c r="N211" s="246"/>
      <c r="O211" s="374" t="s">
        <v>436</v>
      </c>
      <c r="P211" s="246"/>
      <c r="Q211" s="274" t="s">
        <v>443</v>
      </c>
      <c r="R211" s="246"/>
      <c r="S211" s="261"/>
      <c r="T211" s="376" t="s">
        <v>453</v>
      </c>
      <c r="U211" s="246"/>
      <c r="V211" s="374" t="s">
        <v>436</v>
      </c>
      <c r="W211" s="246"/>
      <c r="X211" s="274" t="s">
        <v>437</v>
      </c>
      <c r="Y211" s="246"/>
      <c r="Z211" s="261"/>
      <c r="AA211" s="333"/>
      <c r="AB211" s="246"/>
      <c r="AC211" s="374" t="s">
        <v>436</v>
      </c>
      <c r="AD211" s="246"/>
      <c r="AE211" s="376" t="s">
        <v>453</v>
      </c>
      <c r="AF211" s="246"/>
      <c r="AG211" s="261"/>
      <c r="AH211" s="311" t="s">
        <v>393</v>
      </c>
      <c r="AI211" s="246"/>
      <c r="AJ211" s="311" t="s">
        <v>436</v>
      </c>
      <c r="AK211" s="246"/>
      <c r="AL211" s="274" t="s">
        <v>437</v>
      </c>
      <c r="AM211" s="246"/>
      <c r="AN211" s="261"/>
      <c r="AO211" s="333"/>
      <c r="AP211" s="246"/>
      <c r="AQ211" s="519" t="s">
        <v>397</v>
      </c>
      <c r="AR211" s="246"/>
      <c r="AS211" s="274" t="s">
        <v>437</v>
      </c>
      <c r="AT211" s="254" t="str">
        <f t="shared" si="170"/>
        <v/>
      </c>
      <c r="AU211" s="269"/>
      <c r="AV211" s="269"/>
      <c r="AW211" s="206" t="str">
        <f t="shared" ref="AW211:BC211" si="172">AW40</f>
        <v>#REF!</v>
      </c>
      <c r="AX211" s="206">
        <f t="shared" si="172"/>
        <v>49</v>
      </c>
      <c r="AY211" s="206">
        <f t="shared" si="172"/>
        <v>52</v>
      </c>
      <c r="AZ211" s="464">
        <f t="shared" si="172"/>
        <v>45</v>
      </c>
      <c r="BA211" s="206">
        <f t="shared" si="172"/>
        <v>43</v>
      </c>
      <c r="BB211" s="206">
        <f t="shared" si="172"/>
        <v>0</v>
      </c>
      <c r="BC211" s="465">
        <f t="shared" si="172"/>
        <v>1512</v>
      </c>
      <c r="BD211" s="206"/>
      <c r="BE211" s="466"/>
    </row>
    <row r="212">
      <c r="A212" s="372"/>
      <c r="B212" s="328" t="s">
        <v>679</v>
      </c>
      <c r="C212" s="329" t="s">
        <v>652</v>
      </c>
      <c r="D212" s="330"/>
      <c r="E212" s="259"/>
      <c r="G212" s="246"/>
      <c r="H212" s="251" t="s">
        <v>407</v>
      </c>
      <c r="I212" s="246"/>
      <c r="K212" s="246"/>
      <c r="L212" s="261"/>
      <c r="M212" s="346"/>
      <c r="N212" s="246"/>
      <c r="O212" s="520" t="s">
        <v>397</v>
      </c>
      <c r="P212" s="246"/>
      <c r="R212" s="246"/>
      <c r="S212" s="261"/>
      <c r="T212" s="282"/>
      <c r="U212" s="246"/>
      <c r="W212" s="246"/>
      <c r="X212" s="274" t="s">
        <v>443</v>
      </c>
      <c r="Y212" s="246"/>
      <c r="Z212" s="261"/>
      <c r="AA212" s="346"/>
      <c r="AB212" s="246"/>
      <c r="AD212" s="246"/>
      <c r="AF212" s="246"/>
      <c r="AG212" s="261"/>
      <c r="AH212" s="282"/>
      <c r="AI212" s="246"/>
      <c r="AK212" s="246"/>
      <c r="AM212" s="246"/>
      <c r="AN212" s="261"/>
      <c r="AO212" s="346"/>
      <c r="AP212" s="246"/>
      <c r="AQ212" s="340" t="s">
        <v>406</v>
      </c>
      <c r="AR212" s="246"/>
      <c r="AS212" s="376" t="s">
        <v>453</v>
      </c>
      <c r="AT212" s="254" t="str">
        <f t="shared" si="170"/>
        <v/>
      </c>
      <c r="AU212" s="269"/>
      <c r="AV212" s="269"/>
      <c r="AW212" s="206" t="str">
        <f t="shared" ref="AW212:BC212" si="173">AW41</f>
        <v>#REF!</v>
      </c>
      <c r="AX212" s="206">
        <f t="shared" si="173"/>
        <v>49</v>
      </c>
      <c r="AY212" s="206">
        <f t="shared" si="173"/>
        <v>52</v>
      </c>
      <c r="AZ212" s="464">
        <f t="shared" si="173"/>
        <v>45</v>
      </c>
      <c r="BA212" s="206">
        <f t="shared" si="173"/>
        <v>43</v>
      </c>
      <c r="BB212" s="206">
        <f t="shared" si="173"/>
        <v>0</v>
      </c>
      <c r="BC212" s="465">
        <f t="shared" si="173"/>
        <v>1512</v>
      </c>
      <c r="BD212" s="206"/>
      <c r="BE212" s="466"/>
    </row>
    <row r="213">
      <c r="A213" s="94"/>
      <c r="B213" s="328" t="s">
        <v>679</v>
      </c>
      <c r="C213" s="329" t="s">
        <v>683</v>
      </c>
      <c r="D213" s="330"/>
      <c r="E213" s="259"/>
      <c r="F213" s="376" t="s">
        <v>453</v>
      </c>
      <c r="G213" s="246"/>
      <c r="H213" s="274" t="s">
        <v>406</v>
      </c>
      <c r="I213" s="246"/>
      <c r="J213" s="336" t="s">
        <v>398</v>
      </c>
      <c r="K213" s="246"/>
      <c r="L213" s="261"/>
      <c r="M213" s="341"/>
      <c r="N213" s="246"/>
      <c r="O213" s="418" t="s">
        <v>407</v>
      </c>
      <c r="P213" s="246"/>
      <c r="R213" s="246"/>
      <c r="S213" s="261"/>
      <c r="T213" s="340" t="s">
        <v>406</v>
      </c>
      <c r="U213" s="246"/>
      <c r="V213" s="251" t="s">
        <v>398</v>
      </c>
      <c r="W213" s="246"/>
      <c r="X213" s="274" t="s">
        <v>415</v>
      </c>
      <c r="Y213" s="246"/>
      <c r="Z213" s="261"/>
      <c r="AA213" s="341"/>
      <c r="AB213" s="246"/>
      <c r="AC213" s="274" t="s">
        <v>406</v>
      </c>
      <c r="AD213" s="246"/>
      <c r="AF213" s="246"/>
      <c r="AG213" s="261"/>
      <c r="AH213" s="376" t="s">
        <v>453</v>
      </c>
      <c r="AI213" s="246"/>
      <c r="AJ213" s="287" t="s">
        <v>407</v>
      </c>
      <c r="AK213" s="246"/>
      <c r="AM213" s="246"/>
      <c r="AN213" s="261"/>
      <c r="AO213" s="341"/>
      <c r="AP213" s="246"/>
      <c r="AR213" s="246"/>
      <c r="AT213" s="254" t="str">
        <f t="shared" si="170"/>
        <v/>
      </c>
      <c r="AU213" s="269"/>
      <c r="AV213" s="269"/>
      <c r="AW213" s="206" t="str">
        <f t="shared" ref="AW213:BC213" si="174">AW42</f>
        <v>#REF!</v>
      </c>
      <c r="AX213" s="206">
        <f t="shared" si="174"/>
        <v>49</v>
      </c>
      <c r="AY213" s="206">
        <f t="shared" si="174"/>
        <v>52</v>
      </c>
      <c r="AZ213" s="464">
        <f t="shared" si="174"/>
        <v>45</v>
      </c>
      <c r="BA213" s="206">
        <f t="shared" si="174"/>
        <v>43</v>
      </c>
      <c r="BB213" s="206">
        <f t="shared" si="174"/>
        <v>0</v>
      </c>
      <c r="BC213" s="465">
        <f t="shared" si="174"/>
        <v>1512</v>
      </c>
      <c r="BD213" s="206"/>
      <c r="BE213" s="466"/>
    </row>
    <row r="214">
      <c r="A214" s="94"/>
      <c r="B214" s="377" t="s">
        <v>684</v>
      </c>
      <c r="C214" s="378" t="s">
        <v>685</v>
      </c>
      <c r="D214" s="379"/>
      <c r="E214" s="380"/>
      <c r="F214" s="282"/>
      <c r="G214" s="246"/>
      <c r="H214" s="282"/>
      <c r="I214" s="246"/>
      <c r="K214" s="246"/>
      <c r="L214" s="381"/>
      <c r="M214" s="341"/>
      <c r="N214" s="246"/>
      <c r="O214" s="282"/>
      <c r="P214" s="246"/>
      <c r="Q214" s="311" t="s">
        <v>455</v>
      </c>
      <c r="R214" s="246"/>
      <c r="S214" s="381"/>
      <c r="U214" s="246"/>
      <c r="W214" s="246"/>
      <c r="X214" s="290" t="s">
        <v>410</v>
      </c>
      <c r="Y214" s="246"/>
      <c r="Z214" s="381"/>
      <c r="AA214" s="341"/>
      <c r="AB214" s="246"/>
      <c r="AD214" s="246"/>
      <c r="AE214" s="376" t="s">
        <v>466</v>
      </c>
      <c r="AF214" s="246"/>
      <c r="AG214" s="381"/>
      <c r="AI214" s="246"/>
      <c r="AJ214" s="282"/>
      <c r="AK214" s="246"/>
      <c r="AL214" s="376" t="s">
        <v>466</v>
      </c>
      <c r="AM214" s="246"/>
      <c r="AN214" s="381"/>
      <c r="AO214" s="341"/>
      <c r="AP214" s="246"/>
      <c r="AQ214" s="282"/>
      <c r="AR214" s="246"/>
      <c r="AS214" s="418" t="s">
        <v>410</v>
      </c>
      <c r="AT214" s="254" t="str">
        <f t="shared" si="170"/>
        <v/>
      </c>
      <c r="AU214" s="269"/>
      <c r="AV214" s="269"/>
      <c r="AW214" s="206" t="str">
        <f t="shared" ref="AW214:BC214" si="175">AW43</f>
        <v>#REF!</v>
      </c>
      <c r="AX214" s="206">
        <f t="shared" si="175"/>
        <v>49</v>
      </c>
      <c r="AY214" s="206">
        <f t="shared" si="175"/>
        <v>52</v>
      </c>
      <c r="AZ214" s="464">
        <f t="shared" si="175"/>
        <v>45</v>
      </c>
      <c r="BA214" s="206">
        <f t="shared" si="175"/>
        <v>43</v>
      </c>
      <c r="BB214" s="206">
        <f t="shared" si="175"/>
        <v>0</v>
      </c>
      <c r="BC214" s="465">
        <f t="shared" si="175"/>
        <v>1512</v>
      </c>
      <c r="BD214" s="206"/>
      <c r="BE214" s="466"/>
    </row>
    <row r="215">
      <c r="A215" s="270"/>
      <c r="B215" s="382" t="s">
        <v>686</v>
      </c>
      <c r="C215" s="242" t="s">
        <v>652</v>
      </c>
      <c r="D215" s="363"/>
      <c r="E215" s="259"/>
      <c r="F215" s="311" t="s">
        <v>455</v>
      </c>
      <c r="G215" s="246"/>
      <c r="H215" s="280" t="s">
        <v>435</v>
      </c>
      <c r="I215" s="246"/>
      <c r="J215" s="251" t="s">
        <v>429</v>
      </c>
      <c r="K215" s="246"/>
      <c r="L215" s="261"/>
      <c r="M215" s="341"/>
      <c r="N215" s="246"/>
      <c r="O215" s="365" t="s">
        <v>435</v>
      </c>
      <c r="P215" s="246"/>
      <c r="Q215" s="251" t="s">
        <v>429</v>
      </c>
      <c r="R215" s="246"/>
      <c r="S215" s="261"/>
      <c r="T215" s="274" t="s">
        <v>455</v>
      </c>
      <c r="U215" s="246"/>
      <c r="V215" s="251" t="s">
        <v>435</v>
      </c>
      <c r="W215" s="246"/>
      <c r="Y215" s="246"/>
      <c r="Z215" s="261"/>
      <c r="AA215" s="341"/>
      <c r="AB215" s="246"/>
      <c r="AC215" s="383" t="s">
        <v>428</v>
      </c>
      <c r="AD215" s="246"/>
      <c r="AE215" s="251" t="s">
        <v>429</v>
      </c>
      <c r="AF215" s="246"/>
      <c r="AG215" s="261"/>
      <c r="AH215" s="311" t="s">
        <v>455</v>
      </c>
      <c r="AI215" s="246"/>
      <c r="AJ215" s="280" t="s">
        <v>435</v>
      </c>
      <c r="AK215" s="246"/>
      <c r="AL215" s="251" t="s">
        <v>429</v>
      </c>
      <c r="AM215" s="246"/>
      <c r="AN215" s="261"/>
      <c r="AO215" s="341"/>
      <c r="AP215" s="246"/>
      <c r="AQ215" s="383" t="s">
        <v>428</v>
      </c>
      <c r="AR215" s="246"/>
      <c r="AS215" s="251" t="s">
        <v>429</v>
      </c>
      <c r="AT215" s="254" t="str">
        <f t="shared" si="170"/>
        <v/>
      </c>
      <c r="AU215" s="269"/>
      <c r="AV215" s="269"/>
      <c r="AW215" s="206" t="str">
        <f t="shared" ref="AW215:BC215" si="176">AW44</f>
        <v>#REF!</v>
      </c>
      <c r="AX215" s="206">
        <f t="shared" si="176"/>
        <v>49</v>
      </c>
      <c r="AY215" s="206">
        <f t="shared" si="176"/>
        <v>52</v>
      </c>
      <c r="AZ215" s="464">
        <f t="shared" si="176"/>
        <v>45</v>
      </c>
      <c r="BA215" s="206">
        <f t="shared" si="176"/>
        <v>43</v>
      </c>
      <c r="BB215" s="206">
        <f t="shared" si="176"/>
        <v>0</v>
      </c>
      <c r="BC215" s="465">
        <f t="shared" si="176"/>
        <v>1512</v>
      </c>
      <c r="BD215" s="206"/>
      <c r="BE215" s="466"/>
    </row>
    <row r="216">
      <c r="A216" s="234"/>
      <c r="B216" s="337" t="s">
        <v>686</v>
      </c>
      <c r="C216" s="338" t="s">
        <v>687</v>
      </c>
      <c r="D216" s="330"/>
      <c r="E216" s="259"/>
      <c r="G216" s="246"/>
      <c r="H216" s="383" t="s">
        <v>428</v>
      </c>
      <c r="I216" s="246"/>
      <c r="J216" s="376" t="s">
        <v>466</v>
      </c>
      <c r="K216" s="246"/>
      <c r="L216" s="261"/>
      <c r="M216" s="250"/>
      <c r="N216" s="246"/>
      <c r="O216" s="290" t="s">
        <v>466</v>
      </c>
      <c r="P216" s="246"/>
      <c r="R216" s="246"/>
      <c r="S216" s="261"/>
      <c r="U216" s="246"/>
      <c r="V216" s="383" t="s">
        <v>428</v>
      </c>
      <c r="W216" s="246"/>
      <c r="X216" s="311" t="s">
        <v>466</v>
      </c>
      <c r="Y216" s="246"/>
      <c r="Z216" s="261"/>
      <c r="AA216" s="250"/>
      <c r="AB216" s="246"/>
      <c r="AC216" s="274" t="s">
        <v>455</v>
      </c>
      <c r="AD216" s="246"/>
      <c r="AF216" s="246"/>
      <c r="AG216" s="261"/>
      <c r="AI216" s="246"/>
      <c r="AJ216" s="383" t="s">
        <v>428</v>
      </c>
      <c r="AK216" s="246"/>
      <c r="AM216" s="246"/>
      <c r="AN216" s="261"/>
      <c r="AO216" s="250"/>
      <c r="AP216" s="246"/>
      <c r="AQ216" s="340" t="s">
        <v>435</v>
      </c>
      <c r="AR216" s="246"/>
      <c r="AT216" s="254" t="str">
        <f t="shared" si="170"/>
        <v/>
      </c>
      <c r="AU216" s="269"/>
      <c r="AV216" s="269"/>
      <c r="AW216" s="206" t="str">
        <f t="shared" ref="AW216:BC216" si="177">AW45</f>
        <v>#REF!</v>
      </c>
      <c r="AX216" s="206">
        <f t="shared" si="177"/>
        <v>49</v>
      </c>
      <c r="AY216" s="206">
        <f t="shared" si="177"/>
        <v>52</v>
      </c>
      <c r="AZ216" s="464">
        <f t="shared" si="177"/>
        <v>45</v>
      </c>
      <c r="BA216" s="206">
        <f t="shared" si="177"/>
        <v>43</v>
      </c>
      <c r="BB216" s="206">
        <f t="shared" si="177"/>
        <v>0</v>
      </c>
      <c r="BC216" s="465">
        <f t="shared" si="177"/>
        <v>1512</v>
      </c>
      <c r="BD216" s="206"/>
      <c r="BE216" s="466"/>
    </row>
    <row r="217">
      <c r="A217" s="94"/>
      <c r="B217" s="337" t="s">
        <v>688</v>
      </c>
      <c r="C217" s="285" t="s">
        <v>687</v>
      </c>
      <c r="D217" s="330"/>
      <c r="E217" s="259"/>
      <c r="F217" s="265"/>
      <c r="G217" s="246"/>
      <c r="H217" s="282"/>
      <c r="I217" s="246"/>
      <c r="K217" s="246"/>
      <c r="L217" s="261"/>
      <c r="M217" s="262"/>
      <c r="N217" s="246"/>
      <c r="O217" s="282"/>
      <c r="P217" s="246"/>
      <c r="Q217" s="282"/>
      <c r="R217" s="246"/>
      <c r="S217" s="261"/>
      <c r="T217" s="265"/>
      <c r="U217" s="246"/>
      <c r="V217" s="265"/>
      <c r="W217" s="246"/>
      <c r="X217" s="282"/>
      <c r="Y217" s="246"/>
      <c r="Z217" s="261"/>
      <c r="AA217" s="262"/>
      <c r="AB217" s="246"/>
      <c r="AC217" s="282"/>
      <c r="AD217" s="246"/>
      <c r="AE217" s="282"/>
      <c r="AF217" s="246"/>
      <c r="AG217" s="261"/>
      <c r="AH217" s="265"/>
      <c r="AI217" s="246"/>
      <c r="AJ217" s="282"/>
      <c r="AK217" s="246"/>
      <c r="AL217" s="282"/>
      <c r="AM217" s="246"/>
      <c r="AN217" s="261"/>
      <c r="AO217" s="262"/>
      <c r="AP217" s="246"/>
      <c r="AQ217" s="282"/>
      <c r="AR217" s="246"/>
      <c r="AS217" s="282"/>
      <c r="AT217" s="254" t="str">
        <f>IF(COUNTIF($AO$85:$AT$87, AS215) &gt; 0, "X", "")</f>
        <v/>
      </c>
      <c r="AU217" s="269"/>
      <c r="AV217" s="269"/>
      <c r="AW217" s="206" t="str">
        <f t="shared" ref="AW217:BC217" si="178">AW46</f>
        <v>#REF!</v>
      </c>
      <c r="AX217" s="206">
        <f t="shared" si="178"/>
        <v>49</v>
      </c>
      <c r="AY217" s="206">
        <f t="shared" si="178"/>
        <v>52</v>
      </c>
      <c r="AZ217" s="464">
        <f t="shared" si="178"/>
        <v>45</v>
      </c>
      <c r="BA217" s="206">
        <f t="shared" si="178"/>
        <v>43</v>
      </c>
      <c r="BB217" s="206">
        <f t="shared" si="178"/>
        <v>0</v>
      </c>
      <c r="BC217" s="465">
        <f t="shared" si="178"/>
        <v>1512</v>
      </c>
      <c r="BD217" s="206"/>
      <c r="BE217" s="466"/>
    </row>
    <row r="218">
      <c r="A218" s="94"/>
      <c r="B218" s="387" t="s">
        <v>690</v>
      </c>
      <c r="C218" s="388" t="s">
        <v>649</v>
      </c>
      <c r="D218" s="389"/>
      <c r="E218" s="259"/>
      <c r="F218" s="390"/>
      <c r="G218" s="246"/>
      <c r="H218" s="357" t="s">
        <v>420</v>
      </c>
      <c r="I218" s="246"/>
      <c r="J218" s="390"/>
      <c r="K218" s="246"/>
      <c r="L218" s="261"/>
      <c r="M218" s="250"/>
      <c r="N218" s="246"/>
      <c r="O218" s="357" t="s">
        <v>420</v>
      </c>
      <c r="P218" s="246"/>
      <c r="Q218" s="390"/>
      <c r="R218" s="246"/>
      <c r="S218" s="261"/>
      <c r="T218" s="390"/>
      <c r="U218" s="246"/>
      <c r="V218" s="390"/>
      <c r="W218" s="246"/>
      <c r="X218" s="390"/>
      <c r="Y218" s="246"/>
      <c r="Z218" s="261"/>
      <c r="AA218" s="250"/>
      <c r="AB218" s="246"/>
      <c r="AC218" s="357" t="s">
        <v>420</v>
      </c>
      <c r="AD218" s="246"/>
      <c r="AE218" s="390"/>
      <c r="AF218" s="246"/>
      <c r="AG218" s="261"/>
      <c r="AH218" s="390"/>
      <c r="AI218" s="246"/>
      <c r="AJ218" s="355" t="s">
        <v>420</v>
      </c>
      <c r="AK218" s="246"/>
      <c r="AL218" s="390"/>
      <c r="AM218" s="246"/>
      <c r="AN218" s="261"/>
      <c r="AO218" s="250"/>
      <c r="AP218" s="246"/>
      <c r="AQ218" s="390"/>
      <c r="AR218" s="246"/>
      <c r="AS218" s="390"/>
      <c r="AT218" s="254" t="str">
        <f>IF(COUNTIF($AO$85:$AT$87, #REF!) &gt; 0, "X", "")</f>
        <v/>
      </c>
      <c r="AU218" s="269"/>
      <c r="AV218" s="269"/>
      <c r="AW218" s="206" t="str">
        <f t="shared" ref="AW218:BC218" si="179">AW47</f>
        <v>#REF!</v>
      </c>
      <c r="AX218" s="206">
        <f t="shared" si="179"/>
        <v>49</v>
      </c>
      <c r="AY218" s="206">
        <f t="shared" si="179"/>
        <v>52</v>
      </c>
      <c r="AZ218" s="464">
        <f t="shared" si="179"/>
        <v>45</v>
      </c>
      <c r="BA218" s="206">
        <f t="shared" si="179"/>
        <v>43</v>
      </c>
      <c r="BB218" s="206">
        <f t="shared" si="179"/>
        <v>0</v>
      </c>
      <c r="BC218" s="465">
        <f t="shared" si="179"/>
        <v>1512</v>
      </c>
      <c r="BD218" s="206"/>
      <c r="BE218" s="466"/>
    </row>
    <row r="219">
      <c r="A219" s="94"/>
      <c r="B219" s="296" t="s">
        <v>650</v>
      </c>
      <c r="C219" s="297" t="s">
        <v>649</v>
      </c>
      <c r="D219" s="323"/>
      <c r="E219" s="259"/>
      <c r="F219" s="300"/>
      <c r="G219" s="246"/>
      <c r="H219" s="319"/>
      <c r="I219" s="246"/>
      <c r="J219" s="300"/>
      <c r="K219" s="246"/>
      <c r="L219" s="261"/>
      <c r="M219" s="250"/>
      <c r="N219" s="246"/>
      <c r="O219" s="300"/>
      <c r="P219" s="246"/>
      <c r="Q219" s="300"/>
      <c r="R219" s="246"/>
      <c r="S219" s="261"/>
      <c r="T219" s="300"/>
      <c r="U219" s="246"/>
      <c r="V219" s="319"/>
      <c r="W219" s="246"/>
      <c r="X219" s="300"/>
      <c r="Y219" s="246"/>
      <c r="Z219" s="261"/>
      <c r="AA219" s="250"/>
      <c r="AB219" s="246"/>
      <c r="AC219" s="521"/>
      <c r="AD219" s="246"/>
      <c r="AE219" s="300"/>
      <c r="AF219" s="246"/>
      <c r="AG219" s="261"/>
      <c r="AH219" s="300"/>
      <c r="AI219" s="246"/>
      <c r="AJ219" s="300"/>
      <c r="AK219" s="246"/>
      <c r="AL219" s="300"/>
      <c r="AM219" s="246"/>
      <c r="AN219" s="261"/>
      <c r="AO219" s="250"/>
      <c r="AP219" s="246"/>
      <c r="AQ219" s="300"/>
      <c r="AR219" s="246"/>
      <c r="AS219" s="300"/>
      <c r="AT219" s="254" t="str">
        <f t="shared" ref="AT219:AT226" si="181">IF(COUNTIF($AO$85:$AT$87, AS219) &gt; 0, "X", "")</f>
        <v/>
      </c>
      <c r="AU219" s="269"/>
      <c r="AV219" s="269"/>
      <c r="AW219" s="206" t="str">
        <f t="shared" ref="AW219:BC219" si="180">AW48</f>
        <v>#REF!</v>
      </c>
      <c r="AX219" s="206">
        <f t="shared" si="180"/>
        <v>49</v>
      </c>
      <c r="AY219" s="206">
        <f t="shared" si="180"/>
        <v>52</v>
      </c>
      <c r="AZ219" s="464">
        <f t="shared" si="180"/>
        <v>45</v>
      </c>
      <c r="BA219" s="206">
        <f t="shared" si="180"/>
        <v>43</v>
      </c>
      <c r="BB219" s="206">
        <f t="shared" si="180"/>
        <v>0</v>
      </c>
      <c r="BC219" s="465">
        <f t="shared" si="180"/>
        <v>1512</v>
      </c>
      <c r="BD219" s="206"/>
      <c r="BE219" s="466"/>
    </row>
    <row r="220">
      <c r="A220" s="94"/>
      <c r="B220" s="301" t="s">
        <v>651</v>
      </c>
      <c r="C220" s="391" t="s">
        <v>652</v>
      </c>
      <c r="D220" s="323"/>
      <c r="E220" s="261"/>
      <c r="F220" s="304"/>
      <c r="G220" s="246"/>
      <c r="H220" s="304"/>
      <c r="I220" s="246"/>
      <c r="J220" s="304"/>
      <c r="K220" s="246"/>
      <c r="L220" s="261"/>
      <c r="M220" s="250"/>
      <c r="N220" s="246"/>
      <c r="O220" s="518" t="s">
        <v>672</v>
      </c>
      <c r="P220" s="246"/>
      <c r="Q220" s="304"/>
      <c r="R220" s="246"/>
      <c r="S220" s="261"/>
      <c r="T220" s="304"/>
      <c r="U220" s="246"/>
      <c r="V220" s="304"/>
      <c r="W220" s="246"/>
      <c r="X220" s="304"/>
      <c r="Y220" s="246"/>
      <c r="Z220" s="261"/>
      <c r="AA220" s="250"/>
      <c r="AB220" s="246"/>
      <c r="AC220" s="518" t="s">
        <v>672</v>
      </c>
      <c r="AD220" s="246"/>
      <c r="AE220" s="304"/>
      <c r="AF220" s="246"/>
      <c r="AG220" s="261"/>
      <c r="AH220" s="304"/>
      <c r="AI220" s="246"/>
      <c r="AJ220" s="518" t="s">
        <v>672</v>
      </c>
      <c r="AK220" s="246"/>
      <c r="AL220" s="304"/>
      <c r="AM220" s="246"/>
      <c r="AN220" s="261"/>
      <c r="AO220" s="250"/>
      <c r="AP220" s="246"/>
      <c r="AQ220" s="304"/>
      <c r="AR220" s="246"/>
      <c r="AS220" s="304"/>
      <c r="AT220" s="254" t="str">
        <f t="shared" si="181"/>
        <v/>
      </c>
      <c r="AU220" s="269"/>
      <c r="AV220" s="269"/>
      <c r="AW220" s="206" t="str">
        <f t="shared" ref="AW220:BC220" si="182">AW49</f>
        <v>#REF!</v>
      </c>
      <c r="AX220" s="206">
        <f t="shared" si="182"/>
        <v>49</v>
      </c>
      <c r="AY220" s="206">
        <f t="shared" si="182"/>
        <v>52</v>
      </c>
      <c r="AZ220" s="464">
        <f t="shared" si="182"/>
        <v>45</v>
      </c>
      <c r="BA220" s="206">
        <f t="shared" si="182"/>
        <v>43</v>
      </c>
      <c r="BB220" s="206">
        <f t="shared" si="182"/>
        <v>0</v>
      </c>
      <c r="BC220" s="465">
        <f t="shared" si="182"/>
        <v>1512</v>
      </c>
      <c r="BD220" s="206"/>
      <c r="BE220" s="466"/>
    </row>
    <row r="221">
      <c r="A221" s="94"/>
      <c r="B221" s="392" t="s">
        <v>691</v>
      </c>
      <c r="C221" s="393" t="s">
        <v>652</v>
      </c>
      <c r="D221" s="323"/>
      <c r="E221" s="259"/>
      <c r="F221" s="307"/>
      <c r="G221" s="246"/>
      <c r="H221" s="307"/>
      <c r="I221" s="246"/>
      <c r="J221" s="307"/>
      <c r="K221" s="246"/>
      <c r="L221" s="261"/>
      <c r="M221" s="250"/>
      <c r="N221" s="246"/>
      <c r="O221" s="395" t="s">
        <v>398</v>
      </c>
      <c r="P221" s="246"/>
      <c r="Q221" s="307"/>
      <c r="R221" s="246"/>
      <c r="S221" s="261"/>
      <c r="T221" s="307"/>
      <c r="U221" s="246"/>
      <c r="V221" s="488"/>
      <c r="W221" s="246"/>
      <c r="X221" s="307"/>
      <c r="Y221" s="246"/>
      <c r="Z221" s="261"/>
      <c r="AA221" s="250"/>
      <c r="AB221" s="246"/>
      <c r="AC221" s="309" t="s">
        <v>397</v>
      </c>
      <c r="AD221" s="246"/>
      <c r="AE221" s="307"/>
      <c r="AF221" s="246"/>
      <c r="AG221" s="261"/>
      <c r="AH221" s="307"/>
      <c r="AI221" s="246"/>
      <c r="AJ221" s="394" t="s">
        <v>398</v>
      </c>
      <c r="AK221" s="246"/>
      <c r="AL221" s="307"/>
      <c r="AM221" s="246"/>
      <c r="AN221" s="261"/>
      <c r="AO221" s="250"/>
      <c r="AP221" s="246"/>
      <c r="AQ221" s="307"/>
      <c r="AR221" s="246"/>
      <c r="AS221" s="307"/>
      <c r="AT221" s="254" t="str">
        <f t="shared" si="181"/>
        <v/>
      </c>
      <c r="AU221" s="269"/>
      <c r="AV221" s="269"/>
      <c r="AW221" s="206" t="str">
        <f t="shared" ref="AW221:BC221" si="183">AW50</f>
        <v>#REF!</v>
      </c>
      <c r="AX221" s="206">
        <f t="shared" si="183"/>
        <v>49</v>
      </c>
      <c r="AY221" s="206">
        <f t="shared" si="183"/>
        <v>52</v>
      </c>
      <c r="AZ221" s="464">
        <f t="shared" si="183"/>
        <v>45</v>
      </c>
      <c r="BA221" s="206">
        <f t="shared" si="183"/>
        <v>43</v>
      </c>
      <c r="BB221" s="206">
        <f t="shared" si="183"/>
        <v>0</v>
      </c>
      <c r="BC221" s="465">
        <f t="shared" si="183"/>
        <v>1512</v>
      </c>
      <c r="BD221" s="206"/>
      <c r="BE221" s="466"/>
    </row>
    <row r="222">
      <c r="A222" s="94"/>
      <c r="B222" s="328" t="s">
        <v>692</v>
      </c>
      <c r="C222" s="329" t="s">
        <v>652</v>
      </c>
      <c r="D222" s="330"/>
      <c r="E222" s="259"/>
      <c r="F222" s="282"/>
      <c r="G222" s="246"/>
      <c r="H222" s="371"/>
      <c r="I222" s="246"/>
      <c r="J222" s="371"/>
      <c r="K222" s="246"/>
      <c r="L222" s="261"/>
      <c r="M222" s="250"/>
      <c r="N222" s="246"/>
      <c r="O222" s="371"/>
      <c r="P222" s="246"/>
      <c r="Q222" s="371"/>
      <c r="R222" s="246"/>
      <c r="S222" s="261"/>
      <c r="T222" s="371"/>
      <c r="U222" s="246"/>
      <c r="V222" s="371"/>
      <c r="W222" s="246"/>
      <c r="X222" s="371"/>
      <c r="Y222" s="246"/>
      <c r="Z222" s="261"/>
      <c r="AA222" s="250"/>
      <c r="AB222" s="246"/>
      <c r="AC222" s="371"/>
      <c r="AD222" s="246"/>
      <c r="AE222" s="371"/>
      <c r="AF222" s="246"/>
      <c r="AG222" s="261"/>
      <c r="AH222" s="371"/>
      <c r="AI222" s="246"/>
      <c r="AJ222" s="371"/>
      <c r="AK222" s="246"/>
      <c r="AL222" s="371"/>
      <c r="AM222" s="246"/>
      <c r="AN222" s="261"/>
      <c r="AO222" s="250"/>
      <c r="AP222" s="246"/>
      <c r="AQ222" s="371"/>
      <c r="AR222" s="246"/>
      <c r="AS222" s="371"/>
      <c r="AT222" s="254" t="str">
        <f t="shared" si="181"/>
        <v/>
      </c>
      <c r="AU222" s="269"/>
      <c r="AV222" s="269"/>
      <c r="AW222" s="503" t="str">
        <f t="shared" ref="AW222:BC222" si="184">AW51</f>
        <v>#REF!</v>
      </c>
      <c r="AX222" s="206">
        <f t="shared" si="184"/>
        <v>49</v>
      </c>
      <c r="AY222" s="206">
        <f t="shared" si="184"/>
        <v>52</v>
      </c>
      <c r="AZ222" s="464">
        <f t="shared" si="184"/>
        <v>45</v>
      </c>
      <c r="BA222" s="206">
        <f t="shared" si="184"/>
        <v>43</v>
      </c>
      <c r="BB222" s="206">
        <f t="shared" si="184"/>
        <v>0</v>
      </c>
      <c r="BC222" s="465">
        <f t="shared" si="184"/>
        <v>1512</v>
      </c>
      <c r="BD222" s="206"/>
      <c r="BE222" s="466"/>
    </row>
    <row r="223">
      <c r="A223" s="94"/>
      <c r="B223" s="397" t="s">
        <v>692</v>
      </c>
      <c r="C223" s="398" t="s">
        <v>687</v>
      </c>
      <c r="D223" s="369"/>
      <c r="E223" s="259"/>
      <c r="F223" s="399"/>
      <c r="G223" s="246"/>
      <c r="H223" s="399"/>
      <c r="I223" s="246"/>
      <c r="J223" s="399"/>
      <c r="K223" s="246"/>
      <c r="L223" s="261"/>
      <c r="M223" s="250"/>
      <c r="N223" s="246"/>
      <c r="O223" s="282"/>
      <c r="P223" s="246"/>
      <c r="Q223" s="399"/>
      <c r="R223" s="246"/>
      <c r="S223" s="261"/>
      <c r="T223" s="399"/>
      <c r="U223" s="246"/>
      <c r="V223" s="282"/>
      <c r="W223" s="246"/>
      <c r="X223" s="282"/>
      <c r="Y223" s="246"/>
      <c r="Z223" s="261"/>
      <c r="AA223" s="250"/>
      <c r="AB223" s="246"/>
      <c r="AC223" s="399"/>
      <c r="AD223" s="246"/>
      <c r="AE223" s="399"/>
      <c r="AF223" s="246"/>
      <c r="AG223" s="261"/>
      <c r="AH223" s="399"/>
      <c r="AI223" s="246"/>
      <c r="AJ223" s="399"/>
      <c r="AK223" s="246"/>
      <c r="AL223" s="399"/>
      <c r="AM223" s="246"/>
      <c r="AN223" s="261"/>
      <c r="AO223" s="250"/>
      <c r="AP223" s="246"/>
      <c r="AQ223" s="399"/>
      <c r="AR223" s="246"/>
      <c r="AS223" s="399"/>
      <c r="AT223" s="254" t="str">
        <f t="shared" si="181"/>
        <v/>
      </c>
      <c r="AU223" s="269"/>
      <c r="AV223" s="269"/>
      <c r="AW223" s="206" t="str">
        <f t="shared" ref="AW223:BC223" si="185">AW52</f>
        <v>#REF!</v>
      </c>
      <c r="AX223" s="206">
        <f t="shared" si="185"/>
        <v>49</v>
      </c>
      <c r="AY223" s="206">
        <f t="shared" si="185"/>
        <v>52</v>
      </c>
      <c r="AZ223" s="464">
        <f t="shared" si="185"/>
        <v>45</v>
      </c>
      <c r="BA223" s="206">
        <f t="shared" si="185"/>
        <v>43</v>
      </c>
      <c r="BB223" s="206">
        <f t="shared" si="185"/>
        <v>0</v>
      </c>
      <c r="BC223" s="465">
        <f t="shared" si="185"/>
        <v>1512</v>
      </c>
      <c r="BD223" s="206"/>
      <c r="BE223" s="466"/>
    </row>
    <row r="224">
      <c r="A224" s="94"/>
      <c r="B224" s="387" t="s">
        <v>694</v>
      </c>
      <c r="C224" s="388" t="s">
        <v>649</v>
      </c>
      <c r="D224" s="389"/>
      <c r="E224" s="259"/>
      <c r="F224" s="390"/>
      <c r="G224" s="246"/>
      <c r="H224" s="390"/>
      <c r="I224" s="246"/>
      <c r="J224" s="390"/>
      <c r="K224" s="246"/>
      <c r="L224" s="261"/>
      <c r="M224" s="250"/>
      <c r="N224" s="246"/>
      <c r="O224" s="390"/>
      <c r="P224" s="246"/>
      <c r="Q224" s="357" t="s">
        <v>425</v>
      </c>
      <c r="R224" s="246"/>
      <c r="S224" s="261"/>
      <c r="T224" s="390"/>
      <c r="U224" s="246"/>
      <c r="V224" s="390"/>
      <c r="W224" s="246"/>
      <c r="X224" s="357" t="s">
        <v>425</v>
      </c>
      <c r="Y224" s="246"/>
      <c r="Z224" s="261"/>
      <c r="AA224" s="250"/>
      <c r="AB224" s="246"/>
      <c r="AC224" s="390"/>
      <c r="AD224" s="246"/>
      <c r="AE224" s="357" t="s">
        <v>425</v>
      </c>
      <c r="AF224" s="246"/>
      <c r="AG224" s="261"/>
      <c r="AH224" s="390"/>
      <c r="AI224" s="246"/>
      <c r="AJ224" s="390"/>
      <c r="AK224" s="246"/>
      <c r="AL224" s="357" t="s">
        <v>425</v>
      </c>
      <c r="AM224" s="246"/>
      <c r="AN224" s="261"/>
      <c r="AO224" s="250"/>
      <c r="AP224" s="246"/>
      <c r="AQ224" s="390"/>
      <c r="AR224" s="246"/>
      <c r="AS224" s="357" t="s">
        <v>425</v>
      </c>
      <c r="AT224" s="254" t="str">
        <f t="shared" si="181"/>
        <v/>
      </c>
      <c r="AU224" s="269"/>
      <c r="AV224" s="269"/>
      <c r="AW224" s="206" t="str">
        <f t="shared" ref="AW224:BC224" si="186">AW53</f>
        <v>#REF!</v>
      </c>
      <c r="AX224" s="206">
        <f t="shared" si="186"/>
        <v>49</v>
      </c>
      <c r="AY224" s="206">
        <f t="shared" si="186"/>
        <v>52</v>
      </c>
      <c r="AZ224" s="464">
        <f t="shared" si="186"/>
        <v>45</v>
      </c>
      <c r="BA224" s="206">
        <f t="shared" si="186"/>
        <v>43</v>
      </c>
      <c r="BB224" s="206">
        <f t="shared" si="186"/>
        <v>0</v>
      </c>
      <c r="BC224" s="465">
        <f t="shared" si="186"/>
        <v>1512</v>
      </c>
      <c r="BD224" s="206"/>
      <c r="BE224" s="466"/>
    </row>
    <row r="225">
      <c r="A225" s="94"/>
      <c r="B225" s="296" t="s">
        <v>650</v>
      </c>
      <c r="C225" s="297" t="s">
        <v>649</v>
      </c>
      <c r="D225" s="323"/>
      <c r="E225" s="259"/>
      <c r="F225" s="300"/>
      <c r="G225" s="298"/>
      <c r="H225" s="300"/>
      <c r="I225" s="298"/>
      <c r="J225" s="300"/>
      <c r="K225" s="298"/>
      <c r="L225" s="261"/>
      <c r="M225" s="250"/>
      <c r="N225" s="298"/>
      <c r="O225" s="300"/>
      <c r="P225" s="298"/>
      <c r="Q225" s="319"/>
      <c r="R225" s="298"/>
      <c r="S225" s="261"/>
      <c r="T225" s="300"/>
      <c r="U225" s="298"/>
      <c r="V225" s="300"/>
      <c r="W225" s="298"/>
      <c r="X225" s="300"/>
      <c r="Y225" s="298"/>
      <c r="Z225" s="261"/>
      <c r="AA225" s="250"/>
      <c r="AB225" s="298"/>
      <c r="AC225" s="300"/>
      <c r="AD225" s="298"/>
      <c r="AE225" s="300"/>
      <c r="AF225" s="298"/>
      <c r="AG225" s="261"/>
      <c r="AH225" s="300"/>
      <c r="AI225" s="298"/>
      <c r="AJ225" s="300"/>
      <c r="AK225" s="298"/>
      <c r="AL225" s="300"/>
      <c r="AM225" s="298"/>
      <c r="AN225" s="261"/>
      <c r="AO225" s="250"/>
      <c r="AP225" s="298"/>
      <c r="AQ225" s="300"/>
      <c r="AR225" s="298"/>
      <c r="AS225" s="299"/>
      <c r="AT225" s="254" t="str">
        <f t="shared" si="181"/>
        <v/>
      </c>
      <c r="AU225" s="269"/>
      <c r="AV225" s="269"/>
      <c r="AW225" s="503" t="str">
        <f t="shared" ref="AW225:BC225" si="187">AW54</f>
        <v>#REF!</v>
      </c>
      <c r="AX225" s="206">
        <f t="shared" si="187"/>
        <v>49</v>
      </c>
      <c r="AY225" s="206">
        <f t="shared" si="187"/>
        <v>52</v>
      </c>
      <c r="AZ225" s="464">
        <f t="shared" si="187"/>
        <v>45</v>
      </c>
      <c r="BA225" s="206">
        <f t="shared" si="187"/>
        <v>43</v>
      </c>
      <c r="BB225" s="206">
        <f t="shared" si="187"/>
        <v>0</v>
      </c>
      <c r="BC225" s="465">
        <f t="shared" si="187"/>
        <v>1512</v>
      </c>
      <c r="BD225" s="206"/>
      <c r="BE225" s="466"/>
    </row>
    <row r="226">
      <c r="A226" s="94"/>
      <c r="B226" s="301" t="s">
        <v>651</v>
      </c>
      <c r="C226" s="391" t="s">
        <v>652</v>
      </c>
      <c r="D226" s="323"/>
      <c r="E226" s="261"/>
      <c r="F226" s="304"/>
      <c r="G226" s="298"/>
      <c r="H226" s="304"/>
      <c r="I226" s="298"/>
      <c r="J226" s="304"/>
      <c r="K226" s="298"/>
      <c r="L226" s="261"/>
      <c r="M226" s="250"/>
      <c r="N226" s="298"/>
      <c r="O226" s="304"/>
      <c r="P226" s="298"/>
      <c r="Q226" s="304"/>
      <c r="R226" s="298"/>
      <c r="S226" s="261"/>
      <c r="T226" s="304"/>
      <c r="U226" s="298"/>
      <c r="V226" s="304"/>
      <c r="W226" s="298"/>
      <c r="X226" s="304"/>
      <c r="Y226" s="298"/>
      <c r="Z226" s="261"/>
      <c r="AA226" s="250"/>
      <c r="AB226" s="298"/>
      <c r="AC226" s="304"/>
      <c r="AD226" s="298"/>
      <c r="AE226" s="304"/>
      <c r="AF226" s="298"/>
      <c r="AG226" s="261"/>
      <c r="AH226" s="304"/>
      <c r="AI226" s="298"/>
      <c r="AJ226" s="304"/>
      <c r="AK226" s="298"/>
      <c r="AL226" s="304"/>
      <c r="AM226" s="298"/>
      <c r="AN226" s="261"/>
      <c r="AO226" s="250"/>
      <c r="AP226" s="298"/>
      <c r="AQ226" s="304"/>
      <c r="AR226" s="298"/>
      <c r="AS226" s="491"/>
      <c r="AT226" s="254" t="str">
        <f t="shared" si="181"/>
        <v/>
      </c>
      <c r="AU226" s="269"/>
      <c r="AV226" s="269"/>
      <c r="AW226" s="206" t="str">
        <f t="shared" ref="AW226:BC226" si="188">AW55</f>
        <v>#REF!</v>
      </c>
      <c r="AX226" s="206">
        <f t="shared" si="188"/>
        <v>49</v>
      </c>
      <c r="AY226" s="206">
        <f t="shared" si="188"/>
        <v>52</v>
      </c>
      <c r="AZ226" s="464">
        <f t="shared" si="188"/>
        <v>45</v>
      </c>
      <c r="BA226" s="206">
        <f t="shared" si="188"/>
        <v>43</v>
      </c>
      <c r="BB226" s="206">
        <f t="shared" si="188"/>
        <v>0</v>
      </c>
      <c r="BC226" s="465">
        <f t="shared" si="188"/>
        <v>1512</v>
      </c>
      <c r="BD226" s="206"/>
      <c r="BE226" s="466"/>
    </row>
    <row r="227">
      <c r="A227" s="94"/>
      <c r="B227" s="392" t="s">
        <v>691</v>
      </c>
      <c r="C227" s="393" t="s">
        <v>652</v>
      </c>
      <c r="D227" s="323"/>
      <c r="E227" s="259"/>
      <c r="F227" s="307"/>
      <c r="G227" s="298"/>
      <c r="H227" s="307"/>
      <c r="I227" s="298"/>
      <c r="J227" s="307"/>
      <c r="K227" s="298"/>
      <c r="L227" s="261"/>
      <c r="M227" s="250"/>
      <c r="N227" s="298"/>
      <c r="O227" s="307"/>
      <c r="P227" s="298"/>
      <c r="Q227" s="307"/>
      <c r="R227" s="298"/>
      <c r="S227" s="261"/>
      <c r="T227" s="307"/>
      <c r="U227" s="298"/>
      <c r="V227" s="307"/>
      <c r="W227" s="298"/>
      <c r="X227" s="395" t="s">
        <v>430</v>
      </c>
      <c r="Y227" s="298"/>
      <c r="Z227" s="261"/>
      <c r="AA227" s="250"/>
      <c r="AB227" s="298"/>
      <c r="AC227" s="307"/>
      <c r="AD227" s="298"/>
      <c r="AE227" s="395" t="s">
        <v>430</v>
      </c>
      <c r="AF227" s="298"/>
      <c r="AG227" s="261"/>
      <c r="AH227" s="307"/>
      <c r="AI227" s="298"/>
      <c r="AJ227" s="307"/>
      <c r="AK227" s="298"/>
      <c r="AL227" s="308" t="s">
        <v>445</v>
      </c>
      <c r="AM227" s="298"/>
      <c r="AN227" s="261"/>
      <c r="AO227" s="250"/>
      <c r="AP227" s="298"/>
      <c r="AQ227" s="307"/>
      <c r="AR227" s="298"/>
      <c r="AS227" s="308" t="s">
        <v>445</v>
      </c>
      <c r="AT227" s="254" t="str">
        <f>IF(COUNTIF($AO$85:$AT$87, #REF!) &gt; 0, "X", "")</f>
        <v/>
      </c>
      <c r="AU227" s="269"/>
      <c r="AV227" s="269"/>
      <c r="AW227" s="206" t="str">
        <f t="shared" ref="AW227:BC227" si="189">AW56</f>
        <v>#REF!</v>
      </c>
      <c r="AX227" s="206">
        <f t="shared" si="189"/>
        <v>49</v>
      </c>
      <c r="AY227" s="206">
        <f t="shared" si="189"/>
        <v>52</v>
      </c>
      <c r="AZ227" s="464">
        <f t="shared" si="189"/>
        <v>45</v>
      </c>
      <c r="BA227" s="206">
        <f t="shared" si="189"/>
        <v>43</v>
      </c>
      <c r="BB227" s="206">
        <f t="shared" si="189"/>
        <v>0</v>
      </c>
      <c r="BC227" s="465">
        <f t="shared" si="189"/>
        <v>1512</v>
      </c>
      <c r="BD227" s="206"/>
      <c r="BE227" s="466"/>
    </row>
    <row r="228">
      <c r="A228" s="94"/>
      <c r="B228" s="328" t="s">
        <v>692</v>
      </c>
      <c r="C228" s="329" t="s">
        <v>652</v>
      </c>
      <c r="D228" s="330"/>
      <c r="E228" s="259"/>
      <c r="F228" s="371"/>
      <c r="G228" s="246"/>
      <c r="H228" s="371"/>
      <c r="I228" s="246"/>
      <c r="J228" s="282"/>
      <c r="K228" s="246"/>
      <c r="L228" s="261"/>
      <c r="M228" s="250"/>
      <c r="N228" s="246"/>
      <c r="O228" s="371"/>
      <c r="P228" s="246"/>
      <c r="R228" s="246"/>
      <c r="S228" s="261"/>
      <c r="T228" s="371"/>
      <c r="U228" s="246"/>
      <c r="V228" s="371"/>
      <c r="W228" s="246"/>
      <c r="X228" s="311"/>
      <c r="Y228" s="246"/>
      <c r="Z228" s="261"/>
      <c r="AA228" s="250"/>
      <c r="AB228" s="246"/>
      <c r="AD228" s="246"/>
      <c r="AE228" s="311"/>
      <c r="AF228" s="246"/>
      <c r="AG228" s="261"/>
      <c r="AH228" s="371"/>
      <c r="AI228" s="246"/>
      <c r="AJ228" s="371"/>
      <c r="AK228" s="246"/>
      <c r="AL228" s="282"/>
      <c r="AM228" s="246"/>
      <c r="AN228" s="261"/>
      <c r="AO228" s="250"/>
      <c r="AP228" s="246"/>
      <c r="AQ228" s="371"/>
      <c r="AR228" s="246"/>
      <c r="AT228" s="254" t="str">
        <f>IF(COUNTIF($AO$85:$AT$87, AS227) &gt; 0, "X", "")</f>
        <v/>
      </c>
      <c r="AU228" s="269"/>
      <c r="AV228" s="269"/>
      <c r="AW228" s="206" t="str">
        <f t="shared" ref="AW228:BC228" si="190">AW57</f>
        <v>#REF!</v>
      </c>
      <c r="AX228" s="206">
        <f t="shared" si="190"/>
        <v>49</v>
      </c>
      <c r="AY228" s="206">
        <f t="shared" si="190"/>
        <v>52</v>
      </c>
      <c r="AZ228" s="464">
        <f t="shared" si="190"/>
        <v>45</v>
      </c>
      <c r="BA228" s="206">
        <f t="shared" si="190"/>
        <v>43</v>
      </c>
      <c r="BB228" s="206">
        <f t="shared" si="190"/>
        <v>0</v>
      </c>
      <c r="BC228" s="465">
        <f t="shared" si="190"/>
        <v>1512</v>
      </c>
      <c r="BD228" s="206"/>
      <c r="BE228" s="466"/>
    </row>
    <row r="229">
      <c r="A229" s="94"/>
      <c r="B229" s="397" t="s">
        <v>692</v>
      </c>
      <c r="C229" s="398" t="s">
        <v>687</v>
      </c>
      <c r="D229" s="369"/>
      <c r="E229" s="259"/>
      <c r="F229" s="399"/>
      <c r="G229" s="246"/>
      <c r="H229" s="399"/>
      <c r="I229" s="246"/>
      <c r="J229" s="252"/>
      <c r="K229" s="246"/>
      <c r="L229" s="261"/>
      <c r="M229" s="250"/>
      <c r="N229" s="246"/>
      <c r="O229" s="399"/>
      <c r="P229" s="246"/>
      <c r="Q229" s="399"/>
      <c r="R229" s="246"/>
      <c r="S229" s="261"/>
      <c r="T229" s="399"/>
      <c r="U229" s="246"/>
      <c r="V229" s="399"/>
      <c r="W229" s="246"/>
      <c r="X229" s="399"/>
      <c r="Y229" s="246"/>
      <c r="Z229" s="261"/>
      <c r="AA229" s="250"/>
      <c r="AB229" s="246"/>
      <c r="AD229" s="246"/>
      <c r="AE229" s="399"/>
      <c r="AF229" s="246"/>
      <c r="AG229" s="261"/>
      <c r="AH229" s="399"/>
      <c r="AI229" s="246"/>
      <c r="AJ229" s="399"/>
      <c r="AK229" s="246"/>
      <c r="AL229" s="399"/>
      <c r="AM229" s="246"/>
      <c r="AN229" s="261"/>
      <c r="AO229" s="250"/>
      <c r="AP229" s="246"/>
      <c r="AQ229" s="399"/>
      <c r="AR229" s="246"/>
      <c r="AS229" s="399"/>
      <c r="AT229" s="254" t="str">
        <f t="shared" ref="AT229:AT235" si="192">IF(COUNTIF($AO$85:$AT$87, AS229) &gt; 0, "X", "")</f>
        <v/>
      </c>
      <c r="AU229" s="269"/>
      <c r="AV229" s="269"/>
      <c r="AW229" s="206" t="str">
        <f t="shared" ref="AW229:BC229" si="191">AW58</f>
        <v>#REF!</v>
      </c>
      <c r="AX229" s="206">
        <f t="shared" si="191"/>
        <v>49</v>
      </c>
      <c r="AY229" s="206">
        <f t="shared" si="191"/>
        <v>52</v>
      </c>
      <c r="AZ229" s="464">
        <f t="shared" si="191"/>
        <v>45</v>
      </c>
      <c r="BA229" s="206">
        <f t="shared" si="191"/>
        <v>43</v>
      </c>
      <c r="BB229" s="206">
        <f t="shared" si="191"/>
        <v>0</v>
      </c>
      <c r="BC229" s="465">
        <f t="shared" si="191"/>
        <v>1512</v>
      </c>
      <c r="BD229" s="206"/>
      <c r="BE229" s="466"/>
    </row>
    <row r="230">
      <c r="A230" s="270"/>
      <c r="B230" s="402" t="s">
        <v>699</v>
      </c>
      <c r="C230" s="403" t="s">
        <v>649</v>
      </c>
      <c r="D230" s="404"/>
      <c r="E230" s="259"/>
      <c r="F230" s="294"/>
      <c r="G230" s="246"/>
      <c r="H230" s="294"/>
      <c r="I230" s="246"/>
      <c r="J230" s="294"/>
      <c r="K230" s="246"/>
      <c r="L230" s="261"/>
      <c r="M230" s="250"/>
      <c r="N230" s="246"/>
      <c r="O230" s="294"/>
      <c r="P230" s="246"/>
      <c r="Q230" s="293" t="s">
        <v>422</v>
      </c>
      <c r="R230" s="246"/>
      <c r="S230" s="261"/>
      <c r="T230" s="294"/>
      <c r="U230" s="246"/>
      <c r="V230" s="294"/>
      <c r="W230" s="246"/>
      <c r="X230" s="294"/>
      <c r="Y230" s="246"/>
      <c r="Z230" s="261"/>
      <c r="AA230" s="250"/>
      <c r="AB230" s="246"/>
      <c r="AC230" s="294"/>
      <c r="AD230" s="246"/>
      <c r="AE230" s="353" t="s">
        <v>426</v>
      </c>
      <c r="AF230" s="246"/>
      <c r="AG230" s="261"/>
      <c r="AH230" s="294"/>
      <c r="AI230" s="246"/>
      <c r="AJ230" s="294"/>
      <c r="AK230" s="246"/>
      <c r="AL230" s="294"/>
      <c r="AM230" s="246"/>
      <c r="AN230" s="261"/>
      <c r="AO230" s="250"/>
      <c r="AP230" s="246"/>
      <c r="AQ230" s="294"/>
      <c r="AR230" s="246"/>
      <c r="AS230" s="294"/>
      <c r="AT230" s="254" t="str">
        <f t="shared" si="192"/>
        <v/>
      </c>
      <c r="AU230" s="269"/>
      <c r="AV230" s="269"/>
      <c r="AW230" s="206" t="str">
        <f t="shared" ref="AW230:BC230" si="193">AW59</f>
        <v>#REF!</v>
      </c>
      <c r="AX230" s="206">
        <f t="shared" si="193"/>
        <v>49</v>
      </c>
      <c r="AY230" s="206">
        <f t="shared" si="193"/>
        <v>52</v>
      </c>
      <c r="AZ230" s="464">
        <f t="shared" si="193"/>
        <v>45</v>
      </c>
      <c r="BA230" s="206">
        <f t="shared" si="193"/>
        <v>43</v>
      </c>
      <c r="BB230" s="206">
        <f t="shared" si="193"/>
        <v>0</v>
      </c>
      <c r="BC230" s="465">
        <f t="shared" si="193"/>
        <v>1512</v>
      </c>
      <c r="BD230" s="206"/>
      <c r="BE230" s="466"/>
    </row>
    <row r="231">
      <c r="A231" s="94"/>
      <c r="B231" s="328" t="s">
        <v>700</v>
      </c>
      <c r="C231" s="329" t="s">
        <v>657</v>
      </c>
      <c r="D231" s="330"/>
      <c r="E231" s="259"/>
      <c r="F231" s="371"/>
      <c r="G231" s="246"/>
      <c r="H231" s="282"/>
      <c r="I231" s="246"/>
      <c r="K231" s="246"/>
      <c r="L231" s="261"/>
      <c r="M231" s="250"/>
      <c r="N231" s="246"/>
      <c r="O231" s="371"/>
      <c r="P231" s="246"/>
      <c r="Q231" s="280" t="s">
        <v>437</v>
      </c>
      <c r="R231" s="246"/>
      <c r="S231" s="261"/>
      <c r="T231" s="371"/>
      <c r="U231" s="246"/>
      <c r="V231" s="371"/>
      <c r="W231" s="246"/>
      <c r="X231" s="371"/>
      <c r="Y231" s="246"/>
      <c r="Z231" s="261"/>
      <c r="AA231" s="250"/>
      <c r="AB231" s="246"/>
      <c r="AC231" s="371"/>
      <c r="AD231" s="246"/>
      <c r="AE231" s="274" t="s">
        <v>437</v>
      </c>
      <c r="AF231" s="246"/>
      <c r="AG231" s="261"/>
      <c r="AH231" s="371"/>
      <c r="AI231" s="246"/>
      <c r="AJ231" s="371"/>
      <c r="AK231" s="246"/>
      <c r="AL231" s="371"/>
      <c r="AM231" s="246"/>
      <c r="AN231" s="261"/>
      <c r="AO231" s="250"/>
      <c r="AP231" s="246"/>
      <c r="AQ231" s="371"/>
      <c r="AR231" s="246"/>
      <c r="AS231" s="371"/>
      <c r="AT231" s="254" t="str">
        <f t="shared" si="192"/>
        <v/>
      </c>
      <c r="AU231" s="269"/>
      <c r="AV231" s="269"/>
      <c r="AW231" s="206" t="str">
        <f t="shared" ref="AW231:BC231" si="194">AW60</f>
        <v>#REF!</v>
      </c>
      <c r="AX231" s="206">
        <f t="shared" si="194"/>
        <v>49</v>
      </c>
      <c r="AY231" s="206">
        <f t="shared" si="194"/>
        <v>52</v>
      </c>
      <c r="AZ231" s="464">
        <f t="shared" si="194"/>
        <v>45</v>
      </c>
      <c r="BA231" s="206">
        <f t="shared" si="194"/>
        <v>43</v>
      </c>
      <c r="BB231" s="206">
        <f t="shared" si="194"/>
        <v>0</v>
      </c>
      <c r="BC231" s="465">
        <f t="shared" si="194"/>
        <v>1512</v>
      </c>
      <c r="BD231" s="206"/>
      <c r="BE231" s="466"/>
    </row>
    <row r="232">
      <c r="A232" s="94"/>
      <c r="B232" s="328" t="s">
        <v>700</v>
      </c>
      <c r="C232" s="329" t="s">
        <v>657</v>
      </c>
      <c r="D232" s="330"/>
      <c r="E232" s="259"/>
      <c r="F232" s="264"/>
      <c r="G232" s="246"/>
      <c r="H232" s="265"/>
      <c r="I232" s="246"/>
      <c r="K232" s="246"/>
      <c r="L232" s="261"/>
      <c r="M232" s="262"/>
      <c r="N232" s="246"/>
      <c r="O232" s="264"/>
      <c r="P232" s="246"/>
      <c r="Q232" s="405" t="s">
        <v>462</v>
      </c>
      <c r="R232" s="246"/>
      <c r="S232" s="261"/>
      <c r="T232" s="264"/>
      <c r="U232" s="246"/>
      <c r="V232" s="264"/>
      <c r="W232" s="246"/>
      <c r="X232" s="264"/>
      <c r="Y232" s="246"/>
      <c r="Z232" s="261"/>
      <c r="AA232" s="262"/>
      <c r="AB232" s="246"/>
      <c r="AC232" s="264"/>
      <c r="AD232" s="246"/>
      <c r="AE232" s="522" t="s">
        <v>462</v>
      </c>
      <c r="AF232" s="246"/>
      <c r="AG232" s="261"/>
      <c r="AH232" s="264"/>
      <c r="AI232" s="246"/>
      <c r="AJ232" s="264"/>
      <c r="AK232" s="246"/>
      <c r="AL232" s="265"/>
      <c r="AM232" s="246"/>
      <c r="AN232" s="261"/>
      <c r="AO232" s="262"/>
      <c r="AP232" s="246"/>
      <c r="AQ232" s="264"/>
      <c r="AR232" s="246"/>
      <c r="AS232" s="264"/>
      <c r="AT232" s="254" t="str">
        <f t="shared" si="192"/>
        <v/>
      </c>
      <c r="AU232" s="269"/>
      <c r="AV232" s="269"/>
      <c r="AW232" s="206" t="str">
        <f t="shared" ref="AW232:BC232" si="195">AW61</f>
        <v>#REF!</v>
      </c>
      <c r="AX232" s="206">
        <f t="shared" si="195"/>
        <v>49</v>
      </c>
      <c r="AY232" s="206">
        <f t="shared" si="195"/>
        <v>52</v>
      </c>
      <c r="AZ232" s="464">
        <f t="shared" si="195"/>
        <v>45</v>
      </c>
      <c r="BA232" s="206">
        <f t="shared" si="195"/>
        <v>43</v>
      </c>
      <c r="BB232" s="206">
        <f t="shared" si="195"/>
        <v>0</v>
      </c>
      <c r="BC232" s="465">
        <f t="shared" si="195"/>
        <v>1512</v>
      </c>
      <c r="BD232" s="206"/>
      <c r="BE232" s="466"/>
    </row>
    <row r="233">
      <c r="A233" s="94"/>
      <c r="B233" s="328" t="s">
        <v>700</v>
      </c>
      <c r="C233" s="329" t="s">
        <v>657</v>
      </c>
      <c r="D233" s="330"/>
      <c r="E233" s="259"/>
      <c r="F233" s="371"/>
      <c r="G233" s="246"/>
      <c r="H233" s="282"/>
      <c r="I233" s="246"/>
      <c r="K233" s="246"/>
      <c r="L233" s="261"/>
      <c r="M233" s="250"/>
      <c r="N233" s="246"/>
      <c r="O233" s="282"/>
      <c r="P233" s="246"/>
      <c r="R233" s="246"/>
      <c r="S233" s="261"/>
      <c r="T233" s="371"/>
      <c r="U233" s="246"/>
      <c r="V233" s="282"/>
      <c r="W233" s="246"/>
      <c r="X233" s="282"/>
      <c r="Y233" s="246"/>
      <c r="Z233" s="261"/>
      <c r="AA233" s="250"/>
      <c r="AB233" s="246"/>
      <c r="AD233" s="246"/>
      <c r="AE233" s="282"/>
      <c r="AF233" s="246"/>
      <c r="AG233" s="261"/>
      <c r="AH233" s="371"/>
      <c r="AI233" s="246"/>
      <c r="AK233" s="246"/>
      <c r="AL233" s="371"/>
      <c r="AM233" s="246"/>
      <c r="AN233" s="261"/>
      <c r="AO233" s="250"/>
      <c r="AP233" s="246"/>
      <c r="AQ233" s="282"/>
      <c r="AR233" s="246"/>
      <c r="AS233" s="282"/>
      <c r="AT233" s="254" t="str">
        <f t="shared" si="192"/>
        <v/>
      </c>
      <c r="AU233" s="269"/>
      <c r="AV233" s="269"/>
      <c r="AW233" s="206" t="str">
        <f t="shared" ref="AW233:BC233" si="196">AW62</f>
        <v>#REF!</v>
      </c>
      <c r="AX233" s="206">
        <f t="shared" si="196"/>
        <v>49</v>
      </c>
      <c r="AY233" s="206">
        <f t="shared" si="196"/>
        <v>52</v>
      </c>
      <c r="AZ233" s="464">
        <f t="shared" si="196"/>
        <v>45</v>
      </c>
      <c r="BA233" s="206">
        <f t="shared" si="196"/>
        <v>43</v>
      </c>
      <c r="BB233" s="206">
        <f t="shared" si="196"/>
        <v>0</v>
      </c>
      <c r="BC233" s="465">
        <f t="shared" si="196"/>
        <v>1512</v>
      </c>
      <c r="BD233" s="206"/>
      <c r="BE233" s="466"/>
    </row>
    <row r="234">
      <c r="A234" s="94"/>
      <c r="B234" s="408" t="s">
        <v>702</v>
      </c>
      <c r="C234" s="409" t="s">
        <v>652</v>
      </c>
      <c r="D234" s="351"/>
      <c r="E234" s="259"/>
      <c r="F234" s="411"/>
      <c r="G234" s="246"/>
      <c r="H234" s="411"/>
      <c r="I234" s="246"/>
      <c r="J234" s="411"/>
      <c r="K234" s="246"/>
      <c r="L234" s="261"/>
      <c r="M234" s="262"/>
      <c r="N234" s="246"/>
      <c r="O234" s="411"/>
      <c r="P234" s="246"/>
      <c r="Q234" s="411"/>
      <c r="R234" s="246"/>
      <c r="S234" s="261"/>
      <c r="T234" s="411"/>
      <c r="U234" s="246"/>
      <c r="V234" s="411"/>
      <c r="W234" s="246"/>
      <c r="X234" s="411"/>
      <c r="Y234" s="246"/>
      <c r="Z234" s="261"/>
      <c r="AA234" s="262"/>
      <c r="AB234" s="246"/>
      <c r="AC234" s="411"/>
      <c r="AD234" s="246"/>
      <c r="AE234" s="411"/>
      <c r="AF234" s="246"/>
      <c r="AG234" s="261"/>
      <c r="AH234" s="411"/>
      <c r="AI234" s="246"/>
      <c r="AJ234" s="411"/>
      <c r="AK234" s="246"/>
      <c r="AL234" s="411"/>
      <c r="AM234" s="246"/>
      <c r="AN234" s="261"/>
      <c r="AO234" s="262"/>
      <c r="AP234" s="246"/>
      <c r="AQ234" s="411"/>
      <c r="AR234" s="246"/>
      <c r="AS234" s="411"/>
      <c r="AT234" s="254" t="str">
        <f t="shared" si="192"/>
        <v/>
      </c>
      <c r="AU234" s="269"/>
      <c r="AV234" s="269"/>
      <c r="AW234" s="206" t="str">
        <f t="shared" ref="AW234:BC234" si="197">AW63</f>
        <v>#REF!</v>
      </c>
      <c r="AX234" s="206">
        <f t="shared" si="197"/>
        <v>49</v>
      </c>
      <c r="AY234" s="206">
        <f t="shared" si="197"/>
        <v>52</v>
      </c>
      <c r="AZ234" s="464">
        <f t="shared" si="197"/>
        <v>45</v>
      </c>
      <c r="BA234" s="206">
        <f t="shared" si="197"/>
        <v>43</v>
      </c>
      <c r="BB234" s="206">
        <f t="shared" si="197"/>
        <v>0</v>
      </c>
      <c r="BC234" s="465">
        <f t="shared" si="197"/>
        <v>1512</v>
      </c>
      <c r="BD234" s="206"/>
      <c r="BE234" s="466"/>
    </row>
    <row r="235">
      <c r="A235" s="234"/>
      <c r="B235" s="401" t="s">
        <v>703</v>
      </c>
      <c r="C235" s="412" t="s">
        <v>704</v>
      </c>
      <c r="D235" s="323"/>
      <c r="E235" s="259"/>
      <c r="F235" s="413"/>
      <c r="G235" s="246"/>
      <c r="H235" s="413"/>
      <c r="I235" s="246"/>
      <c r="J235" s="413"/>
      <c r="K235" s="246"/>
      <c r="L235" s="261"/>
      <c r="M235" s="262"/>
      <c r="N235" s="246"/>
      <c r="O235" s="413"/>
      <c r="P235" s="246"/>
      <c r="Q235" s="413"/>
      <c r="R235" s="246"/>
      <c r="S235" s="261"/>
      <c r="T235" s="413"/>
      <c r="U235" s="246"/>
      <c r="V235" s="413"/>
      <c r="W235" s="246"/>
      <c r="X235" s="413"/>
      <c r="Y235" s="246"/>
      <c r="Z235" s="261"/>
      <c r="AA235" s="262"/>
      <c r="AB235" s="246"/>
      <c r="AC235" s="413"/>
      <c r="AD235" s="246"/>
      <c r="AE235" s="413"/>
      <c r="AF235" s="246"/>
      <c r="AG235" s="261"/>
      <c r="AH235" s="413"/>
      <c r="AI235" s="246"/>
      <c r="AJ235" s="413"/>
      <c r="AK235" s="246"/>
      <c r="AL235" s="413"/>
      <c r="AM235" s="246"/>
      <c r="AN235" s="261"/>
      <c r="AO235" s="262"/>
      <c r="AP235" s="246"/>
      <c r="AQ235" s="413"/>
      <c r="AR235" s="246"/>
      <c r="AS235" s="413"/>
      <c r="AT235" s="254" t="str">
        <f t="shared" si="192"/>
        <v/>
      </c>
      <c r="AU235" s="269"/>
      <c r="AV235" s="269"/>
      <c r="AW235" s="206" t="str">
        <f t="shared" ref="AW235:BC235" si="198">AW64</f>
        <v>#REF!</v>
      </c>
      <c r="AX235" s="206">
        <f t="shared" si="198"/>
        <v>49</v>
      </c>
      <c r="AY235" s="206">
        <f t="shared" si="198"/>
        <v>52</v>
      </c>
      <c r="AZ235" s="464">
        <f t="shared" si="198"/>
        <v>45</v>
      </c>
      <c r="BA235" s="206">
        <f t="shared" si="198"/>
        <v>43</v>
      </c>
      <c r="BB235" s="206">
        <f t="shared" si="198"/>
        <v>0</v>
      </c>
      <c r="BC235" s="465">
        <f t="shared" si="198"/>
        <v>1512</v>
      </c>
      <c r="BD235" s="206"/>
      <c r="BE235" s="466"/>
    </row>
    <row r="236">
      <c r="A236" s="234"/>
      <c r="B236" s="414" t="s">
        <v>705</v>
      </c>
      <c r="C236" s="415" t="s">
        <v>704</v>
      </c>
      <c r="D236" s="330"/>
      <c r="E236" s="259"/>
      <c r="F236" s="282"/>
      <c r="G236" s="246"/>
      <c r="H236" s="290" t="s">
        <v>394</v>
      </c>
      <c r="I236" s="246"/>
      <c r="J236" s="290" t="s">
        <v>410</v>
      </c>
      <c r="K236" s="246"/>
      <c r="L236" s="261"/>
      <c r="M236" s="341"/>
      <c r="N236" s="246"/>
      <c r="O236" s="290" t="s">
        <v>394</v>
      </c>
      <c r="P236" s="246"/>
      <c r="Q236" s="290" t="s">
        <v>432</v>
      </c>
      <c r="R236" s="246"/>
      <c r="S236" s="261"/>
      <c r="T236" s="282"/>
      <c r="U236" s="246"/>
      <c r="V236" s="290" t="s">
        <v>438</v>
      </c>
      <c r="W236" s="246"/>
      <c r="X236" s="290" t="s">
        <v>394</v>
      </c>
      <c r="Y236" s="246"/>
      <c r="Z236" s="261"/>
      <c r="AA236" s="341"/>
      <c r="AB236" s="246"/>
      <c r="AC236" s="290" t="s">
        <v>438</v>
      </c>
      <c r="AD236" s="246"/>
      <c r="AE236" s="420" t="s">
        <v>706</v>
      </c>
      <c r="AF236" s="246"/>
      <c r="AG236" s="261"/>
      <c r="AH236" s="365" t="s">
        <v>706</v>
      </c>
      <c r="AI236" s="246"/>
      <c r="AJ236" s="290" t="s">
        <v>394</v>
      </c>
      <c r="AK236" s="246"/>
      <c r="AL236" s="287" t="s">
        <v>432</v>
      </c>
      <c r="AM236" s="246"/>
      <c r="AN236" s="261"/>
      <c r="AO236" s="341"/>
      <c r="AP236" s="246"/>
      <c r="AQ236" s="290" t="s">
        <v>394</v>
      </c>
      <c r="AR236" s="246"/>
      <c r="AS236" s="523" t="s">
        <v>432</v>
      </c>
      <c r="AT236" s="254" t="str">
        <f t="shared" ref="AT236:AT238" si="200">IF(COUNTIF($AO$85:$AT$87, #REF!) &gt; 0, "X", "")</f>
        <v/>
      </c>
      <c r="AU236" s="269"/>
      <c r="AV236" s="269"/>
      <c r="AW236" s="206" t="str">
        <f t="shared" ref="AW236:BC236" si="199">AW65</f>
        <v>#REF!</v>
      </c>
      <c r="AX236" s="206">
        <f t="shared" si="199"/>
        <v>49</v>
      </c>
      <c r="AY236" s="206">
        <f t="shared" si="199"/>
        <v>52</v>
      </c>
      <c r="AZ236" s="464">
        <f t="shared" si="199"/>
        <v>45</v>
      </c>
      <c r="BA236" s="206">
        <f t="shared" si="199"/>
        <v>43</v>
      </c>
      <c r="BB236" s="206">
        <f t="shared" si="199"/>
        <v>0</v>
      </c>
      <c r="BC236" s="465">
        <f t="shared" si="199"/>
        <v>1512</v>
      </c>
      <c r="BD236" s="206"/>
      <c r="BE236" s="466"/>
    </row>
    <row r="237">
      <c r="A237" s="94"/>
      <c r="B237" s="328" t="s">
        <v>705</v>
      </c>
      <c r="C237" s="257" t="s">
        <v>657</v>
      </c>
      <c r="D237" s="330"/>
      <c r="E237" s="259"/>
      <c r="F237" s="251" t="s">
        <v>706</v>
      </c>
      <c r="G237" s="246"/>
      <c r="H237" s="290" t="s">
        <v>438</v>
      </c>
      <c r="I237" s="246"/>
      <c r="J237" s="417" t="s">
        <v>452</v>
      </c>
      <c r="K237" s="246"/>
      <c r="L237" s="261"/>
      <c r="M237" s="341"/>
      <c r="N237" s="246"/>
      <c r="O237" s="290" t="s">
        <v>438</v>
      </c>
      <c r="P237" s="246"/>
      <c r="Q237" s="290" t="s">
        <v>410</v>
      </c>
      <c r="R237" s="246"/>
      <c r="S237" s="261"/>
      <c r="T237" s="251" t="s">
        <v>706</v>
      </c>
      <c r="U237" s="246"/>
      <c r="V237" s="287" t="s">
        <v>440</v>
      </c>
      <c r="W237" s="246"/>
      <c r="X237" s="290" t="s">
        <v>467</v>
      </c>
      <c r="Y237" s="246"/>
      <c r="Z237" s="261"/>
      <c r="AA237" s="341"/>
      <c r="AB237" s="246"/>
      <c r="AC237" s="287" t="s">
        <v>440</v>
      </c>
      <c r="AD237" s="246"/>
      <c r="AE237" s="287" t="s">
        <v>410</v>
      </c>
      <c r="AF237" s="246"/>
      <c r="AG237" s="261"/>
      <c r="AH237" s="282"/>
      <c r="AI237" s="246"/>
      <c r="AJ237" s="290" t="s">
        <v>438</v>
      </c>
      <c r="AK237" s="246"/>
      <c r="AL237" s="417" t="s">
        <v>452</v>
      </c>
      <c r="AM237" s="246"/>
      <c r="AN237" s="261"/>
      <c r="AO237" s="341"/>
      <c r="AP237" s="246"/>
      <c r="AQ237" s="265"/>
      <c r="AR237" s="246"/>
      <c r="AT237" s="254" t="str">
        <f t="shared" si="200"/>
        <v/>
      </c>
      <c r="AU237" s="269"/>
      <c r="AV237" s="269"/>
      <c r="AW237" s="206" t="str">
        <f t="shared" ref="AW237:BC237" si="201">AW66</f>
        <v>#REF!</v>
      </c>
      <c r="AX237" s="206">
        <f t="shared" si="201"/>
        <v>49</v>
      </c>
      <c r="AY237" s="206">
        <f t="shared" si="201"/>
        <v>52</v>
      </c>
      <c r="AZ237" s="464">
        <f t="shared" si="201"/>
        <v>45</v>
      </c>
      <c r="BA237" s="206">
        <f t="shared" si="201"/>
        <v>43</v>
      </c>
      <c r="BB237" s="206">
        <f t="shared" si="201"/>
        <v>0</v>
      </c>
      <c r="BC237" s="465">
        <f t="shared" si="201"/>
        <v>1512</v>
      </c>
      <c r="BD237" s="206"/>
      <c r="BE237" s="466"/>
    </row>
    <row r="238">
      <c r="A238" s="94"/>
      <c r="B238" s="277" t="s">
        <v>705</v>
      </c>
      <c r="C238" s="329" t="s">
        <v>685</v>
      </c>
      <c r="D238" s="330"/>
      <c r="E238" s="259"/>
      <c r="F238" s="311" t="s">
        <v>470</v>
      </c>
      <c r="G238" s="246"/>
      <c r="H238" s="287" t="s">
        <v>440</v>
      </c>
      <c r="I238" s="246"/>
      <c r="J238" s="325" t="s">
        <v>785</v>
      </c>
      <c r="K238" s="246"/>
      <c r="L238" s="261"/>
      <c r="M238" s="341"/>
      <c r="N238" s="246"/>
      <c r="O238" s="290" t="s">
        <v>470</v>
      </c>
      <c r="P238" s="246"/>
      <c r="Q238" s="365" t="s">
        <v>706</v>
      </c>
      <c r="R238" s="246"/>
      <c r="S238" s="261"/>
      <c r="T238" s="311" t="s">
        <v>470</v>
      </c>
      <c r="U238" s="246"/>
      <c r="V238" s="290" t="s">
        <v>407</v>
      </c>
      <c r="W238" s="246"/>
      <c r="X238" s="417" t="s">
        <v>452</v>
      </c>
      <c r="Y238" s="246"/>
      <c r="Z238" s="261"/>
      <c r="AA238" s="341"/>
      <c r="AB238" s="246"/>
      <c r="AC238" s="290" t="s">
        <v>407</v>
      </c>
      <c r="AD238" s="246"/>
      <c r="AE238" s="290" t="s">
        <v>467</v>
      </c>
      <c r="AF238" s="246"/>
      <c r="AG238" s="261"/>
      <c r="AH238" s="282"/>
      <c r="AI238" s="246"/>
      <c r="AJ238" s="287" t="s">
        <v>440</v>
      </c>
      <c r="AK238" s="246"/>
      <c r="AL238" s="290" t="s">
        <v>467</v>
      </c>
      <c r="AM238" s="246"/>
      <c r="AN238" s="261"/>
      <c r="AO238" s="341"/>
      <c r="AP238" s="246"/>
      <c r="AR238" s="246"/>
      <c r="AT238" s="254" t="str">
        <f t="shared" si="200"/>
        <v/>
      </c>
      <c r="AU238" s="269"/>
      <c r="AV238" s="269"/>
      <c r="AW238" s="206" t="str">
        <f t="shared" ref="AW238:BC238" si="202">AW67</f>
        <v>#REF!</v>
      </c>
      <c r="AX238" s="206">
        <f t="shared" si="202"/>
        <v>49</v>
      </c>
      <c r="AY238" s="206">
        <f t="shared" si="202"/>
        <v>52</v>
      </c>
      <c r="AZ238" s="464">
        <f t="shared" si="202"/>
        <v>45</v>
      </c>
      <c r="BA238" s="206">
        <f t="shared" si="202"/>
        <v>43</v>
      </c>
      <c r="BB238" s="206">
        <f t="shared" si="202"/>
        <v>0</v>
      </c>
      <c r="BC238" s="465">
        <f t="shared" si="202"/>
        <v>1512</v>
      </c>
      <c r="BD238" s="206"/>
      <c r="BE238" s="466"/>
    </row>
    <row r="239">
      <c r="A239" s="94"/>
      <c r="B239" s="271" t="s">
        <v>705</v>
      </c>
      <c r="C239" s="272" t="s">
        <v>687</v>
      </c>
      <c r="D239" s="369"/>
      <c r="E239" s="259"/>
      <c r="F239" s="282"/>
      <c r="G239" s="246"/>
      <c r="H239" s="265"/>
      <c r="I239" s="246"/>
      <c r="J239" s="264"/>
      <c r="K239" s="246"/>
      <c r="L239" s="261"/>
      <c r="M239" s="341"/>
      <c r="N239" s="246"/>
      <c r="O239" s="265"/>
      <c r="P239" s="246"/>
      <c r="Q239" s="265"/>
      <c r="R239" s="246"/>
      <c r="S239" s="261"/>
      <c r="T239" s="282"/>
      <c r="U239" s="246"/>
      <c r="W239" s="246"/>
      <c r="Y239" s="246"/>
      <c r="Z239" s="261"/>
      <c r="AA239" s="341"/>
      <c r="AB239" s="246"/>
      <c r="AD239" s="246"/>
      <c r="AE239" s="265"/>
      <c r="AF239" s="246"/>
      <c r="AG239" s="261"/>
      <c r="AH239" s="311" t="s">
        <v>470</v>
      </c>
      <c r="AI239" s="246"/>
      <c r="AJ239" s="265"/>
      <c r="AK239" s="246"/>
      <c r="AL239" s="265"/>
      <c r="AM239" s="246"/>
      <c r="AN239" s="261"/>
      <c r="AO239" s="341"/>
      <c r="AP239" s="246"/>
      <c r="AQ239" s="290" t="s">
        <v>470</v>
      </c>
      <c r="AR239" s="246"/>
      <c r="AS239" s="417" t="s">
        <v>452</v>
      </c>
      <c r="AT239" s="254" t="str">
        <f>IF(COUNTIF($AO$85:$AT$87, AS214) &gt; 0, "X", "")</f>
        <v/>
      </c>
      <c r="AU239" s="269"/>
      <c r="AV239" s="269"/>
      <c r="AW239" s="206" t="str">
        <f t="shared" ref="AW239:BC239" si="203">AW68</f>
        <v>#REF!</v>
      </c>
      <c r="AX239" s="206">
        <f t="shared" si="203"/>
        <v>49</v>
      </c>
      <c r="AY239" s="206">
        <f t="shared" si="203"/>
        <v>52</v>
      </c>
      <c r="AZ239" s="464">
        <f t="shared" si="203"/>
        <v>45</v>
      </c>
      <c r="BA239" s="206">
        <f t="shared" si="203"/>
        <v>43</v>
      </c>
      <c r="BB239" s="206">
        <f t="shared" si="203"/>
        <v>0</v>
      </c>
      <c r="BC239" s="465">
        <f t="shared" si="203"/>
        <v>1512</v>
      </c>
      <c r="BD239" s="206"/>
      <c r="BE239" s="466"/>
    </row>
    <row r="240">
      <c r="A240" s="270"/>
      <c r="B240" s="397" t="s">
        <v>708</v>
      </c>
      <c r="C240" s="398" t="s">
        <v>654</v>
      </c>
      <c r="D240" s="330"/>
      <c r="E240" s="259"/>
      <c r="F240" s="275"/>
      <c r="G240" s="246"/>
      <c r="H240" s="384" t="s">
        <v>441</v>
      </c>
      <c r="I240" s="246"/>
      <c r="J240" s="418" t="s">
        <v>446</v>
      </c>
      <c r="K240" s="246"/>
      <c r="L240" s="261"/>
      <c r="M240" s="341"/>
      <c r="N240" s="246"/>
      <c r="O240" s="384" t="s">
        <v>441</v>
      </c>
      <c r="P240" s="246"/>
      <c r="Q240" s="418" t="s">
        <v>446</v>
      </c>
      <c r="R240" s="246"/>
      <c r="S240" s="261"/>
      <c r="T240" s="275"/>
      <c r="U240" s="246"/>
      <c r="V240" s="420" t="s">
        <v>469</v>
      </c>
      <c r="W240" s="246"/>
      <c r="X240" s="384" t="s">
        <v>441</v>
      </c>
      <c r="Y240" s="246"/>
      <c r="Z240" s="261"/>
      <c r="AA240" s="341"/>
      <c r="AB240" s="246"/>
      <c r="AC240" s="384" t="s">
        <v>441</v>
      </c>
      <c r="AD240" s="246"/>
      <c r="AE240" s="418" t="s">
        <v>446</v>
      </c>
      <c r="AF240" s="246"/>
      <c r="AG240" s="261"/>
      <c r="AH240" s="275"/>
      <c r="AI240" s="246"/>
      <c r="AJ240" s="384" t="s">
        <v>441</v>
      </c>
      <c r="AK240" s="246"/>
      <c r="AL240" s="418" t="s">
        <v>446</v>
      </c>
      <c r="AM240" s="246"/>
      <c r="AN240" s="261"/>
      <c r="AO240" s="341"/>
      <c r="AP240" s="246"/>
      <c r="AQ240" s="420" t="s">
        <v>469</v>
      </c>
      <c r="AR240" s="246"/>
      <c r="AS240" s="418" t="s">
        <v>446</v>
      </c>
      <c r="AT240" s="254" t="str">
        <f>IF(COUNTIF($AO$85:$AT$87, #REF!) &gt; 0, "X", "")</f>
        <v/>
      </c>
      <c r="AU240" s="269"/>
      <c r="AV240" s="269"/>
      <c r="AW240" s="206" t="str">
        <f t="shared" ref="AW240:BC240" si="204">AW69</f>
        <v>#REF!</v>
      </c>
      <c r="AX240" s="206">
        <f t="shared" si="204"/>
        <v>49</v>
      </c>
      <c r="AY240" s="206">
        <f t="shared" si="204"/>
        <v>52</v>
      </c>
      <c r="AZ240" s="464">
        <f t="shared" si="204"/>
        <v>45</v>
      </c>
      <c r="BA240" s="206">
        <f t="shared" si="204"/>
        <v>43</v>
      </c>
      <c r="BB240" s="206">
        <f t="shared" si="204"/>
        <v>0</v>
      </c>
      <c r="BC240" s="465">
        <f t="shared" si="204"/>
        <v>1512</v>
      </c>
      <c r="BD240" s="206"/>
      <c r="BE240" s="466"/>
    </row>
    <row r="241">
      <c r="A241" s="94"/>
      <c r="B241" s="277" t="s">
        <v>709</v>
      </c>
      <c r="C241" s="278" t="s">
        <v>710</v>
      </c>
      <c r="D241" s="330"/>
      <c r="E241" s="259"/>
      <c r="F241" s="281"/>
      <c r="G241" s="246"/>
      <c r="H241" s="265"/>
      <c r="I241" s="246"/>
      <c r="J241" s="422"/>
      <c r="K241" s="246"/>
      <c r="L241" s="261"/>
      <c r="M241" s="341"/>
      <c r="N241" s="246"/>
      <c r="O241" s="422"/>
      <c r="P241" s="246"/>
      <c r="Q241" s="287" t="s">
        <v>440</v>
      </c>
      <c r="R241" s="246"/>
      <c r="S241" s="261"/>
      <c r="T241" s="281"/>
      <c r="U241" s="246"/>
      <c r="V241" s="265"/>
      <c r="W241" s="246"/>
      <c r="X241" s="422"/>
      <c r="Y241" s="246"/>
      <c r="Z241" s="261"/>
      <c r="AA241" s="341"/>
      <c r="AB241" s="246"/>
      <c r="AC241" s="265"/>
      <c r="AD241" s="246"/>
      <c r="AE241" s="265"/>
      <c r="AF241" s="246"/>
      <c r="AG241" s="261"/>
      <c r="AH241" s="281"/>
      <c r="AI241" s="246"/>
      <c r="AJ241" s="422"/>
      <c r="AK241" s="246"/>
      <c r="AL241" s="422"/>
      <c r="AM241" s="246"/>
      <c r="AN241" s="261"/>
      <c r="AO241" s="341"/>
      <c r="AP241" s="246"/>
      <c r="AQ241" s="422"/>
      <c r="AR241" s="246"/>
      <c r="AS241" s="422"/>
      <c r="AT241" s="254" t="str">
        <f t="shared" ref="AT241:AT242" si="206">IF(COUNTIF($AO$85:$AT$87, AS241) &gt; 0, "X", "")</f>
        <v/>
      </c>
      <c r="AU241" s="269"/>
      <c r="AV241" s="269"/>
      <c r="AW241" s="206" t="str">
        <f t="shared" ref="AW241:BC241" si="205">AW70</f>
        <v>#REF!</v>
      </c>
      <c r="AX241" s="206">
        <f t="shared" si="205"/>
        <v>49</v>
      </c>
      <c r="AY241" s="206">
        <f t="shared" si="205"/>
        <v>52</v>
      </c>
      <c r="AZ241" s="464">
        <f t="shared" si="205"/>
        <v>45</v>
      </c>
      <c r="BA241" s="206">
        <f t="shared" si="205"/>
        <v>43</v>
      </c>
      <c r="BB241" s="206">
        <f t="shared" si="205"/>
        <v>0</v>
      </c>
      <c r="BC241" s="465">
        <f t="shared" si="205"/>
        <v>1512</v>
      </c>
      <c r="BD241" s="206"/>
      <c r="BE241" s="466"/>
    </row>
    <row r="242">
      <c r="A242" s="94"/>
      <c r="B242" s="271" t="s">
        <v>712</v>
      </c>
      <c r="C242" s="272" t="s">
        <v>710</v>
      </c>
      <c r="D242" s="323"/>
      <c r="E242" s="259"/>
      <c r="F242" s="282"/>
      <c r="G242" s="246"/>
      <c r="I242" s="246"/>
      <c r="J242" s="426"/>
      <c r="K242" s="246"/>
      <c r="L242" s="261"/>
      <c r="M242" s="341"/>
      <c r="N242" s="246"/>
      <c r="O242" s="265"/>
      <c r="P242" s="246"/>
      <c r="Q242" s="265"/>
      <c r="R242" s="246"/>
      <c r="S242" s="261"/>
      <c r="T242" s="282"/>
      <c r="U242" s="246"/>
      <c r="V242" s="265"/>
      <c r="W242" s="246"/>
      <c r="X242" s="265"/>
      <c r="Y242" s="246"/>
      <c r="Z242" s="261"/>
      <c r="AA242" s="341"/>
      <c r="AB242" s="246"/>
      <c r="AC242" s="426"/>
      <c r="AD242" s="246"/>
      <c r="AE242" s="265"/>
      <c r="AF242" s="246"/>
      <c r="AG242" s="261"/>
      <c r="AH242" s="282"/>
      <c r="AI242" s="246"/>
      <c r="AJ242" s="422"/>
      <c r="AK242" s="246"/>
      <c r="AL242" s="426"/>
      <c r="AM242" s="246"/>
      <c r="AN242" s="261"/>
      <c r="AO242" s="341"/>
      <c r="AP242" s="246"/>
      <c r="AQ242" s="426"/>
      <c r="AR242" s="246"/>
      <c r="AS242" s="265"/>
      <c r="AT242" s="254" t="str">
        <f t="shared" si="206"/>
        <v/>
      </c>
      <c r="AU242" s="269"/>
      <c r="AV242" s="269"/>
      <c r="AW242" s="206" t="str">
        <f t="shared" ref="AW242:BC242" si="207">AW71</f>
        <v>#REF!</v>
      </c>
      <c r="AX242" s="206">
        <f t="shared" si="207"/>
        <v>49</v>
      </c>
      <c r="AY242" s="206">
        <f t="shared" si="207"/>
        <v>52</v>
      </c>
      <c r="AZ242" s="464">
        <f t="shared" si="207"/>
        <v>45</v>
      </c>
      <c r="BA242" s="206">
        <f t="shared" si="207"/>
        <v>43</v>
      </c>
      <c r="BB242" s="206">
        <f t="shared" si="207"/>
        <v>0</v>
      </c>
      <c r="BC242" s="465">
        <f t="shared" si="207"/>
        <v>1512</v>
      </c>
      <c r="BD242" s="206"/>
      <c r="BE242" s="466"/>
    </row>
    <row r="243">
      <c r="A243" s="94"/>
      <c r="B243" s="429" t="s">
        <v>714</v>
      </c>
      <c r="C243" s="430"/>
      <c r="D243" s="431"/>
      <c r="E243" s="259"/>
      <c r="F243" s="432"/>
      <c r="G243" s="433"/>
      <c r="H243" s="432"/>
      <c r="I243" s="432"/>
      <c r="J243" s="432"/>
      <c r="K243" s="432"/>
      <c r="L243" s="261"/>
      <c r="M243" s="432"/>
      <c r="N243" s="433"/>
      <c r="O243" s="432"/>
      <c r="P243" s="432"/>
      <c r="Q243" s="432"/>
      <c r="R243" s="432"/>
      <c r="S243" s="261"/>
      <c r="T243" s="432"/>
      <c r="U243" s="433"/>
      <c r="V243" s="432"/>
      <c r="W243" s="432"/>
      <c r="X243" s="432"/>
      <c r="Y243" s="432"/>
      <c r="Z243" s="261"/>
      <c r="AA243" s="432"/>
      <c r="AB243" s="433"/>
      <c r="AC243" s="432"/>
      <c r="AD243" s="432"/>
      <c r="AE243" s="432"/>
      <c r="AF243" s="432"/>
      <c r="AG243" s="261"/>
      <c r="AH243" s="432"/>
      <c r="AI243" s="433"/>
      <c r="AJ243" s="432"/>
      <c r="AK243" s="432"/>
      <c r="AL243" s="432"/>
      <c r="AM243" s="432"/>
      <c r="AN243" s="261"/>
      <c r="AO243" s="432"/>
      <c r="AP243" s="433"/>
      <c r="AQ243" s="432"/>
      <c r="AR243" s="432"/>
      <c r="AS243" s="432"/>
      <c r="AT243" s="430"/>
      <c r="AU243" s="269"/>
      <c r="AV243" s="269"/>
      <c r="AW243" s="206" t="str">
        <f t="shared" ref="AW243:BC243" si="208">AW72</f>
        <v>#REF!</v>
      </c>
      <c r="AX243" s="206">
        <f t="shared" si="208"/>
        <v>49</v>
      </c>
      <c r="AY243" s="206">
        <f t="shared" si="208"/>
        <v>52</v>
      </c>
      <c r="AZ243" s="464">
        <f t="shared" si="208"/>
        <v>45</v>
      </c>
      <c r="BA243" s="206">
        <f t="shared" si="208"/>
        <v>43</v>
      </c>
      <c r="BB243" s="206">
        <f t="shared" si="208"/>
        <v>0</v>
      </c>
      <c r="BC243" s="465">
        <f t="shared" si="208"/>
        <v>1512</v>
      </c>
      <c r="BD243" s="206"/>
      <c r="BE243" s="466"/>
    </row>
    <row r="244">
      <c r="A244" s="94"/>
      <c r="B244" s="401" t="s">
        <v>715</v>
      </c>
      <c r="C244" s="412" t="s">
        <v>716</v>
      </c>
      <c r="D244" s="323"/>
      <c r="E244" s="259"/>
      <c r="F244" s="524" t="s">
        <v>403</v>
      </c>
      <c r="G244" s="246"/>
      <c r="H244" s="525" t="str">
        <f>AW69</f>
        <v>#REF!</v>
      </c>
      <c r="I244" s="246"/>
      <c r="J244" s="434"/>
      <c r="K244" s="246"/>
      <c r="L244" s="261"/>
      <c r="M244" s="524" t="str">
        <f>AW69</f>
        <v>#REF!</v>
      </c>
      <c r="N244" s="246"/>
      <c r="O244" s="493" t="s">
        <v>766</v>
      </c>
      <c r="P244" s="246"/>
      <c r="Q244" s="434"/>
      <c r="R244" s="246"/>
      <c r="S244" s="261"/>
      <c r="T244" s="434"/>
      <c r="U244" s="246"/>
      <c r="V244" s="434" t="s">
        <v>403</v>
      </c>
      <c r="W244" s="246"/>
      <c r="X244" s="434"/>
      <c r="Y244" s="246"/>
      <c r="Z244" s="261"/>
      <c r="AA244" s="434"/>
      <c r="AB244" s="246"/>
      <c r="AC244" s="526" t="str">
        <f>TEAM!B71</f>
        <v>#REF!</v>
      </c>
      <c r="AD244" s="246"/>
      <c r="AE244" s="434"/>
      <c r="AF244" s="246"/>
      <c r="AG244" s="261"/>
      <c r="AH244" s="434" t="str">
        <f>AW69</f>
        <v>#REF!</v>
      </c>
      <c r="AI244" s="246"/>
      <c r="AJ244" s="434" t="s">
        <v>403</v>
      </c>
      <c r="AK244" s="246"/>
      <c r="AL244" s="434" t="str">
        <f>TEAM!B71</f>
        <v>#REF!</v>
      </c>
      <c r="AM244" s="246"/>
      <c r="AN244" s="261"/>
      <c r="AO244" s="434" t="str">
        <f>AW69</f>
        <v>#REF!</v>
      </c>
      <c r="AP244" s="246"/>
      <c r="AQ244" s="434" t="str">
        <f>TEAM!B71</f>
        <v>#REF!</v>
      </c>
      <c r="AR244" s="246"/>
      <c r="AS244" s="434"/>
      <c r="AT244" s="254" t="str">
        <f t="shared" ref="AT244:AT256" si="210">IF(COUNTIF($AO$85:$AT$87, AS244) &gt; 0, "X", "")</f>
        <v/>
      </c>
      <c r="AU244" s="269"/>
      <c r="AV244" s="269"/>
      <c r="AW244" s="206" t="str">
        <f t="shared" ref="AW244:BC244" si="209">AW73</f>
        <v>#REF!</v>
      </c>
      <c r="AX244" s="206">
        <f t="shared" si="209"/>
        <v>49</v>
      </c>
      <c r="AY244" s="206">
        <f t="shared" si="209"/>
        <v>52</v>
      </c>
      <c r="AZ244" s="464">
        <f t="shared" si="209"/>
        <v>45</v>
      </c>
      <c r="BA244" s="206">
        <f t="shared" si="209"/>
        <v>43</v>
      </c>
      <c r="BB244" s="206">
        <f t="shared" si="209"/>
        <v>0</v>
      </c>
      <c r="BC244" s="465">
        <f t="shared" si="209"/>
        <v>1512</v>
      </c>
      <c r="BD244" s="206"/>
      <c r="BE244" s="466"/>
    </row>
    <row r="245">
      <c r="A245" s="94"/>
      <c r="B245" s="435" t="s">
        <v>717</v>
      </c>
      <c r="C245" s="415" t="s">
        <v>718</v>
      </c>
      <c r="D245" s="363"/>
      <c r="E245" s="259"/>
      <c r="F245" s="527" t="s">
        <v>442</v>
      </c>
      <c r="G245" s="246"/>
      <c r="H245" s="493" t="str">
        <f>TEAM!B78</f>
        <v>#REF!</v>
      </c>
      <c r="I245" s="246"/>
      <c r="J245" s="406"/>
      <c r="K245" s="246"/>
      <c r="L245" s="261"/>
      <c r="M245" s="406"/>
      <c r="N245" s="246"/>
      <c r="O245" s="406" t="str">
        <f>TEAM!B77</f>
        <v>#REF!</v>
      </c>
      <c r="P245" s="246"/>
      <c r="Q245" s="406"/>
      <c r="R245" s="246"/>
      <c r="S245" s="261"/>
      <c r="T245" s="406"/>
      <c r="U245" s="246"/>
      <c r="V245" s="406" t="str">
        <f t="shared" ref="V245:V246" si="212">TEAM!B77</f>
        <v>#REF!</v>
      </c>
      <c r="W245" s="246"/>
      <c r="X245" s="406"/>
      <c r="Y245" s="246"/>
      <c r="Z245" s="261"/>
      <c r="AA245" s="527" t="s">
        <v>454</v>
      </c>
      <c r="AB245" s="246"/>
      <c r="AC245" s="493" t="str">
        <f>TEAM!B77</f>
        <v>#REF!</v>
      </c>
      <c r="AD245" s="246"/>
      <c r="AE245" s="406"/>
      <c r="AF245" s="246"/>
      <c r="AG245" s="261"/>
      <c r="AH245" s="406"/>
      <c r="AI245" s="246"/>
      <c r="AJ245" s="406" t="str">
        <f>TEAM!B77</f>
        <v>#REF!</v>
      </c>
      <c r="AK245" s="246"/>
      <c r="AL245" s="406"/>
      <c r="AM245" s="246"/>
      <c r="AN245" s="261"/>
      <c r="AO245" s="406"/>
      <c r="AP245" s="246"/>
      <c r="AQ245" s="406" t="str">
        <f>TEAM!B77</f>
        <v>#REF!</v>
      </c>
      <c r="AR245" s="246"/>
      <c r="AS245" s="406"/>
      <c r="AT245" s="254" t="str">
        <f t="shared" si="210"/>
        <v/>
      </c>
      <c r="AU245" s="269"/>
      <c r="AV245" s="269"/>
      <c r="AW245" s="206" t="str">
        <f t="shared" ref="AW245:BC245" si="211">AW74</f>
        <v>#REF!</v>
      </c>
      <c r="AX245" s="206">
        <f t="shared" si="211"/>
        <v>49</v>
      </c>
      <c r="AY245" s="206">
        <f t="shared" si="211"/>
        <v>52</v>
      </c>
      <c r="AZ245" s="464">
        <f t="shared" si="211"/>
        <v>45</v>
      </c>
      <c r="BA245" s="206">
        <f t="shared" si="211"/>
        <v>43</v>
      </c>
      <c r="BB245" s="206">
        <f t="shared" si="211"/>
        <v>0</v>
      </c>
      <c r="BC245" s="465">
        <f t="shared" si="211"/>
        <v>1512</v>
      </c>
      <c r="BD245" s="206"/>
      <c r="BE245" s="466"/>
    </row>
    <row r="246">
      <c r="A246" s="94"/>
      <c r="B246" s="436" t="s">
        <v>719</v>
      </c>
      <c r="C246" s="437" t="s">
        <v>720</v>
      </c>
      <c r="D246" s="330"/>
      <c r="E246" s="259"/>
      <c r="F246" s="406"/>
      <c r="G246" s="246"/>
      <c r="H246" s="406" t="str">
        <f>TEAM!B80</f>
        <v>#REF!</v>
      </c>
      <c r="I246" s="246"/>
      <c r="J246" s="406"/>
      <c r="K246" s="246"/>
      <c r="L246" s="261"/>
      <c r="M246" s="406"/>
      <c r="N246" s="246"/>
      <c r="O246" s="406" t="str">
        <f>TEAM!B80</f>
        <v>#REF!</v>
      </c>
      <c r="P246" s="246"/>
      <c r="Q246" s="406"/>
      <c r="R246" s="246"/>
      <c r="S246" s="261"/>
      <c r="T246" s="406"/>
      <c r="U246" s="246"/>
      <c r="V246" s="406" t="str">
        <f t="shared" si="212"/>
        <v>#REF!</v>
      </c>
      <c r="W246" s="246"/>
      <c r="X246" s="406"/>
      <c r="Y246" s="246"/>
      <c r="Z246" s="261"/>
      <c r="AA246" s="406"/>
      <c r="AB246" s="246"/>
      <c r="AC246" s="406" t="str">
        <f t="shared" ref="AC246:AC247" si="214">TEAM!B74</f>
        <v>#REF!</v>
      </c>
      <c r="AD246" s="246"/>
      <c r="AE246" s="406"/>
      <c r="AF246" s="246"/>
      <c r="AG246" s="261"/>
      <c r="AH246" s="406"/>
      <c r="AI246" s="246"/>
      <c r="AJ246" s="406" t="str">
        <f t="shared" ref="AJ246:AJ247" si="215">TEAM!B74</f>
        <v>#REF!</v>
      </c>
      <c r="AK246" s="246"/>
      <c r="AL246" s="406"/>
      <c r="AM246" s="246"/>
      <c r="AN246" s="261"/>
      <c r="AO246" s="406"/>
      <c r="AP246" s="246"/>
      <c r="AQ246" s="406" t="str">
        <f>TEAM!B80</f>
        <v>#REF!</v>
      </c>
      <c r="AR246" s="246"/>
      <c r="AS246" s="406"/>
      <c r="AT246" s="254" t="str">
        <f t="shared" si="210"/>
        <v/>
      </c>
      <c r="AU246" s="269"/>
      <c r="AV246" s="269"/>
      <c r="AW246" s="206" t="str">
        <f t="shared" ref="AW246:BC246" si="213">AW75</f>
        <v>#REF!</v>
      </c>
      <c r="AX246" s="206">
        <f t="shared" si="213"/>
        <v>49</v>
      </c>
      <c r="AY246" s="206">
        <f t="shared" si="213"/>
        <v>52</v>
      </c>
      <c r="AZ246" s="464">
        <f t="shared" si="213"/>
        <v>45</v>
      </c>
      <c r="BA246" s="206">
        <f t="shared" si="213"/>
        <v>43</v>
      </c>
      <c r="BB246" s="206">
        <f t="shared" si="213"/>
        <v>0</v>
      </c>
      <c r="BC246" s="465">
        <f t="shared" si="213"/>
        <v>1512</v>
      </c>
      <c r="BD246" s="206"/>
      <c r="BE246" s="466"/>
    </row>
    <row r="247">
      <c r="A247" s="94"/>
      <c r="B247" s="439" t="s">
        <v>721</v>
      </c>
      <c r="C247" s="440" t="s">
        <v>722</v>
      </c>
      <c r="D247" s="330"/>
      <c r="E247" s="259"/>
      <c r="F247" s="406"/>
      <c r="G247" s="246"/>
      <c r="H247" s="406" t="str">
        <f>TEAM!B75</f>
        <v>#REF!</v>
      </c>
      <c r="I247" s="246"/>
      <c r="J247" s="406"/>
      <c r="K247" s="246"/>
      <c r="L247" s="261"/>
      <c r="M247" s="406"/>
      <c r="N247" s="246"/>
      <c r="O247" s="406" t="str">
        <f>TEAM!B75</f>
        <v>#REF!</v>
      </c>
      <c r="P247" s="246"/>
      <c r="Q247" s="406"/>
      <c r="R247" s="246"/>
      <c r="S247" s="261"/>
      <c r="T247" s="406"/>
      <c r="U247" s="246"/>
      <c r="V247" s="406" t="str">
        <f>TEAM!B75</f>
        <v>#REF!</v>
      </c>
      <c r="W247" s="246"/>
      <c r="Y247" s="246"/>
      <c r="Z247" s="261"/>
      <c r="AA247" s="406"/>
      <c r="AB247" s="246"/>
      <c r="AC247" s="528" t="str">
        <f t="shared" si="214"/>
        <v>#REF!</v>
      </c>
      <c r="AD247" s="246"/>
      <c r="AE247" s="406"/>
      <c r="AF247" s="246"/>
      <c r="AG247" s="261"/>
      <c r="AH247" s="406"/>
      <c r="AI247" s="246"/>
      <c r="AJ247" s="406" t="str">
        <f t="shared" si="215"/>
        <v>#REF!</v>
      </c>
      <c r="AK247" s="246"/>
      <c r="AL247" s="406"/>
      <c r="AM247" s="246"/>
      <c r="AN247" s="261"/>
      <c r="AO247" s="406"/>
      <c r="AP247" s="246"/>
      <c r="AQ247" s="406"/>
      <c r="AR247" s="246"/>
      <c r="AS247" s="406"/>
      <c r="AT247" s="254" t="str">
        <f t="shared" si="210"/>
        <v/>
      </c>
      <c r="AU247" s="269"/>
      <c r="AV247" s="269"/>
      <c r="AW247" s="206" t="str">
        <f t="shared" ref="AW247:BC247" si="216">AW76</f>
        <v>#REF!</v>
      </c>
      <c r="AX247" s="206">
        <f t="shared" si="216"/>
        <v>49</v>
      </c>
      <c r="AY247" s="206">
        <f t="shared" si="216"/>
        <v>52</v>
      </c>
      <c r="AZ247" s="464">
        <f t="shared" si="216"/>
        <v>45</v>
      </c>
      <c r="BA247" s="206">
        <f t="shared" si="216"/>
        <v>43</v>
      </c>
      <c r="BB247" s="206">
        <f t="shared" si="216"/>
        <v>0</v>
      </c>
      <c r="BC247" s="465">
        <f t="shared" si="216"/>
        <v>1512</v>
      </c>
      <c r="BD247" s="206"/>
      <c r="BE247" s="466"/>
    </row>
    <row r="248">
      <c r="A248" s="94"/>
      <c r="B248" s="439" t="s">
        <v>723</v>
      </c>
      <c r="C248" s="440" t="s">
        <v>724</v>
      </c>
      <c r="D248" s="330"/>
      <c r="E248" s="259"/>
      <c r="F248" s="441"/>
      <c r="G248" s="246"/>
      <c r="H248" s="406" t="str">
        <f>TEAM!B73</f>
        <v>#REF!</v>
      </c>
      <c r="I248" s="246"/>
      <c r="J248" s="441"/>
      <c r="K248" s="246"/>
      <c r="L248" s="261"/>
      <c r="M248" s="441"/>
      <c r="N248" s="246"/>
      <c r="O248" s="528" t="str">
        <f t="shared" ref="O248:O249" si="218">TEAM!B78</f>
        <v>#REF!</v>
      </c>
      <c r="P248" s="246"/>
      <c r="Q248" s="441"/>
      <c r="R248" s="246"/>
      <c r="S248" s="261"/>
      <c r="T248" s="441"/>
      <c r="U248" s="246"/>
      <c r="V248" s="406" t="str">
        <f>TEAM!B80</f>
        <v>#REF!</v>
      </c>
      <c r="W248" s="246"/>
      <c r="X248" s="441"/>
      <c r="Y248" s="246"/>
      <c r="Z248" s="261"/>
      <c r="AA248" s="441"/>
      <c r="AB248" s="246"/>
      <c r="AC248" s="406" t="s">
        <v>403</v>
      </c>
      <c r="AD248" s="246"/>
      <c r="AE248" s="441"/>
      <c r="AF248" s="246"/>
      <c r="AG248" s="261"/>
      <c r="AH248" s="441"/>
      <c r="AI248" s="246"/>
      <c r="AJ248" s="406" t="str">
        <f>TEAM!B78</f>
        <v>#REF!</v>
      </c>
      <c r="AK248" s="246"/>
      <c r="AL248" s="441"/>
      <c r="AM248" s="246"/>
      <c r="AN248" s="261"/>
      <c r="AO248" s="441"/>
      <c r="AP248" s="246"/>
      <c r="AQ248" s="406"/>
      <c r="AR248" s="246"/>
      <c r="AS248" s="441"/>
      <c r="AT248" s="254" t="str">
        <f t="shared" si="210"/>
        <v/>
      </c>
      <c r="AU248" s="269"/>
      <c r="AV248" s="269"/>
      <c r="AW248" s="206" t="str">
        <f t="shared" ref="AW248:BC248" si="217">AW77</f>
        <v>#REF!</v>
      </c>
      <c r="AX248" s="206">
        <f t="shared" si="217"/>
        <v>49</v>
      </c>
      <c r="AY248" s="206">
        <f t="shared" si="217"/>
        <v>52</v>
      </c>
      <c r="AZ248" s="464">
        <f t="shared" si="217"/>
        <v>45</v>
      </c>
      <c r="BA248" s="206">
        <f t="shared" si="217"/>
        <v>43</v>
      </c>
      <c r="BB248" s="206">
        <f t="shared" si="217"/>
        <v>0</v>
      </c>
      <c r="BC248" s="465">
        <f t="shared" si="217"/>
        <v>1512</v>
      </c>
      <c r="BD248" s="206"/>
      <c r="BE248" s="466"/>
    </row>
    <row r="249">
      <c r="A249" s="94"/>
      <c r="B249" s="439" t="s">
        <v>725</v>
      </c>
      <c r="C249" s="442" t="s">
        <v>726</v>
      </c>
      <c r="D249" s="330"/>
      <c r="E249" s="259"/>
      <c r="F249" s="441"/>
      <c r="G249" s="246"/>
      <c r="H249" s="441" t="str">
        <f>TEAM!B79</f>
        <v>#REF!</v>
      </c>
      <c r="I249" s="246"/>
      <c r="J249" s="441"/>
      <c r="K249" s="246"/>
      <c r="L249" s="261"/>
      <c r="M249" s="441"/>
      <c r="N249" s="246"/>
      <c r="O249" s="441" t="str">
        <f t="shared" si="218"/>
        <v>#REF!</v>
      </c>
      <c r="P249" s="246"/>
      <c r="Q249" s="441"/>
      <c r="R249" s="246"/>
      <c r="S249" s="261"/>
      <c r="T249" s="441"/>
      <c r="U249" s="246"/>
      <c r="V249" s="441" t="str">
        <f>TEAM!B79</f>
        <v>#REF!</v>
      </c>
      <c r="W249" s="246"/>
      <c r="X249" s="441"/>
      <c r="Y249" s="246"/>
      <c r="Z249" s="261"/>
      <c r="AA249" s="441"/>
      <c r="AB249" s="246"/>
      <c r="AC249" s="441" t="str">
        <f>TEAM!B79</f>
        <v>#REF!</v>
      </c>
      <c r="AD249" s="246"/>
      <c r="AE249" s="441"/>
      <c r="AF249" s="246"/>
      <c r="AG249" s="261"/>
      <c r="AH249" s="441"/>
      <c r="AI249" s="246"/>
      <c r="AJ249" s="441" t="str">
        <f>TEAM!B80</f>
        <v>#REF!</v>
      </c>
      <c r="AK249" s="246"/>
      <c r="AL249" s="441"/>
      <c r="AM249" s="246"/>
      <c r="AN249" s="261"/>
      <c r="AO249" s="441"/>
      <c r="AP249" s="246"/>
      <c r="AQ249" s="406" t="s">
        <v>403</v>
      </c>
      <c r="AR249" s="246"/>
      <c r="AS249" s="441"/>
      <c r="AT249" s="254" t="str">
        <f t="shared" si="210"/>
        <v/>
      </c>
      <c r="AU249" s="269"/>
      <c r="AV249" s="269"/>
      <c r="AW249" s="206" t="str">
        <f t="shared" ref="AW249:BC249" si="219">AW78</f>
        <v>#REF!</v>
      </c>
      <c r="AX249" s="206">
        <f t="shared" si="219"/>
        <v>49</v>
      </c>
      <c r="AY249" s="206">
        <f t="shared" si="219"/>
        <v>52</v>
      </c>
      <c r="AZ249" s="464">
        <f t="shared" si="219"/>
        <v>45</v>
      </c>
      <c r="BA249" s="206">
        <f t="shared" si="219"/>
        <v>43</v>
      </c>
      <c r="BB249" s="206">
        <f t="shared" si="219"/>
        <v>0</v>
      </c>
      <c r="BC249" s="465">
        <f t="shared" si="219"/>
        <v>1512</v>
      </c>
      <c r="BD249" s="206"/>
      <c r="BE249" s="466"/>
    </row>
    <row r="250">
      <c r="A250" s="94"/>
      <c r="B250" s="444"/>
      <c r="C250" s="445" t="s">
        <v>728</v>
      </c>
      <c r="D250" s="369"/>
      <c r="E250" s="259"/>
      <c r="F250" s="446"/>
      <c r="G250" s="246"/>
      <c r="H250" s="446"/>
      <c r="I250" s="246"/>
      <c r="J250" s="446"/>
      <c r="K250" s="246"/>
      <c r="L250" s="261"/>
      <c r="M250" s="446"/>
      <c r="N250" s="246"/>
      <c r="O250" s="446"/>
      <c r="P250" s="246"/>
      <c r="Q250" s="446"/>
      <c r="R250" s="246"/>
      <c r="S250" s="261"/>
      <c r="T250" s="446"/>
      <c r="U250" s="246"/>
      <c r="V250" s="446"/>
      <c r="W250" s="246"/>
      <c r="X250" s="446"/>
      <c r="Y250" s="246"/>
      <c r="Z250" s="261"/>
      <c r="AA250" s="446"/>
      <c r="AB250" s="246"/>
      <c r="AC250" s="446"/>
      <c r="AD250" s="246"/>
      <c r="AE250" s="446"/>
      <c r="AF250" s="246"/>
      <c r="AG250" s="261"/>
      <c r="AH250" s="446"/>
      <c r="AI250" s="246"/>
      <c r="AJ250" s="446"/>
      <c r="AK250" s="246"/>
      <c r="AL250" s="446"/>
      <c r="AM250" s="246"/>
      <c r="AN250" s="261"/>
      <c r="AO250" s="446"/>
      <c r="AP250" s="246"/>
      <c r="AQ250" s="446"/>
      <c r="AR250" s="246"/>
      <c r="AS250" s="446"/>
      <c r="AT250" s="254" t="str">
        <f t="shared" si="210"/>
        <v/>
      </c>
      <c r="AU250" s="269"/>
      <c r="AV250" s="269"/>
      <c r="AW250" s="206" t="str">
        <f t="shared" ref="AW250:BC250" si="220">AW79</f>
        <v>#REF!</v>
      </c>
      <c r="AX250" s="206">
        <f t="shared" si="220"/>
        <v>49</v>
      </c>
      <c r="AY250" s="206">
        <f t="shared" si="220"/>
        <v>52</v>
      </c>
      <c r="AZ250" s="464">
        <f t="shared" si="220"/>
        <v>45</v>
      </c>
      <c r="BA250" s="206">
        <f t="shared" si="220"/>
        <v>43</v>
      </c>
      <c r="BB250" s="206">
        <f t="shared" si="220"/>
        <v>0</v>
      </c>
      <c r="BC250" s="465">
        <f t="shared" si="220"/>
        <v>1512</v>
      </c>
      <c r="BD250" s="206"/>
      <c r="BE250" s="466"/>
    </row>
    <row r="251">
      <c r="A251" s="94"/>
      <c r="B251" s="447" t="s">
        <v>729</v>
      </c>
      <c r="C251" s="448" t="s">
        <v>730</v>
      </c>
      <c r="D251" s="330"/>
      <c r="E251" s="259"/>
      <c r="F251" s="441"/>
      <c r="G251" s="246"/>
      <c r="H251" s="441"/>
      <c r="I251" s="246"/>
      <c r="J251" s="441"/>
      <c r="K251" s="246"/>
      <c r="L251" s="261"/>
      <c r="M251" s="441"/>
      <c r="N251" s="246"/>
      <c r="O251" s="441"/>
      <c r="P251" s="246"/>
      <c r="Q251" s="441"/>
      <c r="R251" s="246"/>
      <c r="S251" s="261"/>
      <c r="T251" s="441"/>
      <c r="U251" s="246"/>
      <c r="V251" s="441"/>
      <c r="W251" s="246"/>
      <c r="X251" s="441"/>
      <c r="Y251" s="246"/>
      <c r="Z251" s="261"/>
      <c r="AA251" s="441"/>
      <c r="AB251" s="246"/>
      <c r="AC251" s="441"/>
      <c r="AD251" s="246"/>
      <c r="AE251" s="441"/>
      <c r="AF251" s="246"/>
      <c r="AG251" s="261"/>
      <c r="AH251" s="441"/>
      <c r="AI251" s="246"/>
      <c r="AJ251" s="441" t="str">
        <f>TEAM!B79</f>
        <v>#REF!</v>
      </c>
      <c r="AK251" s="246"/>
      <c r="AL251" s="441"/>
      <c r="AM251" s="246"/>
      <c r="AN251" s="261"/>
      <c r="AO251" s="441"/>
      <c r="AP251" s="246"/>
      <c r="AQ251" s="441"/>
      <c r="AR251" s="246"/>
      <c r="AS251" s="441"/>
      <c r="AT251" s="254" t="str">
        <f t="shared" si="210"/>
        <v/>
      </c>
      <c r="AU251" s="269"/>
      <c r="AV251" s="269"/>
      <c r="AW251" s="206" t="str">
        <f t="shared" ref="AW251:BC251" si="221">AW80</f>
        <v>#REF!</v>
      </c>
      <c r="AX251" s="206">
        <f t="shared" si="221"/>
        <v>49</v>
      </c>
      <c r="AY251" s="206">
        <f t="shared" si="221"/>
        <v>52</v>
      </c>
      <c r="AZ251" s="464">
        <f t="shared" si="221"/>
        <v>45</v>
      </c>
      <c r="BA251" s="206">
        <f t="shared" si="221"/>
        <v>43</v>
      </c>
      <c r="BB251" s="206">
        <f t="shared" si="221"/>
        <v>0</v>
      </c>
      <c r="BC251" s="465">
        <f t="shared" si="221"/>
        <v>1512</v>
      </c>
      <c r="BD251" s="206"/>
      <c r="BE251" s="466"/>
    </row>
    <row r="252">
      <c r="A252" s="94"/>
      <c r="B252" s="450" t="s">
        <v>731</v>
      </c>
      <c r="C252" s="451" t="s">
        <v>732</v>
      </c>
      <c r="D252" s="363"/>
      <c r="E252" s="259"/>
      <c r="F252" s="206"/>
      <c r="G252" s="246"/>
      <c r="H252" s="206" t="str">
        <f>TEAM!B74</f>
        <v>#REF!</v>
      </c>
      <c r="I252" s="246"/>
      <c r="J252" s="206"/>
      <c r="K252" s="246"/>
      <c r="L252" s="261"/>
      <c r="M252" s="206"/>
      <c r="N252" s="246"/>
      <c r="O252" s="206" t="str">
        <f>TEAM!B74</f>
        <v>#REF!</v>
      </c>
      <c r="P252" s="246"/>
      <c r="Q252" s="206"/>
      <c r="R252" s="246"/>
      <c r="S252" s="261"/>
      <c r="T252" s="206"/>
      <c r="U252" s="246"/>
      <c r="V252" s="206" t="str">
        <f>TEAM!B73</f>
        <v>#REF!</v>
      </c>
      <c r="W252" s="246"/>
      <c r="X252" s="206"/>
      <c r="Y252" s="246"/>
      <c r="Z252" s="261"/>
      <c r="AA252" s="206"/>
      <c r="AB252" s="246"/>
      <c r="AC252" s="206" t="str">
        <f>TEAM!B73</f>
        <v>#REF!</v>
      </c>
      <c r="AD252" s="246"/>
      <c r="AE252" s="206"/>
      <c r="AF252" s="246"/>
      <c r="AG252" s="261"/>
      <c r="AH252" s="206"/>
      <c r="AI252" s="246"/>
      <c r="AJ252" s="206" t="str">
        <f>TEAM!B73</f>
        <v>#REF!</v>
      </c>
      <c r="AK252" s="246"/>
      <c r="AL252" s="206"/>
      <c r="AM252" s="246"/>
      <c r="AN252" s="261"/>
      <c r="AO252" s="206"/>
      <c r="AP252" s="246"/>
      <c r="AQ252" s="206"/>
      <c r="AR252" s="246"/>
      <c r="AS252" s="206"/>
      <c r="AT252" s="254" t="str">
        <f t="shared" si="210"/>
        <v/>
      </c>
      <c r="AU252" s="269"/>
      <c r="AV252" s="269"/>
      <c r="AW252" s="206" t="str">
        <f t="shared" ref="AW252:BC252" si="222">AW81</f>
        <v>#REF!</v>
      </c>
      <c r="AX252" s="206">
        <f t="shared" si="222"/>
        <v>49</v>
      </c>
      <c r="AY252" s="206">
        <f t="shared" si="222"/>
        <v>52</v>
      </c>
      <c r="AZ252" s="464">
        <f t="shared" si="222"/>
        <v>45</v>
      </c>
      <c r="BA252" s="206">
        <f t="shared" si="222"/>
        <v>43</v>
      </c>
      <c r="BB252" s="206">
        <f t="shared" si="222"/>
        <v>0</v>
      </c>
      <c r="BC252" s="465">
        <f t="shared" si="222"/>
        <v>1512</v>
      </c>
      <c r="BD252" s="206"/>
      <c r="BE252" s="466"/>
    </row>
    <row r="253">
      <c r="A253" s="94"/>
      <c r="B253" s="452" t="s">
        <v>733</v>
      </c>
      <c r="C253" s="453" t="s">
        <v>734</v>
      </c>
      <c r="D253" s="363"/>
      <c r="E253" s="259"/>
      <c r="F253" s="74"/>
      <c r="G253" s="246"/>
      <c r="H253" s="74" t="str">
        <f>TEAM!B72</f>
        <v>#REF!</v>
      </c>
      <c r="I253" s="246"/>
      <c r="J253" s="74"/>
      <c r="K253" s="246"/>
      <c r="L253" s="261"/>
      <c r="M253" s="74"/>
      <c r="N253" s="246"/>
      <c r="O253" s="74" t="str">
        <f>TEAM!B72</f>
        <v>#REF!</v>
      </c>
      <c r="P253" s="246"/>
      <c r="Q253" s="74"/>
      <c r="R253" s="246"/>
      <c r="S253" s="261"/>
      <c r="T253" s="74"/>
      <c r="U253" s="246"/>
      <c r="V253" s="74" t="str">
        <f>TEAM!B72</f>
        <v>#REF!</v>
      </c>
      <c r="W253" s="246"/>
      <c r="X253" s="74"/>
      <c r="Y253" s="246"/>
      <c r="Z253" s="261"/>
      <c r="AA253" s="74"/>
      <c r="AB253" s="246"/>
      <c r="AC253" s="74" t="str">
        <f>TEAM!B72</f>
        <v>#REF!</v>
      </c>
      <c r="AD253" s="246"/>
      <c r="AE253" s="74"/>
      <c r="AF253" s="246"/>
      <c r="AG253" s="261"/>
      <c r="AH253" s="74"/>
      <c r="AI253" s="246"/>
      <c r="AJ253" s="74" t="str">
        <f>TEAM!B72</f>
        <v>#REF!</v>
      </c>
      <c r="AK253" s="246"/>
      <c r="AL253" s="74"/>
      <c r="AM253" s="246"/>
      <c r="AN253" s="261"/>
      <c r="AO253" s="74"/>
      <c r="AP253" s="246"/>
      <c r="AQ253" s="74" t="str">
        <f>TEAM!B78</f>
        <v>#REF!</v>
      </c>
      <c r="AR253" s="246"/>
      <c r="AS253" s="74"/>
      <c r="AT253" s="254" t="str">
        <f t="shared" si="210"/>
        <v/>
      </c>
      <c r="AU253" s="269"/>
      <c r="AV253" s="269"/>
      <c r="AW253" s="206" t="str">
        <f t="shared" ref="AW253:BC253" si="223">AW82</f>
        <v>#REF!</v>
      </c>
      <c r="AX253" s="206">
        <f t="shared" si="223"/>
        <v>49</v>
      </c>
      <c r="AY253" s="206">
        <f t="shared" si="223"/>
        <v>52</v>
      </c>
      <c r="AZ253" s="464">
        <f t="shared" si="223"/>
        <v>45</v>
      </c>
      <c r="BA253" s="206">
        <f t="shared" si="223"/>
        <v>43</v>
      </c>
      <c r="BB253" s="206">
        <f t="shared" si="223"/>
        <v>0</v>
      </c>
      <c r="BC253" s="465">
        <f t="shared" si="223"/>
        <v>1512</v>
      </c>
      <c r="BD253" s="206"/>
      <c r="BE253" s="466"/>
    </row>
    <row r="254">
      <c r="A254" s="94"/>
      <c r="B254" s="454" t="s">
        <v>735</v>
      </c>
      <c r="C254" s="455" t="s">
        <v>736</v>
      </c>
      <c r="D254" s="363"/>
      <c r="E254" s="259"/>
      <c r="F254" s="441"/>
      <c r="G254" s="246"/>
      <c r="H254" s="441"/>
      <c r="I254" s="246"/>
      <c r="J254" s="529" t="s">
        <v>529</v>
      </c>
      <c r="K254" s="246"/>
      <c r="L254" s="261"/>
      <c r="M254" s="441"/>
      <c r="N254" s="246"/>
      <c r="O254" s="441"/>
      <c r="P254" s="246"/>
      <c r="Q254" s="441"/>
      <c r="R254" s="246"/>
      <c r="S254" s="261"/>
      <c r="T254" s="441"/>
      <c r="U254" s="246"/>
      <c r="V254" s="441"/>
      <c r="W254" s="246"/>
      <c r="X254" s="441"/>
      <c r="Y254" s="246"/>
      <c r="Z254" s="261"/>
      <c r="AA254" s="441"/>
      <c r="AB254" s="246"/>
      <c r="AC254" s="441"/>
      <c r="AD254" s="246"/>
      <c r="AE254" s="530" t="s">
        <v>529</v>
      </c>
      <c r="AF254" s="246"/>
      <c r="AG254" s="261"/>
      <c r="AH254" s="441"/>
      <c r="AI254" s="246"/>
      <c r="AJ254" s="441"/>
      <c r="AK254" s="246"/>
      <c r="AL254" s="405" t="s">
        <v>462</v>
      </c>
      <c r="AM254" s="246"/>
      <c r="AN254" s="261"/>
      <c r="AO254" s="441"/>
      <c r="AP254" s="246"/>
      <c r="AQ254" s="441"/>
      <c r="AR254" s="246"/>
      <c r="AS254" s="441"/>
      <c r="AT254" s="254" t="str">
        <f t="shared" si="210"/>
        <v/>
      </c>
      <c r="AU254" s="269"/>
      <c r="AV254" s="269"/>
      <c r="AW254" s="206" t="str">
        <f t="shared" ref="AW254:BC254" si="224">AW83</f>
        <v>#REF!</v>
      </c>
      <c r="AX254" s="206">
        <f t="shared" si="224"/>
        <v>49</v>
      </c>
      <c r="AY254" s="206">
        <f t="shared" si="224"/>
        <v>52</v>
      </c>
      <c r="AZ254" s="464">
        <f t="shared" si="224"/>
        <v>45</v>
      </c>
      <c r="BA254" s="206">
        <f t="shared" si="224"/>
        <v>43</v>
      </c>
      <c r="BB254" s="206">
        <f t="shared" si="224"/>
        <v>0</v>
      </c>
      <c r="BC254" s="465">
        <f t="shared" si="224"/>
        <v>1512</v>
      </c>
      <c r="BD254" s="206"/>
      <c r="BE254" s="466"/>
    </row>
    <row r="255">
      <c r="A255" s="94"/>
      <c r="B255" s="454" t="s">
        <v>735</v>
      </c>
      <c r="C255" s="442" t="s">
        <v>736</v>
      </c>
      <c r="D255" s="363"/>
      <c r="E255" s="259"/>
      <c r="F255" s="456"/>
      <c r="G255" s="246"/>
      <c r="H255" s="456"/>
      <c r="I255" s="246"/>
      <c r="J255" s="522" t="s">
        <v>462</v>
      </c>
      <c r="K255" s="246"/>
      <c r="L255" s="261"/>
      <c r="M255" s="456"/>
      <c r="N255" s="246"/>
      <c r="O255" s="456"/>
      <c r="P255" s="246"/>
      <c r="Q255" s="456"/>
      <c r="R255" s="246"/>
      <c r="S255" s="261"/>
      <c r="T255" s="456"/>
      <c r="U255" s="246"/>
      <c r="V255" s="456"/>
      <c r="W255" s="246"/>
      <c r="X255" s="405" t="s">
        <v>462</v>
      </c>
      <c r="Y255" s="246"/>
      <c r="Z255" s="261"/>
      <c r="AA255" s="456"/>
      <c r="AB255" s="246"/>
      <c r="AC255" s="456"/>
      <c r="AD255" s="246"/>
      <c r="AE255" s="456"/>
      <c r="AF255" s="246"/>
      <c r="AG255" s="261"/>
      <c r="AH255" s="456"/>
      <c r="AI255" s="246"/>
      <c r="AJ255" s="456"/>
      <c r="AK255" s="246"/>
      <c r="AL255" s="456"/>
      <c r="AM255" s="246"/>
      <c r="AN255" s="261"/>
      <c r="AO255" s="456"/>
      <c r="AP255" s="246"/>
      <c r="AQ255" s="456"/>
      <c r="AR255" s="246"/>
      <c r="AS255" s="456"/>
      <c r="AT255" s="254" t="str">
        <f t="shared" si="210"/>
        <v/>
      </c>
      <c r="AU255" s="269"/>
      <c r="AV255" s="269"/>
      <c r="AW255" s="206" t="str">
        <f t="shared" ref="AW255:BC255" si="225">AW84</f>
        <v>#REF!</v>
      </c>
      <c r="AX255" s="206">
        <f t="shared" si="225"/>
        <v>49</v>
      </c>
      <c r="AY255" s="206">
        <f t="shared" si="225"/>
        <v>52</v>
      </c>
      <c r="AZ255" s="464">
        <f t="shared" si="225"/>
        <v>45</v>
      </c>
      <c r="BA255" s="206">
        <f t="shared" si="225"/>
        <v>43</v>
      </c>
      <c r="BB255" s="206">
        <f t="shared" si="225"/>
        <v>0</v>
      </c>
      <c r="BC255" s="465">
        <f t="shared" si="225"/>
        <v>1512</v>
      </c>
      <c r="BD255" s="206"/>
      <c r="BE255" s="466"/>
    </row>
    <row r="256">
      <c r="A256" s="94"/>
      <c r="B256" s="457" t="s">
        <v>735</v>
      </c>
      <c r="C256" s="458" t="s">
        <v>737</v>
      </c>
      <c r="D256" s="363"/>
      <c r="E256" s="259"/>
      <c r="F256" s="406"/>
      <c r="G256" s="246"/>
      <c r="H256" s="406"/>
      <c r="I256" s="246"/>
      <c r="J256" s="406"/>
      <c r="K256" s="246"/>
      <c r="L256" s="261"/>
      <c r="M256" s="406"/>
      <c r="N256" s="246"/>
      <c r="O256" s="406"/>
      <c r="P256" s="246"/>
      <c r="Q256" s="406"/>
      <c r="R256" s="246"/>
      <c r="S256" s="261"/>
      <c r="T256" s="406"/>
      <c r="U256" s="246"/>
      <c r="V256" s="406"/>
      <c r="W256" s="246"/>
      <c r="X256" s="406"/>
      <c r="Y256" s="246"/>
      <c r="Z256" s="261"/>
      <c r="AA256" s="406"/>
      <c r="AB256" s="246"/>
      <c r="AC256" s="406"/>
      <c r="AD256" s="246"/>
      <c r="AE256" s="406"/>
      <c r="AF256" s="246"/>
      <c r="AG256" s="261"/>
      <c r="AH256" s="406"/>
      <c r="AI256" s="246"/>
      <c r="AJ256" s="406"/>
      <c r="AK256" s="246"/>
      <c r="AL256" s="406"/>
      <c r="AM256" s="246"/>
      <c r="AN256" s="261"/>
      <c r="AO256" s="406"/>
      <c r="AP256" s="246"/>
      <c r="AQ256" s="406"/>
      <c r="AR256" s="246"/>
      <c r="AS256" s="406"/>
      <c r="AT256" s="254" t="str">
        <f t="shared" si="210"/>
        <v/>
      </c>
      <c r="AU256" s="269"/>
      <c r="AV256" s="269"/>
      <c r="AW256" s="206" t="str">
        <f t="shared" ref="AW256:BC256" si="226">AW85</f>
        <v>#REF!</v>
      </c>
      <c r="AX256" s="206">
        <f t="shared" si="226"/>
        <v>49</v>
      </c>
      <c r="AY256" s="206">
        <f t="shared" si="226"/>
        <v>52</v>
      </c>
      <c r="AZ256" s="464">
        <f t="shared" si="226"/>
        <v>45</v>
      </c>
      <c r="BA256" s="206">
        <f t="shared" si="226"/>
        <v>43</v>
      </c>
      <c r="BB256" s="206">
        <f t="shared" si="226"/>
        <v>0</v>
      </c>
      <c r="BC256" s="465">
        <f t="shared" si="226"/>
        <v>1512</v>
      </c>
      <c r="BD256" s="206"/>
      <c r="BE256" s="466"/>
    </row>
    <row r="257">
      <c r="A257" s="94"/>
      <c r="B257" s="459"/>
      <c r="C257" s="460" t="s">
        <v>738</v>
      </c>
      <c r="D257" s="363"/>
      <c r="E257" s="259"/>
      <c r="F257" s="461" t="s">
        <v>786</v>
      </c>
      <c r="G257" s="246"/>
      <c r="H257" s="132"/>
      <c r="I257" s="246"/>
      <c r="J257" s="132"/>
      <c r="K257" s="246"/>
      <c r="L257" s="462"/>
      <c r="M257" s="461" t="s">
        <v>787</v>
      </c>
      <c r="N257" s="246"/>
      <c r="O257" s="132"/>
      <c r="P257" s="246"/>
      <c r="Q257" s="132"/>
      <c r="R257" s="246"/>
      <c r="S257" s="462"/>
      <c r="T257" s="461" t="s">
        <v>788</v>
      </c>
      <c r="U257" s="246"/>
      <c r="V257" s="132"/>
      <c r="W257" s="246"/>
      <c r="X257" s="132"/>
      <c r="Y257" s="246"/>
      <c r="Z257" s="462"/>
      <c r="AA257" s="461" t="s">
        <v>789</v>
      </c>
      <c r="AB257" s="246"/>
      <c r="AC257" s="132"/>
      <c r="AD257" s="246"/>
      <c r="AE257" s="132"/>
      <c r="AF257" s="246"/>
      <c r="AG257" s="462"/>
      <c r="AH257" s="461" t="s">
        <v>789</v>
      </c>
      <c r="AI257" s="246"/>
      <c r="AJ257" s="132"/>
      <c r="AK257" s="246"/>
      <c r="AL257" s="132"/>
      <c r="AM257" s="246"/>
      <c r="AN257" s="462"/>
      <c r="AO257" s="461" t="s">
        <v>790</v>
      </c>
      <c r="AP257" s="246"/>
      <c r="AQ257" s="132"/>
      <c r="AR257" s="246"/>
      <c r="AS257" s="132"/>
      <c r="AT257" s="460"/>
      <c r="AU257" s="269"/>
      <c r="AV257" s="269"/>
      <c r="AW257" s="206" t="str">
        <f t="shared" ref="AW257:BC257" si="227">AW86</f>
        <v>#REF!</v>
      </c>
      <c r="AX257" s="206">
        <f t="shared" si="227"/>
        <v>49</v>
      </c>
      <c r="AY257" s="206">
        <f t="shared" si="227"/>
        <v>52</v>
      </c>
      <c r="AZ257" s="464">
        <f t="shared" si="227"/>
        <v>45</v>
      </c>
      <c r="BA257" s="206">
        <f t="shared" si="227"/>
        <v>43</v>
      </c>
      <c r="BB257" s="206">
        <f t="shared" si="227"/>
        <v>0</v>
      </c>
      <c r="BC257" s="465">
        <f t="shared" si="227"/>
        <v>1512</v>
      </c>
      <c r="BD257" s="206"/>
      <c r="BE257" s="466"/>
    </row>
    <row r="258">
      <c r="A258" s="270"/>
      <c r="B258" s="459"/>
      <c r="C258" s="460" t="s">
        <v>738</v>
      </c>
      <c r="D258" s="363"/>
      <c r="E258" s="259"/>
      <c r="F258" s="132"/>
      <c r="G258" s="246"/>
      <c r="H258" s="132"/>
      <c r="I258" s="246"/>
      <c r="J258" s="132"/>
      <c r="K258" s="246"/>
      <c r="L258" s="462"/>
      <c r="M258" s="132"/>
      <c r="N258" s="246"/>
      <c r="O258" s="132"/>
      <c r="P258" s="246"/>
      <c r="Q258" s="132"/>
      <c r="R258" s="246"/>
      <c r="S258" s="462"/>
      <c r="T258" s="132"/>
      <c r="U258" s="246"/>
      <c r="V258" s="132"/>
      <c r="W258" s="246"/>
      <c r="X258" s="132"/>
      <c r="Y258" s="246"/>
      <c r="Z258" s="462"/>
      <c r="AA258" s="132"/>
      <c r="AB258" s="246"/>
      <c r="AC258" s="132"/>
      <c r="AD258" s="246"/>
      <c r="AE258" s="132"/>
      <c r="AF258" s="246"/>
      <c r="AG258" s="462"/>
      <c r="AH258" s="132"/>
      <c r="AI258" s="246"/>
      <c r="AJ258" s="132"/>
      <c r="AK258" s="246"/>
      <c r="AL258" s="132"/>
      <c r="AM258" s="246"/>
      <c r="AN258" s="462"/>
      <c r="AO258" s="132"/>
      <c r="AP258" s="246"/>
      <c r="AQ258" s="132"/>
      <c r="AR258" s="246"/>
      <c r="AS258" s="132"/>
      <c r="AT258" s="460"/>
      <c r="AU258" s="236"/>
      <c r="AV258" s="236"/>
      <c r="AW258" s="206" t="str">
        <f t="shared" ref="AW258:BC258" si="228">AW87</f>
        <v>#REF!</v>
      </c>
      <c r="AX258" s="206">
        <f t="shared" si="228"/>
        <v>49</v>
      </c>
      <c r="AY258" s="206">
        <f t="shared" si="228"/>
        <v>52</v>
      </c>
      <c r="AZ258" s="464">
        <f t="shared" si="228"/>
        <v>45</v>
      </c>
      <c r="BA258" s="206">
        <f t="shared" si="228"/>
        <v>43</v>
      </c>
      <c r="BB258" s="206">
        <f t="shared" si="228"/>
        <v>0</v>
      </c>
      <c r="BC258" s="465">
        <f t="shared" si="228"/>
        <v>1512</v>
      </c>
      <c r="BD258" s="206"/>
      <c r="BE258" s="466"/>
    </row>
    <row r="259">
      <c r="A259" s="236"/>
      <c r="B259" s="459"/>
      <c r="C259" s="460" t="s">
        <v>738</v>
      </c>
      <c r="D259" s="363"/>
      <c r="E259" s="259"/>
      <c r="F259" s="461" t="s">
        <v>565</v>
      </c>
      <c r="G259" s="246"/>
      <c r="H259" s="132"/>
      <c r="I259" s="246"/>
      <c r="J259" s="132"/>
      <c r="K259" s="246"/>
      <c r="L259" s="462"/>
      <c r="M259" s="132"/>
      <c r="N259" s="246"/>
      <c r="O259" s="132"/>
      <c r="P259" s="246"/>
      <c r="Q259" s="132"/>
      <c r="R259" s="246"/>
      <c r="S259" s="462"/>
      <c r="T259" s="132"/>
      <c r="U259" s="246"/>
      <c r="V259" s="132"/>
      <c r="W259" s="246"/>
      <c r="X259" s="132"/>
      <c r="Y259" s="246"/>
      <c r="Z259" s="462"/>
      <c r="AA259" s="132"/>
      <c r="AB259" s="246"/>
      <c r="AC259" s="132"/>
      <c r="AD259" s="246"/>
      <c r="AE259" s="132"/>
      <c r="AF259" s="246"/>
      <c r="AG259" s="462"/>
      <c r="AH259" s="132"/>
      <c r="AI259" s="246"/>
      <c r="AJ259" s="132"/>
      <c r="AK259" s="246"/>
      <c r="AL259" s="132"/>
      <c r="AM259" s="246"/>
      <c r="AN259" s="462"/>
      <c r="AO259" s="132"/>
      <c r="AP259" s="246"/>
      <c r="AQ259" s="132"/>
      <c r="AR259" s="246"/>
      <c r="AS259" s="132"/>
      <c r="AT259" s="460"/>
      <c r="AU259" s="236"/>
      <c r="AV259" s="236"/>
      <c r="AW259" s="206" t="str">
        <f t="shared" ref="AW259:BC259" si="229">AW88</f>
        <v/>
      </c>
      <c r="AX259" s="206" t="str">
        <f t="shared" si="229"/>
        <v/>
      </c>
      <c r="AY259" s="206" t="str">
        <f t="shared" si="229"/>
        <v/>
      </c>
      <c r="AZ259" s="464" t="str">
        <f t="shared" si="229"/>
        <v/>
      </c>
      <c r="BA259" s="206" t="str">
        <f t="shared" si="229"/>
        <v/>
      </c>
      <c r="BB259" s="206" t="str">
        <f t="shared" si="229"/>
        <v/>
      </c>
      <c r="BC259" s="465" t="str">
        <f t="shared" si="229"/>
        <v/>
      </c>
      <c r="BD259" s="206"/>
      <c r="BE259" s="466"/>
    </row>
    <row r="260">
      <c r="A260" s="182"/>
      <c r="B260" s="183" t="s">
        <v>791</v>
      </c>
      <c r="C260" s="184" t="s">
        <v>605</v>
      </c>
      <c r="D260" s="185" t="s">
        <v>486</v>
      </c>
      <c r="E260" s="186"/>
      <c r="F260" s="185" t="s">
        <v>487</v>
      </c>
      <c r="M260" s="185" t="s">
        <v>488</v>
      </c>
      <c r="T260" s="185" t="s">
        <v>489</v>
      </c>
      <c r="AA260" s="185" t="s">
        <v>490</v>
      </c>
      <c r="AH260" s="185" t="s">
        <v>491</v>
      </c>
      <c r="AO260" s="185" t="s">
        <v>492</v>
      </c>
      <c r="AU260" s="182"/>
      <c r="AV260" s="182"/>
      <c r="AW260" s="182"/>
      <c r="AX260" s="182"/>
      <c r="AY260" s="182"/>
      <c r="AZ260" s="182"/>
      <c r="BA260" s="182"/>
      <c r="BB260" s="182"/>
      <c r="BC260" s="182"/>
      <c r="BD260" s="182"/>
      <c r="BE260" s="182"/>
    </row>
    <row r="261">
      <c r="A261" s="182"/>
      <c r="B261" s="187"/>
      <c r="C261" s="187"/>
      <c r="D261" s="188">
        <f>AO175+1</f>
        <v>25</v>
      </c>
      <c r="E261" s="189"/>
      <c r="F261" s="188">
        <f>D261+1</f>
        <v>26</v>
      </c>
      <c r="M261" s="188">
        <f>F261+1</f>
        <v>27</v>
      </c>
      <c r="T261" s="188">
        <f>M261+1</f>
        <v>28</v>
      </c>
      <c r="AA261" s="188">
        <f>T261+1</f>
        <v>29</v>
      </c>
      <c r="AH261" s="188">
        <f>AA261+1</f>
        <v>30</v>
      </c>
      <c r="AO261" s="188">
        <f>AH261+1</f>
        <v>31</v>
      </c>
      <c r="AU261" s="182"/>
      <c r="AV261" s="182"/>
      <c r="AW261" s="190" t="s">
        <v>606</v>
      </c>
      <c r="BB261" s="190"/>
      <c r="BC261" s="191" t="s">
        <v>607</v>
      </c>
      <c r="BD261" s="191"/>
      <c r="BE261" s="192"/>
    </row>
    <row r="262">
      <c r="A262" s="182"/>
      <c r="B262" s="193" t="s">
        <v>608</v>
      </c>
      <c r="C262" s="193" t="s">
        <v>609</v>
      </c>
      <c r="D262" s="187"/>
      <c r="E262" s="189"/>
      <c r="F262" s="194" t="s">
        <v>610</v>
      </c>
      <c r="G262" s="195"/>
      <c r="H262" s="193" t="s">
        <v>611</v>
      </c>
      <c r="J262" s="194" t="s">
        <v>612</v>
      </c>
      <c r="M262" s="194" t="s">
        <v>610</v>
      </c>
      <c r="N262" s="195"/>
      <c r="O262" s="193" t="s">
        <v>611</v>
      </c>
      <c r="P262" s="195"/>
      <c r="Q262" s="194" t="s">
        <v>612</v>
      </c>
      <c r="S262" s="193"/>
      <c r="T262" s="194" t="s">
        <v>610</v>
      </c>
      <c r="U262" s="195"/>
      <c r="V262" s="193" t="s">
        <v>611</v>
      </c>
      <c r="W262" s="195"/>
      <c r="X262" s="194" t="s">
        <v>612</v>
      </c>
      <c r="Z262" s="193"/>
      <c r="AA262" s="194" t="s">
        <v>610</v>
      </c>
      <c r="AB262" s="195"/>
      <c r="AC262" s="193" t="s">
        <v>611</v>
      </c>
      <c r="AD262" s="195"/>
      <c r="AE262" s="194" t="s">
        <v>612</v>
      </c>
      <c r="AG262" s="193"/>
      <c r="AH262" s="194" t="s">
        <v>610</v>
      </c>
      <c r="AI262" s="195"/>
      <c r="AJ262" s="193" t="s">
        <v>611</v>
      </c>
      <c r="AK262" s="195"/>
      <c r="AL262" s="194" t="s">
        <v>612</v>
      </c>
      <c r="AN262" s="193"/>
      <c r="AO262" s="194" t="s">
        <v>610</v>
      </c>
      <c r="AP262" s="195"/>
      <c r="AQ262" s="193" t="s">
        <v>611</v>
      </c>
      <c r="AR262" s="195"/>
      <c r="AS262" s="194" t="s">
        <v>612</v>
      </c>
      <c r="AU262" s="182"/>
      <c r="AV262" s="182"/>
      <c r="AW262" s="196" t="s">
        <v>613</v>
      </c>
      <c r="AX262" s="197" t="s">
        <v>614</v>
      </c>
      <c r="AY262" s="197" t="s">
        <v>615</v>
      </c>
      <c r="AZ262" s="197" t="s">
        <v>616</v>
      </c>
      <c r="BA262" s="197" t="s">
        <v>617</v>
      </c>
      <c r="BB262" s="197" t="s">
        <v>618</v>
      </c>
      <c r="BC262" s="197" t="s">
        <v>619</v>
      </c>
      <c r="BD262" s="197"/>
      <c r="BE262" s="198"/>
    </row>
    <row r="263">
      <c r="A263" s="199"/>
      <c r="B263" s="200" t="s">
        <v>620</v>
      </c>
      <c r="C263" s="201"/>
      <c r="D263" s="201"/>
      <c r="E263" s="202"/>
      <c r="F263" s="203"/>
      <c r="G263" s="204"/>
      <c r="H263" s="203"/>
      <c r="I263" s="204"/>
      <c r="J263" s="203"/>
      <c r="K263" s="204"/>
      <c r="L263" s="205"/>
      <c r="M263" s="203" t="s">
        <v>621</v>
      </c>
      <c r="N263" s="204"/>
      <c r="O263" s="203"/>
      <c r="P263" s="204"/>
      <c r="Q263" s="203"/>
      <c r="R263" s="204"/>
      <c r="S263" s="205"/>
      <c r="T263" s="203"/>
      <c r="U263" s="204"/>
      <c r="V263" s="203"/>
      <c r="W263" s="204"/>
      <c r="X263" s="203"/>
      <c r="Y263" s="204"/>
      <c r="Z263" s="205"/>
      <c r="AA263" s="203" t="s">
        <v>792</v>
      </c>
      <c r="AB263" s="204"/>
      <c r="AC263" s="203" t="s">
        <v>793</v>
      </c>
      <c r="AD263" s="204"/>
      <c r="AE263" s="203" t="s">
        <v>620</v>
      </c>
      <c r="AF263" s="204"/>
      <c r="AG263" s="205"/>
      <c r="AH263" s="203"/>
      <c r="AI263" s="204"/>
      <c r="AJ263" s="203"/>
      <c r="AK263" s="204"/>
      <c r="AL263" s="203" t="s">
        <v>749</v>
      </c>
      <c r="AM263" s="204"/>
      <c r="AN263" s="205"/>
      <c r="AO263" s="203" t="s">
        <v>621</v>
      </c>
      <c r="AP263" s="204"/>
      <c r="AQ263" s="203"/>
      <c r="AR263" s="204"/>
      <c r="AS263" s="203"/>
      <c r="AT263" s="204"/>
      <c r="AU263" s="199"/>
      <c r="AV263" s="199"/>
      <c r="AW263" s="206" t="str">
        <f t="shared" ref="AW263:BB263" si="230">AW6</f>
        <v>#REF!</v>
      </c>
      <c r="AX263" s="206">
        <f t="shared" si="230"/>
        <v>49</v>
      </c>
      <c r="AY263" s="206">
        <f t="shared" si="230"/>
        <v>52</v>
      </c>
      <c r="AZ263" s="206">
        <f t="shared" si="230"/>
        <v>45</v>
      </c>
      <c r="BA263" s="464">
        <f t="shared" si="230"/>
        <v>43</v>
      </c>
      <c r="BB263" s="206">
        <f t="shared" si="230"/>
        <v>0</v>
      </c>
      <c r="BC263" s="465">
        <f t="shared" ref="BC263:BC345" si="232">BC178</f>
        <v>1512</v>
      </c>
      <c r="BD263" s="206"/>
      <c r="BE263" s="466"/>
    </row>
    <row r="264">
      <c r="A264" s="199"/>
      <c r="B264" s="213" t="s">
        <v>623</v>
      </c>
      <c r="C264" s="214"/>
      <c r="D264" s="215"/>
      <c r="E264" s="216"/>
      <c r="F264" s="219" t="s">
        <v>627</v>
      </c>
      <c r="G264" s="218"/>
      <c r="H264" s="223" t="s">
        <v>628</v>
      </c>
      <c r="I264" s="220"/>
      <c r="J264" s="228" t="s">
        <v>627</v>
      </c>
      <c r="K264" s="221"/>
      <c r="L264" s="216"/>
      <c r="M264" s="217"/>
      <c r="N264" s="218"/>
      <c r="O264" s="222" t="s">
        <v>625</v>
      </c>
      <c r="P264" s="220"/>
      <c r="Q264" s="219" t="s">
        <v>626</v>
      </c>
      <c r="R264" s="221"/>
      <c r="S264" s="216"/>
      <c r="T264" s="219" t="s">
        <v>627</v>
      </c>
      <c r="U264" s="218"/>
      <c r="V264" s="223" t="s">
        <v>628</v>
      </c>
      <c r="W264" s="220"/>
      <c r="X264" s="219" t="s">
        <v>626</v>
      </c>
      <c r="Y264" s="221"/>
      <c r="Z264" s="216"/>
      <c r="AA264" s="203" t="s">
        <v>621</v>
      </c>
      <c r="AB264" s="218"/>
      <c r="AC264" s="222" t="s">
        <v>625</v>
      </c>
      <c r="AD264" s="220"/>
      <c r="AE264" s="219" t="s">
        <v>626</v>
      </c>
      <c r="AF264" s="221"/>
      <c r="AG264" s="216"/>
      <c r="AH264" s="219" t="s">
        <v>627</v>
      </c>
      <c r="AI264" s="218"/>
      <c r="AJ264" s="223" t="s">
        <v>628</v>
      </c>
      <c r="AK264" s="220"/>
      <c r="AL264" s="219" t="s">
        <v>750</v>
      </c>
      <c r="AM264" s="221"/>
      <c r="AN264" s="216"/>
      <c r="AO264" s="217"/>
      <c r="AP264" s="218"/>
      <c r="AQ264" s="222" t="s">
        <v>625</v>
      </c>
      <c r="AR264" s="220"/>
      <c r="AS264" s="219" t="s">
        <v>626</v>
      </c>
      <c r="AT264" s="221"/>
      <c r="AU264" s="225">
        <f>counta(F264:AT264)*20</f>
        <v>320</v>
      </c>
      <c r="AW264" s="206" t="str">
        <f t="shared" ref="AW264:BB264" si="231">AW7</f>
        <v>#REF!</v>
      </c>
      <c r="AX264" s="206">
        <f t="shared" si="231"/>
        <v>49</v>
      </c>
      <c r="AY264" s="206">
        <f t="shared" si="231"/>
        <v>52</v>
      </c>
      <c r="AZ264" s="206">
        <f t="shared" si="231"/>
        <v>45</v>
      </c>
      <c r="BA264" s="464">
        <f t="shared" si="231"/>
        <v>43</v>
      </c>
      <c r="BB264" s="206">
        <f t="shared" si="231"/>
        <v>0</v>
      </c>
      <c r="BC264" s="465">
        <f t="shared" si="232"/>
        <v>1512</v>
      </c>
      <c r="BD264" s="206"/>
      <c r="BE264" s="466"/>
    </row>
    <row r="265">
      <c r="A265" s="199"/>
      <c r="B265" s="226" t="s">
        <v>629</v>
      </c>
      <c r="C265" s="214"/>
      <c r="D265" s="215"/>
      <c r="E265" s="216"/>
      <c r="F265" s="227">
        <v>4.0</v>
      </c>
      <c r="G265" s="218"/>
      <c r="H265" s="227">
        <v>4.0</v>
      </c>
      <c r="I265" s="220"/>
      <c r="J265" s="227">
        <v>4.0</v>
      </c>
      <c r="K265" s="221"/>
      <c r="L265" s="216"/>
      <c r="M265" s="227"/>
      <c r="N265" s="218"/>
      <c r="O265" s="227">
        <v>4.0</v>
      </c>
      <c r="P265" s="220"/>
      <c r="Q265" s="227">
        <v>7.0</v>
      </c>
      <c r="R265" s="221"/>
      <c r="S265" s="216"/>
      <c r="T265" s="227"/>
      <c r="U265" s="218"/>
      <c r="V265" s="227">
        <v>4.0</v>
      </c>
      <c r="W265" s="220"/>
      <c r="X265" s="227">
        <v>5.0</v>
      </c>
      <c r="Y265" s="221"/>
      <c r="Z265" s="216"/>
      <c r="AA265" s="227"/>
      <c r="AB265" s="218"/>
      <c r="AC265" s="227">
        <v>4.0</v>
      </c>
      <c r="AD265" s="220"/>
      <c r="AE265" s="227">
        <v>4.0</v>
      </c>
      <c r="AF265" s="221"/>
      <c r="AG265" s="216"/>
      <c r="AH265" s="227"/>
      <c r="AI265" s="218"/>
      <c r="AJ265" s="227">
        <v>3.0</v>
      </c>
      <c r="AK265" s="220"/>
      <c r="AL265" s="227">
        <v>5.0</v>
      </c>
      <c r="AM265" s="221"/>
      <c r="AN265" s="216"/>
      <c r="AO265" s="227"/>
      <c r="AP265" s="218"/>
      <c r="AQ265" s="227">
        <v>4.0</v>
      </c>
      <c r="AR265" s="220"/>
      <c r="AS265" s="227">
        <v>4.0</v>
      </c>
      <c r="AT265" s="221"/>
      <c r="AU265" s="225">
        <f>sum(F265:AK265)</f>
        <v>43</v>
      </c>
      <c r="AW265" s="206" t="str">
        <f t="shared" ref="AW265:BB265" si="233">AW8</f>
        <v>#REF!</v>
      </c>
      <c r="AX265" s="206">
        <f t="shared" si="233"/>
        <v>49</v>
      </c>
      <c r="AY265" s="206">
        <f t="shared" si="233"/>
        <v>52</v>
      </c>
      <c r="AZ265" s="206">
        <f t="shared" si="233"/>
        <v>45</v>
      </c>
      <c r="BA265" s="464">
        <f t="shared" si="233"/>
        <v>43</v>
      </c>
      <c r="BB265" s="206">
        <f t="shared" si="233"/>
        <v>0</v>
      </c>
      <c r="BC265" s="465">
        <f t="shared" si="232"/>
        <v>1512</v>
      </c>
      <c r="BD265" s="206"/>
      <c r="BE265" s="466"/>
    </row>
    <row r="266">
      <c r="A266" s="199"/>
      <c r="B266" s="213" t="s">
        <v>630</v>
      </c>
      <c r="C266" s="214"/>
      <c r="D266" s="215"/>
      <c r="E266" s="216"/>
      <c r="F266" s="215"/>
      <c r="G266" s="218"/>
      <c r="H266" s="215"/>
      <c r="I266" s="220"/>
      <c r="J266" s="215"/>
      <c r="K266" s="221"/>
      <c r="L266" s="216"/>
      <c r="M266" s="215"/>
      <c r="N266" s="218"/>
      <c r="O266" s="215"/>
      <c r="P266" s="220"/>
      <c r="Q266" s="215"/>
      <c r="R266" s="221"/>
      <c r="S266" s="216"/>
      <c r="T266" s="215"/>
      <c r="U266" s="218"/>
      <c r="V266" s="228" t="s">
        <v>631</v>
      </c>
      <c r="W266" s="220"/>
      <c r="X266" s="227"/>
      <c r="Y266" s="221"/>
      <c r="Z266" s="216"/>
      <c r="AA266" s="215"/>
      <c r="AB266" s="218"/>
      <c r="AC266" s="228" t="s">
        <v>631</v>
      </c>
      <c r="AD266" s="220"/>
      <c r="AE266" s="215"/>
      <c r="AF266" s="221"/>
      <c r="AG266" s="216"/>
      <c r="AH266" s="215"/>
      <c r="AI266" s="218"/>
      <c r="AJ266" s="215"/>
      <c r="AK266" s="220"/>
      <c r="AL266" s="215"/>
      <c r="AM266" s="221"/>
      <c r="AN266" s="216"/>
      <c r="AO266" s="215"/>
      <c r="AP266" s="218"/>
      <c r="AQ266" s="215"/>
      <c r="AR266" s="220"/>
      <c r="AS266" s="215"/>
      <c r="AT266" s="221"/>
      <c r="AU266" s="225">
        <f>countA(F266:AJ266)*5</f>
        <v>10</v>
      </c>
      <c r="AW266" s="206" t="str">
        <f t="shared" ref="AW266:BB266" si="234">AW9</f>
        <v>#REF!</v>
      </c>
      <c r="AX266" s="206">
        <f t="shared" si="234"/>
        <v>49</v>
      </c>
      <c r="AY266" s="206">
        <f t="shared" si="234"/>
        <v>52</v>
      </c>
      <c r="AZ266" s="206">
        <f t="shared" si="234"/>
        <v>45</v>
      </c>
      <c r="BA266" s="464">
        <f t="shared" si="234"/>
        <v>43</v>
      </c>
      <c r="BB266" s="206">
        <f t="shared" si="234"/>
        <v>0</v>
      </c>
      <c r="BC266" s="465">
        <f t="shared" si="232"/>
        <v>1512</v>
      </c>
      <c r="BD266" s="206"/>
      <c r="BE266" s="466"/>
    </row>
    <row r="267">
      <c r="A267" s="199"/>
      <c r="B267" s="229" t="s">
        <v>632</v>
      </c>
      <c r="C267" s="214"/>
      <c r="D267" s="215"/>
      <c r="E267" s="216"/>
      <c r="F267" s="215"/>
      <c r="G267" s="221"/>
      <c r="H267" s="215"/>
      <c r="I267" s="220"/>
      <c r="J267" s="215"/>
      <c r="K267" s="221"/>
      <c r="L267" s="216"/>
      <c r="M267" s="215"/>
      <c r="N267" s="221"/>
      <c r="O267" s="215"/>
      <c r="P267" s="220"/>
      <c r="Q267" s="215"/>
      <c r="R267" s="221"/>
      <c r="S267" s="216"/>
      <c r="T267" s="215"/>
      <c r="U267" s="221"/>
      <c r="V267" s="215"/>
      <c r="W267" s="220"/>
      <c r="X267" s="215"/>
      <c r="Y267" s="221"/>
      <c r="Z267" s="216"/>
      <c r="AA267" s="215"/>
      <c r="AB267" s="221"/>
      <c r="AC267" s="215"/>
      <c r="AD267" s="220"/>
      <c r="AE267" s="215"/>
      <c r="AF267" s="221"/>
      <c r="AG267" s="216"/>
      <c r="AH267" s="215"/>
      <c r="AI267" s="221"/>
      <c r="AJ267" s="215"/>
      <c r="AK267" s="220"/>
      <c r="AL267" s="215"/>
      <c r="AM267" s="221"/>
      <c r="AN267" s="216"/>
      <c r="AO267" s="215"/>
      <c r="AP267" s="221"/>
      <c r="AQ267" s="215"/>
      <c r="AR267" s="220"/>
      <c r="AS267" s="215"/>
      <c r="AT267" s="221"/>
      <c r="AU267" s="225">
        <f>countA(F267:AK267)*12</f>
        <v>0</v>
      </c>
      <c r="AW267" s="206" t="str">
        <f t="shared" ref="AW267:BB267" si="235">AW10</f>
        <v>#REF!</v>
      </c>
      <c r="AX267" s="206">
        <f t="shared" si="235"/>
        <v>49</v>
      </c>
      <c r="AY267" s="206">
        <f t="shared" si="235"/>
        <v>52</v>
      </c>
      <c r="AZ267" s="206">
        <f t="shared" si="235"/>
        <v>45</v>
      </c>
      <c r="BA267" s="464">
        <f t="shared" si="235"/>
        <v>43</v>
      </c>
      <c r="BB267" s="206">
        <f t="shared" si="235"/>
        <v>0</v>
      </c>
      <c r="BC267" s="465">
        <f t="shared" si="232"/>
        <v>1512</v>
      </c>
      <c r="BD267" s="206"/>
      <c r="BE267" s="466"/>
    </row>
    <row r="268">
      <c r="A268" s="199"/>
      <c r="B268" s="213" t="s">
        <v>633</v>
      </c>
      <c r="C268" s="214"/>
      <c r="D268" s="215"/>
      <c r="E268" s="216"/>
      <c r="F268" s="215"/>
      <c r="G268" s="230"/>
      <c r="H268" s="215"/>
      <c r="I268" s="231"/>
      <c r="J268" s="215"/>
      <c r="K268" s="216"/>
      <c r="L268" s="216"/>
      <c r="M268" s="215"/>
      <c r="N268" s="230"/>
      <c r="O268" s="232" t="s">
        <v>794</v>
      </c>
      <c r="P268" s="231"/>
      <c r="Q268" s="232" t="s">
        <v>753</v>
      </c>
      <c r="R268" s="216"/>
      <c r="S268" s="216"/>
      <c r="T268" s="215"/>
      <c r="U268" s="230"/>
      <c r="V268" s="215"/>
      <c r="W268" s="231"/>
      <c r="X268" s="232" t="s">
        <v>753</v>
      </c>
      <c r="Y268" s="216"/>
      <c r="Z268" s="216"/>
      <c r="AA268" s="215"/>
      <c r="AB268" s="230"/>
      <c r="AC268" s="215"/>
      <c r="AD268" s="231"/>
      <c r="AE268" s="232" t="s">
        <v>795</v>
      </c>
      <c r="AF268" s="216"/>
      <c r="AG268" s="216"/>
      <c r="AH268" s="215"/>
      <c r="AI268" s="230"/>
      <c r="AJ268" s="215"/>
      <c r="AK268" s="231"/>
      <c r="AL268" s="232" t="s">
        <v>753</v>
      </c>
      <c r="AM268" s="216"/>
      <c r="AN268" s="216"/>
      <c r="AO268" s="215"/>
      <c r="AP268" s="230"/>
      <c r="AQ268" s="215"/>
      <c r="AR268" s="231"/>
      <c r="AS268" s="232" t="s">
        <v>753</v>
      </c>
      <c r="AT268" s="216"/>
      <c r="AU268" s="225">
        <f>counta(F268:AT268)*4</f>
        <v>24</v>
      </c>
      <c r="AW268" s="206" t="str">
        <f t="shared" ref="AW268:BB268" si="236">AW11</f>
        <v>#REF!</v>
      </c>
      <c r="AX268" s="206">
        <f t="shared" si="236"/>
        <v>49</v>
      </c>
      <c r="AY268" s="206">
        <f t="shared" si="236"/>
        <v>52</v>
      </c>
      <c r="AZ268" s="206">
        <f t="shared" si="236"/>
        <v>45</v>
      </c>
      <c r="BA268" s="464">
        <f t="shared" si="236"/>
        <v>43</v>
      </c>
      <c r="BB268" s="206">
        <f t="shared" si="236"/>
        <v>0</v>
      </c>
      <c r="BC268" s="465">
        <f t="shared" si="232"/>
        <v>1512</v>
      </c>
      <c r="BD268" s="206"/>
      <c r="BE268" s="466"/>
    </row>
    <row r="269">
      <c r="A269" s="199"/>
      <c r="B269" s="213" t="s">
        <v>637</v>
      </c>
      <c r="C269" s="214"/>
      <c r="D269" s="215"/>
      <c r="E269" s="216"/>
      <c r="F269" s="215"/>
      <c r="G269" s="230"/>
      <c r="H269" s="215"/>
      <c r="I269" s="231"/>
      <c r="J269" s="215"/>
      <c r="K269" s="216"/>
      <c r="L269" s="216"/>
      <c r="M269" s="215"/>
      <c r="N269" s="230"/>
      <c r="O269" s="215"/>
      <c r="P269" s="231"/>
      <c r="Q269" s="232" t="s">
        <v>756</v>
      </c>
      <c r="R269" s="216"/>
      <c r="S269" s="216"/>
      <c r="T269" s="215"/>
      <c r="U269" s="230"/>
      <c r="V269" s="215"/>
      <c r="W269" s="231"/>
      <c r="X269" s="215"/>
      <c r="Y269" s="216"/>
      <c r="Z269" s="216"/>
      <c r="AA269" s="215"/>
      <c r="AB269" s="230"/>
      <c r="AC269" s="215"/>
      <c r="AD269" s="231"/>
      <c r="AE269" s="232" t="s">
        <v>756</v>
      </c>
      <c r="AF269" s="216"/>
      <c r="AG269" s="216"/>
      <c r="AH269" s="215"/>
      <c r="AI269" s="230"/>
      <c r="AJ269" s="215"/>
      <c r="AK269" s="231"/>
      <c r="AL269" s="215"/>
      <c r="AM269" s="216"/>
      <c r="AN269" s="216"/>
      <c r="AO269" s="215"/>
      <c r="AP269" s="230"/>
      <c r="AQ269" s="215"/>
      <c r="AR269" s="231"/>
      <c r="AS269" s="215"/>
      <c r="AT269" s="216"/>
      <c r="AU269" s="225">
        <f>sum(F269:AT269)</f>
        <v>0</v>
      </c>
      <c r="AW269" s="206" t="str">
        <f t="shared" ref="AW269:BB269" si="237">AW12</f>
        <v>#REF!</v>
      </c>
      <c r="AX269" s="206">
        <f t="shared" si="237"/>
        <v>49</v>
      </c>
      <c r="AY269" s="206">
        <f t="shared" si="237"/>
        <v>52</v>
      </c>
      <c r="AZ269" s="206">
        <f t="shared" si="237"/>
        <v>45</v>
      </c>
      <c r="BA269" s="464">
        <f t="shared" si="237"/>
        <v>43</v>
      </c>
      <c r="BB269" s="206">
        <f t="shared" si="237"/>
        <v>0</v>
      </c>
      <c r="BC269" s="465">
        <f t="shared" si="232"/>
        <v>1512</v>
      </c>
      <c r="BD269" s="206"/>
      <c r="BE269" s="466"/>
    </row>
    <row r="270">
      <c r="A270" s="234"/>
      <c r="B270" s="235" t="s">
        <v>608</v>
      </c>
      <c r="C270" s="195" t="s">
        <v>609</v>
      </c>
      <c r="D270" s="236"/>
      <c r="E270" s="237"/>
      <c r="F270" s="238"/>
      <c r="G270" s="182"/>
      <c r="H270" s="238"/>
      <c r="I270" s="239"/>
      <c r="J270" s="238"/>
      <c r="K270" s="239"/>
      <c r="L270" s="237"/>
      <c r="M270" s="238"/>
      <c r="N270" s="182"/>
      <c r="O270" s="238"/>
      <c r="P270" s="239"/>
      <c r="Q270" s="238"/>
      <c r="R270" s="239"/>
      <c r="S270" s="237"/>
      <c r="T270" s="238"/>
      <c r="U270" s="182"/>
      <c r="V270" s="238"/>
      <c r="W270" s="239"/>
      <c r="X270" s="238"/>
      <c r="Y270" s="239"/>
      <c r="Z270" s="237"/>
      <c r="AA270" s="238"/>
      <c r="AB270" s="182"/>
      <c r="AC270" s="238"/>
      <c r="AD270" s="239"/>
      <c r="AE270" s="238"/>
      <c r="AF270" s="239"/>
      <c r="AG270" s="237"/>
      <c r="AH270" s="238"/>
      <c r="AI270" s="182"/>
      <c r="AJ270" s="238"/>
      <c r="AK270" s="239"/>
      <c r="AL270" s="238"/>
      <c r="AM270" s="239"/>
      <c r="AN270" s="237"/>
      <c r="AO270" s="238"/>
      <c r="AP270" s="182"/>
      <c r="AQ270" s="238"/>
      <c r="AR270" s="239"/>
      <c r="AS270" s="238"/>
      <c r="AT270" s="239"/>
      <c r="AU270" s="236"/>
      <c r="AV270" s="236"/>
      <c r="AW270" s="206" t="str">
        <f t="shared" ref="AW270:BB270" si="238">AW13</f>
        <v>#REF!</v>
      </c>
      <c r="AX270" s="206">
        <f t="shared" si="238"/>
        <v>49</v>
      </c>
      <c r="AY270" s="206">
        <f t="shared" si="238"/>
        <v>52</v>
      </c>
      <c r="AZ270" s="206">
        <f t="shared" si="238"/>
        <v>45</v>
      </c>
      <c r="BA270" s="464">
        <f t="shared" si="238"/>
        <v>43</v>
      </c>
      <c r="BB270" s="206">
        <f t="shared" si="238"/>
        <v>0</v>
      </c>
      <c r="BC270" s="465">
        <f t="shared" si="232"/>
        <v>1512</v>
      </c>
      <c r="BD270" s="206"/>
      <c r="BE270" s="466"/>
    </row>
    <row r="271">
      <c r="A271" s="240"/>
      <c r="B271" s="241" t="s">
        <v>638</v>
      </c>
      <c r="C271" s="242" t="s">
        <v>639</v>
      </c>
      <c r="D271" s="243"/>
      <c r="E271" s="244"/>
      <c r="F271" s="247"/>
      <c r="G271" s="246"/>
      <c r="H271" s="247"/>
      <c r="I271" s="246"/>
      <c r="J271" s="274" t="s">
        <v>419</v>
      </c>
      <c r="K271" s="246"/>
      <c r="L271" s="249"/>
      <c r="M271" s="250"/>
      <c r="N271" s="246"/>
      <c r="O271" s="247"/>
      <c r="P271" s="246"/>
      <c r="Q271" s="274" t="s">
        <v>419</v>
      </c>
      <c r="R271" s="246"/>
      <c r="S271" s="249"/>
      <c r="T271" s="247"/>
      <c r="U271" s="246"/>
      <c r="V271" s="265"/>
      <c r="W271" s="246"/>
      <c r="X271" s="274" t="s">
        <v>419</v>
      </c>
      <c r="Y271" s="246"/>
      <c r="Z271" s="249"/>
      <c r="AA271" s="252"/>
      <c r="AB271" s="246"/>
      <c r="AD271" s="246"/>
      <c r="AE271" s="274" t="s">
        <v>419</v>
      </c>
      <c r="AF271" s="246"/>
      <c r="AG271" s="249"/>
      <c r="AH271" s="247"/>
      <c r="AI271" s="246"/>
      <c r="AJ271" s="247"/>
      <c r="AK271" s="246"/>
      <c r="AL271" s="282"/>
      <c r="AM271" s="246"/>
      <c r="AN271" s="249"/>
      <c r="AO271" s="250"/>
      <c r="AP271" s="246"/>
      <c r="AQ271" s="252"/>
      <c r="AR271" s="246"/>
      <c r="AS271" s="472"/>
      <c r="AT271" s="254" t="str">
        <f>IF(COUNTIF($AO$85:$AT$87, AS271) &gt; 0, "X", "")</f>
        <v/>
      </c>
      <c r="AU271" s="255"/>
      <c r="AV271" s="255"/>
      <c r="AW271" s="206" t="str">
        <f t="shared" ref="AW271:BB271" si="239">AW14</f>
        <v>#REF!</v>
      </c>
      <c r="AX271" s="206">
        <f t="shared" si="239"/>
        <v>49</v>
      </c>
      <c r="AY271" s="206">
        <f t="shared" si="239"/>
        <v>52</v>
      </c>
      <c r="AZ271" s="206">
        <f t="shared" si="239"/>
        <v>45</v>
      </c>
      <c r="BA271" s="464">
        <f t="shared" si="239"/>
        <v>43</v>
      </c>
      <c r="BB271" s="206">
        <f t="shared" si="239"/>
        <v>0</v>
      </c>
      <c r="BC271" s="465">
        <f t="shared" si="232"/>
        <v>1512</v>
      </c>
      <c r="BD271" s="206"/>
      <c r="BE271" s="466"/>
    </row>
    <row r="272">
      <c r="A272" s="94"/>
      <c r="B272" s="256" t="s">
        <v>638</v>
      </c>
      <c r="C272" s="257" t="s">
        <v>639</v>
      </c>
      <c r="D272" s="243"/>
      <c r="E272" s="259"/>
      <c r="F272" s="264"/>
      <c r="G272" s="246"/>
      <c r="H272" s="422"/>
      <c r="I272" s="246"/>
      <c r="J272" s="265"/>
      <c r="K272" s="246"/>
      <c r="L272" s="261"/>
      <c r="M272" s="262"/>
      <c r="N272" s="246"/>
      <c r="P272" s="246"/>
      <c r="Q272" s="293" t="s">
        <v>421</v>
      </c>
      <c r="R272" s="246"/>
      <c r="S272" s="261"/>
      <c r="T272" s="264"/>
      <c r="U272" s="246"/>
      <c r="V272" s="265"/>
      <c r="W272" s="246"/>
      <c r="X272" s="282"/>
      <c r="Y272" s="246"/>
      <c r="Z272" s="261"/>
      <c r="AA272" s="266"/>
      <c r="AB272" s="246"/>
      <c r="AC272" s="265"/>
      <c r="AD272" s="246"/>
      <c r="AE272" s="274" t="s">
        <v>414</v>
      </c>
      <c r="AF272" s="246"/>
      <c r="AG272" s="261"/>
      <c r="AH272" s="264"/>
      <c r="AI272" s="246"/>
      <c r="AJ272" s="265"/>
      <c r="AK272" s="246"/>
      <c r="AL272" s="340" t="s">
        <v>414</v>
      </c>
      <c r="AM272" s="246"/>
      <c r="AN272" s="261"/>
      <c r="AO272" s="262"/>
      <c r="AP272" s="246"/>
      <c r="AQ272" s="267"/>
      <c r="AR272" s="246"/>
      <c r="AS272" s="268"/>
      <c r="AT272" s="254" t="str">
        <f>IF(COUNTIF($AO$85:$AT$87, AS286) &gt; 0, "X", "")</f>
        <v/>
      </c>
      <c r="AU272" s="269"/>
      <c r="AV272" s="269"/>
      <c r="AW272" s="206" t="str">
        <f t="shared" ref="AW272:BB272" si="240">AW15</f>
        <v>#REF!</v>
      </c>
      <c r="AX272" s="206">
        <f t="shared" si="240"/>
        <v>49</v>
      </c>
      <c r="AY272" s="206">
        <f t="shared" si="240"/>
        <v>52</v>
      </c>
      <c r="AZ272" s="206">
        <f t="shared" si="240"/>
        <v>45</v>
      </c>
      <c r="BA272" s="464">
        <f t="shared" si="240"/>
        <v>43</v>
      </c>
      <c r="BB272" s="206">
        <f t="shared" si="240"/>
        <v>0</v>
      </c>
      <c r="BC272" s="465">
        <f t="shared" si="232"/>
        <v>1512</v>
      </c>
      <c r="BD272" s="206"/>
      <c r="BE272" s="466"/>
    </row>
    <row r="273">
      <c r="A273" s="270"/>
      <c r="B273" s="271" t="s">
        <v>642</v>
      </c>
      <c r="C273" s="272" t="s">
        <v>639</v>
      </c>
      <c r="D273" s="243"/>
      <c r="E273" s="259"/>
      <c r="F273" s="275"/>
      <c r="G273" s="246"/>
      <c r="H273" s="275"/>
      <c r="I273" s="246"/>
      <c r="J273" s="282"/>
      <c r="K273" s="246"/>
      <c r="L273" s="261"/>
      <c r="M273" s="250"/>
      <c r="N273" s="246"/>
      <c r="O273" s="290" t="s">
        <v>432</v>
      </c>
      <c r="P273" s="246"/>
      <c r="R273" s="246"/>
      <c r="S273" s="261"/>
      <c r="T273" s="275"/>
      <c r="U273" s="246"/>
      <c r="W273" s="246"/>
      <c r="X273" s="282"/>
      <c r="Y273" s="246"/>
      <c r="Z273" s="261"/>
      <c r="AA273" s="252"/>
      <c r="AB273" s="246"/>
      <c r="AC273" s="290" t="s">
        <v>432</v>
      </c>
      <c r="AD273" s="246"/>
      <c r="AF273" s="246"/>
      <c r="AG273" s="261"/>
      <c r="AH273" s="275"/>
      <c r="AI273" s="246"/>
      <c r="AK273" s="246"/>
      <c r="AL273" s="399"/>
      <c r="AM273" s="246"/>
      <c r="AN273" s="261"/>
      <c r="AO273" s="250"/>
      <c r="AP273" s="246"/>
      <c r="AQ273" s="276"/>
      <c r="AR273" s="246"/>
      <c r="AS273" s="276"/>
      <c r="AT273" s="254" t="str">
        <f>IF(COUNTIF($AO$85:$AT$87, AS273) &gt; 0, "X", "")</f>
        <v/>
      </c>
      <c r="AU273" s="269"/>
      <c r="AV273" s="269"/>
      <c r="AW273" s="206" t="str">
        <f t="shared" ref="AW273:BB273" si="241">AW16</f>
        <v>#REF!</v>
      </c>
      <c r="AX273" s="206">
        <f t="shared" si="241"/>
        <v>49</v>
      </c>
      <c r="AY273" s="206">
        <f t="shared" si="241"/>
        <v>52</v>
      </c>
      <c r="AZ273" s="206">
        <f t="shared" si="241"/>
        <v>45</v>
      </c>
      <c r="BA273" s="464">
        <f t="shared" si="241"/>
        <v>43</v>
      </c>
      <c r="BB273" s="206">
        <f t="shared" si="241"/>
        <v>0</v>
      </c>
      <c r="BC273" s="465">
        <f t="shared" si="232"/>
        <v>1512</v>
      </c>
      <c r="BD273" s="206"/>
      <c r="BE273" s="466"/>
    </row>
    <row r="274">
      <c r="A274" s="234"/>
      <c r="B274" s="277" t="s">
        <v>644</v>
      </c>
      <c r="C274" s="278" t="s">
        <v>645</v>
      </c>
      <c r="D274" s="243"/>
      <c r="E274" s="259"/>
      <c r="F274" s="281"/>
      <c r="G274" s="246"/>
      <c r="H274" s="280" t="s">
        <v>400</v>
      </c>
      <c r="I274" s="246"/>
      <c r="J274" s="282"/>
      <c r="K274" s="246"/>
      <c r="L274" s="261"/>
      <c r="M274" s="250"/>
      <c r="N274" s="246"/>
      <c r="O274" s="281"/>
      <c r="P274" s="246"/>
      <c r="R274" s="246"/>
      <c r="S274" s="261"/>
      <c r="T274" s="281"/>
      <c r="U274" s="246"/>
      <c r="V274" s="281"/>
      <c r="W274" s="246"/>
      <c r="X274" s="280" t="s">
        <v>400</v>
      </c>
      <c r="Y274" s="246"/>
      <c r="Z274" s="261"/>
      <c r="AA274" s="280" t="s">
        <v>400</v>
      </c>
      <c r="AB274" s="246"/>
      <c r="AC274" s="281"/>
      <c r="AD274" s="246"/>
      <c r="AF274" s="246"/>
      <c r="AG274" s="261"/>
      <c r="AH274" s="282"/>
      <c r="AI274" s="246"/>
      <c r="AJ274" s="280" t="s">
        <v>400</v>
      </c>
      <c r="AK274" s="246"/>
      <c r="AL274" s="281"/>
      <c r="AM274" s="246"/>
      <c r="AN274" s="261"/>
      <c r="AO274" s="250"/>
      <c r="AP274" s="246"/>
      <c r="AQ274" s="283"/>
      <c r="AR274" s="246"/>
      <c r="AS274" s="276"/>
      <c r="AT274" s="254" t="str">
        <f>IF(COUNTIF($AO$85:$AT$87, #REF!) &gt; 0, "X", "")</f>
        <v/>
      </c>
      <c r="AU274" s="269"/>
      <c r="AV274" s="269"/>
      <c r="AW274" s="206" t="str">
        <f t="shared" ref="AW274:BB274" si="242">AW17</f>
        <v>#REF!</v>
      </c>
      <c r="AX274" s="206">
        <f t="shared" si="242"/>
        <v>49</v>
      </c>
      <c r="AY274" s="206">
        <f t="shared" si="242"/>
        <v>52</v>
      </c>
      <c r="AZ274" s="206">
        <f t="shared" si="242"/>
        <v>45</v>
      </c>
      <c r="BA274" s="464">
        <f t="shared" si="242"/>
        <v>43</v>
      </c>
      <c r="BB274" s="206">
        <f t="shared" si="242"/>
        <v>0</v>
      </c>
      <c r="BC274" s="465">
        <f t="shared" si="232"/>
        <v>1512</v>
      </c>
      <c r="BD274" s="206"/>
      <c r="BE274" s="466"/>
    </row>
    <row r="275">
      <c r="A275" s="94"/>
      <c r="B275" s="256" t="s">
        <v>757</v>
      </c>
      <c r="C275" s="257" t="s">
        <v>645</v>
      </c>
      <c r="D275" s="243"/>
      <c r="E275" s="259"/>
      <c r="F275" s="274" t="s">
        <v>402</v>
      </c>
      <c r="G275" s="246"/>
      <c r="H275" s="371"/>
      <c r="I275" s="246"/>
      <c r="J275" s="371"/>
      <c r="K275" s="246"/>
      <c r="L275" s="261"/>
      <c r="M275" s="324"/>
      <c r="N275" s="246"/>
      <c r="O275" s="280" t="s">
        <v>402</v>
      </c>
      <c r="P275" s="246"/>
      <c r="Q275" s="280" t="s">
        <v>400</v>
      </c>
      <c r="R275" s="246"/>
      <c r="S275" s="261"/>
      <c r="T275" s="371"/>
      <c r="U275" s="246"/>
      <c r="V275" s="371"/>
      <c r="W275" s="246"/>
      <c r="X275" s="274" t="s">
        <v>402</v>
      </c>
      <c r="Y275" s="246"/>
      <c r="Z275" s="261"/>
      <c r="AA275" s="274" t="s">
        <v>402</v>
      </c>
      <c r="AB275" s="246"/>
      <c r="AC275" s="282"/>
      <c r="AD275" s="246"/>
      <c r="AF275" s="246"/>
      <c r="AG275" s="261"/>
      <c r="AH275" s="371"/>
      <c r="AI275" s="246"/>
      <c r="AJ275" s="371"/>
      <c r="AK275" s="246"/>
      <c r="AL275" s="274" t="s">
        <v>402</v>
      </c>
      <c r="AM275" s="246"/>
      <c r="AN275" s="261"/>
      <c r="AO275" s="324"/>
      <c r="AP275" s="246"/>
      <c r="AQ275" s="252"/>
      <c r="AR275" s="246"/>
      <c r="AS275" s="252"/>
      <c r="AT275" s="254" t="str">
        <f>IF(COUNTIF($AO$85:$AT$87, AS275) &gt; 0, "X", "")</f>
        <v/>
      </c>
      <c r="AU275" s="269"/>
      <c r="AV275" s="269"/>
      <c r="AW275" s="206" t="str">
        <f t="shared" ref="AW275:BB275" si="243">AW18</f>
        <v>#REF!</v>
      </c>
      <c r="AX275" s="206">
        <f t="shared" si="243"/>
        <v>49</v>
      </c>
      <c r="AY275" s="206">
        <f t="shared" si="243"/>
        <v>52</v>
      </c>
      <c r="AZ275" s="206">
        <f t="shared" si="243"/>
        <v>45</v>
      </c>
      <c r="BA275" s="464">
        <f t="shared" si="243"/>
        <v>43</v>
      </c>
      <c r="BB275" s="206">
        <f t="shared" si="243"/>
        <v>0</v>
      </c>
      <c r="BC275" s="465">
        <f t="shared" si="232"/>
        <v>1512</v>
      </c>
      <c r="BD275" s="206"/>
      <c r="BE275" s="466"/>
    </row>
    <row r="276">
      <c r="A276" s="94"/>
      <c r="B276" s="284" t="s">
        <v>646</v>
      </c>
      <c r="C276" s="285" t="s">
        <v>647</v>
      </c>
      <c r="D276" s="243"/>
      <c r="E276" s="259"/>
      <c r="F276" s="287" t="s">
        <v>427</v>
      </c>
      <c r="G276" s="246"/>
      <c r="H276" s="289"/>
      <c r="I276" s="246"/>
      <c r="J276" s="289"/>
      <c r="K276" s="246"/>
      <c r="L276" s="261"/>
      <c r="M276" s="288"/>
      <c r="N276" s="246"/>
      <c r="O276" s="289"/>
      <c r="P276" s="246"/>
      <c r="Q276" s="287" t="s">
        <v>427</v>
      </c>
      <c r="R276" s="246"/>
      <c r="S276" s="261"/>
      <c r="T276" s="287" t="s">
        <v>427</v>
      </c>
      <c r="U276" s="246"/>
      <c r="V276" s="287" t="s">
        <v>602</v>
      </c>
      <c r="W276" s="246"/>
      <c r="X276" s="289"/>
      <c r="Y276" s="246"/>
      <c r="Z276" s="261"/>
      <c r="AA276" s="287" t="s">
        <v>427</v>
      </c>
      <c r="AB276" s="246"/>
      <c r="AC276" s="274" t="s">
        <v>406</v>
      </c>
      <c r="AD276" s="246"/>
      <c r="AF276" s="246"/>
      <c r="AG276" s="261"/>
      <c r="AH276" s="287" t="s">
        <v>427</v>
      </c>
      <c r="AI276" s="246"/>
      <c r="AK276" s="246"/>
      <c r="AL276" s="265"/>
      <c r="AM276" s="246"/>
      <c r="AN276" s="261"/>
      <c r="AO276" s="288"/>
      <c r="AP276" s="246"/>
      <c r="AQ276" s="266"/>
      <c r="AR276" s="246"/>
      <c r="AS276" s="266"/>
      <c r="AT276" s="254" t="str">
        <f>IF(COUNTIF($AO$85:$AT$87, #REF!) &gt; 0, "X", "")</f>
        <v/>
      </c>
      <c r="AU276" s="269"/>
      <c r="AV276" s="269"/>
      <c r="AW276" s="206" t="str">
        <f t="shared" ref="AW276:BB276" si="244">AW19</f>
        <v>#REF!</v>
      </c>
      <c r="AX276" s="206">
        <f t="shared" si="244"/>
        <v>49</v>
      </c>
      <c r="AY276" s="206">
        <f t="shared" si="244"/>
        <v>52</v>
      </c>
      <c r="AZ276" s="206">
        <f t="shared" si="244"/>
        <v>45</v>
      </c>
      <c r="BA276" s="464">
        <f t="shared" si="244"/>
        <v>43</v>
      </c>
      <c r="BB276" s="206">
        <f t="shared" si="244"/>
        <v>0</v>
      </c>
      <c r="BC276" s="465">
        <f t="shared" si="232"/>
        <v>1512</v>
      </c>
      <c r="BD276" s="206"/>
      <c r="BE276" s="466"/>
    </row>
    <row r="277">
      <c r="A277" s="270"/>
      <c r="B277" s="291" t="s">
        <v>648</v>
      </c>
      <c r="C277" s="292" t="s">
        <v>649</v>
      </c>
      <c r="D277" s="243"/>
      <c r="E277" s="259"/>
      <c r="F277" s="294"/>
      <c r="G277" s="246"/>
      <c r="H277" s="293" t="s">
        <v>418</v>
      </c>
      <c r="I277" s="246"/>
      <c r="J277" s="294"/>
      <c r="K277" s="246"/>
      <c r="L277" s="261"/>
      <c r="M277" s="250"/>
      <c r="N277" s="246"/>
      <c r="O277" s="293" t="s">
        <v>418</v>
      </c>
      <c r="P277" s="246"/>
      <c r="Q277" s="294"/>
      <c r="R277" s="246"/>
      <c r="S277" s="261"/>
      <c r="T277" s="294"/>
      <c r="U277" s="246"/>
      <c r="V277" s="294"/>
      <c r="W277" s="246"/>
      <c r="X277" s="293" t="s">
        <v>418</v>
      </c>
      <c r="Y277" s="246"/>
      <c r="Z277" s="261"/>
      <c r="AA277" s="295"/>
      <c r="AB277" s="246"/>
      <c r="AC277" s="294"/>
      <c r="AD277" s="246"/>
      <c r="AE277" s="293" t="s">
        <v>418</v>
      </c>
      <c r="AF277" s="246"/>
      <c r="AG277" s="261"/>
      <c r="AH277" s="294"/>
      <c r="AI277" s="246"/>
      <c r="AJ277" s="293" t="s">
        <v>418</v>
      </c>
      <c r="AK277" s="246"/>
      <c r="AL277" s="294"/>
      <c r="AM277" s="246"/>
      <c r="AN277" s="261"/>
      <c r="AO277" s="250"/>
      <c r="AP277" s="246"/>
      <c r="AQ277" s="293"/>
      <c r="AR277" s="246"/>
      <c r="AS277" s="294"/>
      <c r="AT277" s="254" t="str">
        <f t="shared" ref="AT277:AT281" si="246">IF(COUNTIF($AO$85:$AT$87, AS277) &gt; 0, "X", "")</f>
        <v/>
      </c>
      <c r="AU277" s="269"/>
      <c r="AV277" s="269"/>
      <c r="AW277" s="206" t="str">
        <f t="shared" ref="AW277:BB277" si="245">AW20</f>
        <v>#REF!</v>
      </c>
      <c r="AX277" s="206">
        <f t="shared" si="245"/>
        <v>49</v>
      </c>
      <c r="AY277" s="206">
        <f t="shared" si="245"/>
        <v>52</v>
      </c>
      <c r="AZ277" s="206">
        <f t="shared" si="245"/>
        <v>45</v>
      </c>
      <c r="BA277" s="464">
        <f t="shared" si="245"/>
        <v>43</v>
      </c>
      <c r="BB277" s="206">
        <f t="shared" si="245"/>
        <v>0</v>
      </c>
      <c r="BC277" s="465">
        <f t="shared" si="232"/>
        <v>1512</v>
      </c>
      <c r="BD277" s="206"/>
      <c r="BE277" s="466"/>
    </row>
    <row r="278">
      <c r="A278" s="94"/>
      <c r="B278" s="296" t="s">
        <v>650</v>
      </c>
      <c r="C278" s="297" t="s">
        <v>649</v>
      </c>
      <c r="D278" s="243"/>
      <c r="E278" s="259"/>
      <c r="F278" s="299"/>
      <c r="G278" s="298"/>
      <c r="H278" s="299"/>
      <c r="I278" s="298"/>
      <c r="J278" s="299"/>
      <c r="K278" s="298"/>
      <c r="L278" s="261"/>
      <c r="M278" s="250"/>
      <c r="N278" s="298"/>
      <c r="O278" s="299"/>
      <c r="P278" s="298"/>
      <c r="Q278" s="299"/>
      <c r="R278" s="298"/>
      <c r="S278" s="261"/>
      <c r="T278" s="299"/>
      <c r="U278" s="298"/>
      <c r="V278" s="299"/>
      <c r="W278" s="298"/>
      <c r="X278" s="299"/>
      <c r="Y278" s="298"/>
      <c r="Z278" s="261"/>
      <c r="AA278" s="295"/>
      <c r="AB278" s="298"/>
      <c r="AC278" s="299"/>
      <c r="AD278" s="298"/>
      <c r="AE278" s="299"/>
      <c r="AF278" s="298"/>
      <c r="AG278" s="261"/>
      <c r="AH278" s="299"/>
      <c r="AI278" s="298"/>
      <c r="AJ278" s="299"/>
      <c r="AK278" s="298"/>
      <c r="AL278" s="299"/>
      <c r="AM278" s="298"/>
      <c r="AN278" s="261"/>
      <c r="AO278" s="250"/>
      <c r="AP278" s="298"/>
      <c r="AQ278" s="300"/>
      <c r="AR278" s="298"/>
      <c r="AS278" s="300"/>
      <c r="AT278" s="254" t="str">
        <f t="shared" si="246"/>
        <v/>
      </c>
      <c r="AU278" s="269"/>
      <c r="AV278" s="269"/>
      <c r="AW278" s="206" t="str">
        <f t="shared" ref="AW278:BB278" si="247">AW21</f>
        <v>#REF!</v>
      </c>
      <c r="AX278" s="206">
        <f t="shared" si="247"/>
        <v>49</v>
      </c>
      <c r="AY278" s="206">
        <f t="shared" si="247"/>
        <v>52</v>
      </c>
      <c r="AZ278" s="206">
        <f t="shared" si="247"/>
        <v>45</v>
      </c>
      <c r="BA278" s="464">
        <f t="shared" si="247"/>
        <v>43</v>
      </c>
      <c r="BB278" s="206">
        <f t="shared" si="247"/>
        <v>0</v>
      </c>
      <c r="BC278" s="465">
        <f t="shared" si="232"/>
        <v>1512</v>
      </c>
      <c r="BD278" s="206"/>
      <c r="BE278" s="466"/>
    </row>
    <row r="279">
      <c r="A279" s="94"/>
      <c r="B279" s="301" t="s">
        <v>651</v>
      </c>
      <c r="C279" s="302" t="s">
        <v>652</v>
      </c>
      <c r="D279" s="243"/>
      <c r="E279" s="259"/>
      <c r="F279" s="303"/>
      <c r="G279" s="298"/>
      <c r="H279" s="303"/>
      <c r="I279" s="298"/>
      <c r="J279" s="303"/>
      <c r="K279" s="298"/>
      <c r="L279" s="261"/>
      <c r="M279" s="250"/>
      <c r="N279" s="298"/>
      <c r="O279" s="303"/>
      <c r="P279" s="298"/>
      <c r="Q279" s="303"/>
      <c r="R279" s="298"/>
      <c r="S279" s="261"/>
      <c r="T279" s="303"/>
      <c r="U279" s="298"/>
      <c r="V279" s="303"/>
      <c r="W279" s="298"/>
      <c r="X279" s="303"/>
      <c r="Y279" s="298"/>
      <c r="Z279" s="261"/>
      <c r="AA279" s="295"/>
      <c r="AB279" s="298"/>
      <c r="AC279" s="303"/>
      <c r="AD279" s="298"/>
      <c r="AE279" s="303"/>
      <c r="AF279" s="298"/>
      <c r="AG279" s="261"/>
      <c r="AH279" s="303"/>
      <c r="AI279" s="298"/>
      <c r="AJ279" s="303"/>
      <c r="AK279" s="298"/>
      <c r="AL279" s="303"/>
      <c r="AM279" s="298"/>
      <c r="AN279" s="261"/>
      <c r="AO279" s="250"/>
      <c r="AP279" s="298"/>
      <c r="AQ279" s="304"/>
      <c r="AR279" s="298"/>
      <c r="AS279" s="304"/>
      <c r="AT279" s="254" t="str">
        <f t="shared" si="246"/>
        <v/>
      </c>
      <c r="AU279" s="269"/>
      <c r="AV279" s="269"/>
      <c r="AW279" s="206" t="str">
        <f t="shared" ref="AW279:BB279" si="248">AW22</f>
        <v>#REF!</v>
      </c>
      <c r="AX279" s="206">
        <f t="shared" si="248"/>
        <v>49</v>
      </c>
      <c r="AY279" s="206">
        <f t="shared" si="248"/>
        <v>52</v>
      </c>
      <c r="AZ279" s="206">
        <f t="shared" si="248"/>
        <v>45</v>
      </c>
      <c r="BA279" s="464">
        <f t="shared" si="248"/>
        <v>43</v>
      </c>
      <c r="BB279" s="206">
        <f t="shared" si="248"/>
        <v>0</v>
      </c>
      <c r="BC279" s="465">
        <f t="shared" si="232"/>
        <v>1512</v>
      </c>
      <c r="BD279" s="206"/>
      <c r="BE279" s="466"/>
    </row>
    <row r="280">
      <c r="A280" s="94"/>
      <c r="B280" s="305" t="s">
        <v>653</v>
      </c>
      <c r="C280" s="306" t="s">
        <v>654</v>
      </c>
      <c r="D280" s="243"/>
      <c r="E280" s="259"/>
      <c r="F280" s="307"/>
      <c r="G280" s="298"/>
      <c r="H280" s="307"/>
      <c r="I280" s="298"/>
      <c r="J280" s="307"/>
      <c r="K280" s="298"/>
      <c r="L280" s="261"/>
      <c r="M280" s="250"/>
      <c r="N280" s="298"/>
      <c r="O280" s="307"/>
      <c r="P280" s="298"/>
      <c r="Q280" s="307"/>
      <c r="R280" s="298"/>
      <c r="S280" s="261"/>
      <c r="T280" s="307"/>
      <c r="U280" s="298"/>
      <c r="V280" s="307"/>
      <c r="W280" s="298"/>
      <c r="X280" s="307"/>
      <c r="Y280" s="298"/>
      <c r="Z280" s="261"/>
      <c r="AA280" s="295"/>
      <c r="AB280" s="298"/>
      <c r="AC280" s="307"/>
      <c r="AD280" s="298"/>
      <c r="AE280" s="307"/>
      <c r="AF280" s="298"/>
      <c r="AG280" s="261"/>
      <c r="AH280" s="307"/>
      <c r="AI280" s="298"/>
      <c r="AJ280" s="307"/>
      <c r="AK280" s="298"/>
      <c r="AL280" s="307"/>
      <c r="AM280" s="298"/>
      <c r="AN280" s="261"/>
      <c r="AO280" s="250"/>
      <c r="AP280" s="298"/>
      <c r="AQ280" s="307"/>
      <c r="AR280" s="298"/>
      <c r="AS280" s="307"/>
      <c r="AT280" s="254" t="str">
        <f t="shared" si="246"/>
        <v/>
      </c>
      <c r="AU280" s="269"/>
      <c r="AV280" s="269"/>
      <c r="AW280" s="206" t="str">
        <f t="shared" ref="AW280:BB280" si="249">AW23</f>
        <v>#REF!</v>
      </c>
      <c r="AX280" s="206">
        <f t="shared" si="249"/>
        <v>49</v>
      </c>
      <c r="AY280" s="206">
        <f t="shared" si="249"/>
        <v>52</v>
      </c>
      <c r="AZ280" s="206">
        <f t="shared" si="249"/>
        <v>45</v>
      </c>
      <c r="BA280" s="464">
        <f t="shared" si="249"/>
        <v>43</v>
      </c>
      <c r="BB280" s="206">
        <f t="shared" si="249"/>
        <v>0</v>
      </c>
      <c r="BC280" s="465">
        <f t="shared" si="232"/>
        <v>1512</v>
      </c>
      <c r="BD280" s="206"/>
      <c r="BE280" s="466"/>
    </row>
    <row r="281">
      <c r="A281" s="94"/>
      <c r="B281" s="310" t="s">
        <v>656</v>
      </c>
      <c r="C281" s="278" t="s">
        <v>657</v>
      </c>
      <c r="D281" s="243"/>
      <c r="E281" s="259"/>
      <c r="F281" s="281"/>
      <c r="G281" s="246"/>
      <c r="H281" s="282"/>
      <c r="I281" s="246"/>
      <c r="J281" s="282"/>
      <c r="K281" s="246"/>
      <c r="L281" s="261"/>
      <c r="M281" s="250"/>
      <c r="N281" s="246"/>
      <c r="O281" s="311" t="s">
        <v>434</v>
      </c>
      <c r="P281" s="246"/>
      <c r="Q281" s="281"/>
      <c r="R281" s="246"/>
      <c r="S281" s="261"/>
      <c r="T281" s="281"/>
      <c r="U281" s="246"/>
      <c r="V281" s="282"/>
      <c r="W281" s="246"/>
      <c r="Y281" s="246"/>
      <c r="Z281" s="261"/>
      <c r="AA281" s="295"/>
      <c r="AB281" s="246"/>
      <c r="AC281" s="282"/>
      <c r="AD281" s="246"/>
      <c r="AE281" s="311" t="s">
        <v>434</v>
      </c>
      <c r="AF281" s="246"/>
      <c r="AG281" s="261"/>
      <c r="AH281" s="282"/>
      <c r="AI281" s="246"/>
      <c r="AJ281" s="282"/>
      <c r="AK281" s="246"/>
      <c r="AL281" s="282"/>
      <c r="AM281" s="246"/>
      <c r="AN281" s="261"/>
      <c r="AO281" s="250"/>
      <c r="AP281" s="246"/>
      <c r="AQ281" s="276"/>
      <c r="AR281" s="246"/>
      <c r="AS281" s="276"/>
      <c r="AT281" s="254" t="str">
        <f t="shared" si="246"/>
        <v/>
      </c>
      <c r="AU281" s="269"/>
      <c r="AV281" s="269"/>
      <c r="AW281" s="206" t="str">
        <f t="shared" ref="AW281:BB281" si="250">AW24</f>
        <v>#REF!</v>
      </c>
      <c r="AX281" s="206">
        <f t="shared" si="250"/>
        <v>49</v>
      </c>
      <c r="AY281" s="206">
        <f t="shared" si="250"/>
        <v>52</v>
      </c>
      <c r="AZ281" s="206">
        <f t="shared" si="250"/>
        <v>45</v>
      </c>
      <c r="BA281" s="464">
        <f t="shared" si="250"/>
        <v>43</v>
      </c>
      <c r="BB281" s="206">
        <f t="shared" si="250"/>
        <v>0</v>
      </c>
      <c r="BC281" s="465">
        <f t="shared" si="232"/>
        <v>1512</v>
      </c>
      <c r="BD281" s="206"/>
      <c r="BE281" s="466"/>
    </row>
    <row r="282">
      <c r="A282" s="94"/>
      <c r="B282" s="277" t="s">
        <v>658</v>
      </c>
      <c r="C282" s="278" t="s">
        <v>657</v>
      </c>
      <c r="D282" s="243"/>
      <c r="E282" s="259"/>
      <c r="F282" s="282"/>
      <c r="G282" s="246"/>
      <c r="H282" s="282"/>
      <c r="I282" s="246"/>
      <c r="K282" s="246"/>
      <c r="L282" s="261"/>
      <c r="M282" s="250"/>
      <c r="N282" s="246"/>
      <c r="O282" s="274" t="s">
        <v>655</v>
      </c>
      <c r="P282" s="246"/>
      <c r="Q282" s="531" t="s">
        <v>796</v>
      </c>
      <c r="R282" s="246"/>
      <c r="S282" s="261"/>
      <c r="T282" s="282"/>
      <c r="U282" s="246"/>
      <c r="V282" s="282"/>
      <c r="W282" s="246"/>
      <c r="X282" s="281"/>
      <c r="Y282" s="246"/>
      <c r="Z282" s="261"/>
      <c r="AA282" s="295"/>
      <c r="AB282" s="246"/>
      <c r="AD282" s="246"/>
      <c r="AE282" s="274" t="s">
        <v>449</v>
      </c>
      <c r="AF282" s="246"/>
      <c r="AG282" s="261"/>
      <c r="AH282" s="282"/>
      <c r="AI282" s="246"/>
      <c r="AJ282" s="282"/>
      <c r="AK282" s="246"/>
      <c r="AL282" s="471" t="s">
        <v>419</v>
      </c>
      <c r="AM282" s="246"/>
      <c r="AN282" s="261"/>
      <c r="AO282" s="250"/>
      <c r="AP282" s="246"/>
      <c r="AQ282" s="276"/>
      <c r="AR282" s="246"/>
      <c r="AT282" s="254" t="str">
        <f t="shared" ref="AT282:AT283" si="252">IF(COUNTIF($AO$85:$AT$87, #REF!) &gt; 0, "X", "")</f>
        <v/>
      </c>
      <c r="AU282" s="269"/>
      <c r="AV282" s="269"/>
      <c r="AW282" s="206" t="str">
        <f t="shared" ref="AW282:BB282" si="251">AW25</f>
        <v>#REF!</v>
      </c>
      <c r="AX282" s="206">
        <f t="shared" si="251"/>
        <v>49</v>
      </c>
      <c r="AY282" s="206">
        <f t="shared" si="251"/>
        <v>52</v>
      </c>
      <c r="AZ282" s="206">
        <f t="shared" si="251"/>
        <v>45</v>
      </c>
      <c r="BA282" s="464">
        <f t="shared" si="251"/>
        <v>43</v>
      </c>
      <c r="BB282" s="206">
        <f t="shared" si="251"/>
        <v>0</v>
      </c>
      <c r="BC282" s="465">
        <f t="shared" si="232"/>
        <v>1512</v>
      </c>
      <c r="BD282" s="206"/>
      <c r="BE282" s="466"/>
    </row>
    <row r="283">
      <c r="A283" s="94"/>
      <c r="B283" s="314" t="s">
        <v>660</v>
      </c>
      <c r="C283" s="315" t="s">
        <v>649</v>
      </c>
      <c r="D283" s="243"/>
      <c r="E283" s="259"/>
      <c r="F283" s="293" t="s">
        <v>422</v>
      </c>
      <c r="G283" s="246"/>
      <c r="H283" s="293" t="s">
        <v>416</v>
      </c>
      <c r="I283" s="246"/>
      <c r="J283" s="293" t="s">
        <v>424</v>
      </c>
      <c r="K283" s="246"/>
      <c r="L283" s="261"/>
      <c r="M283" s="316"/>
      <c r="N283" s="246"/>
      <c r="O283" s="293" t="s">
        <v>416</v>
      </c>
      <c r="P283" s="246"/>
      <c r="Q283" s="293" t="s">
        <v>424</v>
      </c>
      <c r="R283" s="246"/>
      <c r="S283" s="261"/>
      <c r="T283" s="479"/>
      <c r="U283" s="246"/>
      <c r="V283" s="356" t="s">
        <v>423</v>
      </c>
      <c r="W283" s="246"/>
      <c r="X283" s="293" t="s">
        <v>424</v>
      </c>
      <c r="Y283" s="246"/>
      <c r="Z283" s="261"/>
      <c r="AA283" s="295"/>
      <c r="AB283" s="246"/>
      <c r="AC283" s="253" t="s">
        <v>417</v>
      </c>
      <c r="AD283" s="246"/>
      <c r="AE283" s="356" t="s">
        <v>423</v>
      </c>
      <c r="AF283" s="246"/>
      <c r="AG283" s="261"/>
      <c r="AH283" s="317"/>
      <c r="AI283" s="246"/>
      <c r="AJ283" s="253" t="s">
        <v>417</v>
      </c>
      <c r="AK283" s="246"/>
      <c r="AL283" s="293" t="s">
        <v>421</v>
      </c>
      <c r="AM283" s="246"/>
      <c r="AN283" s="261"/>
      <c r="AO283" s="316"/>
      <c r="AP283" s="246"/>
      <c r="AQ283" s="293" t="s">
        <v>421</v>
      </c>
      <c r="AR283" s="246"/>
      <c r="AS283" s="356" t="s">
        <v>423</v>
      </c>
      <c r="AT283" s="254" t="str">
        <f t="shared" si="252"/>
        <v/>
      </c>
      <c r="AU283" s="269"/>
      <c r="AV283" s="269"/>
      <c r="AW283" s="206" t="str">
        <f t="shared" ref="AW283:BB283" si="253">AW26</f>
        <v>#REF!</v>
      </c>
      <c r="AX283" s="206">
        <f t="shared" si="253"/>
        <v>49</v>
      </c>
      <c r="AY283" s="206">
        <f t="shared" si="253"/>
        <v>52</v>
      </c>
      <c r="AZ283" s="206">
        <f t="shared" si="253"/>
        <v>45</v>
      </c>
      <c r="BA283" s="464">
        <f t="shared" si="253"/>
        <v>43</v>
      </c>
      <c r="BB283" s="206">
        <f t="shared" si="253"/>
        <v>0</v>
      </c>
      <c r="BC283" s="465">
        <f t="shared" si="232"/>
        <v>1512</v>
      </c>
      <c r="BD283" s="206"/>
      <c r="BE283" s="466"/>
    </row>
    <row r="284">
      <c r="A284" s="94"/>
      <c r="B284" s="296" t="s">
        <v>650</v>
      </c>
      <c r="C284" s="297" t="s">
        <v>649</v>
      </c>
      <c r="D284" s="243"/>
      <c r="E284" s="259"/>
      <c r="F284" s="300"/>
      <c r="G284" s="298"/>
      <c r="H284" s="300"/>
      <c r="I284" s="298"/>
      <c r="J284" s="318"/>
      <c r="K284" s="298"/>
      <c r="L284" s="261"/>
      <c r="M284" s="250"/>
      <c r="N284" s="298"/>
      <c r="O284" s="300"/>
      <c r="P284" s="298"/>
      <c r="Q284" s="356" t="s">
        <v>423</v>
      </c>
      <c r="R284" s="298"/>
      <c r="S284" s="261"/>
      <c r="T284" s="317"/>
      <c r="U284" s="298"/>
      <c r="V284" s="300"/>
      <c r="W284" s="298"/>
      <c r="X284" s="353" t="s">
        <v>426</v>
      </c>
      <c r="Y284" s="298"/>
      <c r="Z284" s="261"/>
      <c r="AA284" s="295"/>
      <c r="AB284" s="298"/>
      <c r="AC284" s="319"/>
      <c r="AD284" s="298"/>
      <c r="AE284" s="319"/>
      <c r="AF284" s="298"/>
      <c r="AG284" s="261"/>
      <c r="AH284" s="317"/>
      <c r="AI284" s="298"/>
      <c r="AJ284" s="300"/>
      <c r="AK284" s="298"/>
      <c r="AL284" s="300"/>
      <c r="AM284" s="298"/>
      <c r="AN284" s="261"/>
      <c r="AO284" s="250"/>
      <c r="AP284" s="298"/>
      <c r="AQ284" s="300"/>
      <c r="AR284" s="298"/>
      <c r="AS284" s="299"/>
      <c r="AT284" s="254" t="str">
        <f>IF(COUNTIF($AO$85:$AT$87, AS292) &gt; 0, "X", "")</f>
        <v/>
      </c>
      <c r="AU284" s="269"/>
      <c r="AV284" s="269"/>
      <c r="AW284" s="206" t="str">
        <f t="shared" ref="AW284:BB284" si="254">AW27</f>
        <v>#REF!</v>
      </c>
      <c r="AX284" s="206">
        <f t="shared" si="254"/>
        <v>49</v>
      </c>
      <c r="AY284" s="206">
        <f t="shared" si="254"/>
        <v>52</v>
      </c>
      <c r="AZ284" s="206">
        <f t="shared" si="254"/>
        <v>45</v>
      </c>
      <c r="BA284" s="464">
        <f t="shared" si="254"/>
        <v>43</v>
      </c>
      <c r="BB284" s="206">
        <f t="shared" si="254"/>
        <v>0</v>
      </c>
      <c r="BC284" s="465">
        <f t="shared" si="232"/>
        <v>1512</v>
      </c>
      <c r="BD284" s="206"/>
      <c r="BE284" s="466"/>
    </row>
    <row r="285">
      <c r="A285" s="94"/>
      <c r="B285" s="301" t="s">
        <v>651</v>
      </c>
      <c r="C285" s="302" t="s">
        <v>652</v>
      </c>
      <c r="D285" s="243"/>
      <c r="E285" s="259"/>
      <c r="F285" s="303"/>
      <c r="G285" s="298"/>
      <c r="H285" s="303"/>
      <c r="I285" s="298"/>
      <c r="J285" s="512" t="s">
        <v>762</v>
      </c>
      <c r="K285" s="298"/>
      <c r="L285" s="261"/>
      <c r="M285" s="250"/>
      <c r="N285" s="298"/>
      <c r="O285" s="303"/>
      <c r="P285" s="298"/>
      <c r="Q285" s="303"/>
      <c r="R285" s="298"/>
      <c r="S285" s="261"/>
      <c r="T285" s="320"/>
      <c r="U285" s="298"/>
      <c r="V285" s="303"/>
      <c r="W285" s="298"/>
      <c r="X285" s="512" t="s">
        <v>762</v>
      </c>
      <c r="Y285" s="298"/>
      <c r="Z285" s="261"/>
      <c r="AA285" s="295"/>
      <c r="AB285" s="298"/>
      <c r="AC285" s="303"/>
      <c r="AD285" s="298"/>
      <c r="AE285" s="303"/>
      <c r="AF285" s="298"/>
      <c r="AG285" s="261"/>
      <c r="AH285" s="320"/>
      <c r="AI285" s="298"/>
      <c r="AJ285" s="303"/>
      <c r="AK285" s="298"/>
      <c r="AL285" s="511" t="s">
        <v>763</v>
      </c>
      <c r="AM285" s="298"/>
      <c r="AN285" s="261"/>
      <c r="AO285" s="250"/>
      <c r="AP285" s="298"/>
      <c r="AQ285" s="303"/>
      <c r="AR285" s="298"/>
      <c r="AS285" s="303"/>
      <c r="AT285" s="254" t="str">
        <f>IF(COUNTIF($AO$85:$AT$87, AS285) &gt; 0, "X", "")</f>
        <v/>
      </c>
      <c r="AU285" s="269"/>
      <c r="AV285" s="269"/>
      <c r="AW285" s="206" t="str">
        <f t="shared" ref="AW285:BB285" si="255">AW28</f>
        <v>#REF!</v>
      </c>
      <c r="AX285" s="206">
        <f t="shared" si="255"/>
        <v>49</v>
      </c>
      <c r="AY285" s="206">
        <f t="shared" si="255"/>
        <v>52</v>
      </c>
      <c r="AZ285" s="206">
        <f t="shared" si="255"/>
        <v>45</v>
      </c>
      <c r="BA285" s="464">
        <f t="shared" si="255"/>
        <v>43</v>
      </c>
      <c r="BB285" s="206">
        <f t="shared" si="255"/>
        <v>0</v>
      </c>
      <c r="BC285" s="465">
        <f t="shared" si="232"/>
        <v>1512</v>
      </c>
      <c r="BD285" s="206"/>
      <c r="BE285" s="466"/>
    </row>
    <row r="286">
      <c r="A286" s="94"/>
      <c r="B286" s="322" t="s">
        <v>662</v>
      </c>
      <c r="C286" s="306" t="s">
        <v>663</v>
      </c>
      <c r="D286" s="323"/>
      <c r="E286" s="259"/>
      <c r="F286" s="307"/>
      <c r="G286" s="298"/>
      <c r="H286" s="307"/>
      <c r="I286" s="298"/>
      <c r="J286" s="307"/>
      <c r="K286" s="298"/>
      <c r="L286" s="261"/>
      <c r="M286" s="324"/>
      <c r="N286" s="298"/>
      <c r="O286" s="307"/>
      <c r="P286" s="298"/>
      <c r="Q286" s="326" t="s">
        <v>414</v>
      </c>
      <c r="R286" s="298"/>
      <c r="S286" s="261"/>
      <c r="T286" s="317"/>
      <c r="U286" s="298"/>
      <c r="V286" s="307"/>
      <c r="W286" s="298"/>
      <c r="X286" s="307"/>
      <c r="Y286" s="298"/>
      <c r="Z286" s="261"/>
      <c r="AA286" s="295"/>
      <c r="AB286" s="298"/>
      <c r="AC286" s="307"/>
      <c r="AD286" s="298"/>
      <c r="AE286" s="307"/>
      <c r="AF286" s="298"/>
      <c r="AG286" s="261"/>
      <c r="AH286" s="317"/>
      <c r="AI286" s="298"/>
      <c r="AJ286" s="307"/>
      <c r="AK286" s="298"/>
      <c r="AL286" s="327"/>
      <c r="AM286" s="298"/>
      <c r="AN286" s="261"/>
      <c r="AO286" s="324"/>
      <c r="AP286" s="298"/>
      <c r="AQ286" s="307"/>
      <c r="AR286" s="298"/>
      <c r="AS286" s="307"/>
      <c r="AT286" s="254" t="str">
        <f>IF(COUNTIF($AO$85:$AT$87, #REF!) &gt; 0, "X", "")</f>
        <v/>
      </c>
      <c r="AU286" s="269"/>
      <c r="AV286" s="269"/>
      <c r="AW286" s="206" t="str">
        <f t="shared" ref="AW286:BB286" si="256">AW29</f>
        <v>#REF!</v>
      </c>
      <c r="AX286" s="206">
        <f t="shared" si="256"/>
        <v>49</v>
      </c>
      <c r="AY286" s="206">
        <f t="shared" si="256"/>
        <v>52</v>
      </c>
      <c r="AZ286" s="206">
        <f t="shared" si="256"/>
        <v>45</v>
      </c>
      <c r="BA286" s="464">
        <f t="shared" si="256"/>
        <v>43</v>
      </c>
      <c r="BB286" s="206">
        <f t="shared" si="256"/>
        <v>0</v>
      </c>
      <c r="BC286" s="465">
        <f t="shared" si="232"/>
        <v>1512</v>
      </c>
      <c r="BD286" s="206"/>
      <c r="BE286" s="466"/>
    </row>
    <row r="287">
      <c r="A287" s="94"/>
      <c r="B287" s="328" t="s">
        <v>665</v>
      </c>
      <c r="C287" s="329" t="s">
        <v>654</v>
      </c>
      <c r="D287" s="330"/>
      <c r="E287" s="259"/>
      <c r="F287" s="374" t="s">
        <v>439</v>
      </c>
      <c r="G287" s="246"/>
      <c r="H287" s="274" t="s">
        <v>458</v>
      </c>
      <c r="I287" s="246"/>
      <c r="J287" s="311" t="s">
        <v>434</v>
      </c>
      <c r="K287" s="246"/>
      <c r="L287" s="261"/>
      <c r="M287" s="333"/>
      <c r="N287" s="246"/>
      <c r="O287" s="311" t="s">
        <v>439</v>
      </c>
      <c r="P287" s="246"/>
      <c r="Q287" s="274" t="s">
        <v>449</v>
      </c>
      <c r="R287" s="246"/>
      <c r="S287" s="261"/>
      <c r="T287" s="479"/>
      <c r="U287" s="246"/>
      <c r="V287" s="280" t="s">
        <v>458</v>
      </c>
      <c r="W287" s="246"/>
      <c r="X287" s="311" t="s">
        <v>434</v>
      </c>
      <c r="Y287" s="246"/>
      <c r="Z287" s="261"/>
      <c r="AA287" s="295"/>
      <c r="AB287" s="246"/>
      <c r="AC287" s="336" t="s">
        <v>450</v>
      </c>
      <c r="AD287" s="246"/>
      <c r="AE287" s="274" t="s">
        <v>655</v>
      </c>
      <c r="AF287" s="246"/>
      <c r="AG287" s="261"/>
      <c r="AH287" s="320"/>
      <c r="AI287" s="246"/>
      <c r="AJ287" s="274" t="s">
        <v>655</v>
      </c>
      <c r="AK287" s="246"/>
      <c r="AL287" s="311" t="s">
        <v>434</v>
      </c>
      <c r="AM287" s="246"/>
      <c r="AN287" s="261"/>
      <c r="AO287" s="333"/>
      <c r="AP287" s="246"/>
      <c r="AQ287" s="274" t="s">
        <v>458</v>
      </c>
      <c r="AR287" s="246"/>
      <c r="AS287" s="274" t="s">
        <v>449</v>
      </c>
      <c r="AT287" s="254" t="str">
        <f>IF(COUNTIF($AO$85:$AT$87, AQ287) &gt; 0, "X", "")</f>
        <v/>
      </c>
      <c r="AU287" s="269"/>
      <c r="AV287" s="269"/>
      <c r="AW287" s="206" t="str">
        <f t="shared" ref="AW287:BB287" si="257">AW30</f>
        <v>#REF!</v>
      </c>
      <c r="AX287" s="206">
        <f t="shared" si="257"/>
        <v>49</v>
      </c>
      <c r="AY287" s="206">
        <f t="shared" si="257"/>
        <v>52</v>
      </c>
      <c r="AZ287" s="206">
        <f t="shared" si="257"/>
        <v>45</v>
      </c>
      <c r="BA287" s="464">
        <f t="shared" si="257"/>
        <v>43</v>
      </c>
      <c r="BB287" s="206">
        <f t="shared" si="257"/>
        <v>0</v>
      </c>
      <c r="BC287" s="465">
        <f t="shared" si="232"/>
        <v>1512</v>
      </c>
      <c r="BD287" s="206"/>
      <c r="BE287" s="466"/>
    </row>
    <row r="288">
      <c r="A288" s="94"/>
      <c r="B288" s="337" t="s">
        <v>665</v>
      </c>
      <c r="C288" s="338" t="s">
        <v>657</v>
      </c>
      <c r="D288" s="330"/>
      <c r="E288" s="259"/>
      <c r="F288" s="280" t="s">
        <v>448</v>
      </c>
      <c r="G288" s="246"/>
      <c r="H288" s="336" t="s">
        <v>450</v>
      </c>
      <c r="I288" s="246"/>
      <c r="J288" s="348" t="s">
        <v>668</v>
      </c>
      <c r="K288" s="246"/>
      <c r="L288" s="261"/>
      <c r="M288" s="324"/>
      <c r="N288" s="246"/>
      <c r="O288" s="339" t="s">
        <v>459</v>
      </c>
      <c r="P288" s="246"/>
      <c r="Q288" s="274" t="s">
        <v>448</v>
      </c>
      <c r="R288" s="246"/>
      <c r="S288" s="261"/>
      <c r="T288" s="320"/>
      <c r="U288" s="246"/>
      <c r="V288" s="336" t="s">
        <v>450</v>
      </c>
      <c r="W288" s="246"/>
      <c r="X288" s="274" t="s">
        <v>443</v>
      </c>
      <c r="Y288" s="246"/>
      <c r="Z288" s="261"/>
      <c r="AA288" s="295"/>
      <c r="AB288" s="246"/>
      <c r="AC288" s="339" t="s">
        <v>459</v>
      </c>
      <c r="AD288" s="246"/>
      <c r="AE288" s="274" t="s">
        <v>443</v>
      </c>
      <c r="AF288" s="246"/>
      <c r="AG288" s="261"/>
      <c r="AH288" s="320"/>
      <c r="AI288" s="246"/>
      <c r="AJ288" s="339" t="s">
        <v>459</v>
      </c>
      <c r="AK288" s="246"/>
      <c r="AL288" s="274" t="s">
        <v>439</v>
      </c>
      <c r="AM288" s="246"/>
      <c r="AN288" s="261"/>
      <c r="AO288" s="324"/>
      <c r="AP288" s="246"/>
      <c r="AQ288" s="336" t="s">
        <v>398</v>
      </c>
      <c r="AR288" s="246"/>
      <c r="AS288" s="274" t="s">
        <v>443</v>
      </c>
      <c r="AT288" s="254" t="str">
        <f>IF(COUNTIF($AO$85:$AT$87, J287) &gt; 0, "X", "")</f>
        <v/>
      </c>
      <c r="AU288" s="269"/>
      <c r="AV288" s="269"/>
      <c r="AW288" s="206" t="str">
        <f t="shared" ref="AW288:BB288" si="258">AW31</f>
        <v>#REF!</v>
      </c>
      <c r="AX288" s="206">
        <f t="shared" si="258"/>
        <v>49</v>
      </c>
      <c r="AY288" s="206">
        <f t="shared" si="258"/>
        <v>52</v>
      </c>
      <c r="AZ288" s="206">
        <f t="shared" si="258"/>
        <v>45</v>
      </c>
      <c r="BA288" s="464">
        <f t="shared" si="258"/>
        <v>43</v>
      </c>
      <c r="BB288" s="206">
        <f t="shared" si="258"/>
        <v>0</v>
      </c>
      <c r="BC288" s="465">
        <f t="shared" si="232"/>
        <v>1512</v>
      </c>
      <c r="BD288" s="206"/>
      <c r="BE288" s="466"/>
    </row>
    <row r="289">
      <c r="A289" s="94"/>
      <c r="B289" s="256" t="s">
        <v>665</v>
      </c>
      <c r="C289" s="257" t="s">
        <v>663</v>
      </c>
      <c r="D289" s="330"/>
      <c r="E289" s="259"/>
      <c r="F289" s="282"/>
      <c r="G289" s="246"/>
      <c r="I289" s="246"/>
      <c r="K289" s="246"/>
      <c r="L289" s="261"/>
      <c r="M289" s="341"/>
      <c r="N289" s="246"/>
      <c r="O289" s="516"/>
      <c r="P289" s="246"/>
      <c r="Q289" s="274" t="s">
        <v>415</v>
      </c>
      <c r="R289" s="246"/>
      <c r="S289" s="261"/>
      <c r="T289" s="479"/>
      <c r="U289" s="246"/>
      <c r="W289" s="246"/>
      <c r="Y289" s="246"/>
      <c r="Z289" s="261"/>
      <c r="AA289" s="295"/>
      <c r="AB289" s="246"/>
      <c r="AD289" s="246"/>
      <c r="AF289" s="246"/>
      <c r="AG289" s="261"/>
      <c r="AH289" s="320"/>
      <c r="AI289" s="246"/>
      <c r="AK289" s="246"/>
      <c r="AM289" s="246"/>
      <c r="AN289" s="261"/>
      <c r="AO289" s="341"/>
      <c r="AP289" s="246"/>
      <c r="AR289" s="246"/>
      <c r="AT289" s="254" t="str">
        <f t="shared" ref="AT289:AT292" si="260">IF(COUNTIF($AO$85:$AT$87, #REF!) &gt; 0, "X", "")</f>
        <v/>
      </c>
      <c r="AU289" s="269"/>
      <c r="AV289" s="269"/>
      <c r="AW289" s="206" t="str">
        <f t="shared" ref="AW289:BB289" si="259">AW32</f>
        <v>#REF!</v>
      </c>
      <c r="AX289" s="206">
        <f t="shared" si="259"/>
        <v>49</v>
      </c>
      <c r="AY289" s="206">
        <f t="shared" si="259"/>
        <v>52</v>
      </c>
      <c r="AZ289" s="206">
        <f t="shared" si="259"/>
        <v>45</v>
      </c>
      <c r="BA289" s="464">
        <f t="shared" si="259"/>
        <v>43</v>
      </c>
      <c r="BB289" s="206">
        <f t="shared" si="259"/>
        <v>0</v>
      </c>
      <c r="BC289" s="465">
        <f t="shared" si="232"/>
        <v>1512</v>
      </c>
      <c r="BD289" s="206"/>
      <c r="BE289" s="466"/>
    </row>
    <row r="290">
      <c r="A290" s="94"/>
      <c r="B290" s="328" t="s">
        <v>665</v>
      </c>
      <c r="C290" s="329" t="s">
        <v>645</v>
      </c>
      <c r="D290" s="330"/>
      <c r="E290" s="259"/>
      <c r="F290" s="274" t="s">
        <v>414</v>
      </c>
      <c r="G290" s="246"/>
      <c r="H290" s="339" t="s">
        <v>459</v>
      </c>
      <c r="I290" s="246"/>
      <c r="J290" s="274" t="s">
        <v>415</v>
      </c>
      <c r="K290" s="246"/>
      <c r="L290" s="261"/>
      <c r="M290" s="341"/>
      <c r="N290" s="246"/>
      <c r="O290" s="274" t="s">
        <v>458</v>
      </c>
      <c r="P290" s="246"/>
      <c r="Q290" s="336" t="s">
        <v>450</v>
      </c>
      <c r="R290" s="246"/>
      <c r="S290" s="261"/>
      <c r="T290" s="320"/>
      <c r="U290" s="246"/>
      <c r="V290" s="339" t="s">
        <v>459</v>
      </c>
      <c r="W290" s="246"/>
      <c r="X290" s="274" t="s">
        <v>448</v>
      </c>
      <c r="Y290" s="246"/>
      <c r="Z290" s="261"/>
      <c r="AA290" s="295"/>
      <c r="AB290" s="246"/>
      <c r="AC290" s="340" t="s">
        <v>415</v>
      </c>
      <c r="AD290" s="246"/>
      <c r="AE290" s="274" t="s">
        <v>448</v>
      </c>
      <c r="AF290" s="246"/>
      <c r="AG290" s="261"/>
      <c r="AH290" s="320"/>
      <c r="AI290" s="246"/>
      <c r="AJ290" s="336" t="s">
        <v>450</v>
      </c>
      <c r="AK290" s="246"/>
      <c r="AL290" s="274" t="s">
        <v>415</v>
      </c>
      <c r="AM290" s="246"/>
      <c r="AN290" s="261"/>
      <c r="AO290" s="341"/>
      <c r="AP290" s="246"/>
      <c r="AQ290" s="274" t="s">
        <v>415</v>
      </c>
      <c r="AR290" s="246"/>
      <c r="AS290" s="274" t="s">
        <v>448</v>
      </c>
      <c r="AT290" s="254" t="str">
        <f t="shared" si="260"/>
        <v/>
      </c>
      <c r="AU290" s="269"/>
      <c r="AV290" s="269"/>
      <c r="AW290" s="206" t="str">
        <f t="shared" ref="AW290:BB290" si="261">AW33</f>
        <v>#REF!</v>
      </c>
      <c r="AX290" s="206">
        <f t="shared" si="261"/>
        <v>49</v>
      </c>
      <c r="AY290" s="206">
        <f t="shared" si="261"/>
        <v>52</v>
      </c>
      <c r="AZ290" s="206">
        <f t="shared" si="261"/>
        <v>45</v>
      </c>
      <c r="BA290" s="464">
        <f t="shared" si="261"/>
        <v>43</v>
      </c>
      <c r="BB290" s="206">
        <f t="shared" si="261"/>
        <v>0</v>
      </c>
      <c r="BC290" s="465">
        <f t="shared" si="232"/>
        <v>1512</v>
      </c>
      <c r="BD290" s="206"/>
      <c r="BE290" s="466"/>
    </row>
    <row r="291">
      <c r="A291" s="94"/>
      <c r="B291" s="342" t="s">
        <v>667</v>
      </c>
      <c r="C291" s="343" t="s">
        <v>657</v>
      </c>
      <c r="D291" s="323"/>
      <c r="E291" s="261"/>
      <c r="F291" s="345" t="s">
        <v>401</v>
      </c>
      <c r="G291" s="246"/>
      <c r="H291" s="282"/>
      <c r="I291" s="246"/>
      <c r="K291" s="246"/>
      <c r="L291" s="261"/>
      <c r="M291" s="346"/>
      <c r="N291" s="246"/>
      <c r="O291" s="345" t="s">
        <v>401</v>
      </c>
      <c r="P291" s="246"/>
      <c r="R291" s="246"/>
      <c r="S291" s="261"/>
      <c r="T291" s="345" t="s">
        <v>401</v>
      </c>
      <c r="U291" s="246"/>
      <c r="V291" s="282"/>
      <c r="W291" s="246"/>
      <c r="Y291" s="246"/>
      <c r="Z291" s="261"/>
      <c r="AA291" s="295"/>
      <c r="AB291" s="246"/>
      <c r="AC291" s="347" t="s">
        <v>401</v>
      </c>
      <c r="AD291" s="246"/>
      <c r="AF291" s="246"/>
      <c r="AG291" s="261"/>
      <c r="AH291" s="345" t="s">
        <v>401</v>
      </c>
      <c r="AI291" s="246"/>
      <c r="AJ291" s="282"/>
      <c r="AK291" s="246"/>
      <c r="AL291" s="282"/>
      <c r="AM291" s="246"/>
      <c r="AN291" s="261"/>
      <c r="AO291" s="346"/>
      <c r="AP291" s="246"/>
      <c r="AQ291" s="345" t="s">
        <v>401</v>
      </c>
      <c r="AR291" s="246"/>
      <c r="AS291" s="282"/>
      <c r="AT291" s="254" t="str">
        <f t="shared" si="260"/>
        <v/>
      </c>
      <c r="AU291" s="269"/>
      <c r="AV291" s="269"/>
      <c r="AW291" s="206" t="str">
        <f t="shared" ref="AW291:BB291" si="262">AW34</f>
        <v>#REF!</v>
      </c>
      <c r="AX291" s="206">
        <f t="shared" si="262"/>
        <v>49</v>
      </c>
      <c r="AY291" s="206">
        <f t="shared" si="262"/>
        <v>52</v>
      </c>
      <c r="AZ291" s="206">
        <f t="shared" si="262"/>
        <v>45</v>
      </c>
      <c r="BA291" s="464">
        <f t="shared" si="262"/>
        <v>43</v>
      </c>
      <c r="BB291" s="206">
        <f t="shared" si="262"/>
        <v>0</v>
      </c>
      <c r="BC291" s="465">
        <f t="shared" si="232"/>
        <v>1512</v>
      </c>
      <c r="BD291" s="206"/>
      <c r="BE291" s="466"/>
    </row>
    <row r="292">
      <c r="A292" s="94"/>
      <c r="B292" s="349" t="s">
        <v>669</v>
      </c>
      <c r="C292" s="350" t="s">
        <v>649</v>
      </c>
      <c r="D292" s="351"/>
      <c r="E292" s="259"/>
      <c r="F292" s="353" t="s">
        <v>426</v>
      </c>
      <c r="G292" s="246"/>
      <c r="H292" s="253" t="s">
        <v>417</v>
      </c>
      <c r="I292" s="246"/>
      <c r="J292" s="356" t="s">
        <v>423</v>
      </c>
      <c r="K292" s="246"/>
      <c r="L292" s="261"/>
      <c r="M292" s="354"/>
      <c r="N292" s="246"/>
      <c r="O292" s="253" t="s">
        <v>417</v>
      </c>
      <c r="P292" s="246"/>
      <c r="Q292" s="293" t="s">
        <v>422</v>
      </c>
      <c r="R292" s="246"/>
      <c r="S292" s="261"/>
      <c r="T292" s="353" t="s">
        <v>422</v>
      </c>
      <c r="U292" s="246"/>
      <c r="V292" s="253" t="s">
        <v>417</v>
      </c>
      <c r="W292" s="246"/>
      <c r="X292" s="293" t="s">
        <v>421</v>
      </c>
      <c r="Y292" s="246"/>
      <c r="Z292" s="261"/>
      <c r="AA292" s="295"/>
      <c r="AB292" s="246"/>
      <c r="AC292" s="293" t="s">
        <v>421</v>
      </c>
      <c r="AD292" s="246"/>
      <c r="AE292" s="293" t="s">
        <v>424</v>
      </c>
      <c r="AF292" s="246"/>
      <c r="AG292" s="261"/>
      <c r="AH292" s="353" t="s">
        <v>424</v>
      </c>
      <c r="AI292" s="246"/>
      <c r="AJ292" s="357" t="s">
        <v>420</v>
      </c>
      <c r="AK292" s="246"/>
      <c r="AL292" s="293" t="s">
        <v>426</v>
      </c>
      <c r="AM292" s="246"/>
      <c r="AN292" s="261"/>
      <c r="AO292" s="354"/>
      <c r="AP292" s="246"/>
      <c r="AQ292" s="357" t="s">
        <v>420</v>
      </c>
      <c r="AR292" s="246"/>
      <c r="AS292" s="293" t="s">
        <v>422</v>
      </c>
      <c r="AT292" s="254" t="str">
        <f t="shared" si="260"/>
        <v/>
      </c>
      <c r="AU292" s="269"/>
      <c r="AV292" s="269"/>
      <c r="AW292" s="206" t="str">
        <f t="shared" ref="AW292:BB292" si="263">AW35</f>
        <v>#REF!</v>
      </c>
      <c r="AX292" s="206">
        <f t="shared" si="263"/>
        <v>49</v>
      </c>
      <c r="AY292" s="206">
        <f t="shared" si="263"/>
        <v>52</v>
      </c>
      <c r="AZ292" s="206">
        <f t="shared" si="263"/>
        <v>45</v>
      </c>
      <c r="BA292" s="464">
        <f t="shared" si="263"/>
        <v>43</v>
      </c>
      <c r="BB292" s="206">
        <f t="shared" si="263"/>
        <v>0</v>
      </c>
      <c r="BC292" s="465">
        <f t="shared" si="232"/>
        <v>1512</v>
      </c>
      <c r="BD292" s="206"/>
      <c r="BE292" s="466"/>
    </row>
    <row r="293">
      <c r="A293" s="234"/>
      <c r="B293" s="296" t="s">
        <v>650</v>
      </c>
      <c r="C293" s="297" t="s">
        <v>649</v>
      </c>
      <c r="D293" s="323"/>
      <c r="E293" s="259"/>
      <c r="F293" s="299"/>
      <c r="G293" s="298"/>
      <c r="H293" s="364" t="s">
        <v>797</v>
      </c>
      <c r="I293" s="298"/>
      <c r="J293" s="299"/>
      <c r="K293" s="298"/>
      <c r="L293" s="261"/>
      <c r="M293" s="324"/>
      <c r="N293" s="298"/>
      <c r="O293" s="358" t="s">
        <v>397</v>
      </c>
      <c r="P293" s="298"/>
      <c r="Q293" s="319"/>
      <c r="R293" s="298"/>
      <c r="S293" s="261"/>
      <c r="T293" s="319"/>
      <c r="U293" s="298"/>
      <c r="V293" s="358" t="s">
        <v>397</v>
      </c>
      <c r="W293" s="298"/>
      <c r="X293" s="318"/>
      <c r="Y293" s="298"/>
      <c r="Z293" s="261"/>
      <c r="AA293" s="317"/>
      <c r="AB293" s="298"/>
      <c r="AC293" s="353" t="s">
        <v>426</v>
      </c>
      <c r="AD293" s="298"/>
      <c r="AE293" s="319"/>
      <c r="AF293" s="298"/>
      <c r="AG293" s="261"/>
      <c r="AH293" s="319"/>
      <c r="AI293" s="298"/>
      <c r="AJ293" s="319"/>
      <c r="AK293" s="298"/>
      <c r="AL293" s="319"/>
      <c r="AM293" s="298"/>
      <c r="AN293" s="261"/>
      <c r="AO293" s="324"/>
      <c r="AP293" s="298"/>
      <c r="AQ293" s="359"/>
      <c r="AR293" s="298"/>
      <c r="AS293" s="359"/>
      <c r="AT293" s="254" t="str">
        <f t="shared" ref="AT293:AT294" si="265">IF(COUNTIF($AO$85:$AT$87, AS293) &gt; 0, "X", "")</f>
        <v/>
      </c>
      <c r="AU293" s="269"/>
      <c r="AV293" s="269"/>
      <c r="AW293" s="206" t="str">
        <f t="shared" ref="AW293:BB293" si="264">AW36</f>
        <v>#REF!</v>
      </c>
      <c r="AX293" s="206">
        <f t="shared" si="264"/>
        <v>49</v>
      </c>
      <c r="AY293" s="206">
        <f t="shared" si="264"/>
        <v>52</v>
      </c>
      <c r="AZ293" s="206">
        <f t="shared" si="264"/>
        <v>45</v>
      </c>
      <c r="BA293" s="464">
        <f t="shared" si="264"/>
        <v>43</v>
      </c>
      <c r="BB293" s="206">
        <f t="shared" si="264"/>
        <v>0</v>
      </c>
      <c r="BC293" s="465">
        <f t="shared" si="232"/>
        <v>1512</v>
      </c>
      <c r="BD293" s="206"/>
      <c r="BE293" s="466"/>
    </row>
    <row r="294">
      <c r="A294" s="94"/>
      <c r="B294" s="301" t="s">
        <v>651</v>
      </c>
      <c r="C294" s="302" t="s">
        <v>652</v>
      </c>
      <c r="D294" s="330"/>
      <c r="E294" s="259"/>
      <c r="F294" s="303"/>
      <c r="G294" s="298"/>
      <c r="H294" s="518" t="s">
        <v>672</v>
      </c>
      <c r="I294" s="298"/>
      <c r="J294" s="511" t="s">
        <v>763</v>
      </c>
      <c r="K294" s="298"/>
      <c r="L294" s="261"/>
      <c r="M294" s="250"/>
      <c r="N294" s="298"/>
      <c r="O294" s="518" t="s">
        <v>672</v>
      </c>
      <c r="P294" s="298"/>
      <c r="Q294" s="303"/>
      <c r="R294" s="298"/>
      <c r="S294" s="261"/>
      <c r="T294" s="303"/>
      <c r="U294" s="298"/>
      <c r="V294" s="303"/>
      <c r="W294" s="298"/>
      <c r="X294" s="511" t="s">
        <v>763</v>
      </c>
      <c r="Y294" s="298"/>
      <c r="Z294" s="261"/>
      <c r="AA294" s="317"/>
      <c r="AB294" s="298"/>
      <c r="AC294" s="303"/>
      <c r="AD294" s="298"/>
      <c r="AE294" s="303"/>
      <c r="AF294" s="298"/>
      <c r="AG294" s="261"/>
      <c r="AH294" s="303"/>
      <c r="AI294" s="298"/>
      <c r="AJ294" s="518" t="s">
        <v>672</v>
      </c>
      <c r="AK294" s="298"/>
      <c r="AL294" s="512" t="s">
        <v>762</v>
      </c>
      <c r="AM294" s="298"/>
      <c r="AN294" s="261"/>
      <c r="AO294" s="250"/>
      <c r="AP294" s="298"/>
      <c r="AQ294" s="303"/>
      <c r="AR294" s="298"/>
      <c r="AS294" s="303"/>
      <c r="AT294" s="254" t="str">
        <f t="shared" si="265"/>
        <v/>
      </c>
      <c r="AU294" s="269"/>
      <c r="AV294" s="269"/>
      <c r="AW294" s="206" t="str">
        <f t="shared" ref="AW294:BB294" si="266">AW37</f>
        <v>#REF!</v>
      </c>
      <c r="AX294" s="206">
        <f t="shared" si="266"/>
        <v>49</v>
      </c>
      <c r="AY294" s="206">
        <f t="shared" si="266"/>
        <v>52</v>
      </c>
      <c r="AZ294" s="206">
        <f t="shared" si="266"/>
        <v>45</v>
      </c>
      <c r="BA294" s="464">
        <f t="shared" si="266"/>
        <v>43</v>
      </c>
      <c r="BB294" s="206">
        <f t="shared" si="266"/>
        <v>0</v>
      </c>
      <c r="BC294" s="465">
        <f t="shared" si="232"/>
        <v>1512</v>
      </c>
      <c r="BD294" s="206"/>
      <c r="BE294" s="466"/>
    </row>
    <row r="295">
      <c r="A295" s="94"/>
      <c r="B295" s="361" t="s">
        <v>673</v>
      </c>
      <c r="C295" s="362" t="s">
        <v>674</v>
      </c>
      <c r="D295" s="363"/>
      <c r="E295" s="259"/>
      <c r="F295" s="251" t="s">
        <v>433</v>
      </c>
      <c r="G295" s="298"/>
      <c r="H295" s="366" t="s">
        <v>676</v>
      </c>
      <c r="I295" s="298"/>
      <c r="J295" s="274" t="s">
        <v>443</v>
      </c>
      <c r="K295" s="298"/>
      <c r="L295" s="261"/>
      <c r="M295" s="324"/>
      <c r="N295" s="298"/>
      <c r="O295" s="336" t="s">
        <v>412</v>
      </c>
      <c r="P295" s="298"/>
      <c r="Q295" s="366" t="s">
        <v>676</v>
      </c>
      <c r="R295" s="298"/>
      <c r="S295" s="261"/>
      <c r="T295" s="251" t="s">
        <v>433</v>
      </c>
      <c r="U295" s="298"/>
      <c r="V295" s="336" t="s">
        <v>412</v>
      </c>
      <c r="W295" s="298"/>
      <c r="X295" s="366" t="s">
        <v>676</v>
      </c>
      <c r="Y295" s="298"/>
      <c r="Z295" s="261"/>
      <c r="AA295" s="317"/>
      <c r="AB295" s="298"/>
      <c r="AC295" s="336" t="s">
        <v>412</v>
      </c>
      <c r="AD295" s="298"/>
      <c r="AE295" s="251" t="s">
        <v>457</v>
      </c>
      <c r="AF295" s="298"/>
      <c r="AG295" s="261"/>
      <c r="AH295" s="251" t="s">
        <v>433</v>
      </c>
      <c r="AI295" s="298"/>
      <c r="AJ295" s="336" t="s">
        <v>398</v>
      </c>
      <c r="AK295" s="298"/>
      <c r="AL295" s="251" t="s">
        <v>457</v>
      </c>
      <c r="AM295" s="298"/>
      <c r="AN295" s="261"/>
      <c r="AO295" s="324"/>
      <c r="AP295" s="298"/>
      <c r="AQ295" s="251" t="s">
        <v>457</v>
      </c>
      <c r="AR295" s="298"/>
      <c r="AS295" s="365" t="s">
        <v>433</v>
      </c>
      <c r="AT295" s="254" t="str">
        <f>IF(COUNTIF($AO$85:$AT$87, AQ297) &gt; 0, "X", "")</f>
        <v/>
      </c>
      <c r="AU295" s="269"/>
      <c r="AV295" s="269"/>
      <c r="AW295" s="206" t="str">
        <f t="shared" ref="AW295:BB295" si="267">AW38</f>
        <v>#REF!</v>
      </c>
      <c r="AX295" s="206">
        <f t="shared" si="267"/>
        <v>49</v>
      </c>
      <c r="AY295" s="206">
        <f t="shared" si="267"/>
        <v>52</v>
      </c>
      <c r="AZ295" s="206">
        <f t="shared" si="267"/>
        <v>45</v>
      </c>
      <c r="BA295" s="464">
        <f t="shared" si="267"/>
        <v>43</v>
      </c>
      <c r="BB295" s="206">
        <f t="shared" si="267"/>
        <v>0</v>
      </c>
      <c r="BC295" s="465">
        <f t="shared" si="232"/>
        <v>1512</v>
      </c>
      <c r="BD295" s="206"/>
      <c r="BE295" s="466"/>
    </row>
    <row r="296">
      <c r="A296" s="94"/>
      <c r="B296" s="367" t="s">
        <v>677</v>
      </c>
      <c r="C296" s="368" t="s">
        <v>674</v>
      </c>
      <c r="D296" s="369"/>
      <c r="E296" s="259"/>
      <c r="F296" s="282"/>
      <c r="G296" s="246"/>
      <c r="H296" s="532" t="s">
        <v>675</v>
      </c>
      <c r="I296" s="246"/>
      <c r="K296" s="246"/>
      <c r="L296" s="261"/>
      <c r="M296" s="250"/>
      <c r="N296" s="246"/>
      <c r="O296" s="282"/>
      <c r="P296" s="246"/>
      <c r="R296" s="246"/>
      <c r="S296" s="261"/>
      <c r="U296" s="246"/>
      <c r="W296" s="246"/>
      <c r="Y296" s="246"/>
      <c r="Z296" s="261"/>
      <c r="AA296" s="317"/>
      <c r="AB296" s="246"/>
      <c r="AD296" s="246"/>
      <c r="AF296" s="246"/>
      <c r="AG296" s="261"/>
      <c r="AI296" s="246"/>
      <c r="AJ296" s="532" t="s">
        <v>675</v>
      </c>
      <c r="AK296" s="246"/>
      <c r="AM296" s="246"/>
      <c r="AN296" s="261"/>
      <c r="AO296" s="250"/>
      <c r="AP296" s="246"/>
      <c r="AR296" s="246"/>
      <c r="AT296" s="254" t="str">
        <f>IF(COUNTIF($AO$85:$AT$87, #REF!) &gt; 0, "X", "")</f>
        <v/>
      </c>
      <c r="AU296" s="269"/>
      <c r="AV296" s="269"/>
      <c r="AW296" s="206" t="str">
        <f t="shared" ref="AW296:BB296" si="268">AW39</f>
        <v>#REF!</v>
      </c>
      <c r="AX296" s="206">
        <f t="shared" si="268"/>
        <v>49</v>
      </c>
      <c r="AY296" s="206">
        <f t="shared" si="268"/>
        <v>52</v>
      </c>
      <c r="AZ296" s="206">
        <f t="shared" si="268"/>
        <v>45</v>
      </c>
      <c r="BA296" s="464">
        <f t="shared" si="268"/>
        <v>43</v>
      </c>
      <c r="BB296" s="206">
        <f t="shared" si="268"/>
        <v>0</v>
      </c>
      <c r="BC296" s="465">
        <f t="shared" si="232"/>
        <v>1512</v>
      </c>
      <c r="BD296" s="206"/>
      <c r="BE296" s="466"/>
    </row>
    <row r="297">
      <c r="A297" s="94"/>
      <c r="B297" s="256" t="s">
        <v>679</v>
      </c>
      <c r="C297" s="257" t="s">
        <v>680</v>
      </c>
      <c r="D297" s="330"/>
      <c r="E297" s="259"/>
      <c r="F297" s="384" t="s">
        <v>393</v>
      </c>
      <c r="G297" s="246"/>
      <c r="H297" s="374" t="s">
        <v>436</v>
      </c>
      <c r="I297" s="246"/>
      <c r="J297" s="274" t="s">
        <v>437</v>
      </c>
      <c r="K297" s="246"/>
      <c r="L297" s="261"/>
      <c r="M297" s="333"/>
      <c r="N297" s="246"/>
      <c r="O297" s="374" t="s">
        <v>436</v>
      </c>
      <c r="P297" s="246"/>
      <c r="Q297" s="274" t="s">
        <v>443</v>
      </c>
      <c r="R297" s="246"/>
      <c r="S297" s="261"/>
      <c r="T297" s="274" t="s">
        <v>655</v>
      </c>
      <c r="U297" s="246"/>
      <c r="V297" s="374" t="s">
        <v>436</v>
      </c>
      <c r="W297" s="246"/>
      <c r="X297" s="274" t="s">
        <v>437</v>
      </c>
      <c r="Y297" s="246"/>
      <c r="Z297" s="261"/>
      <c r="AA297" s="317"/>
      <c r="AB297" s="246"/>
      <c r="AC297" s="274" t="s">
        <v>439</v>
      </c>
      <c r="AD297" s="246"/>
      <c r="AE297" s="365" t="s">
        <v>433</v>
      </c>
      <c r="AF297" s="246"/>
      <c r="AG297" s="261"/>
      <c r="AH297" s="274" t="s">
        <v>437</v>
      </c>
      <c r="AI297" s="246"/>
      <c r="AJ297" s="374" t="s">
        <v>436</v>
      </c>
      <c r="AK297" s="246"/>
      <c r="AL297" s="274" t="s">
        <v>443</v>
      </c>
      <c r="AM297" s="246"/>
      <c r="AN297" s="261"/>
      <c r="AO297" s="333"/>
      <c r="AP297" s="246"/>
      <c r="AQ297" s="251" t="s">
        <v>407</v>
      </c>
      <c r="AR297" s="246"/>
      <c r="AS297" s="340" t="s">
        <v>406</v>
      </c>
      <c r="AT297" s="254" t="str">
        <f>IF(COUNTIF($AO$85:$AT$87, AH297) &gt; 0, "X", "")</f>
        <v/>
      </c>
      <c r="AU297" s="269"/>
      <c r="AV297" s="269"/>
      <c r="AW297" s="206" t="str">
        <f t="shared" ref="AW297:BB297" si="269">AW40</f>
        <v>#REF!</v>
      </c>
      <c r="AX297" s="206">
        <f t="shared" si="269"/>
        <v>49</v>
      </c>
      <c r="AY297" s="206">
        <f t="shared" si="269"/>
        <v>52</v>
      </c>
      <c r="AZ297" s="206">
        <f t="shared" si="269"/>
        <v>45</v>
      </c>
      <c r="BA297" s="464">
        <f t="shared" si="269"/>
        <v>43</v>
      </c>
      <c r="BB297" s="206">
        <f t="shared" si="269"/>
        <v>0</v>
      </c>
      <c r="BC297" s="465">
        <f t="shared" si="232"/>
        <v>1512</v>
      </c>
      <c r="BD297" s="206"/>
      <c r="BE297" s="466"/>
    </row>
    <row r="298">
      <c r="A298" s="372"/>
      <c r="B298" s="328" t="s">
        <v>679</v>
      </c>
      <c r="C298" s="329" t="s">
        <v>652</v>
      </c>
      <c r="D298" s="330"/>
      <c r="E298" s="259"/>
      <c r="G298" s="246"/>
      <c r="H298" s="282"/>
      <c r="I298" s="246"/>
      <c r="K298" s="246"/>
      <c r="L298" s="261"/>
      <c r="M298" s="346"/>
      <c r="N298" s="246"/>
      <c r="P298" s="246"/>
      <c r="R298" s="246"/>
      <c r="S298" s="261"/>
      <c r="T298" s="282"/>
      <c r="U298" s="246"/>
      <c r="W298" s="246"/>
      <c r="X298" s="274" t="s">
        <v>439</v>
      </c>
      <c r="Y298" s="246"/>
      <c r="Z298" s="261"/>
      <c r="AA298" s="317"/>
      <c r="AB298" s="246"/>
      <c r="AD298" s="246"/>
      <c r="AF298" s="246"/>
      <c r="AG298" s="261"/>
      <c r="AI298" s="246"/>
      <c r="AJ298" s="274" t="s">
        <v>406</v>
      </c>
      <c r="AK298" s="246"/>
      <c r="AM298" s="246"/>
      <c r="AN298" s="261"/>
      <c r="AO298" s="346"/>
      <c r="AP298" s="246"/>
      <c r="AR298" s="246"/>
      <c r="AT298" s="254" t="str">
        <f>IF(COUNTIF($AO$85:$AT$87, AS295) &gt; 0, "X", "")</f>
        <v/>
      </c>
      <c r="AU298" s="269"/>
      <c r="AV298" s="269"/>
      <c r="AW298" s="206" t="str">
        <f t="shared" ref="AW298:BB298" si="270">AW41</f>
        <v>#REF!</v>
      </c>
      <c r="AX298" s="206">
        <f t="shared" si="270"/>
        <v>49</v>
      </c>
      <c r="AY298" s="206">
        <f t="shared" si="270"/>
        <v>52</v>
      </c>
      <c r="AZ298" s="206">
        <f t="shared" si="270"/>
        <v>45</v>
      </c>
      <c r="BA298" s="464">
        <f t="shared" si="270"/>
        <v>43</v>
      </c>
      <c r="BB298" s="206">
        <f t="shared" si="270"/>
        <v>0</v>
      </c>
      <c r="BC298" s="465">
        <f t="shared" si="232"/>
        <v>1512</v>
      </c>
      <c r="BD298" s="206"/>
      <c r="BE298" s="466"/>
    </row>
    <row r="299">
      <c r="A299" s="94"/>
      <c r="B299" s="328" t="s">
        <v>679</v>
      </c>
      <c r="C299" s="329" t="s">
        <v>683</v>
      </c>
      <c r="D299" s="330"/>
      <c r="E299" s="259"/>
      <c r="G299" s="246"/>
      <c r="H299" s="340" t="s">
        <v>406</v>
      </c>
      <c r="I299" s="246"/>
      <c r="K299" s="246"/>
      <c r="L299" s="261"/>
      <c r="M299" s="341"/>
      <c r="N299" s="246"/>
      <c r="O299" s="336" t="s">
        <v>398</v>
      </c>
      <c r="P299" s="246"/>
      <c r="Q299" s="287" t="s">
        <v>455</v>
      </c>
      <c r="R299" s="246"/>
      <c r="S299" s="261"/>
      <c r="U299" s="246"/>
      <c r="V299" s="274" t="s">
        <v>406</v>
      </c>
      <c r="W299" s="246"/>
      <c r="Y299" s="246"/>
      <c r="Z299" s="261"/>
      <c r="AA299" s="317"/>
      <c r="AB299" s="246"/>
      <c r="AC299" s="287" t="s">
        <v>397</v>
      </c>
      <c r="AD299" s="246"/>
      <c r="AE299" s="376" t="s">
        <v>453</v>
      </c>
      <c r="AF299" s="246"/>
      <c r="AG299" s="261"/>
      <c r="AI299" s="246"/>
      <c r="AJ299" s="251" t="s">
        <v>397</v>
      </c>
      <c r="AK299" s="246"/>
      <c r="AM299" s="246"/>
      <c r="AN299" s="261"/>
      <c r="AO299" s="341"/>
      <c r="AP299" s="246"/>
      <c r="AQ299" s="251" t="s">
        <v>397</v>
      </c>
      <c r="AR299" s="246"/>
      <c r="AS299" s="311" t="s">
        <v>436</v>
      </c>
      <c r="AT299" s="254" t="str">
        <f t="shared" ref="AT299:AT300" si="272">IF(COUNTIF($AO$85:$AT$87, #REF!) &gt; 0, "X", "")</f>
        <v/>
      </c>
      <c r="AU299" s="269"/>
      <c r="AV299" s="269"/>
      <c r="AW299" s="206" t="str">
        <f t="shared" ref="AW299:BB299" si="271">AW42</f>
        <v>#REF!</v>
      </c>
      <c r="AX299" s="206">
        <f t="shared" si="271"/>
        <v>49</v>
      </c>
      <c r="AY299" s="206">
        <f t="shared" si="271"/>
        <v>52</v>
      </c>
      <c r="AZ299" s="206">
        <f t="shared" si="271"/>
        <v>45</v>
      </c>
      <c r="BA299" s="464">
        <f t="shared" si="271"/>
        <v>43</v>
      </c>
      <c r="BB299" s="206">
        <f t="shared" si="271"/>
        <v>0</v>
      </c>
      <c r="BC299" s="465">
        <f t="shared" si="232"/>
        <v>1512</v>
      </c>
      <c r="BD299" s="206"/>
      <c r="BE299" s="466"/>
    </row>
    <row r="300">
      <c r="A300" s="94"/>
      <c r="B300" s="377" t="s">
        <v>684</v>
      </c>
      <c r="C300" s="378" t="s">
        <v>685</v>
      </c>
      <c r="D300" s="379"/>
      <c r="E300" s="380"/>
      <c r="F300" s="376" t="s">
        <v>453</v>
      </c>
      <c r="G300" s="246"/>
      <c r="H300" s="282"/>
      <c r="I300" s="246"/>
      <c r="J300" s="290" t="s">
        <v>410</v>
      </c>
      <c r="K300" s="246"/>
      <c r="L300" s="381"/>
      <c r="M300" s="341"/>
      <c r="N300" s="246"/>
      <c r="O300" s="282"/>
      <c r="P300" s="246"/>
      <c r="Q300" s="282"/>
      <c r="R300" s="246"/>
      <c r="S300" s="381"/>
      <c r="T300" s="376" t="s">
        <v>466</v>
      </c>
      <c r="U300" s="246"/>
      <c r="W300" s="246"/>
      <c r="X300" s="290" t="s">
        <v>410</v>
      </c>
      <c r="Y300" s="246"/>
      <c r="Z300" s="381"/>
      <c r="AA300" s="317"/>
      <c r="AB300" s="246"/>
      <c r="AD300" s="246"/>
      <c r="AF300" s="246"/>
      <c r="AG300" s="381"/>
      <c r="AH300" s="376" t="s">
        <v>453</v>
      </c>
      <c r="AI300" s="246"/>
      <c r="AJ300" s="282"/>
      <c r="AK300" s="246"/>
      <c r="AM300" s="246"/>
      <c r="AN300" s="381"/>
      <c r="AO300" s="341"/>
      <c r="AP300" s="246"/>
      <c r="AR300" s="246"/>
      <c r="AT300" s="254" t="str">
        <f t="shared" si="272"/>
        <v/>
      </c>
      <c r="AU300" s="269"/>
      <c r="AV300" s="269"/>
      <c r="AW300" s="206" t="str">
        <f t="shared" ref="AW300:BB300" si="273">AW43</f>
        <v>#REF!</v>
      </c>
      <c r="AX300" s="206">
        <f t="shared" si="273"/>
        <v>49</v>
      </c>
      <c r="AY300" s="206">
        <f t="shared" si="273"/>
        <v>52</v>
      </c>
      <c r="AZ300" s="206">
        <f t="shared" si="273"/>
        <v>45</v>
      </c>
      <c r="BA300" s="464">
        <f t="shared" si="273"/>
        <v>43</v>
      </c>
      <c r="BB300" s="206">
        <f t="shared" si="273"/>
        <v>0</v>
      </c>
      <c r="BC300" s="465">
        <f t="shared" si="232"/>
        <v>1512</v>
      </c>
      <c r="BD300" s="206"/>
      <c r="BE300" s="466"/>
    </row>
    <row r="301">
      <c r="A301" s="270"/>
      <c r="B301" s="382" t="s">
        <v>686</v>
      </c>
      <c r="C301" s="242" t="s">
        <v>652</v>
      </c>
      <c r="D301" s="363"/>
      <c r="E301" s="259"/>
      <c r="F301" s="251" t="s">
        <v>429</v>
      </c>
      <c r="G301" s="246"/>
      <c r="H301" s="251" t="s">
        <v>435</v>
      </c>
      <c r="I301" s="246"/>
      <c r="J301" s="385" t="s">
        <v>428</v>
      </c>
      <c r="K301" s="246"/>
      <c r="L301" s="261"/>
      <c r="M301" s="341"/>
      <c r="N301" s="246"/>
      <c r="O301" s="385" t="s">
        <v>428</v>
      </c>
      <c r="P301" s="246"/>
      <c r="Q301" s="376" t="s">
        <v>466</v>
      </c>
      <c r="R301" s="246"/>
      <c r="S301" s="261"/>
      <c r="T301" s="251" t="s">
        <v>429</v>
      </c>
      <c r="U301" s="246"/>
      <c r="V301" s="251" t="s">
        <v>435</v>
      </c>
      <c r="W301" s="246"/>
      <c r="X301" s="311" t="s">
        <v>455</v>
      </c>
      <c r="Y301" s="246"/>
      <c r="Z301" s="261"/>
      <c r="AA301" s="317"/>
      <c r="AB301" s="246"/>
      <c r="AC301" s="385" t="s">
        <v>428</v>
      </c>
      <c r="AD301" s="246"/>
      <c r="AE301" s="251" t="s">
        <v>429</v>
      </c>
      <c r="AF301" s="246"/>
      <c r="AG301" s="261"/>
      <c r="AH301" s="376" t="s">
        <v>466</v>
      </c>
      <c r="AI301" s="246"/>
      <c r="AJ301" s="385" t="s">
        <v>428</v>
      </c>
      <c r="AK301" s="246"/>
      <c r="AL301" s="311" t="s">
        <v>455</v>
      </c>
      <c r="AM301" s="246"/>
      <c r="AN301" s="261"/>
      <c r="AO301" s="341"/>
      <c r="AP301" s="246"/>
      <c r="AQ301" s="251" t="s">
        <v>435</v>
      </c>
      <c r="AR301" s="246"/>
      <c r="AS301" s="376" t="s">
        <v>466</v>
      </c>
      <c r="AT301" s="254" t="str">
        <f>IF(COUNTIF($AO$85:$AT$87, AS301) &gt; 0, "X", "")</f>
        <v/>
      </c>
      <c r="AU301" s="269"/>
      <c r="AV301" s="269"/>
      <c r="AW301" s="206" t="str">
        <f t="shared" ref="AW301:BB301" si="274">AW44</f>
        <v>#REF!</v>
      </c>
      <c r="AX301" s="206">
        <f t="shared" si="274"/>
        <v>49</v>
      </c>
      <c r="AY301" s="206">
        <f t="shared" si="274"/>
        <v>52</v>
      </c>
      <c r="AZ301" s="206">
        <f t="shared" si="274"/>
        <v>45</v>
      </c>
      <c r="BA301" s="464">
        <f t="shared" si="274"/>
        <v>43</v>
      </c>
      <c r="BB301" s="206">
        <f t="shared" si="274"/>
        <v>0</v>
      </c>
      <c r="BC301" s="465">
        <f t="shared" si="232"/>
        <v>1512</v>
      </c>
      <c r="BD301" s="206"/>
      <c r="BE301" s="466"/>
    </row>
    <row r="302">
      <c r="A302" s="234"/>
      <c r="B302" s="337" t="s">
        <v>686</v>
      </c>
      <c r="C302" s="338" t="s">
        <v>687</v>
      </c>
      <c r="D302" s="330"/>
      <c r="E302" s="259"/>
      <c r="F302" s="282"/>
      <c r="G302" s="246"/>
      <c r="I302" s="246"/>
      <c r="K302" s="246"/>
      <c r="L302" s="261"/>
      <c r="M302" s="250"/>
      <c r="N302" s="246"/>
      <c r="O302" s="251" t="s">
        <v>435</v>
      </c>
      <c r="P302" s="246"/>
      <c r="Q302" s="251" t="s">
        <v>429</v>
      </c>
      <c r="R302" s="246"/>
      <c r="S302" s="261"/>
      <c r="T302" s="376" t="s">
        <v>453</v>
      </c>
      <c r="U302" s="246"/>
      <c r="V302" s="383" t="s">
        <v>428</v>
      </c>
      <c r="W302" s="246"/>
      <c r="Y302" s="246"/>
      <c r="Z302" s="261"/>
      <c r="AA302" s="317"/>
      <c r="AB302" s="246"/>
      <c r="AC302" s="376" t="s">
        <v>466</v>
      </c>
      <c r="AD302" s="246"/>
      <c r="AE302" s="311" t="s">
        <v>455</v>
      </c>
      <c r="AF302" s="246"/>
      <c r="AG302" s="261"/>
      <c r="AH302" s="282"/>
      <c r="AI302" s="246"/>
      <c r="AJ302" s="274" t="s">
        <v>435</v>
      </c>
      <c r="AK302" s="246"/>
      <c r="AM302" s="246"/>
      <c r="AN302" s="261"/>
      <c r="AO302" s="250"/>
      <c r="AP302" s="246"/>
      <c r="AQ302" s="376" t="s">
        <v>453</v>
      </c>
      <c r="AR302" s="246"/>
      <c r="AS302" s="251" t="s">
        <v>429</v>
      </c>
      <c r="AT302" s="254" t="str">
        <f t="shared" ref="AT302:AT303" si="276">IF(COUNTIF($AO$85:$AT$87, #REF!) &gt; 0, "X", "")</f>
        <v/>
      </c>
      <c r="AU302" s="269"/>
      <c r="AV302" s="269"/>
      <c r="AW302" s="206" t="str">
        <f t="shared" ref="AW302:BB302" si="275">AW45</f>
        <v>#REF!</v>
      </c>
      <c r="AX302" s="206">
        <f t="shared" si="275"/>
        <v>49</v>
      </c>
      <c r="AY302" s="206">
        <f t="shared" si="275"/>
        <v>52</v>
      </c>
      <c r="AZ302" s="206">
        <f t="shared" si="275"/>
        <v>45</v>
      </c>
      <c r="BA302" s="464">
        <f t="shared" si="275"/>
        <v>43</v>
      </c>
      <c r="BB302" s="206">
        <f t="shared" si="275"/>
        <v>0</v>
      </c>
      <c r="BC302" s="465">
        <f t="shared" si="232"/>
        <v>1512</v>
      </c>
      <c r="BD302" s="206"/>
      <c r="BE302" s="466"/>
    </row>
    <row r="303">
      <c r="A303" s="94"/>
      <c r="B303" s="337" t="s">
        <v>688</v>
      </c>
      <c r="C303" s="285" t="s">
        <v>687</v>
      </c>
      <c r="D303" s="330"/>
      <c r="E303" s="259"/>
      <c r="F303" s="265"/>
      <c r="G303" s="246"/>
      <c r="I303" s="246"/>
      <c r="J303" s="325" t="s">
        <v>711</v>
      </c>
      <c r="K303" s="246"/>
      <c r="L303" s="261"/>
      <c r="M303" s="262"/>
      <c r="N303" s="246"/>
      <c r="P303" s="246"/>
      <c r="Q303" s="282"/>
      <c r="R303" s="246"/>
      <c r="S303" s="261"/>
      <c r="T303" s="265"/>
      <c r="U303" s="246"/>
      <c r="V303" s="265"/>
      <c r="W303" s="246"/>
      <c r="X303" s="282"/>
      <c r="Y303" s="246"/>
      <c r="Z303" s="261"/>
      <c r="AA303" s="295"/>
      <c r="AB303" s="246"/>
      <c r="AC303" s="282"/>
      <c r="AD303" s="246"/>
      <c r="AF303" s="246"/>
      <c r="AG303" s="261"/>
      <c r="AH303" s="265"/>
      <c r="AI303" s="246"/>
      <c r="AJ303" s="282"/>
      <c r="AK303" s="246"/>
      <c r="AL303" s="282"/>
      <c r="AM303" s="246"/>
      <c r="AN303" s="261"/>
      <c r="AO303" s="262"/>
      <c r="AP303" s="246"/>
      <c r="AR303" s="246"/>
      <c r="AT303" s="254" t="str">
        <f t="shared" si="276"/>
        <v/>
      </c>
      <c r="AU303" s="269"/>
      <c r="AV303" s="269"/>
      <c r="AW303" s="206" t="str">
        <f t="shared" ref="AW303:BB303" si="277">AW46</f>
        <v>#REF!</v>
      </c>
      <c r="AX303" s="206">
        <f t="shared" si="277"/>
        <v>49</v>
      </c>
      <c r="AY303" s="206">
        <f t="shared" si="277"/>
        <v>52</v>
      </c>
      <c r="AZ303" s="206">
        <f t="shared" si="277"/>
        <v>45</v>
      </c>
      <c r="BA303" s="464">
        <f t="shared" si="277"/>
        <v>43</v>
      </c>
      <c r="BB303" s="206">
        <f t="shared" si="277"/>
        <v>0</v>
      </c>
      <c r="BC303" s="465">
        <f t="shared" si="232"/>
        <v>1512</v>
      </c>
      <c r="BD303" s="206"/>
      <c r="BE303" s="466"/>
    </row>
    <row r="304">
      <c r="A304" s="94"/>
      <c r="B304" s="387" t="s">
        <v>690</v>
      </c>
      <c r="C304" s="388" t="s">
        <v>649</v>
      </c>
      <c r="D304" s="389"/>
      <c r="E304" s="259"/>
      <c r="F304" s="390"/>
      <c r="G304" s="246"/>
      <c r="H304" s="390"/>
      <c r="I304" s="246"/>
      <c r="J304" s="357"/>
      <c r="K304" s="246"/>
      <c r="L304" s="261"/>
      <c r="M304" s="250"/>
      <c r="N304" s="246"/>
      <c r="O304" s="390"/>
      <c r="P304" s="246"/>
      <c r="Q304" s="390"/>
      <c r="R304" s="246"/>
      <c r="S304" s="261"/>
      <c r="T304" s="390"/>
      <c r="U304" s="246"/>
      <c r="V304" s="357" t="s">
        <v>420</v>
      </c>
      <c r="W304" s="246"/>
      <c r="X304" s="390"/>
      <c r="Y304" s="246"/>
      <c r="Z304" s="261"/>
      <c r="AA304" s="317"/>
      <c r="AB304" s="246"/>
      <c r="AC304" s="357" t="s">
        <v>420</v>
      </c>
      <c r="AD304" s="246"/>
      <c r="AE304" s="390"/>
      <c r="AF304" s="246"/>
      <c r="AG304" s="261"/>
      <c r="AH304" s="390"/>
      <c r="AI304" s="246"/>
      <c r="AJ304" s="390"/>
      <c r="AK304" s="246"/>
      <c r="AL304" s="390"/>
      <c r="AM304" s="246"/>
      <c r="AN304" s="261"/>
      <c r="AO304" s="250"/>
      <c r="AP304" s="246"/>
      <c r="AQ304" s="390"/>
      <c r="AR304" s="246"/>
      <c r="AS304" s="390"/>
      <c r="AT304" s="254" t="str">
        <f t="shared" ref="AT304:AT307" si="279">IF(COUNTIF($AO$85:$AT$87, AS304) &gt; 0, "X", "")</f>
        <v/>
      </c>
      <c r="AU304" s="269"/>
      <c r="AV304" s="269"/>
      <c r="AW304" s="206" t="str">
        <f t="shared" ref="AW304:BB304" si="278">AW47</f>
        <v>#REF!</v>
      </c>
      <c r="AX304" s="206">
        <f t="shared" si="278"/>
        <v>49</v>
      </c>
      <c r="AY304" s="206">
        <f t="shared" si="278"/>
        <v>52</v>
      </c>
      <c r="AZ304" s="206">
        <f t="shared" si="278"/>
        <v>45</v>
      </c>
      <c r="BA304" s="464">
        <f t="shared" si="278"/>
        <v>43</v>
      </c>
      <c r="BB304" s="206">
        <f t="shared" si="278"/>
        <v>0</v>
      </c>
      <c r="BC304" s="465">
        <f t="shared" si="232"/>
        <v>1512</v>
      </c>
      <c r="BD304" s="206"/>
      <c r="BE304" s="466"/>
    </row>
    <row r="305">
      <c r="A305" s="94"/>
      <c r="B305" s="296" t="s">
        <v>650</v>
      </c>
      <c r="C305" s="297" t="s">
        <v>649</v>
      </c>
      <c r="D305" s="323"/>
      <c r="E305" s="259"/>
      <c r="F305" s="300"/>
      <c r="G305" s="246"/>
      <c r="H305" s="319"/>
      <c r="I305" s="246"/>
      <c r="J305" s="300"/>
      <c r="K305" s="246"/>
      <c r="L305" s="261"/>
      <c r="M305" s="250"/>
      <c r="N305" s="246"/>
      <c r="O305" s="299"/>
      <c r="P305" s="246"/>
      <c r="Q305" s="300"/>
      <c r="R305" s="246"/>
      <c r="S305" s="261"/>
      <c r="T305" s="300"/>
      <c r="U305" s="246"/>
      <c r="V305" s="300"/>
      <c r="W305" s="246"/>
      <c r="X305" s="300"/>
      <c r="Y305" s="246"/>
      <c r="Z305" s="261"/>
      <c r="AA305" s="317"/>
      <c r="AB305" s="246"/>
      <c r="AC305" s="300"/>
      <c r="AD305" s="246"/>
      <c r="AE305" s="300"/>
      <c r="AF305" s="246"/>
      <c r="AG305" s="261"/>
      <c r="AH305" s="300"/>
      <c r="AI305" s="246"/>
      <c r="AJ305" s="300"/>
      <c r="AK305" s="246"/>
      <c r="AL305" s="300"/>
      <c r="AM305" s="246"/>
      <c r="AN305" s="261"/>
      <c r="AO305" s="250"/>
      <c r="AP305" s="246"/>
      <c r="AQ305" s="300"/>
      <c r="AR305" s="246"/>
      <c r="AS305" s="300"/>
      <c r="AT305" s="254" t="str">
        <f t="shared" si="279"/>
        <v/>
      </c>
      <c r="AU305" s="269"/>
      <c r="AV305" s="269"/>
      <c r="AW305" s="206" t="str">
        <f t="shared" ref="AW305:BB305" si="280">AW48</f>
        <v>#REF!</v>
      </c>
      <c r="AX305" s="206">
        <f t="shared" si="280"/>
        <v>49</v>
      </c>
      <c r="AY305" s="206">
        <f t="shared" si="280"/>
        <v>52</v>
      </c>
      <c r="AZ305" s="206">
        <f t="shared" si="280"/>
        <v>45</v>
      </c>
      <c r="BA305" s="464">
        <f t="shared" si="280"/>
        <v>43</v>
      </c>
      <c r="BB305" s="206">
        <f t="shared" si="280"/>
        <v>0</v>
      </c>
      <c r="BC305" s="465">
        <f t="shared" si="232"/>
        <v>1512</v>
      </c>
      <c r="BD305" s="206"/>
      <c r="BE305" s="466"/>
    </row>
    <row r="306">
      <c r="A306" s="94"/>
      <c r="B306" s="301" t="s">
        <v>651</v>
      </c>
      <c r="C306" s="391" t="s">
        <v>652</v>
      </c>
      <c r="D306" s="323"/>
      <c r="E306" s="261"/>
      <c r="F306" s="304"/>
      <c r="G306" s="246"/>
      <c r="H306" s="304"/>
      <c r="I306" s="246"/>
      <c r="J306" s="304"/>
      <c r="K306" s="246"/>
      <c r="L306" s="261"/>
      <c r="M306" s="250"/>
      <c r="N306" s="246"/>
      <c r="O306" s="304"/>
      <c r="P306" s="246"/>
      <c r="Q306" s="304"/>
      <c r="R306" s="246"/>
      <c r="S306" s="261"/>
      <c r="T306" s="304"/>
      <c r="U306" s="246"/>
      <c r="V306" s="518" t="s">
        <v>672</v>
      </c>
      <c r="W306" s="246"/>
      <c r="X306" s="304"/>
      <c r="Y306" s="246"/>
      <c r="Z306" s="261"/>
      <c r="AA306" s="317"/>
      <c r="AB306" s="246"/>
      <c r="AC306" s="518" t="s">
        <v>672</v>
      </c>
      <c r="AD306" s="246"/>
      <c r="AE306" s="304"/>
      <c r="AF306" s="246"/>
      <c r="AG306" s="261"/>
      <c r="AH306" s="304"/>
      <c r="AI306" s="246"/>
      <c r="AJ306" s="304"/>
      <c r="AK306" s="246"/>
      <c r="AL306" s="304"/>
      <c r="AM306" s="246"/>
      <c r="AN306" s="261"/>
      <c r="AO306" s="250"/>
      <c r="AP306" s="246"/>
      <c r="AQ306" s="304"/>
      <c r="AR306" s="246"/>
      <c r="AS306" s="304"/>
      <c r="AT306" s="254" t="str">
        <f t="shared" si="279"/>
        <v/>
      </c>
      <c r="AU306" s="269"/>
      <c r="AV306" s="269"/>
      <c r="AW306" s="206" t="str">
        <f t="shared" ref="AW306:BB306" si="281">AW49</f>
        <v>#REF!</v>
      </c>
      <c r="AX306" s="206">
        <f t="shared" si="281"/>
        <v>49</v>
      </c>
      <c r="AY306" s="206">
        <f t="shared" si="281"/>
        <v>52</v>
      </c>
      <c r="AZ306" s="206">
        <f t="shared" si="281"/>
        <v>45</v>
      </c>
      <c r="BA306" s="464">
        <f t="shared" si="281"/>
        <v>43</v>
      </c>
      <c r="BB306" s="206">
        <f t="shared" si="281"/>
        <v>0</v>
      </c>
      <c r="BC306" s="465">
        <f t="shared" si="232"/>
        <v>1512</v>
      </c>
      <c r="BD306" s="206"/>
      <c r="BE306" s="466"/>
    </row>
    <row r="307">
      <c r="A307" s="94"/>
      <c r="B307" s="392" t="s">
        <v>691</v>
      </c>
      <c r="C307" s="393" t="s">
        <v>652</v>
      </c>
      <c r="D307" s="323"/>
      <c r="E307" s="259"/>
      <c r="F307" s="307"/>
      <c r="G307" s="246"/>
      <c r="H307" s="307"/>
      <c r="I307" s="246"/>
      <c r="J307" s="307"/>
      <c r="K307" s="246"/>
      <c r="L307" s="261"/>
      <c r="M307" s="250"/>
      <c r="N307" s="246"/>
      <c r="P307" s="246"/>
      <c r="Q307" s="307"/>
      <c r="R307" s="246"/>
      <c r="S307" s="261"/>
      <c r="T307" s="307"/>
      <c r="U307" s="246"/>
      <c r="V307" s="395" t="s">
        <v>398</v>
      </c>
      <c r="W307" s="246"/>
      <c r="X307" s="307"/>
      <c r="Y307" s="246"/>
      <c r="Z307" s="261"/>
      <c r="AA307" s="317"/>
      <c r="AB307" s="246"/>
      <c r="AC307" s="395" t="s">
        <v>398</v>
      </c>
      <c r="AD307" s="246"/>
      <c r="AE307" s="307"/>
      <c r="AF307" s="246"/>
      <c r="AG307" s="261"/>
      <c r="AH307" s="307"/>
      <c r="AI307" s="246"/>
      <c r="AJ307" s="307"/>
      <c r="AK307" s="246"/>
      <c r="AL307" s="307"/>
      <c r="AM307" s="246"/>
      <c r="AN307" s="261"/>
      <c r="AO307" s="250"/>
      <c r="AP307" s="246"/>
      <c r="AQ307" s="307"/>
      <c r="AR307" s="246"/>
      <c r="AS307" s="307"/>
      <c r="AT307" s="254" t="str">
        <f t="shared" si="279"/>
        <v/>
      </c>
      <c r="AU307" s="269"/>
      <c r="AV307" s="269"/>
      <c r="AW307" s="206" t="str">
        <f t="shared" ref="AW307:BB307" si="282">AW50</f>
        <v>#REF!</v>
      </c>
      <c r="AX307" s="206">
        <f t="shared" si="282"/>
        <v>49</v>
      </c>
      <c r="AY307" s="206">
        <f t="shared" si="282"/>
        <v>52</v>
      </c>
      <c r="AZ307" s="206">
        <f t="shared" si="282"/>
        <v>45</v>
      </c>
      <c r="BA307" s="464">
        <f t="shared" si="282"/>
        <v>43</v>
      </c>
      <c r="BB307" s="206">
        <f t="shared" si="282"/>
        <v>0</v>
      </c>
      <c r="BC307" s="465">
        <f t="shared" si="232"/>
        <v>1512</v>
      </c>
      <c r="BD307" s="206"/>
      <c r="BE307" s="466"/>
    </row>
    <row r="308">
      <c r="A308" s="94"/>
      <c r="B308" s="328" t="s">
        <v>692</v>
      </c>
      <c r="C308" s="329" t="s">
        <v>652</v>
      </c>
      <c r="D308" s="330"/>
      <c r="E308" s="259"/>
      <c r="F308" s="371"/>
      <c r="G308" s="246"/>
      <c r="H308" s="371"/>
      <c r="I308" s="246"/>
      <c r="J308" s="282"/>
      <c r="K308" s="246"/>
      <c r="L308" s="261"/>
      <c r="M308" s="250"/>
      <c r="N308" s="246"/>
      <c r="O308" s="371"/>
      <c r="P308" s="246"/>
      <c r="Q308" s="371"/>
      <c r="R308" s="246"/>
      <c r="S308" s="261"/>
      <c r="T308" s="282"/>
      <c r="U308" s="246"/>
      <c r="V308" s="371"/>
      <c r="W308" s="246"/>
      <c r="X308" s="371"/>
      <c r="Y308" s="246"/>
      <c r="Z308" s="261"/>
      <c r="AA308" s="317"/>
      <c r="AB308" s="246"/>
      <c r="AC308" s="371"/>
      <c r="AD308" s="246"/>
      <c r="AE308" s="371"/>
      <c r="AF308" s="246"/>
      <c r="AG308" s="261"/>
      <c r="AH308" s="371"/>
      <c r="AI308" s="246"/>
      <c r="AJ308" s="371"/>
      <c r="AK308" s="246"/>
      <c r="AL308" s="371"/>
      <c r="AM308" s="246"/>
      <c r="AN308" s="261"/>
      <c r="AO308" s="250"/>
      <c r="AP308" s="246"/>
      <c r="AQ308" s="371"/>
      <c r="AR308" s="246"/>
      <c r="AT308" s="254" t="str">
        <f>IF(COUNTIF($AO$85:$AT$87, #REF!) &gt; 0, "X", "")</f>
        <v/>
      </c>
      <c r="AU308" s="269"/>
      <c r="AV308" s="269"/>
      <c r="AW308" s="503" t="str">
        <f t="shared" ref="AW308:BB308" si="283">AW51</f>
        <v>#REF!</v>
      </c>
      <c r="AX308" s="206">
        <f t="shared" si="283"/>
        <v>49</v>
      </c>
      <c r="AY308" s="206">
        <f t="shared" si="283"/>
        <v>52</v>
      </c>
      <c r="AZ308" s="206">
        <f t="shared" si="283"/>
        <v>45</v>
      </c>
      <c r="BA308" s="464">
        <f t="shared" si="283"/>
        <v>43</v>
      </c>
      <c r="BB308" s="206">
        <f t="shared" si="283"/>
        <v>0</v>
      </c>
      <c r="BC308" s="465">
        <f t="shared" si="232"/>
        <v>1512</v>
      </c>
      <c r="BD308" s="206"/>
      <c r="BE308" s="466"/>
    </row>
    <row r="309">
      <c r="A309" s="94"/>
      <c r="B309" s="397" t="s">
        <v>692</v>
      </c>
      <c r="C309" s="398" t="s">
        <v>687</v>
      </c>
      <c r="D309" s="369"/>
      <c r="E309" s="259"/>
      <c r="F309" s="399"/>
      <c r="G309" s="246"/>
      <c r="H309" s="399"/>
      <c r="I309" s="246"/>
      <c r="J309" s="399"/>
      <c r="K309" s="246"/>
      <c r="L309" s="261"/>
      <c r="M309" s="250"/>
      <c r="N309" s="246"/>
      <c r="O309" s="282"/>
      <c r="P309" s="246"/>
      <c r="Q309" s="282"/>
      <c r="R309" s="246"/>
      <c r="S309" s="261"/>
      <c r="T309" s="533"/>
      <c r="U309" s="246"/>
      <c r="V309" s="282"/>
      <c r="W309" s="246"/>
      <c r="X309" s="399"/>
      <c r="Y309" s="246"/>
      <c r="Z309" s="261"/>
      <c r="AA309" s="317"/>
      <c r="AB309" s="246"/>
      <c r="AC309" s="399"/>
      <c r="AD309" s="246"/>
      <c r="AE309" s="399"/>
      <c r="AF309" s="246"/>
      <c r="AG309" s="261"/>
      <c r="AH309" s="399"/>
      <c r="AI309" s="246"/>
      <c r="AJ309" s="399"/>
      <c r="AK309" s="246"/>
      <c r="AL309" s="399"/>
      <c r="AM309" s="246"/>
      <c r="AN309" s="261"/>
      <c r="AO309" s="250"/>
      <c r="AP309" s="246"/>
      <c r="AQ309" s="399"/>
      <c r="AR309" s="246"/>
      <c r="AS309" s="399"/>
      <c r="AT309" s="254" t="str">
        <f t="shared" ref="AT309:AT312" si="285">IF(COUNTIF($AO$85:$AT$87, AS309) &gt; 0, "X", "")</f>
        <v/>
      </c>
      <c r="AU309" s="269"/>
      <c r="AV309" s="269"/>
      <c r="AW309" s="206" t="str">
        <f t="shared" ref="AW309:BB309" si="284">AW52</f>
        <v>#REF!</v>
      </c>
      <c r="AX309" s="206">
        <f t="shared" si="284"/>
        <v>49</v>
      </c>
      <c r="AY309" s="206">
        <f t="shared" si="284"/>
        <v>52</v>
      </c>
      <c r="AZ309" s="206">
        <f t="shared" si="284"/>
        <v>45</v>
      </c>
      <c r="BA309" s="464">
        <f t="shared" si="284"/>
        <v>43</v>
      </c>
      <c r="BB309" s="206">
        <f t="shared" si="284"/>
        <v>0</v>
      </c>
      <c r="BC309" s="465">
        <f t="shared" si="232"/>
        <v>1512</v>
      </c>
      <c r="BD309" s="206"/>
      <c r="BE309" s="466"/>
    </row>
    <row r="310">
      <c r="A310" s="94"/>
      <c r="B310" s="387" t="s">
        <v>694</v>
      </c>
      <c r="C310" s="388" t="s">
        <v>649</v>
      </c>
      <c r="D310" s="389"/>
      <c r="E310" s="259"/>
      <c r="F310" s="390"/>
      <c r="G310" s="246"/>
      <c r="H310" s="390"/>
      <c r="I310" s="246"/>
      <c r="J310" s="390"/>
      <c r="K310" s="246"/>
      <c r="L310" s="261"/>
      <c r="M310" s="250"/>
      <c r="N310" s="246"/>
      <c r="O310" s="390"/>
      <c r="P310" s="246"/>
      <c r="Q310" s="357" t="s">
        <v>425</v>
      </c>
      <c r="R310" s="246"/>
      <c r="S310" s="261"/>
      <c r="T310" s="390"/>
      <c r="U310" s="246"/>
      <c r="V310" s="390"/>
      <c r="W310" s="246"/>
      <c r="X310" s="357" t="s">
        <v>425</v>
      </c>
      <c r="Y310" s="246"/>
      <c r="Z310" s="261"/>
      <c r="AA310" s="317"/>
      <c r="AB310" s="246"/>
      <c r="AC310" s="390"/>
      <c r="AD310" s="246"/>
      <c r="AE310" s="357" t="s">
        <v>425</v>
      </c>
      <c r="AF310" s="246"/>
      <c r="AG310" s="261"/>
      <c r="AH310" s="390"/>
      <c r="AI310" s="246"/>
      <c r="AJ310" s="390"/>
      <c r="AK310" s="246"/>
      <c r="AL310" s="357" t="s">
        <v>425</v>
      </c>
      <c r="AM310" s="246"/>
      <c r="AN310" s="261"/>
      <c r="AO310" s="250"/>
      <c r="AP310" s="246"/>
      <c r="AQ310" s="390"/>
      <c r="AR310" s="246"/>
      <c r="AS310" s="357" t="s">
        <v>425</v>
      </c>
      <c r="AT310" s="254" t="str">
        <f t="shared" si="285"/>
        <v/>
      </c>
      <c r="AU310" s="269"/>
      <c r="AV310" s="269"/>
      <c r="AW310" s="206" t="str">
        <f t="shared" ref="AW310:BB310" si="286">AW53</f>
        <v>#REF!</v>
      </c>
      <c r="AX310" s="206">
        <f t="shared" si="286"/>
        <v>49</v>
      </c>
      <c r="AY310" s="206">
        <f t="shared" si="286"/>
        <v>52</v>
      </c>
      <c r="AZ310" s="206">
        <f t="shared" si="286"/>
        <v>45</v>
      </c>
      <c r="BA310" s="464">
        <f t="shared" si="286"/>
        <v>43</v>
      </c>
      <c r="BB310" s="206">
        <f t="shared" si="286"/>
        <v>0</v>
      </c>
      <c r="BC310" s="465">
        <f t="shared" si="232"/>
        <v>1512</v>
      </c>
      <c r="BD310" s="206"/>
      <c r="BE310" s="466"/>
    </row>
    <row r="311">
      <c r="A311" s="94"/>
      <c r="B311" s="296" t="s">
        <v>650</v>
      </c>
      <c r="C311" s="297" t="s">
        <v>649</v>
      </c>
      <c r="D311" s="323"/>
      <c r="E311" s="259"/>
      <c r="F311" s="300"/>
      <c r="G311" s="298"/>
      <c r="H311" s="300"/>
      <c r="I311" s="298"/>
      <c r="J311" s="300"/>
      <c r="K311" s="298"/>
      <c r="L311" s="261"/>
      <c r="M311" s="250"/>
      <c r="N311" s="298"/>
      <c r="O311" s="300"/>
      <c r="P311" s="298"/>
      <c r="Q311" s="319"/>
      <c r="R311" s="298"/>
      <c r="S311" s="261"/>
      <c r="T311" s="300"/>
      <c r="U311" s="298"/>
      <c r="V311" s="300"/>
      <c r="W311" s="298"/>
      <c r="X311" s="318"/>
      <c r="Y311" s="298"/>
      <c r="Z311" s="261"/>
      <c r="AA311" s="317"/>
      <c r="AB311" s="298"/>
      <c r="AC311" s="300"/>
      <c r="AD311" s="298"/>
      <c r="AE311" s="318"/>
      <c r="AF311" s="298"/>
      <c r="AG311" s="261"/>
      <c r="AH311" s="300"/>
      <c r="AI311" s="298"/>
      <c r="AJ311" s="300"/>
      <c r="AK311" s="298"/>
      <c r="AL311" s="318"/>
      <c r="AM311" s="298"/>
      <c r="AN311" s="261"/>
      <c r="AO311" s="250"/>
      <c r="AP311" s="298"/>
      <c r="AQ311" s="300"/>
      <c r="AR311" s="298"/>
      <c r="AS311" s="318"/>
      <c r="AT311" s="254" t="str">
        <f t="shared" si="285"/>
        <v/>
      </c>
      <c r="AU311" s="269"/>
      <c r="AV311" s="269"/>
      <c r="AW311" s="503" t="str">
        <f t="shared" ref="AW311:BB311" si="287">AW54</f>
        <v>#REF!</v>
      </c>
      <c r="AX311" s="206">
        <f t="shared" si="287"/>
        <v>49</v>
      </c>
      <c r="AY311" s="206">
        <f t="shared" si="287"/>
        <v>52</v>
      </c>
      <c r="AZ311" s="206">
        <f t="shared" si="287"/>
        <v>45</v>
      </c>
      <c r="BA311" s="464">
        <f t="shared" si="287"/>
        <v>43</v>
      </c>
      <c r="BB311" s="206">
        <f t="shared" si="287"/>
        <v>0</v>
      </c>
      <c r="BC311" s="465">
        <f t="shared" si="232"/>
        <v>1512</v>
      </c>
      <c r="BD311" s="206"/>
      <c r="BE311" s="466"/>
    </row>
    <row r="312">
      <c r="A312" s="94"/>
      <c r="B312" s="301" t="s">
        <v>651</v>
      </c>
      <c r="C312" s="391" t="s">
        <v>652</v>
      </c>
      <c r="D312" s="323"/>
      <c r="E312" s="261"/>
      <c r="F312" s="304"/>
      <c r="G312" s="298"/>
      <c r="H312" s="304"/>
      <c r="I312" s="298"/>
      <c r="J312" s="304"/>
      <c r="K312" s="298"/>
      <c r="L312" s="261"/>
      <c r="M312" s="250"/>
      <c r="N312" s="298"/>
      <c r="O312" s="304"/>
      <c r="P312" s="298"/>
      <c r="Q312" s="304"/>
      <c r="R312" s="298"/>
      <c r="S312" s="261"/>
      <c r="T312" s="304"/>
      <c r="U312" s="298"/>
      <c r="V312" s="304"/>
      <c r="W312" s="298"/>
      <c r="X312" s="304"/>
      <c r="Y312" s="298"/>
      <c r="Z312" s="261"/>
      <c r="AA312" s="317"/>
      <c r="AB312" s="298"/>
      <c r="AC312" s="304"/>
      <c r="AD312" s="298"/>
      <c r="AE312" s="304"/>
      <c r="AF312" s="298"/>
      <c r="AG312" s="261"/>
      <c r="AH312" s="304"/>
      <c r="AI312" s="298"/>
      <c r="AJ312" s="304"/>
      <c r="AK312" s="298"/>
      <c r="AL312" s="304"/>
      <c r="AM312" s="298"/>
      <c r="AN312" s="261"/>
      <c r="AO312" s="250"/>
      <c r="AP312" s="298"/>
      <c r="AQ312" s="304"/>
      <c r="AR312" s="298"/>
      <c r="AS312" s="304"/>
      <c r="AT312" s="254" t="str">
        <f t="shared" si="285"/>
        <v/>
      </c>
      <c r="AU312" s="269"/>
      <c r="AV312" s="269"/>
      <c r="AW312" s="206" t="str">
        <f t="shared" ref="AW312:BB312" si="288">AW55</f>
        <v>#REF!</v>
      </c>
      <c r="AX312" s="206">
        <f t="shared" si="288"/>
        <v>49</v>
      </c>
      <c r="AY312" s="206">
        <f t="shared" si="288"/>
        <v>52</v>
      </c>
      <c r="AZ312" s="206">
        <f t="shared" si="288"/>
        <v>45</v>
      </c>
      <c r="BA312" s="464">
        <f t="shared" si="288"/>
        <v>43</v>
      </c>
      <c r="BB312" s="206">
        <f t="shared" si="288"/>
        <v>0</v>
      </c>
      <c r="BC312" s="465">
        <f t="shared" si="232"/>
        <v>1512</v>
      </c>
      <c r="BD312" s="206"/>
      <c r="BE312" s="466"/>
    </row>
    <row r="313">
      <c r="A313" s="94"/>
      <c r="B313" s="392" t="s">
        <v>691</v>
      </c>
      <c r="C313" s="393" t="s">
        <v>652</v>
      </c>
      <c r="D313" s="323"/>
      <c r="E313" s="259"/>
      <c r="F313" s="307"/>
      <c r="G313" s="298"/>
      <c r="H313" s="307"/>
      <c r="I313" s="298"/>
      <c r="J313" s="307"/>
      <c r="K313" s="298"/>
      <c r="L313" s="261"/>
      <c r="M313" s="250"/>
      <c r="N313" s="298"/>
      <c r="O313" s="307"/>
      <c r="P313" s="298"/>
      <c r="Q313" s="326" t="s">
        <v>406</v>
      </c>
      <c r="R313" s="298"/>
      <c r="S313" s="261"/>
      <c r="T313" s="307"/>
      <c r="U313" s="298"/>
      <c r="V313" s="307"/>
      <c r="W313" s="298"/>
      <c r="X313" s="395" t="s">
        <v>430</v>
      </c>
      <c r="Y313" s="298"/>
      <c r="Z313" s="261"/>
      <c r="AA313" s="317"/>
      <c r="AB313" s="298"/>
      <c r="AC313" s="307"/>
      <c r="AD313" s="298"/>
      <c r="AE313" s="395" t="s">
        <v>430</v>
      </c>
      <c r="AF313" s="298"/>
      <c r="AG313" s="261"/>
      <c r="AH313" s="307"/>
      <c r="AI313" s="298"/>
      <c r="AJ313" s="307"/>
      <c r="AK313" s="298"/>
      <c r="AL313" s="308" t="s">
        <v>445</v>
      </c>
      <c r="AM313" s="298"/>
      <c r="AN313" s="261"/>
      <c r="AO313" s="250"/>
      <c r="AP313" s="298"/>
      <c r="AQ313" s="307"/>
      <c r="AR313" s="298"/>
      <c r="AS313" s="308" t="s">
        <v>445</v>
      </c>
      <c r="AT313" s="254" t="str">
        <f>IF(COUNTIF($AO$85:$AT$87, #REF!) &gt; 0, "X", "")</f>
        <v/>
      </c>
      <c r="AU313" s="269"/>
      <c r="AV313" s="269"/>
      <c r="AW313" s="206" t="str">
        <f t="shared" ref="AW313:BB313" si="289">AW56</f>
        <v>#REF!</v>
      </c>
      <c r="AX313" s="206">
        <f t="shared" si="289"/>
        <v>49</v>
      </c>
      <c r="AY313" s="206">
        <f t="shared" si="289"/>
        <v>52</v>
      </c>
      <c r="AZ313" s="206">
        <f t="shared" si="289"/>
        <v>45</v>
      </c>
      <c r="BA313" s="464">
        <f t="shared" si="289"/>
        <v>43</v>
      </c>
      <c r="BB313" s="206">
        <f t="shared" si="289"/>
        <v>0</v>
      </c>
      <c r="BC313" s="465">
        <f t="shared" si="232"/>
        <v>1512</v>
      </c>
      <c r="BD313" s="206"/>
      <c r="BE313" s="466"/>
    </row>
    <row r="314">
      <c r="A314" s="94"/>
      <c r="B314" s="328" t="s">
        <v>692</v>
      </c>
      <c r="C314" s="329" t="s">
        <v>652</v>
      </c>
      <c r="D314" s="330"/>
      <c r="E314" s="259"/>
      <c r="F314" s="371"/>
      <c r="G314" s="246"/>
      <c r="H314" s="371"/>
      <c r="I314" s="246"/>
      <c r="J314" s="371"/>
      <c r="K314" s="246"/>
      <c r="L314" s="261"/>
      <c r="M314" s="250"/>
      <c r="N314" s="246"/>
      <c r="O314" s="371"/>
      <c r="P314" s="246"/>
      <c r="Q314" s="371"/>
      <c r="R314" s="246"/>
      <c r="S314" s="261"/>
      <c r="T314" s="371"/>
      <c r="U314" s="246"/>
      <c r="V314" s="371"/>
      <c r="W314" s="246"/>
      <c r="X314" s="282"/>
      <c r="Y314" s="246"/>
      <c r="Z314" s="261"/>
      <c r="AA314" s="317"/>
      <c r="AB314" s="246"/>
      <c r="AC314" s="282"/>
      <c r="AD314" s="246"/>
      <c r="AE314" s="311"/>
      <c r="AF314" s="246"/>
      <c r="AG314" s="261"/>
      <c r="AH314" s="371"/>
      <c r="AI314" s="246"/>
      <c r="AJ314" s="371"/>
      <c r="AK314" s="246"/>
      <c r="AL314" s="282"/>
      <c r="AM314" s="246"/>
      <c r="AN314" s="261"/>
      <c r="AO314" s="250"/>
      <c r="AP314" s="246"/>
      <c r="AQ314" s="371"/>
      <c r="AR314" s="246"/>
      <c r="AT314" s="254" t="str">
        <f>IF(COUNTIF($AO$85:$AT$87, AS313) &gt; 0, "X", "")</f>
        <v/>
      </c>
      <c r="AU314" s="269"/>
      <c r="AV314" s="269"/>
      <c r="AW314" s="206" t="str">
        <f t="shared" ref="AW314:BB314" si="290">AW57</f>
        <v>#REF!</v>
      </c>
      <c r="AX314" s="206">
        <f t="shared" si="290"/>
        <v>49</v>
      </c>
      <c r="AY314" s="206">
        <f t="shared" si="290"/>
        <v>52</v>
      </c>
      <c r="AZ314" s="206">
        <f t="shared" si="290"/>
        <v>45</v>
      </c>
      <c r="BA314" s="464">
        <f t="shared" si="290"/>
        <v>43</v>
      </c>
      <c r="BB314" s="206">
        <f t="shared" si="290"/>
        <v>0</v>
      </c>
      <c r="BC314" s="465">
        <f t="shared" si="232"/>
        <v>1512</v>
      </c>
      <c r="BD314" s="206"/>
      <c r="BE314" s="466"/>
    </row>
    <row r="315">
      <c r="A315" s="94"/>
      <c r="B315" s="397" t="s">
        <v>692</v>
      </c>
      <c r="C315" s="398" t="s">
        <v>687</v>
      </c>
      <c r="D315" s="369"/>
      <c r="E315" s="259"/>
      <c r="F315" s="399"/>
      <c r="G315" s="246"/>
      <c r="H315" s="399"/>
      <c r="I315" s="246"/>
      <c r="J315" s="399"/>
      <c r="K315" s="246"/>
      <c r="L315" s="261"/>
      <c r="M315" s="250"/>
      <c r="N315" s="246"/>
      <c r="O315" s="399"/>
      <c r="P315" s="246"/>
      <c r="Q315" s="282"/>
      <c r="R315" s="246"/>
      <c r="S315" s="261"/>
      <c r="T315" s="399"/>
      <c r="U315" s="246"/>
      <c r="V315" s="399"/>
      <c r="W315" s="246"/>
      <c r="X315" s="399"/>
      <c r="Y315" s="246"/>
      <c r="Z315" s="261"/>
      <c r="AA315" s="317"/>
      <c r="AB315" s="246"/>
      <c r="AC315" s="282"/>
      <c r="AD315" s="246"/>
      <c r="AE315" s="399"/>
      <c r="AF315" s="246"/>
      <c r="AG315" s="261"/>
      <c r="AH315" s="399"/>
      <c r="AI315" s="246"/>
      <c r="AJ315" s="399"/>
      <c r="AK315" s="246"/>
      <c r="AL315" s="399"/>
      <c r="AM315" s="246"/>
      <c r="AN315" s="261"/>
      <c r="AO315" s="250"/>
      <c r="AP315" s="246"/>
      <c r="AQ315" s="399"/>
      <c r="AR315" s="246"/>
      <c r="AS315" s="399"/>
      <c r="AT315" s="254" t="str">
        <f t="shared" ref="AT315:AT322" si="292">IF(COUNTIF($AO$85:$AT$87, AS315) &gt; 0, "X", "")</f>
        <v/>
      </c>
      <c r="AU315" s="269"/>
      <c r="AV315" s="269"/>
      <c r="AW315" s="206" t="str">
        <f t="shared" ref="AW315:BB315" si="291">AW58</f>
        <v>#REF!</v>
      </c>
      <c r="AX315" s="206">
        <f t="shared" si="291"/>
        <v>49</v>
      </c>
      <c r="AY315" s="206">
        <f t="shared" si="291"/>
        <v>52</v>
      </c>
      <c r="AZ315" s="206">
        <f t="shared" si="291"/>
        <v>45</v>
      </c>
      <c r="BA315" s="464">
        <f t="shared" si="291"/>
        <v>43</v>
      </c>
      <c r="BB315" s="206">
        <f t="shared" si="291"/>
        <v>0</v>
      </c>
      <c r="BC315" s="465">
        <f t="shared" si="232"/>
        <v>1512</v>
      </c>
      <c r="BD315" s="206"/>
      <c r="BE315" s="466"/>
    </row>
    <row r="316">
      <c r="A316" s="270"/>
      <c r="B316" s="402" t="s">
        <v>699</v>
      </c>
      <c r="C316" s="403" t="s">
        <v>649</v>
      </c>
      <c r="D316" s="404"/>
      <c r="E316" s="259"/>
      <c r="F316" s="294"/>
      <c r="G316" s="246"/>
      <c r="H316" s="294"/>
      <c r="I316" s="246"/>
      <c r="J316" s="294"/>
      <c r="K316" s="246"/>
      <c r="L316" s="261"/>
      <c r="M316" s="250"/>
      <c r="N316" s="246"/>
      <c r="O316" s="294"/>
      <c r="P316" s="246"/>
      <c r="Q316" s="353" t="s">
        <v>426</v>
      </c>
      <c r="R316" s="246"/>
      <c r="S316" s="261"/>
      <c r="T316" s="294"/>
      <c r="U316" s="246"/>
      <c r="V316" s="294"/>
      <c r="W316" s="246"/>
      <c r="X316" s="294"/>
      <c r="Y316" s="246"/>
      <c r="Z316" s="261"/>
      <c r="AA316" s="317"/>
      <c r="AB316" s="246"/>
      <c r="AC316" s="294"/>
      <c r="AD316" s="246"/>
      <c r="AE316" s="353" t="s">
        <v>422</v>
      </c>
      <c r="AF316" s="246"/>
      <c r="AG316" s="261"/>
      <c r="AH316" s="294"/>
      <c r="AI316" s="246"/>
      <c r="AJ316" s="294"/>
      <c r="AK316" s="246"/>
      <c r="AL316" s="294"/>
      <c r="AM316" s="246"/>
      <c r="AN316" s="261"/>
      <c r="AO316" s="250"/>
      <c r="AP316" s="246"/>
      <c r="AQ316" s="294"/>
      <c r="AR316" s="246"/>
      <c r="AS316" s="294"/>
      <c r="AT316" s="254" t="str">
        <f t="shared" si="292"/>
        <v/>
      </c>
      <c r="AU316" s="269"/>
      <c r="AV316" s="269"/>
      <c r="AW316" s="206" t="str">
        <f t="shared" ref="AW316:BB316" si="293">AW59</f>
        <v>#REF!</v>
      </c>
      <c r="AX316" s="206">
        <f t="shared" si="293"/>
        <v>49</v>
      </c>
      <c r="AY316" s="206">
        <f t="shared" si="293"/>
        <v>52</v>
      </c>
      <c r="AZ316" s="206">
        <f t="shared" si="293"/>
        <v>45</v>
      </c>
      <c r="BA316" s="464">
        <f t="shared" si="293"/>
        <v>43</v>
      </c>
      <c r="BB316" s="206">
        <f t="shared" si="293"/>
        <v>0</v>
      </c>
      <c r="BC316" s="465">
        <f t="shared" si="232"/>
        <v>1512</v>
      </c>
      <c r="BD316" s="206"/>
      <c r="BE316" s="466"/>
    </row>
    <row r="317">
      <c r="A317" s="94"/>
      <c r="B317" s="328" t="s">
        <v>700</v>
      </c>
      <c r="C317" s="329" t="s">
        <v>657</v>
      </c>
      <c r="D317" s="330"/>
      <c r="E317" s="259"/>
      <c r="F317" s="371"/>
      <c r="G317" s="246"/>
      <c r="H317" s="282"/>
      <c r="I317" s="246"/>
      <c r="J317" s="371"/>
      <c r="K317" s="246"/>
      <c r="L317" s="261"/>
      <c r="M317" s="250"/>
      <c r="N317" s="246"/>
      <c r="O317" s="371"/>
      <c r="P317" s="246"/>
      <c r="Q317" s="274" t="s">
        <v>437</v>
      </c>
      <c r="R317" s="246"/>
      <c r="S317" s="261"/>
      <c r="T317" s="371"/>
      <c r="U317" s="246"/>
      <c r="V317" s="371"/>
      <c r="W317" s="246"/>
      <c r="X317" s="371"/>
      <c r="Y317" s="246"/>
      <c r="Z317" s="261"/>
      <c r="AA317" s="317"/>
      <c r="AB317" s="246"/>
      <c r="AC317" s="371"/>
      <c r="AD317" s="246"/>
      <c r="AE317" s="347" t="s">
        <v>437</v>
      </c>
      <c r="AF317" s="246"/>
      <c r="AG317" s="261"/>
      <c r="AH317" s="371"/>
      <c r="AI317" s="246"/>
      <c r="AJ317" s="371"/>
      <c r="AK317" s="246"/>
      <c r="AL317" s="371"/>
      <c r="AM317" s="246"/>
      <c r="AN317" s="261"/>
      <c r="AO317" s="250"/>
      <c r="AP317" s="246"/>
      <c r="AQ317" s="282"/>
      <c r="AR317" s="246"/>
      <c r="AS317" s="371"/>
      <c r="AT317" s="254" t="str">
        <f t="shared" si="292"/>
        <v/>
      </c>
      <c r="AU317" s="269"/>
      <c r="AV317" s="269"/>
      <c r="AW317" s="206" t="str">
        <f t="shared" ref="AW317:BB317" si="294">AW60</f>
        <v>#REF!</v>
      </c>
      <c r="AX317" s="206">
        <f t="shared" si="294"/>
        <v>49</v>
      </c>
      <c r="AY317" s="206">
        <f t="shared" si="294"/>
        <v>52</v>
      </c>
      <c r="AZ317" s="206">
        <f t="shared" si="294"/>
        <v>45</v>
      </c>
      <c r="BA317" s="464">
        <f t="shared" si="294"/>
        <v>43</v>
      </c>
      <c r="BB317" s="206">
        <f t="shared" si="294"/>
        <v>0</v>
      </c>
      <c r="BC317" s="465">
        <f t="shared" si="232"/>
        <v>1512</v>
      </c>
      <c r="BD317" s="206"/>
      <c r="BE317" s="466"/>
    </row>
    <row r="318">
      <c r="A318" s="94"/>
      <c r="B318" s="328" t="s">
        <v>700</v>
      </c>
      <c r="C318" s="329" t="s">
        <v>657</v>
      </c>
      <c r="D318" s="330"/>
      <c r="E318" s="259"/>
      <c r="F318" s="264"/>
      <c r="G318" s="246"/>
      <c r="H318" s="265"/>
      <c r="I318" s="246"/>
      <c r="J318" s="264"/>
      <c r="K318" s="246"/>
      <c r="L318" s="261"/>
      <c r="M318" s="262"/>
      <c r="N318" s="246"/>
      <c r="O318" s="265"/>
      <c r="P318" s="246"/>
      <c r="Q318" s="405" t="s">
        <v>462</v>
      </c>
      <c r="R318" s="246"/>
      <c r="S318" s="261"/>
      <c r="T318" s="264"/>
      <c r="U318" s="246"/>
      <c r="V318" s="264"/>
      <c r="W318" s="246"/>
      <c r="X318" s="264"/>
      <c r="Y318" s="246"/>
      <c r="Z318" s="261"/>
      <c r="AA318" s="295"/>
      <c r="AB318" s="246"/>
      <c r="AC318" s="264"/>
      <c r="AD318" s="246"/>
      <c r="AE318" s="405" t="s">
        <v>462</v>
      </c>
      <c r="AF318" s="246"/>
      <c r="AG318" s="261"/>
      <c r="AH318" s="264"/>
      <c r="AI318" s="246"/>
      <c r="AJ318" s="264"/>
      <c r="AK318" s="246"/>
      <c r="AL318" s="264"/>
      <c r="AM318" s="246"/>
      <c r="AN318" s="261"/>
      <c r="AO318" s="262"/>
      <c r="AP318" s="246"/>
      <c r="AQ318" s="264"/>
      <c r="AR318" s="246"/>
      <c r="AS318" s="264"/>
      <c r="AT318" s="254" t="str">
        <f t="shared" si="292"/>
        <v/>
      </c>
      <c r="AU318" s="269"/>
      <c r="AV318" s="269"/>
      <c r="AW318" s="206" t="str">
        <f t="shared" ref="AW318:BB318" si="295">AW61</f>
        <v>#REF!</v>
      </c>
      <c r="AX318" s="206">
        <f t="shared" si="295"/>
        <v>49</v>
      </c>
      <c r="AY318" s="206">
        <f t="shared" si="295"/>
        <v>52</v>
      </c>
      <c r="AZ318" s="206">
        <f t="shared" si="295"/>
        <v>45</v>
      </c>
      <c r="BA318" s="464">
        <f t="shared" si="295"/>
        <v>43</v>
      </c>
      <c r="BB318" s="206">
        <f t="shared" si="295"/>
        <v>0</v>
      </c>
      <c r="BC318" s="465">
        <f t="shared" si="232"/>
        <v>1512</v>
      </c>
      <c r="BD318" s="206"/>
      <c r="BE318" s="466"/>
    </row>
    <row r="319">
      <c r="A319" s="94"/>
      <c r="B319" s="328" t="s">
        <v>700</v>
      </c>
      <c r="C319" s="329" t="s">
        <v>657</v>
      </c>
      <c r="D319" s="330"/>
      <c r="E319" s="259"/>
      <c r="F319" s="282"/>
      <c r="G319" s="246"/>
      <c r="H319" s="282"/>
      <c r="I319" s="246"/>
      <c r="J319" s="282"/>
      <c r="K319" s="246"/>
      <c r="L319" s="261"/>
      <c r="M319" s="250"/>
      <c r="N319" s="246"/>
      <c r="O319" s="282"/>
      <c r="P319" s="246"/>
      <c r="Q319" s="282"/>
      <c r="R319" s="246"/>
      <c r="S319" s="261"/>
      <c r="T319" s="371"/>
      <c r="U319" s="246"/>
      <c r="V319" s="282"/>
      <c r="W319" s="246"/>
      <c r="X319" s="282"/>
      <c r="Y319" s="246"/>
      <c r="Z319" s="261"/>
      <c r="AA319" s="317"/>
      <c r="AB319" s="246"/>
      <c r="AC319" s="282"/>
      <c r="AD319" s="246"/>
      <c r="AE319" s="282"/>
      <c r="AF319" s="246"/>
      <c r="AG319" s="261"/>
      <c r="AH319" s="371"/>
      <c r="AI319" s="246"/>
      <c r="AJ319" s="282"/>
      <c r="AK319" s="246"/>
      <c r="AL319" s="399"/>
      <c r="AM319" s="246"/>
      <c r="AN319" s="261"/>
      <c r="AO319" s="250"/>
      <c r="AP319" s="246"/>
      <c r="AQ319" s="371"/>
      <c r="AR319" s="246"/>
      <c r="AS319" s="282"/>
      <c r="AT319" s="254" t="str">
        <f t="shared" si="292"/>
        <v/>
      </c>
      <c r="AU319" s="269"/>
      <c r="AV319" s="269"/>
      <c r="AW319" s="206" t="str">
        <f t="shared" ref="AW319:BB319" si="296">AW62</f>
        <v>#REF!</v>
      </c>
      <c r="AX319" s="206">
        <f t="shared" si="296"/>
        <v>49</v>
      </c>
      <c r="AY319" s="206">
        <f t="shared" si="296"/>
        <v>52</v>
      </c>
      <c r="AZ319" s="206">
        <f t="shared" si="296"/>
        <v>45</v>
      </c>
      <c r="BA319" s="464">
        <f t="shared" si="296"/>
        <v>43</v>
      </c>
      <c r="BB319" s="206">
        <f t="shared" si="296"/>
        <v>0</v>
      </c>
      <c r="BC319" s="465">
        <f t="shared" si="232"/>
        <v>1512</v>
      </c>
      <c r="BD319" s="206"/>
      <c r="BE319" s="466"/>
    </row>
    <row r="320">
      <c r="A320" s="94"/>
      <c r="B320" s="408" t="s">
        <v>702</v>
      </c>
      <c r="C320" s="409" t="s">
        <v>652</v>
      </c>
      <c r="D320" s="351"/>
      <c r="E320" s="259"/>
      <c r="F320" s="411"/>
      <c r="G320" s="246"/>
      <c r="H320" s="411"/>
      <c r="I320" s="246"/>
      <c r="J320" s="411"/>
      <c r="K320" s="246"/>
      <c r="L320" s="261"/>
      <c r="M320" s="262"/>
      <c r="N320" s="246"/>
      <c r="O320" s="411"/>
      <c r="P320" s="246"/>
      <c r="Q320" s="411"/>
      <c r="R320" s="246"/>
      <c r="S320" s="261"/>
      <c r="T320" s="411"/>
      <c r="U320" s="246"/>
      <c r="V320" s="411"/>
      <c r="W320" s="246"/>
      <c r="X320" s="411"/>
      <c r="Y320" s="246"/>
      <c r="Z320" s="261"/>
      <c r="AA320" s="295"/>
      <c r="AB320" s="246"/>
      <c r="AC320" s="411"/>
      <c r="AD320" s="246"/>
      <c r="AE320" s="411"/>
      <c r="AF320" s="246"/>
      <c r="AG320" s="261"/>
      <c r="AH320" s="411"/>
      <c r="AI320" s="246"/>
      <c r="AJ320" s="411"/>
      <c r="AK320" s="246"/>
      <c r="AL320" s="411"/>
      <c r="AM320" s="246"/>
      <c r="AN320" s="261"/>
      <c r="AO320" s="262"/>
      <c r="AP320" s="246"/>
      <c r="AQ320" s="411"/>
      <c r="AR320" s="246"/>
      <c r="AS320" s="411"/>
      <c r="AT320" s="254" t="str">
        <f t="shared" si="292"/>
        <v/>
      </c>
      <c r="AU320" s="269"/>
      <c r="AV320" s="269"/>
      <c r="AW320" s="206" t="str">
        <f t="shared" ref="AW320:BB320" si="297">AW63</f>
        <v>#REF!</v>
      </c>
      <c r="AX320" s="206">
        <f t="shared" si="297"/>
        <v>49</v>
      </c>
      <c r="AY320" s="206">
        <f t="shared" si="297"/>
        <v>52</v>
      </c>
      <c r="AZ320" s="206">
        <f t="shared" si="297"/>
        <v>45</v>
      </c>
      <c r="BA320" s="464">
        <f t="shared" si="297"/>
        <v>43</v>
      </c>
      <c r="BB320" s="206">
        <f t="shared" si="297"/>
        <v>0</v>
      </c>
      <c r="BC320" s="465">
        <f t="shared" si="232"/>
        <v>1512</v>
      </c>
      <c r="BD320" s="206"/>
      <c r="BE320" s="466"/>
    </row>
    <row r="321">
      <c r="A321" s="234"/>
      <c r="B321" s="401" t="s">
        <v>703</v>
      </c>
      <c r="C321" s="412" t="s">
        <v>704</v>
      </c>
      <c r="D321" s="323"/>
      <c r="E321" s="259"/>
      <c r="F321" s="413"/>
      <c r="G321" s="246"/>
      <c r="H321" s="413"/>
      <c r="I321" s="246"/>
      <c r="J321" s="413"/>
      <c r="K321" s="246"/>
      <c r="L321" s="261"/>
      <c r="M321" s="262"/>
      <c r="N321" s="246"/>
      <c r="O321" s="413"/>
      <c r="P321" s="246"/>
      <c r="Q321" s="413"/>
      <c r="R321" s="246"/>
      <c r="S321" s="261"/>
      <c r="T321" s="413"/>
      <c r="U321" s="246"/>
      <c r="V321" s="413"/>
      <c r="W321" s="246"/>
      <c r="X321" s="413"/>
      <c r="Y321" s="246"/>
      <c r="Z321" s="261"/>
      <c r="AA321" s="295"/>
      <c r="AB321" s="246"/>
      <c r="AC321" s="413"/>
      <c r="AD321" s="246"/>
      <c r="AE321" s="413"/>
      <c r="AF321" s="246"/>
      <c r="AG321" s="261"/>
      <c r="AH321" s="413"/>
      <c r="AI321" s="246"/>
      <c r="AJ321" s="413"/>
      <c r="AK321" s="246"/>
      <c r="AL321" s="413"/>
      <c r="AM321" s="246"/>
      <c r="AN321" s="261"/>
      <c r="AO321" s="262"/>
      <c r="AP321" s="246"/>
      <c r="AQ321" s="413"/>
      <c r="AR321" s="246"/>
      <c r="AS321" s="413"/>
      <c r="AT321" s="254" t="str">
        <f t="shared" si="292"/>
        <v/>
      </c>
      <c r="AU321" s="269"/>
      <c r="AV321" s="269"/>
      <c r="AW321" s="206" t="str">
        <f t="shared" ref="AW321:BB321" si="298">AW64</f>
        <v>#REF!</v>
      </c>
      <c r="AX321" s="206">
        <f t="shared" si="298"/>
        <v>49</v>
      </c>
      <c r="AY321" s="206">
        <f t="shared" si="298"/>
        <v>52</v>
      </c>
      <c r="AZ321" s="206">
        <f t="shared" si="298"/>
        <v>45</v>
      </c>
      <c r="BA321" s="464">
        <f t="shared" si="298"/>
        <v>43</v>
      </c>
      <c r="BB321" s="206">
        <f t="shared" si="298"/>
        <v>0</v>
      </c>
      <c r="BC321" s="465">
        <f t="shared" si="232"/>
        <v>1512</v>
      </c>
      <c r="BD321" s="206"/>
      <c r="BE321" s="466"/>
    </row>
    <row r="322">
      <c r="A322" s="234"/>
      <c r="B322" s="414" t="s">
        <v>705</v>
      </c>
      <c r="C322" s="415" t="s">
        <v>704</v>
      </c>
      <c r="D322" s="330"/>
      <c r="E322" s="259"/>
      <c r="F322" s="251" t="s">
        <v>706</v>
      </c>
      <c r="G322" s="246"/>
      <c r="H322" s="290" t="s">
        <v>394</v>
      </c>
      <c r="I322" s="246"/>
      <c r="J322" s="290" t="s">
        <v>432</v>
      </c>
      <c r="K322" s="246"/>
      <c r="L322" s="261"/>
      <c r="M322" s="341"/>
      <c r="N322" s="246"/>
      <c r="O322" s="290" t="s">
        <v>394</v>
      </c>
      <c r="P322" s="246"/>
      <c r="Q322" s="290" t="s">
        <v>410</v>
      </c>
      <c r="R322" s="246"/>
      <c r="S322" s="261"/>
      <c r="T322" s="282"/>
      <c r="U322" s="246"/>
      <c r="V322" s="418" t="s">
        <v>394</v>
      </c>
      <c r="W322" s="246"/>
      <c r="X322" s="290" t="s">
        <v>432</v>
      </c>
      <c r="Y322" s="246"/>
      <c r="Z322" s="261"/>
      <c r="AA322" s="295"/>
      <c r="AB322" s="246"/>
      <c r="AC322" s="287" t="s">
        <v>407</v>
      </c>
      <c r="AD322" s="246"/>
      <c r="AE322" s="287" t="s">
        <v>706</v>
      </c>
      <c r="AF322" s="246"/>
      <c r="AG322" s="261"/>
      <c r="AH322" s="282"/>
      <c r="AI322" s="246"/>
      <c r="AJ322" s="418" t="s">
        <v>394</v>
      </c>
      <c r="AK322" s="246"/>
      <c r="AL322" s="287" t="s">
        <v>432</v>
      </c>
      <c r="AM322" s="246"/>
      <c r="AN322" s="261"/>
      <c r="AO322" s="341"/>
      <c r="AP322" s="246"/>
      <c r="AQ322" s="290" t="s">
        <v>394</v>
      </c>
      <c r="AR322" s="246"/>
      <c r="AS322" s="418" t="s">
        <v>410</v>
      </c>
      <c r="AT322" s="254" t="str">
        <f t="shared" si="292"/>
        <v/>
      </c>
      <c r="AU322" s="269"/>
      <c r="AV322" s="269"/>
      <c r="AW322" s="206" t="str">
        <f t="shared" ref="AW322:BB322" si="299">AW65</f>
        <v>#REF!</v>
      </c>
      <c r="AX322" s="206">
        <f t="shared" si="299"/>
        <v>49</v>
      </c>
      <c r="AY322" s="206">
        <f t="shared" si="299"/>
        <v>52</v>
      </c>
      <c r="AZ322" s="206">
        <f t="shared" si="299"/>
        <v>45</v>
      </c>
      <c r="BA322" s="464">
        <f t="shared" si="299"/>
        <v>43</v>
      </c>
      <c r="BB322" s="206">
        <f t="shared" si="299"/>
        <v>0</v>
      </c>
      <c r="BC322" s="465">
        <f t="shared" si="232"/>
        <v>1512</v>
      </c>
      <c r="BD322" s="206"/>
      <c r="BE322" s="466"/>
    </row>
    <row r="323">
      <c r="A323" s="94"/>
      <c r="B323" s="328" t="s">
        <v>705</v>
      </c>
      <c r="C323" s="257" t="s">
        <v>657</v>
      </c>
      <c r="D323" s="330"/>
      <c r="E323" s="259"/>
      <c r="G323" s="246"/>
      <c r="H323" s="290" t="s">
        <v>438</v>
      </c>
      <c r="I323" s="246"/>
      <c r="J323" s="290" t="s">
        <v>467</v>
      </c>
      <c r="K323" s="246"/>
      <c r="L323" s="261"/>
      <c r="M323" s="341"/>
      <c r="N323" s="246"/>
      <c r="O323" s="290" t="s">
        <v>438</v>
      </c>
      <c r="P323" s="246"/>
      <c r="Q323" s="290" t="s">
        <v>470</v>
      </c>
      <c r="R323" s="246"/>
      <c r="S323" s="261"/>
      <c r="T323" s="251" t="s">
        <v>706</v>
      </c>
      <c r="U323" s="246"/>
      <c r="V323" s="290" t="s">
        <v>438</v>
      </c>
      <c r="W323" s="246"/>
      <c r="X323" s="417" t="s">
        <v>452</v>
      </c>
      <c r="Y323" s="246"/>
      <c r="Z323" s="261"/>
      <c r="AA323" s="295"/>
      <c r="AB323" s="246"/>
      <c r="AC323" s="287" t="s">
        <v>440</v>
      </c>
      <c r="AD323" s="246"/>
      <c r="AE323" s="287" t="s">
        <v>410</v>
      </c>
      <c r="AF323" s="246"/>
      <c r="AG323" s="261"/>
      <c r="AH323" s="251" t="s">
        <v>706</v>
      </c>
      <c r="AI323" s="246"/>
      <c r="AJ323" s="251" t="s">
        <v>407</v>
      </c>
      <c r="AK323" s="246"/>
      <c r="AL323" s="417" t="s">
        <v>452</v>
      </c>
      <c r="AM323" s="246"/>
      <c r="AN323" s="261"/>
      <c r="AO323" s="341"/>
      <c r="AP323" s="246"/>
      <c r="AQ323" s="290"/>
      <c r="AR323" s="246"/>
      <c r="AS323" s="417" t="s">
        <v>452</v>
      </c>
      <c r="AT323" s="254" t="str">
        <f t="shared" ref="AT323:AT325" si="301">IF(COUNTIF($AO$85:$AT$87, #REF!) &gt; 0, "X", "")</f>
        <v/>
      </c>
      <c r="AU323" s="269"/>
      <c r="AV323" s="269"/>
      <c r="AW323" s="206" t="str">
        <f t="shared" ref="AW323:BB323" si="300">AW66</f>
        <v>#REF!</v>
      </c>
      <c r="AX323" s="206">
        <f t="shared" si="300"/>
        <v>49</v>
      </c>
      <c r="AY323" s="206">
        <f t="shared" si="300"/>
        <v>52</v>
      </c>
      <c r="AZ323" s="206">
        <f t="shared" si="300"/>
        <v>45</v>
      </c>
      <c r="BA323" s="464">
        <f t="shared" si="300"/>
        <v>43</v>
      </c>
      <c r="BB323" s="206">
        <f t="shared" si="300"/>
        <v>0</v>
      </c>
      <c r="BC323" s="465">
        <f t="shared" si="232"/>
        <v>1512</v>
      </c>
      <c r="BD323" s="206"/>
      <c r="BE323" s="466"/>
    </row>
    <row r="324">
      <c r="A324" s="94"/>
      <c r="B324" s="277" t="s">
        <v>705</v>
      </c>
      <c r="C324" s="329" t="s">
        <v>685</v>
      </c>
      <c r="D324" s="330"/>
      <c r="E324" s="259"/>
      <c r="F324" s="311" t="s">
        <v>470</v>
      </c>
      <c r="G324" s="246"/>
      <c r="H324" s="287" t="s">
        <v>440</v>
      </c>
      <c r="I324" s="246"/>
      <c r="K324" s="246"/>
      <c r="L324" s="261"/>
      <c r="M324" s="341"/>
      <c r="N324" s="246"/>
      <c r="O324" s="287" t="s">
        <v>407</v>
      </c>
      <c r="P324" s="246"/>
      <c r="Q324" s="290" t="s">
        <v>440</v>
      </c>
      <c r="R324" s="246"/>
      <c r="S324" s="261"/>
      <c r="T324" s="311" t="s">
        <v>470</v>
      </c>
      <c r="U324" s="246"/>
      <c r="V324" s="287" t="s">
        <v>407</v>
      </c>
      <c r="W324" s="246"/>
      <c r="X324" s="290" t="s">
        <v>467</v>
      </c>
      <c r="Y324" s="246"/>
      <c r="Z324" s="261"/>
      <c r="AA324" s="317"/>
      <c r="AB324" s="246"/>
      <c r="AC324" s="311" t="s">
        <v>470</v>
      </c>
      <c r="AD324" s="246"/>
      <c r="AE324" s="290" t="s">
        <v>467</v>
      </c>
      <c r="AF324" s="246"/>
      <c r="AG324" s="261"/>
      <c r="AH324" s="311" t="s">
        <v>470</v>
      </c>
      <c r="AI324" s="246"/>
      <c r="AJ324" s="287" t="s">
        <v>440</v>
      </c>
      <c r="AK324" s="246"/>
      <c r="AL324" s="290" t="s">
        <v>467</v>
      </c>
      <c r="AM324" s="246"/>
      <c r="AN324" s="261"/>
      <c r="AO324" s="341"/>
      <c r="AP324" s="246"/>
      <c r="AQ324" s="290" t="s">
        <v>440</v>
      </c>
      <c r="AR324" s="246"/>
      <c r="AS324" s="287" t="s">
        <v>706</v>
      </c>
      <c r="AT324" s="254" t="str">
        <f t="shared" si="301"/>
        <v/>
      </c>
      <c r="AU324" s="269"/>
      <c r="AV324" s="269"/>
      <c r="AW324" s="206" t="str">
        <f t="shared" ref="AW324:BB324" si="302">AW67</f>
        <v>#REF!</v>
      </c>
      <c r="AX324" s="206">
        <f t="shared" si="302"/>
        <v>49</v>
      </c>
      <c r="AY324" s="206">
        <f t="shared" si="302"/>
        <v>52</v>
      </c>
      <c r="AZ324" s="206">
        <f t="shared" si="302"/>
        <v>45</v>
      </c>
      <c r="BA324" s="464">
        <f t="shared" si="302"/>
        <v>43</v>
      </c>
      <c r="BB324" s="206">
        <f t="shared" si="302"/>
        <v>0</v>
      </c>
      <c r="BC324" s="465">
        <f t="shared" si="232"/>
        <v>1512</v>
      </c>
      <c r="BD324" s="206"/>
      <c r="BE324" s="466"/>
    </row>
    <row r="325">
      <c r="A325" s="94"/>
      <c r="B325" s="271" t="s">
        <v>705</v>
      </c>
      <c r="C325" s="272" t="s">
        <v>687</v>
      </c>
      <c r="D325" s="369"/>
      <c r="E325" s="259"/>
      <c r="G325" s="246"/>
      <c r="I325" s="246"/>
      <c r="J325" s="534" t="s">
        <v>798</v>
      </c>
      <c r="K325" s="246"/>
      <c r="L325" s="261"/>
      <c r="M325" s="341"/>
      <c r="N325" s="246"/>
      <c r="P325" s="246"/>
      <c r="Q325" s="265"/>
      <c r="R325" s="246"/>
      <c r="S325" s="261"/>
      <c r="T325" s="282"/>
      <c r="U325" s="246"/>
      <c r="W325" s="246"/>
      <c r="Y325" s="246"/>
      <c r="Z325" s="261"/>
      <c r="AA325" s="317"/>
      <c r="AB325" s="246"/>
      <c r="AD325" s="246"/>
      <c r="AF325" s="246"/>
      <c r="AG325" s="261"/>
      <c r="AH325" s="282"/>
      <c r="AI325" s="246"/>
      <c r="AK325" s="246"/>
      <c r="AM325" s="246"/>
      <c r="AN325" s="261"/>
      <c r="AO325" s="341"/>
      <c r="AP325" s="246"/>
      <c r="AR325" s="246"/>
      <c r="AT325" s="254" t="str">
        <f t="shared" si="301"/>
        <v/>
      </c>
      <c r="AU325" s="269"/>
      <c r="AV325" s="269"/>
      <c r="AW325" s="206" t="str">
        <f t="shared" ref="AW325:BB325" si="303">AW68</f>
        <v>#REF!</v>
      </c>
      <c r="AX325" s="206">
        <f t="shared" si="303"/>
        <v>49</v>
      </c>
      <c r="AY325" s="206">
        <f t="shared" si="303"/>
        <v>52</v>
      </c>
      <c r="AZ325" s="206">
        <f t="shared" si="303"/>
        <v>45</v>
      </c>
      <c r="BA325" s="464">
        <f t="shared" si="303"/>
        <v>43</v>
      </c>
      <c r="BB325" s="206">
        <f t="shared" si="303"/>
        <v>0</v>
      </c>
      <c r="BC325" s="465">
        <f t="shared" si="232"/>
        <v>1512</v>
      </c>
      <c r="BD325" s="206"/>
      <c r="BE325" s="466"/>
    </row>
    <row r="326">
      <c r="A326" s="270"/>
      <c r="B326" s="397" t="s">
        <v>708</v>
      </c>
      <c r="C326" s="398" t="s">
        <v>654</v>
      </c>
      <c r="D326" s="330"/>
      <c r="E326" s="259"/>
      <c r="F326" s="275"/>
      <c r="G326" s="246"/>
      <c r="H326" s="384" t="s">
        <v>441</v>
      </c>
      <c r="I326" s="246"/>
      <c r="J326" s="418" t="s">
        <v>446</v>
      </c>
      <c r="K326" s="246"/>
      <c r="L326" s="261"/>
      <c r="M326" s="341"/>
      <c r="N326" s="246"/>
      <c r="O326" s="384" t="s">
        <v>441</v>
      </c>
      <c r="P326" s="246"/>
      <c r="Q326" s="418" t="s">
        <v>446</v>
      </c>
      <c r="R326" s="246"/>
      <c r="S326" s="261"/>
      <c r="T326" s="275"/>
      <c r="U326" s="246"/>
      <c r="V326" s="420" t="s">
        <v>469</v>
      </c>
      <c r="W326" s="246"/>
      <c r="X326" s="384" t="s">
        <v>441</v>
      </c>
      <c r="Y326" s="246"/>
      <c r="Z326" s="261"/>
      <c r="AA326" s="317"/>
      <c r="AB326" s="246"/>
      <c r="AC326" s="384" t="s">
        <v>441</v>
      </c>
      <c r="AD326" s="246"/>
      <c r="AE326" s="535" t="s">
        <v>446</v>
      </c>
      <c r="AF326" s="246"/>
      <c r="AG326" s="261"/>
      <c r="AH326" s="418" t="s">
        <v>446</v>
      </c>
      <c r="AI326" s="246"/>
      <c r="AJ326" s="384" t="s">
        <v>441</v>
      </c>
      <c r="AK326" s="246"/>
      <c r="AM326" s="246"/>
      <c r="AN326" s="261"/>
      <c r="AO326" s="341"/>
      <c r="AP326" s="246"/>
      <c r="AQ326" s="420" t="s">
        <v>469</v>
      </c>
      <c r="AR326" s="246"/>
      <c r="AS326" s="418"/>
      <c r="AT326" s="254" t="str">
        <f t="shared" ref="AT326:AT328" si="305">IF(COUNTIF($AO$85:$AT$87, AS326) &gt; 0, "X", "")</f>
        <v/>
      </c>
      <c r="AU326" s="269"/>
      <c r="AV326" s="269"/>
      <c r="AW326" s="206" t="str">
        <f t="shared" ref="AW326:BB326" si="304">AW69</f>
        <v>#REF!</v>
      </c>
      <c r="AX326" s="206">
        <f t="shared" si="304"/>
        <v>49</v>
      </c>
      <c r="AY326" s="206">
        <f t="shared" si="304"/>
        <v>52</v>
      </c>
      <c r="AZ326" s="206">
        <f t="shared" si="304"/>
        <v>45</v>
      </c>
      <c r="BA326" s="464">
        <f t="shared" si="304"/>
        <v>43</v>
      </c>
      <c r="BB326" s="206">
        <f t="shared" si="304"/>
        <v>0</v>
      </c>
      <c r="BC326" s="465">
        <f t="shared" si="232"/>
        <v>1512</v>
      </c>
      <c r="BD326" s="206"/>
      <c r="BE326" s="466"/>
    </row>
    <row r="327">
      <c r="A327" s="94"/>
      <c r="B327" s="277" t="s">
        <v>709</v>
      </c>
      <c r="C327" s="278" t="s">
        <v>710</v>
      </c>
      <c r="D327" s="330"/>
      <c r="E327" s="259"/>
      <c r="F327" s="281"/>
      <c r="G327" s="246"/>
      <c r="I327" s="246"/>
      <c r="J327" s="422"/>
      <c r="K327" s="246"/>
      <c r="L327" s="261"/>
      <c r="M327" s="341"/>
      <c r="N327" s="246"/>
      <c r="O327" s="422"/>
      <c r="P327" s="246"/>
      <c r="R327" s="246"/>
      <c r="S327" s="261"/>
      <c r="T327" s="281"/>
      <c r="U327" s="246"/>
      <c r="W327" s="246"/>
      <c r="X327" s="418"/>
      <c r="Y327" s="246"/>
      <c r="Z327" s="261"/>
      <c r="AA327" s="317"/>
      <c r="AB327" s="246"/>
      <c r="AC327" s="265"/>
      <c r="AD327" s="246"/>
      <c r="AE327" s="265"/>
      <c r="AF327" s="246"/>
      <c r="AG327" s="261"/>
      <c r="AH327" s="281"/>
      <c r="AI327" s="246"/>
      <c r="AJ327" s="422"/>
      <c r="AK327" s="246"/>
      <c r="AL327" s="265"/>
      <c r="AM327" s="246"/>
      <c r="AN327" s="261"/>
      <c r="AO327" s="341"/>
      <c r="AP327" s="246"/>
      <c r="AQ327" s="422"/>
      <c r="AR327" s="246"/>
      <c r="AS327" s="422"/>
      <c r="AT327" s="254" t="str">
        <f t="shared" si="305"/>
        <v/>
      </c>
      <c r="AU327" s="269"/>
      <c r="AV327" s="269"/>
      <c r="AW327" s="206" t="str">
        <f t="shared" ref="AW327:BB327" si="306">AW70</f>
        <v>#REF!</v>
      </c>
      <c r="AX327" s="206">
        <f t="shared" si="306"/>
        <v>49</v>
      </c>
      <c r="AY327" s="206">
        <f t="shared" si="306"/>
        <v>52</v>
      </c>
      <c r="AZ327" s="206">
        <f t="shared" si="306"/>
        <v>45</v>
      </c>
      <c r="BA327" s="464">
        <f t="shared" si="306"/>
        <v>43</v>
      </c>
      <c r="BB327" s="206">
        <f t="shared" si="306"/>
        <v>0</v>
      </c>
      <c r="BC327" s="465">
        <f t="shared" si="232"/>
        <v>1512</v>
      </c>
      <c r="BD327" s="206"/>
      <c r="BE327" s="466"/>
    </row>
    <row r="328">
      <c r="A328" s="94"/>
      <c r="B328" s="271" t="s">
        <v>712</v>
      </c>
      <c r="C328" s="272" t="s">
        <v>710</v>
      </c>
      <c r="D328" s="323"/>
      <c r="E328" s="259"/>
      <c r="F328" s="282"/>
      <c r="G328" s="246"/>
      <c r="H328" s="425"/>
      <c r="I328" s="246"/>
      <c r="J328" s="426"/>
      <c r="K328" s="246"/>
      <c r="L328" s="261"/>
      <c r="M328" s="341"/>
      <c r="N328" s="246"/>
      <c r="O328" s="265"/>
      <c r="P328" s="246"/>
      <c r="Q328" s="265"/>
      <c r="R328" s="246"/>
      <c r="S328" s="261"/>
      <c r="T328" s="282"/>
      <c r="U328" s="246"/>
      <c r="V328" s="423"/>
      <c r="W328" s="246"/>
      <c r="X328" s="265"/>
      <c r="Y328" s="246"/>
      <c r="Z328" s="261"/>
      <c r="AA328" s="317"/>
      <c r="AB328" s="246"/>
      <c r="AD328" s="246"/>
      <c r="AE328" s="265"/>
      <c r="AF328" s="246"/>
      <c r="AG328" s="261"/>
      <c r="AH328" s="282"/>
      <c r="AI328" s="246"/>
      <c r="AJ328" s="422"/>
      <c r="AK328" s="246"/>
      <c r="AL328" s="426"/>
      <c r="AM328" s="246"/>
      <c r="AN328" s="261"/>
      <c r="AO328" s="341"/>
      <c r="AP328" s="246"/>
      <c r="AQ328" s="426"/>
      <c r="AR328" s="246"/>
      <c r="AS328" s="265"/>
      <c r="AT328" s="254" t="str">
        <f t="shared" si="305"/>
        <v/>
      </c>
      <c r="AU328" s="269"/>
      <c r="AV328" s="269"/>
      <c r="AW328" s="206" t="str">
        <f t="shared" ref="AW328:BB328" si="307">AW71</f>
        <v>#REF!</v>
      </c>
      <c r="AX328" s="206">
        <f t="shared" si="307"/>
        <v>49</v>
      </c>
      <c r="AY328" s="206">
        <f t="shared" si="307"/>
        <v>52</v>
      </c>
      <c r="AZ328" s="206">
        <f t="shared" si="307"/>
        <v>45</v>
      </c>
      <c r="BA328" s="464">
        <f t="shared" si="307"/>
        <v>43</v>
      </c>
      <c r="BB328" s="206">
        <f t="shared" si="307"/>
        <v>0</v>
      </c>
      <c r="BC328" s="465">
        <f t="shared" si="232"/>
        <v>1512</v>
      </c>
      <c r="BD328" s="206"/>
      <c r="BE328" s="466"/>
    </row>
    <row r="329">
      <c r="A329" s="94"/>
      <c r="B329" s="429" t="s">
        <v>714</v>
      </c>
      <c r="C329" s="430"/>
      <c r="D329" s="431"/>
      <c r="E329" s="259"/>
      <c r="F329" s="432"/>
      <c r="G329" s="433"/>
      <c r="H329" s="432"/>
      <c r="I329" s="432"/>
      <c r="J329" s="432"/>
      <c r="K329" s="432"/>
      <c r="L329" s="261"/>
      <c r="M329" s="432"/>
      <c r="N329" s="433"/>
      <c r="O329" s="432"/>
      <c r="P329" s="432"/>
      <c r="Q329" s="432"/>
      <c r="R329" s="432"/>
      <c r="S329" s="261"/>
      <c r="T329" s="432"/>
      <c r="U329" s="433"/>
      <c r="V329" s="432"/>
      <c r="W329" s="432"/>
      <c r="X329" s="432"/>
      <c r="Y329" s="432"/>
      <c r="Z329" s="261"/>
      <c r="AA329" s="432"/>
      <c r="AB329" s="433"/>
      <c r="AC329" s="432"/>
      <c r="AD329" s="432"/>
      <c r="AE329" s="432"/>
      <c r="AF329" s="432"/>
      <c r="AG329" s="261"/>
      <c r="AH329" s="432"/>
      <c r="AI329" s="433"/>
      <c r="AJ329" s="432"/>
      <c r="AK329" s="432"/>
      <c r="AL329" s="432"/>
      <c r="AM329" s="432"/>
      <c r="AN329" s="261"/>
      <c r="AO329" s="432"/>
      <c r="AP329" s="433"/>
      <c r="AQ329" s="432"/>
      <c r="AR329" s="432"/>
      <c r="AS329" s="432"/>
      <c r="AT329" s="430"/>
      <c r="AU329" s="269"/>
      <c r="AV329" s="269"/>
      <c r="AW329" s="206" t="str">
        <f t="shared" ref="AW329:BB329" si="308">AW72</f>
        <v>#REF!</v>
      </c>
      <c r="AX329" s="206">
        <f t="shared" si="308"/>
        <v>49</v>
      </c>
      <c r="AY329" s="206">
        <f t="shared" si="308"/>
        <v>52</v>
      </c>
      <c r="AZ329" s="206">
        <f t="shared" si="308"/>
        <v>45</v>
      </c>
      <c r="BA329" s="464">
        <f t="shared" si="308"/>
        <v>43</v>
      </c>
      <c r="BB329" s="206">
        <f t="shared" si="308"/>
        <v>0</v>
      </c>
      <c r="BC329" s="465">
        <f t="shared" si="232"/>
        <v>1512</v>
      </c>
      <c r="BD329" s="206"/>
      <c r="BE329" s="466"/>
    </row>
    <row r="330">
      <c r="A330" s="94"/>
      <c r="B330" s="401" t="s">
        <v>715</v>
      </c>
      <c r="C330" s="412" t="s">
        <v>716</v>
      </c>
      <c r="D330" s="323"/>
      <c r="E330" s="259"/>
      <c r="F330" s="434"/>
      <c r="G330" s="246"/>
      <c r="H330" s="434" t="s">
        <v>766</v>
      </c>
      <c r="I330" s="246"/>
      <c r="J330" s="434"/>
      <c r="K330" s="246"/>
      <c r="L330" s="261"/>
      <c r="M330" s="434"/>
      <c r="N330" s="246"/>
      <c r="O330" s="434" t="s">
        <v>766</v>
      </c>
      <c r="P330" s="246"/>
      <c r="Q330" s="434" t="str">
        <f>TEAM!B71</f>
        <v>#REF!</v>
      </c>
      <c r="R330" s="246"/>
      <c r="S330" s="261"/>
      <c r="T330" s="434"/>
      <c r="U330" s="246"/>
      <c r="V330" s="434" t="s">
        <v>766</v>
      </c>
      <c r="W330" s="246"/>
      <c r="X330" s="434"/>
      <c r="Y330" s="246"/>
      <c r="Z330" s="261"/>
      <c r="AA330" s="434"/>
      <c r="AB330" s="246"/>
      <c r="AC330" s="434" t="s">
        <v>766</v>
      </c>
      <c r="AD330" s="246"/>
      <c r="AE330" s="434" t="str">
        <f>TEAM!B71</f>
        <v>#REF!</v>
      </c>
      <c r="AF330" s="246"/>
      <c r="AG330" s="261"/>
      <c r="AH330" s="434"/>
      <c r="AI330" s="246"/>
      <c r="AJ330" s="434" t="s">
        <v>766</v>
      </c>
      <c r="AK330" s="246"/>
      <c r="AL330" s="434" t="str">
        <f>TEAM!B71</f>
        <v>#REF!</v>
      </c>
      <c r="AM330" s="246"/>
      <c r="AN330" s="261"/>
      <c r="AO330" s="434"/>
      <c r="AP330" s="246"/>
      <c r="AQ330" s="434" t="str">
        <f>TEAM!B71</f>
        <v>#REF!</v>
      </c>
      <c r="AR330" s="246"/>
      <c r="AS330" s="434"/>
      <c r="AT330" s="254" t="str">
        <f t="shared" ref="AT330:AT342" si="310">IF(COUNTIF($AO$85:$AT$87, AS330) &gt; 0, "X", "")</f>
        <v/>
      </c>
      <c r="AU330" s="269"/>
      <c r="AV330" s="269"/>
      <c r="AW330" s="206" t="str">
        <f t="shared" ref="AW330:BB330" si="309">AW73</f>
        <v>#REF!</v>
      </c>
      <c r="AX330" s="206">
        <f t="shared" si="309"/>
        <v>49</v>
      </c>
      <c r="AY330" s="206">
        <f t="shared" si="309"/>
        <v>52</v>
      </c>
      <c r="AZ330" s="206">
        <f t="shared" si="309"/>
        <v>45</v>
      </c>
      <c r="BA330" s="464">
        <f t="shared" si="309"/>
        <v>43</v>
      </c>
      <c r="BB330" s="206">
        <f t="shared" si="309"/>
        <v>0</v>
      </c>
      <c r="BC330" s="465">
        <f t="shared" si="232"/>
        <v>1512</v>
      </c>
      <c r="BD330" s="206"/>
      <c r="BE330" s="466"/>
    </row>
    <row r="331">
      <c r="A331" s="94"/>
      <c r="B331" s="435" t="s">
        <v>717</v>
      </c>
      <c r="C331" s="415" t="s">
        <v>718</v>
      </c>
      <c r="D331" s="363"/>
      <c r="E331" s="259"/>
      <c r="F331" s="406"/>
      <c r="G331" s="246"/>
      <c r="H331" s="406" t="str">
        <f>TEAM!B78</f>
        <v>#REF!</v>
      </c>
      <c r="I331" s="246"/>
      <c r="J331" s="406"/>
      <c r="K331" s="246"/>
      <c r="L331" s="261"/>
      <c r="M331" s="406"/>
      <c r="N331" s="246"/>
      <c r="O331" s="406" t="str">
        <f>TEAM!B77</f>
        <v>#REF!</v>
      </c>
      <c r="P331" s="246"/>
      <c r="Q331" s="406"/>
      <c r="R331" s="246"/>
      <c r="S331" s="261"/>
      <c r="T331" s="406"/>
      <c r="U331" s="246"/>
      <c r="V331" s="406" t="str">
        <f>TEAM!B77</f>
        <v>#REF!</v>
      </c>
      <c r="W331" s="246"/>
      <c r="X331" s="406"/>
      <c r="Y331" s="246"/>
      <c r="Z331" s="261"/>
      <c r="AA331" s="406"/>
      <c r="AB331" s="246"/>
      <c r="AC331" s="406" t="str">
        <f>TEAM!B77</f>
        <v>#REF!</v>
      </c>
      <c r="AD331" s="246"/>
      <c r="AE331" s="406"/>
      <c r="AF331" s="246"/>
      <c r="AG331" s="261"/>
      <c r="AH331" s="406"/>
      <c r="AI331" s="246"/>
      <c r="AJ331" s="406" t="str">
        <f>TEAM!B77</f>
        <v>#REF!</v>
      </c>
      <c r="AK331" s="246"/>
      <c r="AL331" s="406"/>
      <c r="AM331" s="246"/>
      <c r="AN331" s="261"/>
      <c r="AO331" s="406"/>
      <c r="AP331" s="246"/>
      <c r="AQ331" s="406" t="str">
        <f>TEAM!B77</f>
        <v>#REF!</v>
      </c>
      <c r="AR331" s="246"/>
      <c r="AS331" s="406"/>
      <c r="AT331" s="254" t="str">
        <f t="shared" si="310"/>
        <v/>
      </c>
      <c r="AU331" s="269"/>
      <c r="AV331" s="269"/>
      <c r="AW331" s="206" t="str">
        <f t="shared" ref="AW331:BB331" si="311">AW74</f>
        <v>#REF!</v>
      </c>
      <c r="AX331" s="206">
        <f t="shared" si="311"/>
        <v>49</v>
      </c>
      <c r="AY331" s="206">
        <f t="shared" si="311"/>
        <v>52</v>
      </c>
      <c r="AZ331" s="206">
        <f t="shared" si="311"/>
        <v>45</v>
      </c>
      <c r="BA331" s="464">
        <f t="shared" si="311"/>
        <v>43</v>
      </c>
      <c r="BB331" s="206">
        <f t="shared" si="311"/>
        <v>0</v>
      </c>
      <c r="BC331" s="465">
        <f t="shared" si="232"/>
        <v>1512</v>
      </c>
      <c r="BD331" s="206"/>
      <c r="BE331" s="466"/>
    </row>
    <row r="332">
      <c r="A332" s="94"/>
      <c r="B332" s="436" t="s">
        <v>719</v>
      </c>
      <c r="C332" s="437" t="s">
        <v>720</v>
      </c>
      <c r="D332" s="330"/>
      <c r="E332" s="259"/>
      <c r="F332" s="406"/>
      <c r="G332" s="246"/>
      <c r="H332" s="406" t="str">
        <f>TEAM!B80</f>
        <v>#REF!</v>
      </c>
      <c r="I332" s="246"/>
      <c r="J332" s="406"/>
      <c r="K332" s="246"/>
      <c r="L332" s="261"/>
      <c r="M332" s="406"/>
      <c r="N332" s="246"/>
      <c r="O332" s="406" t="str">
        <f>TEAM!B80</f>
        <v>#REF!</v>
      </c>
      <c r="P332" s="246"/>
      <c r="Q332" s="406"/>
      <c r="R332" s="246"/>
      <c r="S332" s="261"/>
      <c r="T332" s="406"/>
      <c r="U332" s="246"/>
      <c r="V332" s="406" t="str">
        <f>TEAM!B80</f>
        <v>#REF!</v>
      </c>
      <c r="W332" s="246"/>
      <c r="X332" s="406"/>
      <c r="Y332" s="246"/>
      <c r="Z332" s="261"/>
      <c r="AA332" s="406"/>
      <c r="AB332" s="246"/>
      <c r="AC332" s="406" t="str">
        <f>TEAM!B73</f>
        <v>#REF!</v>
      </c>
      <c r="AD332" s="246"/>
      <c r="AE332" s="406"/>
      <c r="AF332" s="246"/>
      <c r="AG332" s="261"/>
      <c r="AH332" s="406"/>
      <c r="AI332" s="246"/>
      <c r="AJ332" s="406" t="str">
        <f>TEAM!B80</f>
        <v>#REF!</v>
      </c>
      <c r="AK332" s="246"/>
      <c r="AL332" s="406"/>
      <c r="AM332" s="246"/>
      <c r="AN332" s="261"/>
      <c r="AO332" s="406"/>
      <c r="AP332" s="246"/>
      <c r="AQ332" s="406"/>
      <c r="AR332" s="246"/>
      <c r="AS332" s="406"/>
      <c r="AT332" s="254" t="str">
        <f t="shared" si="310"/>
        <v/>
      </c>
      <c r="AU332" s="269"/>
      <c r="AV332" s="269"/>
      <c r="AW332" s="206" t="str">
        <f t="shared" ref="AW332:BB332" si="312">AW75</f>
        <v>#REF!</v>
      </c>
      <c r="AX332" s="206">
        <f t="shared" si="312"/>
        <v>49</v>
      </c>
      <c r="AY332" s="206">
        <f t="shared" si="312"/>
        <v>52</v>
      </c>
      <c r="AZ332" s="206">
        <f t="shared" si="312"/>
        <v>45</v>
      </c>
      <c r="BA332" s="464">
        <f t="shared" si="312"/>
        <v>43</v>
      </c>
      <c r="BB332" s="206">
        <f t="shared" si="312"/>
        <v>0</v>
      </c>
      <c r="BC332" s="465">
        <f t="shared" si="232"/>
        <v>1512</v>
      </c>
      <c r="BD332" s="206"/>
      <c r="BE332" s="466"/>
    </row>
    <row r="333">
      <c r="A333" s="94"/>
      <c r="B333" s="439" t="s">
        <v>721</v>
      </c>
      <c r="C333" s="440" t="s">
        <v>722</v>
      </c>
      <c r="D333" s="330"/>
      <c r="E333" s="259"/>
      <c r="F333" s="406"/>
      <c r="G333" s="246"/>
      <c r="H333" s="406" t="str">
        <f>TEAM!B75</f>
        <v>#REF!</v>
      </c>
      <c r="I333" s="246"/>
      <c r="J333" s="406"/>
      <c r="K333" s="246"/>
      <c r="L333" s="261"/>
      <c r="M333" s="406"/>
      <c r="N333" s="246"/>
      <c r="O333" s="406" t="str">
        <f>TEAM!B75</f>
        <v>#REF!</v>
      </c>
      <c r="P333" s="246"/>
      <c r="Q333" s="406"/>
      <c r="R333" s="246"/>
      <c r="S333" s="261"/>
      <c r="T333" s="406"/>
      <c r="U333" s="246"/>
      <c r="V333" s="406" t="str">
        <f>TEAM!B75</f>
        <v>#REF!</v>
      </c>
      <c r="W333" s="246"/>
      <c r="X333" s="406"/>
      <c r="Y333" s="246"/>
      <c r="Z333" s="261"/>
      <c r="AA333" s="406"/>
      <c r="AB333" s="246"/>
      <c r="AC333" s="406" t="str">
        <f>TEAM!B71</f>
        <v>#REF!</v>
      </c>
      <c r="AD333" s="246"/>
      <c r="AE333" s="406"/>
      <c r="AF333" s="246"/>
      <c r="AG333" s="261"/>
      <c r="AH333" s="406"/>
      <c r="AI333" s="246"/>
      <c r="AJ333" s="406" t="str">
        <f>TEAM!B75</f>
        <v>#REF!</v>
      </c>
      <c r="AK333" s="246"/>
      <c r="AL333" s="406"/>
      <c r="AM333" s="246"/>
      <c r="AN333" s="261"/>
      <c r="AO333" s="406"/>
      <c r="AP333" s="246"/>
      <c r="AQ333" s="406"/>
      <c r="AR333" s="246"/>
      <c r="AS333" s="406"/>
      <c r="AT333" s="254" t="str">
        <f t="shared" si="310"/>
        <v/>
      </c>
      <c r="AU333" s="269"/>
      <c r="AV333" s="269"/>
      <c r="AW333" s="206" t="str">
        <f t="shared" ref="AW333:BB333" si="313">AW76</f>
        <v>#REF!</v>
      </c>
      <c r="AX333" s="206">
        <f t="shared" si="313"/>
        <v>49</v>
      </c>
      <c r="AY333" s="206">
        <f t="shared" si="313"/>
        <v>52</v>
      </c>
      <c r="AZ333" s="206">
        <f t="shared" si="313"/>
        <v>45</v>
      </c>
      <c r="BA333" s="464">
        <f t="shared" si="313"/>
        <v>43</v>
      </c>
      <c r="BB333" s="206">
        <f t="shared" si="313"/>
        <v>0</v>
      </c>
      <c r="BC333" s="465">
        <f t="shared" si="232"/>
        <v>1512</v>
      </c>
      <c r="BD333" s="206"/>
      <c r="BE333" s="466"/>
    </row>
    <row r="334">
      <c r="A334" s="94"/>
      <c r="B334" s="439" t="s">
        <v>723</v>
      </c>
      <c r="C334" s="440" t="s">
        <v>724</v>
      </c>
      <c r="D334" s="330"/>
      <c r="E334" s="259"/>
      <c r="F334" s="441"/>
      <c r="G334" s="246"/>
      <c r="H334" s="406" t="str">
        <f>TEAM!B73</f>
        <v>#REF!</v>
      </c>
      <c r="I334" s="246"/>
      <c r="J334" s="441"/>
      <c r="K334" s="246"/>
      <c r="L334" s="261"/>
      <c r="M334" s="441"/>
      <c r="N334" s="246"/>
      <c r="O334" s="406" t="str">
        <f t="shared" ref="O334:O335" si="315">TEAM!B78</f>
        <v>#REF!</v>
      </c>
      <c r="P334" s="246"/>
      <c r="Q334" s="441"/>
      <c r="R334" s="246"/>
      <c r="S334" s="261"/>
      <c r="T334" s="441"/>
      <c r="U334" s="246"/>
      <c r="V334" s="406" t="str">
        <f>TEAM!B78</f>
        <v>#REF!</v>
      </c>
      <c r="W334" s="246"/>
      <c r="X334" s="441"/>
      <c r="Y334" s="246"/>
      <c r="Z334" s="261"/>
      <c r="AA334" s="441"/>
      <c r="AB334" s="246"/>
      <c r="AC334" s="406" t="str">
        <f t="shared" ref="AC334:AC335" si="316">TEAM!B78</f>
        <v>#REF!</v>
      </c>
      <c r="AD334" s="246"/>
      <c r="AE334" s="441"/>
      <c r="AF334" s="246"/>
      <c r="AG334" s="261"/>
      <c r="AH334" s="441"/>
      <c r="AI334" s="246"/>
      <c r="AJ334" s="406" t="str">
        <f t="shared" ref="AJ334:AJ335" si="317">TEAM!B78</f>
        <v>#REF!</v>
      </c>
      <c r="AK334" s="246"/>
      <c r="AL334" s="441"/>
      <c r="AM334" s="246"/>
      <c r="AN334" s="261"/>
      <c r="AO334" s="441"/>
      <c r="AP334" s="246"/>
      <c r="AQ334" s="406"/>
      <c r="AR334" s="246"/>
      <c r="AS334" s="441"/>
      <c r="AT334" s="254" t="str">
        <f t="shared" si="310"/>
        <v/>
      </c>
      <c r="AU334" s="269"/>
      <c r="AV334" s="269"/>
      <c r="AW334" s="206" t="str">
        <f t="shared" ref="AW334:BB334" si="314">AW77</f>
        <v>#REF!</v>
      </c>
      <c r="AX334" s="206">
        <f t="shared" si="314"/>
        <v>49</v>
      </c>
      <c r="AY334" s="206">
        <f t="shared" si="314"/>
        <v>52</v>
      </c>
      <c r="AZ334" s="206">
        <f t="shared" si="314"/>
        <v>45</v>
      </c>
      <c r="BA334" s="464">
        <f t="shared" si="314"/>
        <v>43</v>
      </c>
      <c r="BB334" s="206">
        <f t="shared" si="314"/>
        <v>0</v>
      </c>
      <c r="BC334" s="465">
        <f t="shared" si="232"/>
        <v>1512</v>
      </c>
      <c r="BD334" s="206"/>
      <c r="BE334" s="466"/>
    </row>
    <row r="335">
      <c r="A335" s="94"/>
      <c r="B335" s="439" t="s">
        <v>725</v>
      </c>
      <c r="C335" s="442" t="s">
        <v>726</v>
      </c>
      <c r="D335" s="330"/>
      <c r="E335" s="259"/>
      <c r="F335" s="441"/>
      <c r="G335" s="246"/>
      <c r="H335" s="441" t="str">
        <f>TEAM!B79</f>
        <v>#REF!</v>
      </c>
      <c r="I335" s="246"/>
      <c r="J335" s="441"/>
      <c r="K335" s="246"/>
      <c r="L335" s="261"/>
      <c r="M335" s="441"/>
      <c r="N335" s="246"/>
      <c r="O335" s="441" t="str">
        <f t="shared" si="315"/>
        <v>#REF!</v>
      </c>
      <c r="P335" s="246"/>
      <c r="Q335" s="441"/>
      <c r="R335" s="246"/>
      <c r="S335" s="261"/>
      <c r="T335" s="441"/>
      <c r="U335" s="246"/>
      <c r="V335" s="441" t="str">
        <f>TEAM!B74</f>
        <v>#REF!</v>
      </c>
      <c r="W335" s="246"/>
      <c r="X335" s="441"/>
      <c r="Y335" s="246"/>
      <c r="Z335" s="261"/>
      <c r="AA335" s="441"/>
      <c r="AB335" s="246"/>
      <c r="AC335" s="441" t="str">
        <f t="shared" si="316"/>
        <v>#REF!</v>
      </c>
      <c r="AD335" s="246"/>
      <c r="AE335" s="441"/>
      <c r="AF335" s="246"/>
      <c r="AG335" s="261"/>
      <c r="AH335" s="441"/>
      <c r="AI335" s="246"/>
      <c r="AJ335" s="441" t="str">
        <f t="shared" si="317"/>
        <v>#REF!</v>
      </c>
      <c r="AK335" s="246"/>
      <c r="AL335" s="441"/>
      <c r="AM335" s="246"/>
      <c r="AN335" s="261"/>
      <c r="AO335" s="441"/>
      <c r="AP335" s="246"/>
      <c r="AQ335" s="441" t="str">
        <f>TEAM!B80</f>
        <v>#REF!</v>
      </c>
      <c r="AR335" s="246"/>
      <c r="AS335" s="441"/>
      <c r="AT335" s="254" t="str">
        <f t="shared" si="310"/>
        <v/>
      </c>
      <c r="AU335" s="269"/>
      <c r="AV335" s="269"/>
      <c r="AW335" s="206" t="str">
        <f t="shared" ref="AW335:BB335" si="318">AW78</f>
        <v>#REF!</v>
      </c>
      <c r="AX335" s="206">
        <f t="shared" si="318"/>
        <v>49</v>
      </c>
      <c r="AY335" s="206">
        <f t="shared" si="318"/>
        <v>52</v>
      </c>
      <c r="AZ335" s="206">
        <f t="shared" si="318"/>
        <v>45</v>
      </c>
      <c r="BA335" s="464">
        <f t="shared" si="318"/>
        <v>43</v>
      </c>
      <c r="BB335" s="206">
        <f t="shared" si="318"/>
        <v>0</v>
      </c>
      <c r="BC335" s="465">
        <f t="shared" si="232"/>
        <v>1512</v>
      </c>
      <c r="BD335" s="206"/>
      <c r="BE335" s="466"/>
    </row>
    <row r="336">
      <c r="A336" s="94"/>
      <c r="B336" s="444" t="s">
        <v>727</v>
      </c>
      <c r="C336" s="445" t="s">
        <v>728</v>
      </c>
      <c r="D336" s="369"/>
      <c r="E336" s="259"/>
      <c r="F336" s="446"/>
      <c r="G336" s="246"/>
      <c r="H336" s="446"/>
      <c r="I336" s="246"/>
      <c r="J336" s="446"/>
      <c r="K336" s="246"/>
      <c r="L336" s="261"/>
      <c r="M336" s="446"/>
      <c r="N336" s="246"/>
      <c r="O336" s="446"/>
      <c r="P336" s="246"/>
      <c r="Q336" s="446"/>
      <c r="R336" s="246"/>
      <c r="S336" s="261"/>
      <c r="T336" s="446"/>
      <c r="U336" s="246"/>
      <c r="V336" s="446"/>
      <c r="W336" s="246"/>
      <c r="X336" s="446"/>
      <c r="Y336" s="246"/>
      <c r="Z336" s="261"/>
      <c r="AA336" s="446"/>
      <c r="AB336" s="246"/>
      <c r="AC336" s="446"/>
      <c r="AD336" s="246"/>
      <c r="AE336" s="446"/>
      <c r="AF336" s="246"/>
      <c r="AG336" s="261"/>
      <c r="AH336" s="446"/>
      <c r="AI336" s="246"/>
      <c r="AJ336" s="446"/>
      <c r="AK336" s="246"/>
      <c r="AL336" s="446"/>
      <c r="AM336" s="246"/>
      <c r="AN336" s="261"/>
      <c r="AO336" s="446"/>
      <c r="AP336" s="246"/>
      <c r="AQ336" s="446"/>
      <c r="AR336" s="246"/>
      <c r="AS336" s="446"/>
      <c r="AT336" s="254" t="str">
        <f t="shared" si="310"/>
        <v/>
      </c>
      <c r="AU336" s="269"/>
      <c r="AV336" s="269"/>
      <c r="AW336" s="206" t="str">
        <f t="shared" ref="AW336:BB336" si="319">AW79</f>
        <v>#REF!</v>
      </c>
      <c r="AX336" s="206">
        <f t="shared" si="319"/>
        <v>49</v>
      </c>
      <c r="AY336" s="206">
        <f t="shared" si="319"/>
        <v>52</v>
      </c>
      <c r="AZ336" s="206">
        <f t="shared" si="319"/>
        <v>45</v>
      </c>
      <c r="BA336" s="464">
        <f t="shared" si="319"/>
        <v>43</v>
      </c>
      <c r="BB336" s="206">
        <f t="shared" si="319"/>
        <v>0</v>
      </c>
      <c r="BC336" s="465">
        <f t="shared" si="232"/>
        <v>1512</v>
      </c>
      <c r="BD336" s="206"/>
      <c r="BE336" s="466"/>
    </row>
    <row r="337">
      <c r="A337" s="94"/>
      <c r="B337" s="447" t="s">
        <v>729</v>
      </c>
      <c r="C337" s="448" t="s">
        <v>730</v>
      </c>
      <c r="D337" s="330"/>
      <c r="E337" s="259"/>
      <c r="F337" s="441"/>
      <c r="G337" s="246"/>
      <c r="H337" s="441"/>
      <c r="I337" s="246"/>
      <c r="J337" s="441"/>
      <c r="K337" s="246"/>
      <c r="L337" s="261"/>
      <c r="M337" s="441"/>
      <c r="N337" s="246"/>
      <c r="O337" s="441"/>
      <c r="P337" s="246"/>
      <c r="Q337" s="441"/>
      <c r="R337" s="246"/>
      <c r="S337" s="261"/>
      <c r="T337" s="441"/>
      <c r="U337" s="246"/>
      <c r="V337" s="441"/>
      <c r="W337" s="246"/>
      <c r="X337" s="441"/>
      <c r="Y337" s="246"/>
      <c r="Z337" s="261"/>
      <c r="AA337" s="441"/>
      <c r="AB337" s="246"/>
      <c r="AC337" s="536" t="str">
        <f>TEAM!B75</f>
        <v>#REF!</v>
      </c>
      <c r="AD337" s="537"/>
      <c r="AE337" s="527" t="s">
        <v>799</v>
      </c>
      <c r="AF337" s="246"/>
      <c r="AG337" s="261"/>
      <c r="AH337" s="441"/>
      <c r="AI337" s="246"/>
      <c r="AJ337" s="441"/>
      <c r="AK337" s="246"/>
      <c r="AL337" s="441"/>
      <c r="AM337" s="246"/>
      <c r="AN337" s="261"/>
      <c r="AO337" s="441"/>
      <c r="AP337" s="246"/>
      <c r="AQ337" s="441"/>
      <c r="AR337" s="246"/>
      <c r="AS337" s="441"/>
      <c r="AT337" s="254" t="str">
        <f t="shared" si="310"/>
        <v/>
      </c>
      <c r="AU337" s="269"/>
      <c r="AV337" s="269"/>
      <c r="AW337" s="206" t="str">
        <f t="shared" ref="AW337:BB337" si="320">AW80</f>
        <v>#REF!</v>
      </c>
      <c r="AX337" s="206">
        <f t="shared" si="320"/>
        <v>49</v>
      </c>
      <c r="AY337" s="206">
        <f t="shared" si="320"/>
        <v>52</v>
      </c>
      <c r="AZ337" s="206">
        <f t="shared" si="320"/>
        <v>45</v>
      </c>
      <c r="BA337" s="464">
        <f t="shared" si="320"/>
        <v>43</v>
      </c>
      <c r="BB337" s="206">
        <f t="shared" si="320"/>
        <v>0</v>
      </c>
      <c r="BC337" s="465">
        <f t="shared" si="232"/>
        <v>1512</v>
      </c>
      <c r="BD337" s="206"/>
      <c r="BE337" s="466"/>
    </row>
    <row r="338">
      <c r="A338" s="94"/>
      <c r="B338" s="450" t="s">
        <v>731</v>
      </c>
      <c r="C338" s="451" t="s">
        <v>732</v>
      </c>
      <c r="D338" s="363"/>
      <c r="E338" s="259"/>
      <c r="F338" s="206"/>
      <c r="G338" s="246"/>
      <c r="H338" s="206" t="str">
        <f>TEAM!B74</f>
        <v>#REF!</v>
      </c>
      <c r="I338" s="246"/>
      <c r="J338" s="206"/>
      <c r="K338" s="246"/>
      <c r="L338" s="261"/>
      <c r="M338" s="206"/>
      <c r="N338" s="246"/>
      <c r="O338" s="206" t="str">
        <f>TEAM!B74</f>
        <v>#REF!</v>
      </c>
      <c r="P338" s="246"/>
      <c r="Q338" s="206"/>
      <c r="R338" s="246"/>
      <c r="S338" s="261"/>
      <c r="T338" s="206"/>
      <c r="U338" s="246"/>
      <c r="V338" s="206" t="str">
        <f>TEAM!B73</f>
        <v>#REF!</v>
      </c>
      <c r="W338" s="246"/>
      <c r="X338" s="206"/>
      <c r="Y338" s="246"/>
      <c r="Z338" s="261"/>
      <c r="AA338" s="206"/>
      <c r="AB338" s="246"/>
      <c r="AC338" s="206" t="str">
        <f>TEAM!B74</f>
        <v>#REF!</v>
      </c>
      <c r="AD338" s="246"/>
      <c r="AE338" s="206"/>
      <c r="AF338" s="246"/>
      <c r="AG338" s="261"/>
      <c r="AH338" s="206"/>
      <c r="AI338" s="246"/>
      <c r="AJ338" s="206" t="str">
        <f>TEAM!B73</f>
        <v>#REF!</v>
      </c>
      <c r="AK338" s="246"/>
      <c r="AL338" s="206"/>
      <c r="AM338" s="246"/>
      <c r="AN338" s="261"/>
      <c r="AO338" s="206"/>
      <c r="AP338" s="246"/>
      <c r="AQ338" s="206"/>
      <c r="AR338" s="246"/>
      <c r="AS338" s="206"/>
      <c r="AT338" s="254" t="str">
        <f t="shared" si="310"/>
        <v/>
      </c>
      <c r="AU338" s="269"/>
      <c r="AV338" s="269"/>
      <c r="AW338" s="206" t="str">
        <f t="shared" ref="AW338:BB338" si="321">AW81</f>
        <v>#REF!</v>
      </c>
      <c r="AX338" s="206">
        <f t="shared" si="321"/>
        <v>49</v>
      </c>
      <c r="AY338" s="206">
        <f t="shared" si="321"/>
        <v>52</v>
      </c>
      <c r="AZ338" s="206">
        <f t="shared" si="321"/>
        <v>45</v>
      </c>
      <c r="BA338" s="464">
        <f t="shared" si="321"/>
        <v>43</v>
      </c>
      <c r="BB338" s="206">
        <f t="shared" si="321"/>
        <v>0</v>
      </c>
      <c r="BC338" s="465">
        <f t="shared" si="232"/>
        <v>1512</v>
      </c>
      <c r="BD338" s="206"/>
      <c r="BE338" s="466"/>
    </row>
    <row r="339">
      <c r="A339" s="94"/>
      <c r="B339" s="452" t="s">
        <v>733</v>
      </c>
      <c r="C339" s="453" t="s">
        <v>734</v>
      </c>
      <c r="D339" s="363"/>
      <c r="E339" s="259"/>
      <c r="F339" s="74"/>
      <c r="G339" s="246"/>
      <c r="H339" s="74" t="str">
        <f>TEAM!B72</f>
        <v>#REF!</v>
      </c>
      <c r="I339" s="246"/>
      <c r="J339" s="74"/>
      <c r="K339" s="246"/>
      <c r="L339" s="261"/>
      <c r="M339" s="74"/>
      <c r="N339" s="246"/>
      <c r="O339" s="74" t="str">
        <f>TEAM!B72</f>
        <v>#REF!</v>
      </c>
      <c r="P339" s="246"/>
      <c r="Q339" s="74"/>
      <c r="R339" s="246"/>
      <c r="S339" s="261"/>
      <c r="T339" s="74"/>
      <c r="U339" s="246"/>
      <c r="V339" s="74" t="str">
        <f>TEAM!B72</f>
        <v>#REF!</v>
      </c>
      <c r="W339" s="246"/>
      <c r="X339" s="74"/>
      <c r="Y339" s="246"/>
      <c r="Z339" s="261"/>
      <c r="AA339" s="74"/>
      <c r="AB339" s="246"/>
      <c r="AC339" s="74" t="str">
        <f>TEAM!B72</f>
        <v>#REF!</v>
      </c>
      <c r="AD339" s="246"/>
      <c r="AE339" s="74"/>
      <c r="AF339" s="246"/>
      <c r="AG339" s="261"/>
      <c r="AH339" s="74"/>
      <c r="AI339" s="246"/>
      <c r="AJ339" s="74" t="str">
        <f>TEAM!B72</f>
        <v>#REF!</v>
      </c>
      <c r="AK339" s="246"/>
      <c r="AL339" s="74"/>
      <c r="AM339" s="246"/>
      <c r="AN339" s="261"/>
      <c r="AO339" s="74"/>
      <c r="AP339" s="246"/>
      <c r="AQ339" s="74" t="str">
        <f>TEAM!B79</f>
        <v>#REF!</v>
      </c>
      <c r="AR339" s="246"/>
      <c r="AS339" s="74"/>
      <c r="AT339" s="254" t="str">
        <f t="shared" si="310"/>
        <v/>
      </c>
      <c r="AU339" s="269"/>
      <c r="AV339" s="269"/>
      <c r="AW339" s="206" t="str">
        <f t="shared" ref="AW339:BB339" si="322">AW82</f>
        <v>#REF!</v>
      </c>
      <c r="AX339" s="206">
        <f t="shared" si="322"/>
        <v>49</v>
      </c>
      <c r="AY339" s="206">
        <f t="shared" si="322"/>
        <v>52</v>
      </c>
      <c r="AZ339" s="206">
        <f t="shared" si="322"/>
        <v>45</v>
      </c>
      <c r="BA339" s="464">
        <f t="shared" si="322"/>
        <v>43</v>
      </c>
      <c r="BB339" s="206">
        <f t="shared" si="322"/>
        <v>0</v>
      </c>
      <c r="BC339" s="465">
        <f t="shared" si="232"/>
        <v>1512</v>
      </c>
      <c r="BD339" s="206"/>
      <c r="BE339" s="466"/>
    </row>
    <row r="340">
      <c r="A340" s="94"/>
      <c r="B340" s="454" t="s">
        <v>735</v>
      </c>
      <c r="C340" s="455" t="s">
        <v>736</v>
      </c>
      <c r="D340" s="363"/>
      <c r="E340" s="259"/>
      <c r="F340" s="441"/>
      <c r="G340" s="246"/>
      <c r="H340" s="441"/>
      <c r="I340" s="246"/>
      <c r="J340" s="405" t="s">
        <v>462</v>
      </c>
      <c r="K340" s="246"/>
      <c r="L340" s="261"/>
      <c r="M340" s="441"/>
      <c r="N340" s="246"/>
      <c r="O340" s="441"/>
      <c r="P340" s="246"/>
      <c r="Q340" s="441"/>
      <c r="R340" s="246"/>
      <c r="S340" s="261"/>
      <c r="T340" s="441"/>
      <c r="U340" s="246"/>
      <c r="V340" s="441"/>
      <c r="W340" s="246"/>
      <c r="X340" s="405" t="s">
        <v>462</v>
      </c>
      <c r="Y340" s="246"/>
      <c r="Z340" s="261"/>
      <c r="AA340" s="441"/>
      <c r="AB340" s="246"/>
      <c r="AC340" s="441"/>
      <c r="AD340" s="246"/>
      <c r="AE340" s="441"/>
      <c r="AF340" s="246"/>
      <c r="AG340" s="261"/>
      <c r="AH340" s="441"/>
      <c r="AI340" s="246"/>
      <c r="AJ340" s="441"/>
      <c r="AK340" s="246"/>
      <c r="AL340" s="405" t="s">
        <v>462</v>
      </c>
      <c r="AM340" s="246"/>
      <c r="AN340" s="261"/>
      <c r="AO340" s="441"/>
      <c r="AP340" s="246"/>
      <c r="AQ340" s="441"/>
      <c r="AR340" s="246"/>
      <c r="AS340" s="441"/>
      <c r="AT340" s="254" t="str">
        <f t="shared" si="310"/>
        <v/>
      </c>
      <c r="AU340" s="269"/>
      <c r="AV340" s="269"/>
      <c r="AW340" s="206" t="str">
        <f t="shared" ref="AW340:BB340" si="323">AW83</f>
        <v>#REF!</v>
      </c>
      <c r="AX340" s="206">
        <f t="shared" si="323"/>
        <v>49</v>
      </c>
      <c r="AY340" s="206">
        <f t="shared" si="323"/>
        <v>52</v>
      </c>
      <c r="AZ340" s="206">
        <f t="shared" si="323"/>
        <v>45</v>
      </c>
      <c r="BA340" s="464">
        <f t="shared" si="323"/>
        <v>43</v>
      </c>
      <c r="BB340" s="206">
        <f t="shared" si="323"/>
        <v>0</v>
      </c>
      <c r="BC340" s="465">
        <f t="shared" si="232"/>
        <v>1512</v>
      </c>
      <c r="BD340" s="206"/>
      <c r="BE340" s="466"/>
    </row>
    <row r="341">
      <c r="A341" s="94"/>
      <c r="B341" s="454" t="s">
        <v>735</v>
      </c>
      <c r="C341" s="442" t="s">
        <v>736</v>
      </c>
      <c r="D341" s="363"/>
      <c r="E341" s="259"/>
      <c r="F341" s="456"/>
      <c r="G341" s="246"/>
      <c r="H341" s="456"/>
      <c r="I341" s="246"/>
      <c r="J341" s="456"/>
      <c r="K341" s="246"/>
      <c r="L341" s="261"/>
      <c r="M341" s="456"/>
      <c r="N341" s="246"/>
      <c r="O341" s="456"/>
      <c r="P341" s="246"/>
      <c r="Q341" s="456"/>
      <c r="R341" s="246"/>
      <c r="S341" s="261"/>
      <c r="T341" s="456"/>
      <c r="U341" s="246"/>
      <c r="V341" s="456"/>
      <c r="W341" s="246"/>
      <c r="X341" s="456"/>
      <c r="Y341" s="246"/>
      <c r="Z341" s="261"/>
      <c r="AA341" s="456"/>
      <c r="AB341" s="246"/>
      <c r="AC341" s="456"/>
      <c r="AD341" s="246"/>
      <c r="AE341" s="456"/>
      <c r="AF341" s="246"/>
      <c r="AG341" s="261"/>
      <c r="AH341" s="456"/>
      <c r="AI341" s="246"/>
      <c r="AJ341" s="456"/>
      <c r="AK341" s="246"/>
      <c r="AL341" s="456"/>
      <c r="AM341" s="246"/>
      <c r="AN341" s="261"/>
      <c r="AO341" s="456"/>
      <c r="AP341" s="246"/>
      <c r="AQ341" s="456"/>
      <c r="AR341" s="246"/>
      <c r="AS341" s="456"/>
      <c r="AT341" s="254" t="str">
        <f t="shared" si="310"/>
        <v/>
      </c>
      <c r="AU341" s="269"/>
      <c r="AV341" s="269"/>
      <c r="AW341" s="206" t="str">
        <f t="shared" ref="AW341:BB341" si="324">AW84</f>
        <v>#REF!</v>
      </c>
      <c r="AX341" s="206">
        <f t="shared" si="324"/>
        <v>49</v>
      </c>
      <c r="AY341" s="206">
        <f t="shared" si="324"/>
        <v>52</v>
      </c>
      <c r="AZ341" s="206">
        <f t="shared" si="324"/>
        <v>45</v>
      </c>
      <c r="BA341" s="464">
        <f t="shared" si="324"/>
        <v>43</v>
      </c>
      <c r="BB341" s="206">
        <f t="shared" si="324"/>
        <v>0</v>
      </c>
      <c r="BC341" s="465">
        <f t="shared" si="232"/>
        <v>1512</v>
      </c>
      <c r="BD341" s="206"/>
      <c r="BE341" s="466"/>
    </row>
    <row r="342">
      <c r="A342" s="94"/>
      <c r="B342" s="457" t="s">
        <v>735</v>
      </c>
      <c r="C342" s="458" t="s">
        <v>737</v>
      </c>
      <c r="D342" s="363"/>
      <c r="E342" s="259"/>
      <c r="F342" s="406"/>
      <c r="G342" s="246"/>
      <c r="H342" s="406"/>
      <c r="I342" s="246"/>
      <c r="J342" s="406"/>
      <c r="K342" s="246"/>
      <c r="L342" s="261"/>
      <c r="M342" s="406"/>
      <c r="N342" s="246"/>
      <c r="O342" s="406"/>
      <c r="P342" s="246"/>
      <c r="Q342" s="406"/>
      <c r="R342" s="246"/>
      <c r="S342" s="261"/>
      <c r="T342" s="406"/>
      <c r="U342" s="246"/>
      <c r="V342" s="406"/>
      <c r="W342" s="246"/>
      <c r="X342" s="406"/>
      <c r="Y342" s="246"/>
      <c r="Z342" s="261"/>
      <c r="AA342" s="406"/>
      <c r="AB342" s="246"/>
      <c r="AC342" s="406"/>
      <c r="AD342" s="246"/>
      <c r="AE342" s="406"/>
      <c r="AF342" s="246"/>
      <c r="AG342" s="261"/>
      <c r="AH342" s="406"/>
      <c r="AI342" s="246"/>
      <c r="AJ342" s="406"/>
      <c r="AK342" s="246"/>
      <c r="AL342" s="406"/>
      <c r="AM342" s="246"/>
      <c r="AN342" s="261"/>
      <c r="AO342" s="406"/>
      <c r="AP342" s="246"/>
      <c r="AQ342" s="406"/>
      <c r="AR342" s="246"/>
      <c r="AS342" s="406"/>
      <c r="AT342" s="254" t="str">
        <f t="shared" si="310"/>
        <v/>
      </c>
      <c r="AU342" s="269"/>
      <c r="AV342" s="269"/>
      <c r="AW342" s="206" t="str">
        <f t="shared" ref="AW342:BB342" si="325">AW85</f>
        <v>#REF!</v>
      </c>
      <c r="AX342" s="206">
        <f t="shared" si="325"/>
        <v>49</v>
      </c>
      <c r="AY342" s="206">
        <f t="shared" si="325"/>
        <v>52</v>
      </c>
      <c r="AZ342" s="206">
        <f t="shared" si="325"/>
        <v>45</v>
      </c>
      <c r="BA342" s="464">
        <f t="shared" si="325"/>
        <v>43</v>
      </c>
      <c r="BB342" s="206">
        <f t="shared" si="325"/>
        <v>0</v>
      </c>
      <c r="BC342" s="465">
        <f t="shared" si="232"/>
        <v>1512</v>
      </c>
      <c r="BD342" s="206"/>
      <c r="BE342" s="466"/>
    </row>
    <row r="343">
      <c r="A343" s="94"/>
      <c r="B343" s="459"/>
      <c r="C343" s="460" t="s">
        <v>738</v>
      </c>
      <c r="D343" s="363"/>
      <c r="E343" s="259"/>
      <c r="F343" s="461" t="s">
        <v>800</v>
      </c>
      <c r="G343" s="246"/>
      <c r="H343" s="132"/>
      <c r="I343" s="246"/>
      <c r="J343" s="132"/>
      <c r="K343" s="246"/>
      <c r="L343" s="462"/>
      <c r="M343" s="461" t="s">
        <v>801</v>
      </c>
      <c r="N343" s="246"/>
      <c r="O343" s="132"/>
      <c r="P343" s="246"/>
      <c r="Q343" s="132"/>
      <c r="R343" s="246"/>
      <c r="S343" s="462"/>
      <c r="T343" s="461" t="s">
        <v>802</v>
      </c>
      <c r="U343" s="246"/>
      <c r="V343" s="132"/>
      <c r="W343" s="246"/>
      <c r="X343" s="132"/>
      <c r="Y343" s="246"/>
      <c r="Z343" s="462"/>
      <c r="AA343" s="461" t="s">
        <v>803</v>
      </c>
      <c r="AB343" s="246"/>
      <c r="AC343" s="132"/>
      <c r="AD343" s="246"/>
      <c r="AE343" s="132"/>
      <c r="AF343" s="246"/>
      <c r="AG343" s="462"/>
      <c r="AH343" s="461" t="s">
        <v>802</v>
      </c>
      <c r="AI343" s="246"/>
      <c r="AJ343" s="132"/>
      <c r="AK343" s="246"/>
      <c r="AL343" s="132"/>
      <c r="AM343" s="246"/>
      <c r="AN343" s="462"/>
      <c r="AO343" s="461" t="s">
        <v>804</v>
      </c>
      <c r="AP343" s="246"/>
      <c r="AQ343" s="132"/>
      <c r="AR343" s="246"/>
      <c r="AS343" s="132"/>
      <c r="AT343" s="460"/>
      <c r="AU343" s="269"/>
      <c r="AV343" s="269"/>
      <c r="AW343" s="206" t="str">
        <f t="shared" ref="AW343:BB343" si="326">AW86</f>
        <v>#REF!</v>
      </c>
      <c r="AX343" s="206">
        <f t="shared" si="326"/>
        <v>49</v>
      </c>
      <c r="AY343" s="206">
        <f t="shared" si="326"/>
        <v>52</v>
      </c>
      <c r="AZ343" s="206">
        <f t="shared" si="326"/>
        <v>45</v>
      </c>
      <c r="BA343" s="464">
        <f t="shared" si="326"/>
        <v>43</v>
      </c>
      <c r="BB343" s="206">
        <f t="shared" si="326"/>
        <v>0</v>
      </c>
      <c r="BC343" s="465">
        <f t="shared" si="232"/>
        <v>1512</v>
      </c>
      <c r="BD343" s="206"/>
      <c r="BE343" s="466"/>
    </row>
    <row r="344">
      <c r="A344" s="270"/>
      <c r="B344" s="459"/>
      <c r="C344" s="460" t="s">
        <v>738</v>
      </c>
      <c r="D344" s="363"/>
      <c r="E344" s="259"/>
      <c r="F344" s="132"/>
      <c r="G344" s="246"/>
      <c r="H344" s="132"/>
      <c r="I344" s="246"/>
      <c r="J344" s="132"/>
      <c r="K344" s="246"/>
      <c r="L344" s="462"/>
      <c r="M344" s="132"/>
      <c r="N344" s="246"/>
      <c r="O344" s="132"/>
      <c r="P344" s="246"/>
      <c r="Q344" s="132"/>
      <c r="R344" s="246"/>
      <c r="S344" s="462"/>
      <c r="T344" s="132" t="s">
        <v>805</v>
      </c>
      <c r="U344" s="246"/>
      <c r="V344" s="132"/>
      <c r="W344" s="246"/>
      <c r="X344" s="132"/>
      <c r="Y344" s="246"/>
      <c r="Z344" s="462"/>
      <c r="AA344" s="132" t="s">
        <v>806</v>
      </c>
      <c r="AB344" s="246"/>
      <c r="AC344" s="132"/>
      <c r="AD344" s="246"/>
      <c r="AE344" s="132"/>
      <c r="AF344" s="246"/>
      <c r="AG344" s="462"/>
      <c r="AH344" s="132"/>
      <c r="AI344" s="246"/>
      <c r="AJ344" s="132"/>
      <c r="AK344" s="246"/>
      <c r="AL344" s="132"/>
      <c r="AM344" s="246"/>
      <c r="AN344" s="462"/>
      <c r="AO344" s="132"/>
      <c r="AP344" s="246"/>
      <c r="AQ344" s="132"/>
      <c r="AR344" s="246"/>
      <c r="AS344" s="132"/>
      <c r="AT344" s="460"/>
      <c r="AU344" s="236"/>
      <c r="AV344" s="236"/>
      <c r="AW344" s="206" t="str">
        <f t="shared" ref="AW344:BB344" si="327">AW87</f>
        <v>#REF!</v>
      </c>
      <c r="AX344" s="206">
        <f t="shared" si="327"/>
        <v>49</v>
      </c>
      <c r="AY344" s="206">
        <f t="shared" si="327"/>
        <v>52</v>
      </c>
      <c r="AZ344" s="206">
        <f t="shared" si="327"/>
        <v>45</v>
      </c>
      <c r="BA344" s="464">
        <f t="shared" si="327"/>
        <v>43</v>
      </c>
      <c r="BB344" s="206">
        <f t="shared" si="327"/>
        <v>0</v>
      </c>
      <c r="BC344" s="465" t="str">
        <f t="shared" si="232"/>
        <v/>
      </c>
      <c r="BD344" s="206"/>
      <c r="BE344" s="466"/>
    </row>
    <row r="345">
      <c r="A345" s="236"/>
      <c r="B345" s="459"/>
      <c r="C345" s="460" t="s">
        <v>738</v>
      </c>
      <c r="D345" s="363"/>
      <c r="E345" s="259"/>
      <c r="F345" s="132"/>
      <c r="G345" s="246"/>
      <c r="H345" s="132"/>
      <c r="I345" s="246"/>
      <c r="J345" s="132"/>
      <c r="K345" s="246"/>
      <c r="L345" s="462"/>
      <c r="M345" s="132"/>
      <c r="N345" s="246"/>
      <c r="O345" s="132"/>
      <c r="P345" s="246"/>
      <c r="Q345" s="132"/>
      <c r="R345" s="246"/>
      <c r="S345" s="462"/>
      <c r="T345" s="132" t="s">
        <v>807</v>
      </c>
      <c r="U345" s="246"/>
      <c r="V345" s="132"/>
      <c r="W345" s="246"/>
      <c r="X345" s="132"/>
      <c r="Y345" s="246"/>
      <c r="Z345" s="462"/>
      <c r="AA345" s="132"/>
      <c r="AB345" s="246"/>
      <c r="AC345" s="132"/>
      <c r="AD345" s="246"/>
      <c r="AE345" s="132"/>
      <c r="AF345" s="246"/>
      <c r="AG345" s="462"/>
      <c r="AH345" s="132"/>
      <c r="AI345" s="246"/>
      <c r="AJ345" s="132"/>
      <c r="AK345" s="246"/>
      <c r="AL345" s="132"/>
      <c r="AM345" s="246"/>
      <c r="AN345" s="462"/>
      <c r="AO345" s="461" t="s">
        <v>552</v>
      </c>
      <c r="AP345" s="246"/>
      <c r="AQ345" s="132"/>
      <c r="AR345" s="246"/>
      <c r="AS345" s="132"/>
      <c r="AT345" s="460"/>
      <c r="AU345" s="236"/>
      <c r="AV345" s="236"/>
      <c r="AW345" s="206" t="str">
        <f t="shared" ref="AW345:BB345" si="328">AW88</f>
        <v/>
      </c>
      <c r="AX345" s="206" t="str">
        <f t="shared" si="328"/>
        <v/>
      </c>
      <c r="AY345" s="206" t="str">
        <f t="shared" si="328"/>
        <v/>
      </c>
      <c r="AZ345" s="206" t="str">
        <f t="shared" si="328"/>
        <v/>
      </c>
      <c r="BA345" s="464" t="str">
        <f t="shared" si="328"/>
        <v/>
      </c>
      <c r="BB345" s="206" t="str">
        <f t="shared" si="328"/>
        <v/>
      </c>
      <c r="BC345" s="465" t="str">
        <f t="shared" si="232"/>
        <v/>
      </c>
      <c r="BD345" s="206"/>
      <c r="BE345" s="466"/>
    </row>
    <row r="346">
      <c r="A346" s="182"/>
      <c r="B346" s="183" t="s">
        <v>808</v>
      </c>
      <c r="C346" s="184" t="s">
        <v>809</v>
      </c>
      <c r="D346" s="185" t="s">
        <v>486</v>
      </c>
      <c r="E346" s="186"/>
      <c r="F346" s="185" t="s">
        <v>487</v>
      </c>
      <c r="M346" s="185" t="s">
        <v>488</v>
      </c>
      <c r="T346" s="185" t="s">
        <v>489</v>
      </c>
      <c r="AA346" s="185" t="s">
        <v>490</v>
      </c>
      <c r="AH346" s="185" t="s">
        <v>491</v>
      </c>
      <c r="AO346" s="185" t="s">
        <v>492</v>
      </c>
      <c r="AU346" s="182"/>
      <c r="AV346" s="182"/>
      <c r="AW346" s="182"/>
      <c r="AX346" s="182"/>
      <c r="AY346" s="182"/>
      <c r="AZ346" s="182"/>
      <c r="BA346" s="182"/>
      <c r="BB346" s="182"/>
      <c r="BC346" s="182"/>
      <c r="BD346" s="182"/>
      <c r="BE346" s="182"/>
    </row>
    <row r="347">
      <c r="A347" s="182"/>
      <c r="B347" s="187"/>
      <c r="C347" s="187"/>
      <c r="D347" s="188"/>
      <c r="E347" s="189"/>
      <c r="F347" s="188"/>
      <c r="M347" s="188"/>
      <c r="T347" s="188"/>
      <c r="AA347" s="188"/>
      <c r="AH347" s="188"/>
      <c r="AO347" s="188"/>
      <c r="AU347" s="182"/>
      <c r="AV347" s="182"/>
      <c r="AW347" s="190" t="s">
        <v>606</v>
      </c>
      <c r="BB347" s="190"/>
      <c r="BC347" s="191" t="s">
        <v>607</v>
      </c>
      <c r="BD347" s="191"/>
      <c r="BE347" s="192"/>
    </row>
    <row r="348">
      <c r="A348" s="182"/>
      <c r="B348" s="193" t="s">
        <v>608</v>
      </c>
      <c r="C348" s="193" t="s">
        <v>609</v>
      </c>
      <c r="D348" s="187"/>
      <c r="E348" s="189"/>
      <c r="F348" s="194" t="s">
        <v>610</v>
      </c>
      <c r="G348" s="195"/>
      <c r="H348" s="193" t="s">
        <v>611</v>
      </c>
      <c r="J348" s="194" t="s">
        <v>612</v>
      </c>
      <c r="M348" s="194" t="s">
        <v>610</v>
      </c>
      <c r="N348" s="195"/>
      <c r="O348" s="193" t="s">
        <v>611</v>
      </c>
      <c r="P348" s="195"/>
      <c r="Q348" s="194" t="s">
        <v>612</v>
      </c>
      <c r="S348" s="193"/>
      <c r="T348" s="194" t="s">
        <v>610</v>
      </c>
      <c r="U348" s="195"/>
      <c r="V348" s="193" t="s">
        <v>611</v>
      </c>
      <c r="W348" s="195"/>
      <c r="X348" s="194" t="s">
        <v>612</v>
      </c>
      <c r="Z348" s="193"/>
      <c r="AA348" s="194" t="s">
        <v>610</v>
      </c>
      <c r="AB348" s="195"/>
      <c r="AC348" s="193" t="s">
        <v>611</v>
      </c>
      <c r="AD348" s="195"/>
      <c r="AE348" s="194" t="s">
        <v>612</v>
      </c>
      <c r="AG348" s="193"/>
      <c r="AH348" s="194" t="s">
        <v>610</v>
      </c>
      <c r="AI348" s="195"/>
      <c r="AJ348" s="193" t="s">
        <v>611</v>
      </c>
      <c r="AK348" s="195"/>
      <c r="AL348" s="194" t="s">
        <v>612</v>
      </c>
      <c r="AN348" s="193"/>
      <c r="AO348" s="194" t="s">
        <v>610</v>
      </c>
      <c r="AP348" s="195"/>
      <c r="AQ348" s="193" t="s">
        <v>611</v>
      </c>
      <c r="AR348" s="195"/>
      <c r="AS348" s="194" t="s">
        <v>612</v>
      </c>
      <c r="AU348" s="182"/>
      <c r="AV348" s="182"/>
      <c r="AW348" s="196" t="s">
        <v>613</v>
      </c>
      <c r="AX348" s="197" t="s">
        <v>614</v>
      </c>
      <c r="AY348" s="197" t="s">
        <v>615</v>
      </c>
      <c r="AZ348" s="197" t="s">
        <v>616</v>
      </c>
      <c r="BA348" s="197" t="s">
        <v>617</v>
      </c>
      <c r="BB348" s="197" t="s">
        <v>618</v>
      </c>
      <c r="BC348" s="197" t="s">
        <v>619</v>
      </c>
      <c r="BD348" s="197"/>
      <c r="BE348" s="198"/>
    </row>
    <row r="349">
      <c r="A349" s="199"/>
      <c r="B349" s="200" t="s">
        <v>620</v>
      </c>
      <c r="C349" s="201"/>
      <c r="D349" s="201"/>
      <c r="E349" s="202"/>
      <c r="F349" s="203"/>
      <c r="G349" s="204"/>
      <c r="H349" s="203"/>
      <c r="I349" s="204"/>
      <c r="J349" s="203"/>
      <c r="K349" s="204"/>
      <c r="L349" s="205"/>
      <c r="M349" s="203"/>
      <c r="N349" s="204"/>
      <c r="O349" s="203"/>
      <c r="P349" s="204"/>
      <c r="Q349" s="203"/>
      <c r="R349" s="204"/>
      <c r="S349" s="205"/>
      <c r="T349" s="203"/>
      <c r="U349" s="204"/>
      <c r="V349" s="203"/>
      <c r="W349" s="204"/>
      <c r="X349" s="203"/>
      <c r="Y349" s="204"/>
      <c r="Z349" s="205"/>
      <c r="AA349" s="203"/>
      <c r="AB349" s="204"/>
      <c r="AC349" s="203"/>
      <c r="AD349" s="204"/>
      <c r="AE349" s="203"/>
      <c r="AF349" s="204"/>
      <c r="AG349" s="205"/>
      <c r="AH349" s="203"/>
      <c r="AI349" s="204"/>
      <c r="AJ349" s="203"/>
      <c r="AK349" s="204"/>
      <c r="AL349" s="203"/>
      <c r="AM349" s="204"/>
      <c r="AN349" s="205"/>
      <c r="AO349" s="203"/>
      <c r="AP349" s="204"/>
      <c r="AQ349" s="203"/>
      <c r="AR349" s="204"/>
      <c r="AS349" s="203"/>
      <c r="AT349" s="204"/>
      <c r="AU349" s="199"/>
      <c r="AV349" s="199"/>
      <c r="AW349" s="206" t="str">
        <f t="shared" ref="AW349:AW430" si="330">AW6</f>
        <v>#REF!</v>
      </c>
      <c r="AX349" s="206">
        <f t="shared" ref="AX349:BB349" si="329">AX91</f>
        <v>49</v>
      </c>
      <c r="AY349" s="206">
        <f t="shared" si="329"/>
        <v>52</v>
      </c>
      <c r="AZ349" s="206">
        <f t="shared" si="329"/>
        <v>45</v>
      </c>
      <c r="BA349" s="206">
        <f t="shared" si="329"/>
        <v>43</v>
      </c>
      <c r="BB349" s="464">
        <f t="shared" si="329"/>
        <v>0</v>
      </c>
      <c r="BC349" s="465">
        <f t="shared" ref="BC349:BC431" si="332">BC264</f>
        <v>1512</v>
      </c>
      <c r="BD349" s="206"/>
      <c r="BE349" s="466"/>
    </row>
    <row r="350">
      <c r="A350" s="199"/>
      <c r="B350" s="213" t="s">
        <v>623</v>
      </c>
      <c r="C350" s="214"/>
      <c r="D350" s="215"/>
      <c r="E350" s="216"/>
      <c r="F350" s="217"/>
      <c r="G350" s="218"/>
      <c r="H350" s="538"/>
      <c r="I350" s="220"/>
      <c r="J350" s="538"/>
      <c r="K350" s="221"/>
      <c r="L350" s="216"/>
      <c r="M350" s="217"/>
      <c r="N350" s="218"/>
      <c r="O350" s="538"/>
      <c r="P350" s="220"/>
      <c r="Q350" s="538"/>
      <c r="R350" s="221"/>
      <c r="S350" s="216"/>
      <c r="T350" s="217"/>
      <c r="U350" s="218"/>
      <c r="V350" s="538"/>
      <c r="W350" s="220"/>
      <c r="X350" s="538"/>
      <c r="Y350" s="221"/>
      <c r="Z350" s="216"/>
      <c r="AA350" s="217"/>
      <c r="AB350" s="218"/>
      <c r="AC350" s="538"/>
      <c r="AD350" s="220"/>
      <c r="AE350" s="538"/>
      <c r="AF350" s="221"/>
      <c r="AG350" s="216"/>
      <c r="AH350" s="217"/>
      <c r="AI350" s="218"/>
      <c r="AJ350" s="538"/>
      <c r="AK350" s="220"/>
      <c r="AL350" s="538"/>
      <c r="AM350" s="221"/>
      <c r="AN350" s="216"/>
      <c r="AO350" s="217"/>
      <c r="AP350" s="218"/>
      <c r="AQ350" s="538"/>
      <c r="AR350" s="220"/>
      <c r="AS350" s="538"/>
      <c r="AT350" s="221"/>
      <c r="AU350" s="225">
        <f>counta(F350:AT350)*20</f>
        <v>0</v>
      </c>
      <c r="AW350" s="206" t="str">
        <f t="shared" si="330"/>
        <v>#REF!</v>
      </c>
      <c r="AX350" s="206">
        <f t="shared" ref="AX350:BB350" si="331">AX92</f>
        <v>49</v>
      </c>
      <c r="AY350" s="206">
        <f t="shared" si="331"/>
        <v>52</v>
      </c>
      <c r="AZ350" s="206">
        <f t="shared" si="331"/>
        <v>45</v>
      </c>
      <c r="BA350" s="206">
        <f t="shared" si="331"/>
        <v>43</v>
      </c>
      <c r="BB350" s="464">
        <f t="shared" si="331"/>
        <v>0</v>
      </c>
      <c r="BC350" s="465">
        <f t="shared" si="332"/>
        <v>1512</v>
      </c>
      <c r="BD350" s="206"/>
      <c r="BE350" s="466"/>
    </row>
    <row r="351">
      <c r="A351" s="199"/>
      <c r="B351" s="226" t="s">
        <v>629</v>
      </c>
      <c r="C351" s="214"/>
      <c r="D351" s="215"/>
      <c r="E351" s="216"/>
      <c r="F351" s="227"/>
      <c r="G351" s="218"/>
      <c r="H351" s="227"/>
      <c r="I351" s="220"/>
      <c r="J351" s="227"/>
      <c r="K351" s="221"/>
      <c r="L351" s="216"/>
      <c r="M351" s="227"/>
      <c r="N351" s="218"/>
      <c r="O351" s="227"/>
      <c r="P351" s="220"/>
      <c r="Q351" s="227"/>
      <c r="R351" s="221"/>
      <c r="S351" s="216"/>
      <c r="T351" s="227"/>
      <c r="U351" s="218"/>
      <c r="V351" s="227"/>
      <c r="W351" s="220"/>
      <c r="X351" s="227"/>
      <c r="Y351" s="221"/>
      <c r="Z351" s="216"/>
      <c r="AA351" s="227"/>
      <c r="AB351" s="218"/>
      <c r="AC351" s="227"/>
      <c r="AD351" s="220"/>
      <c r="AE351" s="227"/>
      <c r="AF351" s="221"/>
      <c r="AG351" s="216"/>
      <c r="AH351" s="227"/>
      <c r="AI351" s="218"/>
      <c r="AJ351" s="227"/>
      <c r="AK351" s="220"/>
      <c r="AL351" s="227"/>
      <c r="AM351" s="221"/>
      <c r="AN351" s="216"/>
      <c r="AO351" s="227"/>
      <c r="AP351" s="218"/>
      <c r="AQ351" s="227"/>
      <c r="AR351" s="220"/>
      <c r="AS351" s="227"/>
      <c r="AT351" s="221"/>
      <c r="AU351" s="225">
        <f>sum(F351:AK351)</f>
        <v>0</v>
      </c>
      <c r="AW351" s="206" t="str">
        <f t="shared" si="330"/>
        <v>#REF!</v>
      </c>
      <c r="AX351" s="206">
        <f t="shared" ref="AX351:BB351" si="333">AX93</f>
        <v>49</v>
      </c>
      <c r="AY351" s="206">
        <f t="shared" si="333"/>
        <v>52</v>
      </c>
      <c r="AZ351" s="206">
        <f t="shared" si="333"/>
        <v>45</v>
      </c>
      <c r="BA351" s="206">
        <f t="shared" si="333"/>
        <v>43</v>
      </c>
      <c r="BB351" s="464">
        <f t="shared" si="333"/>
        <v>0</v>
      </c>
      <c r="BC351" s="465">
        <f t="shared" si="332"/>
        <v>1512</v>
      </c>
      <c r="BD351" s="206"/>
      <c r="BE351" s="466"/>
    </row>
    <row r="352">
      <c r="A352" s="199"/>
      <c r="B352" s="213" t="s">
        <v>630</v>
      </c>
      <c r="C352" s="214"/>
      <c r="D352" s="215"/>
      <c r="E352" s="216"/>
      <c r="F352" s="215"/>
      <c r="G352" s="218"/>
      <c r="H352" s="215"/>
      <c r="I352" s="220"/>
      <c r="J352" s="215"/>
      <c r="K352" s="221"/>
      <c r="L352" s="216"/>
      <c r="M352" s="215"/>
      <c r="N352" s="218"/>
      <c r="O352" s="215"/>
      <c r="P352" s="220"/>
      <c r="Q352" s="215"/>
      <c r="R352" s="221"/>
      <c r="S352" s="216"/>
      <c r="T352" s="215"/>
      <c r="U352" s="218"/>
      <c r="V352" s="215"/>
      <c r="W352" s="220"/>
      <c r="X352" s="215"/>
      <c r="Y352" s="221"/>
      <c r="Z352" s="216"/>
      <c r="AA352" s="215"/>
      <c r="AB352" s="218"/>
      <c r="AC352" s="215"/>
      <c r="AD352" s="220"/>
      <c r="AE352" s="215"/>
      <c r="AF352" s="221"/>
      <c r="AG352" s="216"/>
      <c r="AH352" s="215"/>
      <c r="AI352" s="218"/>
      <c r="AJ352" s="215"/>
      <c r="AK352" s="220"/>
      <c r="AL352" s="215"/>
      <c r="AM352" s="221"/>
      <c r="AN352" s="216"/>
      <c r="AO352" s="215"/>
      <c r="AP352" s="218"/>
      <c r="AQ352" s="215"/>
      <c r="AR352" s="220"/>
      <c r="AS352" s="215"/>
      <c r="AT352" s="221"/>
      <c r="AU352" s="225">
        <f>countA(F352:AJ352)*5</f>
        <v>0</v>
      </c>
      <c r="AW352" s="206" t="str">
        <f t="shared" si="330"/>
        <v>#REF!</v>
      </c>
      <c r="AX352" s="206">
        <f t="shared" ref="AX352:BB352" si="334">AX94</f>
        <v>49</v>
      </c>
      <c r="AY352" s="206">
        <f t="shared" si="334"/>
        <v>52</v>
      </c>
      <c r="AZ352" s="206">
        <f t="shared" si="334"/>
        <v>45</v>
      </c>
      <c r="BA352" s="206">
        <f t="shared" si="334"/>
        <v>43</v>
      </c>
      <c r="BB352" s="464">
        <f t="shared" si="334"/>
        <v>0</v>
      </c>
      <c r="BC352" s="465">
        <f t="shared" si="332"/>
        <v>1512</v>
      </c>
      <c r="BD352" s="206"/>
      <c r="BE352" s="466"/>
    </row>
    <row r="353">
      <c r="A353" s="199"/>
      <c r="B353" s="229" t="s">
        <v>632</v>
      </c>
      <c r="C353" s="214"/>
      <c r="D353" s="215"/>
      <c r="E353" s="216"/>
      <c r="F353" s="215"/>
      <c r="G353" s="221"/>
      <c r="H353" s="215"/>
      <c r="I353" s="220"/>
      <c r="J353" s="215"/>
      <c r="K353" s="221"/>
      <c r="L353" s="216"/>
      <c r="M353" s="215"/>
      <c r="N353" s="221"/>
      <c r="O353" s="215"/>
      <c r="P353" s="220"/>
      <c r="Q353" s="215"/>
      <c r="R353" s="221"/>
      <c r="S353" s="216"/>
      <c r="T353" s="215"/>
      <c r="U353" s="221"/>
      <c r="V353" s="215"/>
      <c r="W353" s="220"/>
      <c r="X353" s="215"/>
      <c r="Y353" s="221"/>
      <c r="Z353" s="216"/>
      <c r="AA353" s="215"/>
      <c r="AB353" s="221"/>
      <c r="AC353" s="215"/>
      <c r="AD353" s="220"/>
      <c r="AE353" s="215"/>
      <c r="AF353" s="221"/>
      <c r="AG353" s="216"/>
      <c r="AH353" s="215"/>
      <c r="AI353" s="221"/>
      <c r="AJ353" s="215"/>
      <c r="AK353" s="220"/>
      <c r="AL353" s="215"/>
      <c r="AM353" s="221"/>
      <c r="AN353" s="216"/>
      <c r="AO353" s="215"/>
      <c r="AP353" s="221"/>
      <c r="AQ353" s="215"/>
      <c r="AR353" s="220"/>
      <c r="AS353" s="215"/>
      <c r="AT353" s="221"/>
      <c r="AU353" s="225">
        <f>countA(F353:AK353)*12</f>
        <v>0</v>
      </c>
      <c r="AW353" s="206" t="str">
        <f t="shared" si="330"/>
        <v>#REF!</v>
      </c>
      <c r="AX353" s="206">
        <f t="shared" ref="AX353:BB353" si="335">AX95</f>
        <v>49</v>
      </c>
      <c r="AY353" s="206">
        <f t="shared" si="335"/>
        <v>52</v>
      </c>
      <c r="AZ353" s="206">
        <f t="shared" si="335"/>
        <v>45</v>
      </c>
      <c r="BA353" s="206">
        <f t="shared" si="335"/>
        <v>43</v>
      </c>
      <c r="BB353" s="464">
        <f t="shared" si="335"/>
        <v>0</v>
      </c>
      <c r="BC353" s="465">
        <f t="shared" si="332"/>
        <v>1512</v>
      </c>
      <c r="BD353" s="206"/>
      <c r="BE353" s="466"/>
    </row>
    <row r="354">
      <c r="A354" s="199"/>
      <c r="B354" s="213" t="s">
        <v>810</v>
      </c>
      <c r="C354" s="214"/>
      <c r="D354" s="215"/>
      <c r="E354" s="216"/>
      <c r="F354" s="215"/>
      <c r="G354" s="230"/>
      <c r="H354" s="215"/>
      <c r="I354" s="231"/>
      <c r="J354" s="215"/>
      <c r="K354" s="216"/>
      <c r="L354" s="216"/>
      <c r="M354" s="215"/>
      <c r="N354" s="230"/>
      <c r="O354" s="215"/>
      <c r="P354" s="231"/>
      <c r="Q354" s="215"/>
      <c r="R354" s="216"/>
      <c r="S354" s="216"/>
      <c r="T354" s="215"/>
      <c r="U354" s="230"/>
      <c r="V354" s="215"/>
      <c r="W354" s="231"/>
      <c r="X354" s="215"/>
      <c r="Y354" s="216"/>
      <c r="Z354" s="216"/>
      <c r="AA354" s="215"/>
      <c r="AB354" s="230"/>
      <c r="AC354" s="215"/>
      <c r="AD354" s="231"/>
      <c r="AE354" s="215"/>
      <c r="AF354" s="216"/>
      <c r="AG354" s="216"/>
      <c r="AH354" s="215"/>
      <c r="AI354" s="230"/>
      <c r="AJ354" s="215"/>
      <c r="AK354" s="231"/>
      <c r="AL354" s="215"/>
      <c r="AM354" s="216"/>
      <c r="AN354" s="216"/>
      <c r="AO354" s="215"/>
      <c r="AP354" s="230"/>
      <c r="AQ354" s="215"/>
      <c r="AR354" s="231"/>
      <c r="AS354" s="215"/>
      <c r="AT354" s="216"/>
      <c r="AU354" s="225">
        <f>counta(F354:AT354)*4</f>
        <v>0</v>
      </c>
      <c r="AW354" s="206" t="str">
        <f t="shared" si="330"/>
        <v>#REF!</v>
      </c>
      <c r="AX354" s="206">
        <f t="shared" ref="AX354:BB354" si="336">AX96</f>
        <v>49</v>
      </c>
      <c r="AY354" s="206">
        <f t="shared" si="336"/>
        <v>52</v>
      </c>
      <c r="AZ354" s="206">
        <f t="shared" si="336"/>
        <v>45</v>
      </c>
      <c r="BA354" s="206">
        <f t="shared" si="336"/>
        <v>43</v>
      </c>
      <c r="BB354" s="464">
        <f t="shared" si="336"/>
        <v>0</v>
      </c>
      <c r="BC354" s="465">
        <f t="shared" si="332"/>
        <v>1512</v>
      </c>
      <c r="BD354" s="206"/>
      <c r="BE354" s="466"/>
    </row>
    <row r="355">
      <c r="A355" s="199"/>
      <c r="B355" s="213" t="s">
        <v>637</v>
      </c>
      <c r="C355" s="214"/>
      <c r="D355" s="215"/>
      <c r="E355" s="216"/>
      <c r="F355" s="215"/>
      <c r="G355" s="230"/>
      <c r="H355" s="215"/>
      <c r="I355" s="231"/>
      <c r="J355" s="215"/>
      <c r="K355" s="216"/>
      <c r="L355" s="216"/>
      <c r="M355" s="215"/>
      <c r="N355" s="230"/>
      <c r="O355" s="215"/>
      <c r="P355" s="231"/>
      <c r="Q355" s="215"/>
      <c r="R355" s="216"/>
      <c r="S355" s="216"/>
      <c r="T355" s="215"/>
      <c r="U355" s="230"/>
      <c r="V355" s="215"/>
      <c r="W355" s="231"/>
      <c r="X355" s="215"/>
      <c r="Y355" s="216"/>
      <c r="Z355" s="216"/>
      <c r="AA355" s="215"/>
      <c r="AB355" s="230"/>
      <c r="AC355" s="215"/>
      <c r="AD355" s="231"/>
      <c r="AE355" s="215"/>
      <c r="AF355" s="216"/>
      <c r="AG355" s="216"/>
      <c r="AH355" s="215"/>
      <c r="AI355" s="230"/>
      <c r="AJ355" s="215"/>
      <c r="AK355" s="231"/>
      <c r="AL355" s="215"/>
      <c r="AM355" s="216"/>
      <c r="AN355" s="216"/>
      <c r="AO355" s="215"/>
      <c r="AP355" s="230"/>
      <c r="AQ355" s="215"/>
      <c r="AR355" s="231"/>
      <c r="AS355" s="215"/>
      <c r="AT355" s="216"/>
      <c r="AU355" s="225">
        <f>sum(F355:AT355)</f>
        <v>0</v>
      </c>
      <c r="AW355" s="206" t="str">
        <f t="shared" si="330"/>
        <v>#REF!</v>
      </c>
      <c r="AX355" s="206">
        <f t="shared" ref="AX355:BB355" si="337">AX97</f>
        <v>49</v>
      </c>
      <c r="AY355" s="206">
        <f t="shared" si="337"/>
        <v>52</v>
      </c>
      <c r="AZ355" s="206">
        <f t="shared" si="337"/>
        <v>45</v>
      </c>
      <c r="BA355" s="206">
        <f t="shared" si="337"/>
        <v>43</v>
      </c>
      <c r="BB355" s="464">
        <f t="shared" si="337"/>
        <v>0</v>
      </c>
      <c r="BC355" s="465">
        <f t="shared" si="332"/>
        <v>1512</v>
      </c>
      <c r="BD355" s="206"/>
      <c r="BE355" s="466"/>
    </row>
    <row r="356">
      <c r="A356" s="234"/>
      <c r="B356" s="235" t="s">
        <v>608</v>
      </c>
      <c r="C356" s="195" t="s">
        <v>609</v>
      </c>
      <c r="D356" s="236"/>
      <c r="E356" s="237"/>
      <c r="F356" s="238"/>
      <c r="G356" s="182"/>
      <c r="H356" s="238"/>
      <c r="I356" s="239"/>
      <c r="J356" s="238"/>
      <c r="K356" s="239"/>
      <c r="L356" s="237"/>
      <c r="M356" s="238"/>
      <c r="N356" s="182"/>
      <c r="O356" s="238"/>
      <c r="P356" s="239"/>
      <c r="Q356" s="238"/>
      <c r="R356" s="239"/>
      <c r="S356" s="237"/>
      <c r="T356" s="238"/>
      <c r="U356" s="182"/>
      <c r="V356" s="238"/>
      <c r="W356" s="239"/>
      <c r="X356" s="238"/>
      <c r="Y356" s="239"/>
      <c r="Z356" s="237"/>
      <c r="AA356" s="238"/>
      <c r="AB356" s="182"/>
      <c r="AC356" s="238"/>
      <c r="AD356" s="239"/>
      <c r="AE356" s="238"/>
      <c r="AF356" s="239"/>
      <c r="AG356" s="237"/>
      <c r="AH356" s="238"/>
      <c r="AI356" s="182"/>
      <c r="AJ356" s="238"/>
      <c r="AK356" s="239"/>
      <c r="AL356" s="238"/>
      <c r="AM356" s="239"/>
      <c r="AN356" s="237"/>
      <c r="AO356" s="238"/>
      <c r="AP356" s="182"/>
      <c r="AQ356" s="238"/>
      <c r="AR356" s="239"/>
      <c r="AS356" s="238"/>
      <c r="AT356" s="239"/>
      <c r="AU356" s="236"/>
      <c r="AV356" s="236"/>
      <c r="AW356" s="206" t="str">
        <f t="shared" si="330"/>
        <v>#REF!</v>
      </c>
      <c r="AX356" s="206">
        <f t="shared" ref="AX356:BB356" si="338">AX98</f>
        <v>49</v>
      </c>
      <c r="AY356" s="206">
        <f t="shared" si="338"/>
        <v>52</v>
      </c>
      <c r="AZ356" s="206">
        <f t="shared" si="338"/>
        <v>45</v>
      </c>
      <c r="BA356" s="206">
        <f t="shared" si="338"/>
        <v>43</v>
      </c>
      <c r="BB356" s="464">
        <f t="shared" si="338"/>
        <v>0</v>
      </c>
      <c r="BC356" s="465">
        <f t="shared" si="332"/>
        <v>1512</v>
      </c>
      <c r="BD356" s="206"/>
      <c r="BE356" s="466"/>
    </row>
    <row r="357">
      <c r="A357" s="240"/>
      <c r="B357" s="241" t="s">
        <v>638</v>
      </c>
      <c r="C357" s="242" t="s">
        <v>639</v>
      </c>
      <c r="D357" s="243"/>
      <c r="E357" s="244"/>
      <c r="F357" s="298"/>
      <c r="G357" s="246"/>
      <c r="H357" s="298"/>
      <c r="I357" s="246"/>
      <c r="J357" s="298"/>
      <c r="K357" s="246"/>
      <c r="L357" s="249"/>
      <c r="M357" s="298"/>
      <c r="N357" s="246"/>
      <c r="O357" s="298"/>
      <c r="P357" s="246"/>
      <c r="Q357" s="539"/>
      <c r="R357" s="246"/>
      <c r="S357" s="249"/>
      <c r="T357" s="298"/>
      <c r="U357" s="246"/>
      <c r="V357" s="298"/>
      <c r="W357" s="246"/>
      <c r="X357" s="539"/>
      <c r="Y357" s="246"/>
      <c r="Z357" s="249"/>
      <c r="AA357" s="298"/>
      <c r="AB357" s="246"/>
      <c r="AC357" s="298"/>
      <c r="AD357" s="246"/>
      <c r="AE357" s="539"/>
      <c r="AF357" s="246"/>
      <c r="AG357" s="249"/>
      <c r="AH357" s="298"/>
      <c r="AI357" s="246"/>
      <c r="AJ357" s="298"/>
      <c r="AK357" s="246"/>
      <c r="AL357" s="539"/>
      <c r="AM357" s="246"/>
      <c r="AN357" s="249"/>
      <c r="AO357" s="298"/>
      <c r="AP357" s="246"/>
      <c r="AQ357" s="298"/>
      <c r="AR357" s="246"/>
      <c r="AS357" s="539"/>
      <c r="AT357" s="254" t="str">
        <f t="shared" ref="AT357:AT371" si="340">IF(COUNTIF($AO$85:$AT$87, AS357) &gt; 0, "X", "")</f>
        <v/>
      </c>
      <c r="AU357" s="255"/>
      <c r="AV357" s="255"/>
      <c r="AW357" s="206" t="str">
        <f t="shared" si="330"/>
        <v>#REF!</v>
      </c>
      <c r="AX357" s="206">
        <f t="shared" ref="AX357:BB357" si="339">AX99</f>
        <v>49</v>
      </c>
      <c r="AY357" s="206">
        <f t="shared" si="339"/>
        <v>52</v>
      </c>
      <c r="AZ357" s="206">
        <f t="shared" si="339"/>
        <v>45</v>
      </c>
      <c r="BA357" s="206">
        <f t="shared" si="339"/>
        <v>43</v>
      </c>
      <c r="BB357" s="464">
        <f t="shared" si="339"/>
        <v>0</v>
      </c>
      <c r="BC357" s="465">
        <f t="shared" si="332"/>
        <v>1512</v>
      </c>
      <c r="BD357" s="206"/>
      <c r="BE357" s="466"/>
    </row>
    <row r="358">
      <c r="A358" s="94"/>
      <c r="B358" s="256" t="s">
        <v>638</v>
      </c>
      <c r="C358" s="257" t="s">
        <v>639</v>
      </c>
      <c r="D358" s="243"/>
      <c r="E358" s="259"/>
      <c r="F358" s="540"/>
      <c r="G358" s="246"/>
      <c r="H358" s="540"/>
      <c r="I358" s="246"/>
      <c r="J358" s="540"/>
      <c r="K358" s="246"/>
      <c r="L358" s="261"/>
      <c r="M358" s="540"/>
      <c r="N358" s="246"/>
      <c r="O358" s="541"/>
      <c r="P358" s="246"/>
      <c r="Q358" s="541"/>
      <c r="R358" s="246"/>
      <c r="S358" s="261"/>
      <c r="T358" s="540"/>
      <c r="U358" s="246"/>
      <c r="V358" s="541"/>
      <c r="W358" s="246"/>
      <c r="X358" s="541"/>
      <c r="Y358" s="246"/>
      <c r="Z358" s="261"/>
      <c r="AA358" s="540"/>
      <c r="AB358" s="246"/>
      <c r="AC358" s="541"/>
      <c r="AD358" s="246"/>
      <c r="AE358" s="541"/>
      <c r="AF358" s="246"/>
      <c r="AG358" s="261"/>
      <c r="AH358" s="540"/>
      <c r="AI358" s="246"/>
      <c r="AJ358" s="541"/>
      <c r="AK358" s="246"/>
      <c r="AL358" s="541"/>
      <c r="AM358" s="246"/>
      <c r="AN358" s="261"/>
      <c r="AO358" s="540"/>
      <c r="AP358" s="246"/>
      <c r="AQ358" s="541"/>
      <c r="AR358" s="246"/>
      <c r="AS358" s="541"/>
      <c r="AT358" s="254" t="str">
        <f t="shared" si="340"/>
        <v/>
      </c>
      <c r="AU358" s="269"/>
      <c r="AV358" s="269"/>
      <c r="AW358" s="206" t="str">
        <f t="shared" si="330"/>
        <v>#REF!</v>
      </c>
      <c r="AX358" s="206">
        <f t="shared" ref="AX358:BB358" si="341">AX100</f>
        <v>49</v>
      </c>
      <c r="AY358" s="206">
        <f t="shared" si="341"/>
        <v>52</v>
      </c>
      <c r="AZ358" s="206">
        <f t="shared" si="341"/>
        <v>45</v>
      </c>
      <c r="BA358" s="206">
        <f t="shared" si="341"/>
        <v>43</v>
      </c>
      <c r="BB358" s="464">
        <f t="shared" si="341"/>
        <v>0</v>
      </c>
      <c r="BC358" s="465">
        <f t="shared" si="332"/>
        <v>1512</v>
      </c>
      <c r="BD358" s="206"/>
      <c r="BE358" s="466"/>
    </row>
    <row r="359">
      <c r="A359" s="270"/>
      <c r="B359" s="271" t="s">
        <v>642</v>
      </c>
      <c r="C359" s="272" t="s">
        <v>639</v>
      </c>
      <c r="D359" s="243"/>
      <c r="E359" s="259"/>
      <c r="F359" s="298"/>
      <c r="G359" s="246"/>
      <c r="H359" s="298"/>
      <c r="I359" s="246"/>
      <c r="J359" s="298"/>
      <c r="K359" s="246"/>
      <c r="L359" s="261"/>
      <c r="M359" s="298"/>
      <c r="N359" s="246"/>
      <c r="O359" s="298"/>
      <c r="P359" s="246"/>
      <c r="Q359" s="298"/>
      <c r="R359" s="246"/>
      <c r="S359" s="261"/>
      <c r="T359" s="298"/>
      <c r="U359" s="246"/>
      <c r="V359" s="298"/>
      <c r="W359" s="246"/>
      <c r="X359" s="298"/>
      <c r="Y359" s="246"/>
      <c r="Z359" s="261"/>
      <c r="AA359" s="298"/>
      <c r="AB359" s="246"/>
      <c r="AC359" s="298"/>
      <c r="AD359" s="246"/>
      <c r="AE359" s="298"/>
      <c r="AF359" s="246"/>
      <c r="AG359" s="261"/>
      <c r="AH359" s="298"/>
      <c r="AI359" s="246"/>
      <c r="AJ359" s="298"/>
      <c r="AK359" s="246"/>
      <c r="AL359" s="298"/>
      <c r="AM359" s="246"/>
      <c r="AN359" s="261"/>
      <c r="AO359" s="298"/>
      <c r="AP359" s="246"/>
      <c r="AQ359" s="298"/>
      <c r="AR359" s="246"/>
      <c r="AS359" s="298"/>
      <c r="AT359" s="254" t="str">
        <f t="shared" si="340"/>
        <v/>
      </c>
      <c r="AU359" s="269"/>
      <c r="AV359" s="269"/>
      <c r="AW359" s="206" t="str">
        <f t="shared" si="330"/>
        <v>#REF!</v>
      </c>
      <c r="AX359" s="206">
        <f t="shared" ref="AX359:BB359" si="342">AX101</f>
        <v>49</v>
      </c>
      <c r="AY359" s="206">
        <f t="shared" si="342"/>
        <v>52</v>
      </c>
      <c r="AZ359" s="206">
        <f t="shared" si="342"/>
        <v>45</v>
      </c>
      <c r="BA359" s="206">
        <f t="shared" si="342"/>
        <v>43</v>
      </c>
      <c r="BB359" s="464">
        <f t="shared" si="342"/>
        <v>0</v>
      </c>
      <c r="BC359" s="465">
        <f t="shared" si="332"/>
        <v>1512</v>
      </c>
      <c r="BD359" s="206"/>
      <c r="BE359" s="466"/>
    </row>
    <row r="360">
      <c r="A360" s="234"/>
      <c r="B360" s="277" t="s">
        <v>644</v>
      </c>
      <c r="C360" s="278" t="s">
        <v>645</v>
      </c>
      <c r="D360" s="243"/>
      <c r="E360" s="259"/>
      <c r="F360" s="298"/>
      <c r="G360" s="246"/>
      <c r="H360" s="298"/>
      <c r="I360" s="246"/>
      <c r="J360" s="298"/>
      <c r="K360" s="246"/>
      <c r="L360" s="261"/>
      <c r="M360" s="298"/>
      <c r="N360" s="246"/>
      <c r="O360" s="542"/>
      <c r="P360" s="246"/>
      <c r="Q360" s="298"/>
      <c r="R360" s="246"/>
      <c r="S360" s="261"/>
      <c r="T360" s="298"/>
      <c r="U360" s="246"/>
      <c r="V360" s="542"/>
      <c r="W360" s="246"/>
      <c r="X360" s="298"/>
      <c r="Y360" s="246"/>
      <c r="Z360" s="261"/>
      <c r="AA360" s="298"/>
      <c r="AB360" s="246"/>
      <c r="AC360" s="542"/>
      <c r="AD360" s="246"/>
      <c r="AE360" s="298"/>
      <c r="AF360" s="246"/>
      <c r="AG360" s="261"/>
      <c r="AH360" s="298"/>
      <c r="AI360" s="246"/>
      <c r="AJ360" s="542"/>
      <c r="AK360" s="246"/>
      <c r="AL360" s="298"/>
      <c r="AM360" s="246"/>
      <c r="AN360" s="261"/>
      <c r="AO360" s="298"/>
      <c r="AP360" s="246"/>
      <c r="AQ360" s="542"/>
      <c r="AR360" s="246"/>
      <c r="AS360" s="298"/>
      <c r="AT360" s="254" t="str">
        <f t="shared" si="340"/>
        <v/>
      </c>
      <c r="AU360" s="269"/>
      <c r="AV360" s="269"/>
      <c r="AW360" s="206" t="str">
        <f t="shared" si="330"/>
        <v>#REF!</v>
      </c>
      <c r="AX360" s="206">
        <f t="shared" ref="AX360:BB360" si="343">AX102</f>
        <v>49</v>
      </c>
      <c r="AY360" s="206">
        <f t="shared" si="343"/>
        <v>52</v>
      </c>
      <c r="AZ360" s="206">
        <f t="shared" si="343"/>
        <v>45</v>
      </c>
      <c r="BA360" s="206">
        <f t="shared" si="343"/>
        <v>43</v>
      </c>
      <c r="BB360" s="464">
        <f t="shared" si="343"/>
        <v>0</v>
      </c>
      <c r="BC360" s="465">
        <f t="shared" si="332"/>
        <v>1512</v>
      </c>
      <c r="BD360" s="206"/>
      <c r="BE360" s="466"/>
    </row>
    <row r="361">
      <c r="A361" s="94"/>
      <c r="B361" s="256" t="s">
        <v>757</v>
      </c>
      <c r="C361" s="257" t="s">
        <v>645</v>
      </c>
      <c r="D361" s="243"/>
      <c r="E361" s="259"/>
      <c r="F361" s="542"/>
      <c r="G361" s="246"/>
      <c r="H361" s="542"/>
      <c r="I361" s="246"/>
      <c r="J361" s="542"/>
      <c r="K361" s="246"/>
      <c r="L361" s="261"/>
      <c r="M361" s="542"/>
      <c r="N361" s="246"/>
      <c r="O361" s="298"/>
      <c r="P361" s="246"/>
      <c r="Q361" s="298"/>
      <c r="R361" s="246"/>
      <c r="S361" s="261"/>
      <c r="T361" s="542"/>
      <c r="U361" s="246"/>
      <c r="V361" s="298"/>
      <c r="W361" s="246"/>
      <c r="X361" s="298"/>
      <c r="Y361" s="246"/>
      <c r="Z361" s="261"/>
      <c r="AA361" s="542"/>
      <c r="AB361" s="246"/>
      <c r="AC361" s="298"/>
      <c r="AD361" s="246"/>
      <c r="AE361" s="298"/>
      <c r="AF361" s="246"/>
      <c r="AG361" s="261"/>
      <c r="AH361" s="542"/>
      <c r="AI361" s="246"/>
      <c r="AJ361" s="298"/>
      <c r="AK361" s="246"/>
      <c r="AL361" s="298"/>
      <c r="AM361" s="246"/>
      <c r="AN361" s="261"/>
      <c r="AO361" s="542"/>
      <c r="AP361" s="246"/>
      <c r="AQ361" s="298"/>
      <c r="AR361" s="246"/>
      <c r="AS361" s="298"/>
      <c r="AT361" s="254" t="str">
        <f t="shared" si="340"/>
        <v/>
      </c>
      <c r="AU361" s="269"/>
      <c r="AV361" s="269"/>
      <c r="AW361" s="206" t="str">
        <f t="shared" si="330"/>
        <v>#REF!</v>
      </c>
      <c r="AX361" s="206">
        <f t="shared" ref="AX361:BB361" si="344">AX103</f>
        <v>49</v>
      </c>
      <c r="AY361" s="206">
        <f t="shared" si="344"/>
        <v>52</v>
      </c>
      <c r="AZ361" s="206">
        <f t="shared" si="344"/>
        <v>45</v>
      </c>
      <c r="BA361" s="206">
        <f t="shared" si="344"/>
        <v>43</v>
      </c>
      <c r="BB361" s="464">
        <f t="shared" si="344"/>
        <v>0</v>
      </c>
      <c r="BC361" s="465">
        <f t="shared" si="332"/>
        <v>1512</v>
      </c>
      <c r="BD361" s="206"/>
      <c r="BE361" s="466"/>
    </row>
    <row r="362">
      <c r="A362" s="94"/>
      <c r="B362" s="284" t="s">
        <v>646</v>
      </c>
      <c r="C362" s="285" t="s">
        <v>647</v>
      </c>
      <c r="D362" s="243"/>
      <c r="E362" s="259"/>
      <c r="F362" s="541"/>
      <c r="G362" s="246"/>
      <c r="H362" s="541"/>
      <c r="I362" s="246"/>
      <c r="J362" s="541"/>
      <c r="K362" s="246"/>
      <c r="L362" s="261"/>
      <c r="M362" s="541"/>
      <c r="N362" s="246"/>
      <c r="O362" s="540"/>
      <c r="P362" s="246"/>
      <c r="Q362" s="540"/>
      <c r="R362" s="246"/>
      <c r="S362" s="261"/>
      <c r="T362" s="541"/>
      <c r="U362" s="246"/>
      <c r="V362" s="540"/>
      <c r="W362" s="246"/>
      <c r="X362" s="540"/>
      <c r="Y362" s="246"/>
      <c r="Z362" s="261"/>
      <c r="AA362" s="541"/>
      <c r="AB362" s="246"/>
      <c r="AC362" s="540"/>
      <c r="AD362" s="246"/>
      <c r="AE362" s="540"/>
      <c r="AF362" s="246"/>
      <c r="AG362" s="261"/>
      <c r="AH362" s="541"/>
      <c r="AI362" s="246"/>
      <c r="AJ362" s="540"/>
      <c r="AK362" s="246"/>
      <c r="AL362" s="540"/>
      <c r="AM362" s="246"/>
      <c r="AN362" s="261"/>
      <c r="AO362" s="541"/>
      <c r="AP362" s="246"/>
      <c r="AQ362" s="540"/>
      <c r="AR362" s="246"/>
      <c r="AS362" s="540"/>
      <c r="AT362" s="254" t="str">
        <f t="shared" si="340"/>
        <v/>
      </c>
      <c r="AU362" s="269"/>
      <c r="AV362" s="269"/>
      <c r="AW362" s="206" t="str">
        <f t="shared" si="330"/>
        <v>#REF!</v>
      </c>
      <c r="AX362" s="206">
        <f t="shared" ref="AX362:BB362" si="345">AX104</f>
        <v>49</v>
      </c>
      <c r="AY362" s="206">
        <f t="shared" si="345"/>
        <v>52</v>
      </c>
      <c r="AZ362" s="206">
        <f t="shared" si="345"/>
        <v>45</v>
      </c>
      <c r="BA362" s="206">
        <f t="shared" si="345"/>
        <v>43</v>
      </c>
      <c r="BB362" s="464">
        <f t="shared" si="345"/>
        <v>0</v>
      </c>
      <c r="BC362" s="465">
        <f t="shared" si="332"/>
        <v>1512</v>
      </c>
      <c r="BD362" s="206"/>
      <c r="BE362" s="466"/>
    </row>
    <row r="363">
      <c r="A363" s="270"/>
      <c r="B363" s="291" t="s">
        <v>648</v>
      </c>
      <c r="C363" s="292" t="s">
        <v>649</v>
      </c>
      <c r="D363" s="243"/>
      <c r="E363" s="259"/>
      <c r="F363" s="298"/>
      <c r="G363" s="246"/>
      <c r="H363" s="543"/>
      <c r="I363" s="246"/>
      <c r="J363" s="298"/>
      <c r="K363" s="246"/>
      <c r="L363" s="261"/>
      <c r="M363" s="298"/>
      <c r="N363" s="246"/>
      <c r="O363" s="543"/>
      <c r="P363" s="246"/>
      <c r="Q363" s="298"/>
      <c r="R363" s="246"/>
      <c r="S363" s="261"/>
      <c r="T363" s="298"/>
      <c r="U363" s="246"/>
      <c r="V363" s="543"/>
      <c r="W363" s="246"/>
      <c r="X363" s="298"/>
      <c r="Y363" s="246"/>
      <c r="Z363" s="261"/>
      <c r="AA363" s="298"/>
      <c r="AB363" s="246"/>
      <c r="AC363" s="543"/>
      <c r="AD363" s="246"/>
      <c r="AE363" s="298"/>
      <c r="AF363" s="246"/>
      <c r="AG363" s="261"/>
      <c r="AH363" s="298"/>
      <c r="AI363" s="246"/>
      <c r="AJ363" s="543"/>
      <c r="AK363" s="246"/>
      <c r="AL363" s="298"/>
      <c r="AM363" s="246"/>
      <c r="AN363" s="261"/>
      <c r="AO363" s="298"/>
      <c r="AP363" s="246"/>
      <c r="AQ363" s="543"/>
      <c r="AR363" s="246"/>
      <c r="AS363" s="298"/>
      <c r="AT363" s="254" t="str">
        <f t="shared" si="340"/>
        <v/>
      </c>
      <c r="AU363" s="269"/>
      <c r="AV363" s="269"/>
      <c r="AW363" s="206" t="str">
        <f t="shared" si="330"/>
        <v>#REF!</v>
      </c>
      <c r="AX363" s="206">
        <f t="shared" ref="AX363:BB363" si="346">AX105</f>
        <v>49</v>
      </c>
      <c r="AY363" s="206">
        <f t="shared" si="346"/>
        <v>52</v>
      </c>
      <c r="AZ363" s="206">
        <f t="shared" si="346"/>
        <v>45</v>
      </c>
      <c r="BA363" s="206">
        <f t="shared" si="346"/>
        <v>43</v>
      </c>
      <c r="BB363" s="464">
        <f t="shared" si="346"/>
        <v>0</v>
      </c>
      <c r="BC363" s="465">
        <f t="shared" si="332"/>
        <v>1512</v>
      </c>
      <c r="BD363" s="206"/>
      <c r="BE363" s="466"/>
    </row>
    <row r="364">
      <c r="A364" s="94"/>
      <c r="B364" s="296" t="s">
        <v>650</v>
      </c>
      <c r="C364" s="297" t="s">
        <v>649</v>
      </c>
      <c r="D364" s="243"/>
      <c r="E364" s="259"/>
      <c r="F364" s="298"/>
      <c r="G364" s="298"/>
      <c r="H364" s="298"/>
      <c r="I364" s="298"/>
      <c r="J364" s="298"/>
      <c r="K364" s="298"/>
      <c r="L364" s="261"/>
      <c r="M364" s="298"/>
      <c r="N364" s="298"/>
      <c r="O364" s="298"/>
      <c r="P364" s="298"/>
      <c r="Q364" s="298"/>
      <c r="R364" s="298"/>
      <c r="S364" s="261"/>
      <c r="T364" s="298"/>
      <c r="U364" s="298"/>
      <c r="V364" s="298"/>
      <c r="W364" s="298"/>
      <c r="X364" s="298"/>
      <c r="Y364" s="298"/>
      <c r="Z364" s="261"/>
      <c r="AA364" s="298"/>
      <c r="AB364" s="298"/>
      <c r="AC364" s="298"/>
      <c r="AD364" s="298"/>
      <c r="AE364" s="298"/>
      <c r="AF364" s="298"/>
      <c r="AG364" s="261"/>
      <c r="AH364" s="298"/>
      <c r="AI364" s="298"/>
      <c r="AJ364" s="298"/>
      <c r="AK364" s="298"/>
      <c r="AL364" s="298"/>
      <c r="AM364" s="298"/>
      <c r="AN364" s="261"/>
      <c r="AO364" s="298"/>
      <c r="AP364" s="298"/>
      <c r="AQ364" s="298"/>
      <c r="AR364" s="298"/>
      <c r="AS364" s="298"/>
      <c r="AT364" s="254" t="str">
        <f t="shared" si="340"/>
        <v/>
      </c>
      <c r="AU364" s="269"/>
      <c r="AV364" s="269"/>
      <c r="AW364" s="206" t="str">
        <f t="shared" si="330"/>
        <v>#REF!</v>
      </c>
      <c r="AX364" s="206">
        <f t="shared" ref="AX364:BB364" si="347">AX106</f>
        <v>49</v>
      </c>
      <c r="AY364" s="206">
        <f t="shared" si="347"/>
        <v>52</v>
      </c>
      <c r="AZ364" s="206">
        <f t="shared" si="347"/>
        <v>45</v>
      </c>
      <c r="BA364" s="206">
        <f t="shared" si="347"/>
        <v>43</v>
      </c>
      <c r="BB364" s="464">
        <f t="shared" si="347"/>
        <v>0</v>
      </c>
      <c r="BC364" s="465">
        <f t="shared" si="332"/>
        <v>1512</v>
      </c>
      <c r="BD364" s="206"/>
      <c r="BE364" s="466"/>
    </row>
    <row r="365">
      <c r="A365" s="94"/>
      <c r="B365" s="301" t="s">
        <v>651</v>
      </c>
      <c r="C365" s="302" t="s">
        <v>652</v>
      </c>
      <c r="D365" s="243"/>
      <c r="E365" s="259"/>
      <c r="F365" s="298"/>
      <c r="G365" s="298"/>
      <c r="H365" s="298"/>
      <c r="I365" s="298"/>
      <c r="J365" s="298"/>
      <c r="K365" s="298"/>
      <c r="L365" s="261"/>
      <c r="M365" s="298"/>
      <c r="N365" s="298"/>
      <c r="O365" s="298"/>
      <c r="P365" s="298"/>
      <c r="Q365" s="298"/>
      <c r="R365" s="298"/>
      <c r="S365" s="261"/>
      <c r="T365" s="298"/>
      <c r="U365" s="298"/>
      <c r="V365" s="298"/>
      <c r="W365" s="298"/>
      <c r="X365" s="298"/>
      <c r="Y365" s="298"/>
      <c r="Z365" s="261"/>
      <c r="AA365" s="298"/>
      <c r="AB365" s="298"/>
      <c r="AC365" s="298"/>
      <c r="AD365" s="298"/>
      <c r="AE365" s="298"/>
      <c r="AF365" s="298"/>
      <c r="AG365" s="261"/>
      <c r="AH365" s="298"/>
      <c r="AI365" s="298"/>
      <c r="AJ365" s="298"/>
      <c r="AK365" s="298"/>
      <c r="AL365" s="298"/>
      <c r="AM365" s="298"/>
      <c r="AN365" s="261"/>
      <c r="AO365" s="298"/>
      <c r="AP365" s="298"/>
      <c r="AQ365" s="298"/>
      <c r="AR365" s="298"/>
      <c r="AS365" s="298"/>
      <c r="AT365" s="254" t="str">
        <f t="shared" si="340"/>
        <v/>
      </c>
      <c r="AU365" s="269"/>
      <c r="AV365" s="269"/>
      <c r="AW365" s="206" t="str">
        <f t="shared" si="330"/>
        <v>#REF!</v>
      </c>
      <c r="AX365" s="206">
        <f t="shared" ref="AX365:BB365" si="348">AX107</f>
        <v>49</v>
      </c>
      <c r="AY365" s="206">
        <f t="shared" si="348"/>
        <v>52</v>
      </c>
      <c r="AZ365" s="206">
        <f t="shared" si="348"/>
        <v>45</v>
      </c>
      <c r="BA365" s="206">
        <f t="shared" si="348"/>
        <v>43</v>
      </c>
      <c r="BB365" s="464">
        <f t="shared" si="348"/>
        <v>0</v>
      </c>
      <c r="BC365" s="465">
        <f t="shared" si="332"/>
        <v>1512</v>
      </c>
      <c r="BD365" s="206"/>
      <c r="BE365" s="466"/>
    </row>
    <row r="366">
      <c r="A366" s="94"/>
      <c r="B366" s="305" t="s">
        <v>653</v>
      </c>
      <c r="C366" s="306" t="s">
        <v>654</v>
      </c>
      <c r="D366" s="243"/>
      <c r="E366" s="259"/>
      <c r="F366" s="298"/>
      <c r="G366" s="298"/>
      <c r="H366" s="298"/>
      <c r="I366" s="298"/>
      <c r="J366" s="298"/>
      <c r="K366" s="298"/>
      <c r="L366" s="261"/>
      <c r="M366" s="298"/>
      <c r="N366" s="298"/>
      <c r="O366" s="298"/>
      <c r="P366" s="298"/>
      <c r="Q366" s="298"/>
      <c r="R366" s="298"/>
      <c r="S366" s="261"/>
      <c r="T366" s="298"/>
      <c r="U366" s="298"/>
      <c r="V366" s="298"/>
      <c r="W366" s="298"/>
      <c r="X366" s="298"/>
      <c r="Y366" s="298"/>
      <c r="Z366" s="261"/>
      <c r="AA366" s="298"/>
      <c r="AB366" s="298"/>
      <c r="AC366" s="298"/>
      <c r="AD366" s="298"/>
      <c r="AE366" s="298"/>
      <c r="AF366" s="298"/>
      <c r="AG366" s="261"/>
      <c r="AH366" s="298"/>
      <c r="AI366" s="298"/>
      <c r="AJ366" s="298"/>
      <c r="AK366" s="298"/>
      <c r="AL366" s="298"/>
      <c r="AM366" s="298"/>
      <c r="AN366" s="261"/>
      <c r="AO366" s="298"/>
      <c r="AP366" s="298"/>
      <c r="AQ366" s="298"/>
      <c r="AR366" s="298"/>
      <c r="AS366" s="298"/>
      <c r="AT366" s="254" t="str">
        <f t="shared" si="340"/>
        <v/>
      </c>
      <c r="AU366" s="269"/>
      <c r="AV366" s="269"/>
      <c r="AW366" s="206" t="str">
        <f t="shared" si="330"/>
        <v>#REF!</v>
      </c>
      <c r="AX366" s="206">
        <f t="shared" ref="AX366:BB366" si="349">AX108</f>
        <v>49</v>
      </c>
      <c r="AY366" s="206">
        <f t="shared" si="349"/>
        <v>52</v>
      </c>
      <c r="AZ366" s="206">
        <f t="shared" si="349"/>
        <v>45</v>
      </c>
      <c r="BA366" s="206">
        <f t="shared" si="349"/>
        <v>43</v>
      </c>
      <c r="BB366" s="464">
        <f t="shared" si="349"/>
        <v>0</v>
      </c>
      <c r="BC366" s="465">
        <f t="shared" si="332"/>
        <v>1512</v>
      </c>
      <c r="BD366" s="206"/>
      <c r="BE366" s="466"/>
    </row>
    <row r="367">
      <c r="A367" s="94"/>
      <c r="B367" s="310" t="s">
        <v>656</v>
      </c>
      <c r="C367" s="278" t="s">
        <v>657</v>
      </c>
      <c r="D367" s="243"/>
      <c r="E367" s="259"/>
      <c r="F367" s="298"/>
      <c r="G367" s="246"/>
      <c r="H367" s="298"/>
      <c r="I367" s="246"/>
      <c r="J367" s="298"/>
      <c r="K367" s="246"/>
      <c r="L367" s="261"/>
      <c r="M367" s="298"/>
      <c r="N367" s="246"/>
      <c r="O367" s="298"/>
      <c r="P367" s="246"/>
      <c r="Q367" s="298"/>
      <c r="R367" s="246"/>
      <c r="S367" s="261"/>
      <c r="T367" s="298"/>
      <c r="U367" s="246"/>
      <c r="V367" s="298"/>
      <c r="W367" s="246"/>
      <c r="X367" s="298"/>
      <c r="Y367" s="246"/>
      <c r="Z367" s="261"/>
      <c r="AA367" s="298"/>
      <c r="AB367" s="246"/>
      <c r="AC367" s="298"/>
      <c r="AD367" s="246"/>
      <c r="AE367" s="298"/>
      <c r="AF367" s="246"/>
      <c r="AG367" s="261"/>
      <c r="AH367" s="298"/>
      <c r="AI367" s="246"/>
      <c r="AJ367" s="298"/>
      <c r="AK367" s="246"/>
      <c r="AL367" s="298"/>
      <c r="AM367" s="246"/>
      <c r="AN367" s="261"/>
      <c r="AO367" s="298"/>
      <c r="AP367" s="246"/>
      <c r="AQ367" s="298"/>
      <c r="AR367" s="246"/>
      <c r="AS367" s="298"/>
      <c r="AT367" s="254" t="str">
        <f t="shared" si="340"/>
        <v/>
      </c>
      <c r="AU367" s="269"/>
      <c r="AV367" s="269"/>
      <c r="AW367" s="206" t="str">
        <f t="shared" si="330"/>
        <v>#REF!</v>
      </c>
      <c r="AX367" s="206">
        <f t="shared" ref="AX367:BB367" si="350">AX109</f>
        <v>49</v>
      </c>
      <c r="AY367" s="206">
        <f t="shared" si="350"/>
        <v>52</v>
      </c>
      <c r="AZ367" s="206">
        <f t="shared" si="350"/>
        <v>45</v>
      </c>
      <c r="BA367" s="206">
        <f t="shared" si="350"/>
        <v>43</v>
      </c>
      <c r="BB367" s="464">
        <f t="shared" si="350"/>
        <v>0</v>
      </c>
      <c r="BC367" s="465">
        <f t="shared" si="332"/>
        <v>1512</v>
      </c>
      <c r="BD367" s="206"/>
      <c r="BE367" s="466"/>
    </row>
    <row r="368">
      <c r="A368" s="94"/>
      <c r="B368" s="277" t="s">
        <v>658</v>
      </c>
      <c r="C368" s="278" t="s">
        <v>657</v>
      </c>
      <c r="D368" s="243"/>
      <c r="E368" s="259"/>
      <c r="F368" s="298"/>
      <c r="G368" s="246"/>
      <c r="H368" s="298"/>
      <c r="I368" s="246"/>
      <c r="J368" s="298"/>
      <c r="K368" s="246"/>
      <c r="L368" s="261"/>
      <c r="M368" s="298"/>
      <c r="N368" s="246"/>
      <c r="O368" s="298"/>
      <c r="P368" s="246"/>
      <c r="Q368" s="298"/>
      <c r="R368" s="246"/>
      <c r="S368" s="261"/>
      <c r="T368" s="298"/>
      <c r="U368" s="246"/>
      <c r="V368" s="298"/>
      <c r="W368" s="246"/>
      <c r="X368" s="298"/>
      <c r="Y368" s="246"/>
      <c r="Z368" s="261"/>
      <c r="AA368" s="298"/>
      <c r="AB368" s="246"/>
      <c r="AC368" s="298"/>
      <c r="AD368" s="246"/>
      <c r="AE368" s="298"/>
      <c r="AF368" s="246"/>
      <c r="AG368" s="261"/>
      <c r="AH368" s="298"/>
      <c r="AI368" s="246"/>
      <c r="AJ368" s="298"/>
      <c r="AK368" s="246"/>
      <c r="AL368" s="298"/>
      <c r="AM368" s="246"/>
      <c r="AN368" s="261"/>
      <c r="AO368" s="298"/>
      <c r="AP368" s="246"/>
      <c r="AQ368" s="298"/>
      <c r="AR368" s="246"/>
      <c r="AS368" s="298"/>
      <c r="AT368" s="254" t="str">
        <f t="shared" si="340"/>
        <v/>
      </c>
      <c r="AU368" s="269"/>
      <c r="AV368" s="269"/>
      <c r="AW368" s="206" t="str">
        <f t="shared" si="330"/>
        <v>#REF!</v>
      </c>
      <c r="AX368" s="206">
        <f t="shared" ref="AX368:BB368" si="351">AX110</f>
        <v>49</v>
      </c>
      <c r="AY368" s="206">
        <f t="shared" si="351"/>
        <v>52</v>
      </c>
      <c r="AZ368" s="206">
        <f t="shared" si="351"/>
        <v>45</v>
      </c>
      <c r="BA368" s="206">
        <f t="shared" si="351"/>
        <v>43</v>
      </c>
      <c r="BB368" s="464">
        <f t="shared" si="351"/>
        <v>0</v>
      </c>
      <c r="BC368" s="465">
        <f t="shared" si="332"/>
        <v>1512</v>
      </c>
      <c r="BD368" s="206"/>
      <c r="BE368" s="466"/>
    </row>
    <row r="369">
      <c r="A369" s="94"/>
      <c r="B369" s="314" t="s">
        <v>660</v>
      </c>
      <c r="C369" s="315" t="s">
        <v>649</v>
      </c>
      <c r="D369" s="243"/>
      <c r="E369" s="259"/>
      <c r="F369" s="543"/>
      <c r="G369" s="246"/>
      <c r="H369" s="543"/>
      <c r="I369" s="246"/>
      <c r="J369" s="543"/>
      <c r="K369" s="246"/>
      <c r="L369" s="261"/>
      <c r="M369" s="543"/>
      <c r="N369" s="246"/>
      <c r="O369" s="543"/>
      <c r="P369" s="246"/>
      <c r="Q369" s="543"/>
      <c r="R369" s="246"/>
      <c r="S369" s="261"/>
      <c r="T369" s="543"/>
      <c r="U369" s="246"/>
      <c r="V369" s="543"/>
      <c r="W369" s="246"/>
      <c r="X369" s="543"/>
      <c r="Y369" s="246"/>
      <c r="Z369" s="261"/>
      <c r="AA369" s="543"/>
      <c r="AB369" s="246"/>
      <c r="AC369" s="543"/>
      <c r="AD369" s="246"/>
      <c r="AE369" s="543"/>
      <c r="AF369" s="246"/>
      <c r="AG369" s="261"/>
      <c r="AH369" s="543"/>
      <c r="AI369" s="246"/>
      <c r="AJ369" s="543"/>
      <c r="AK369" s="246"/>
      <c r="AL369" s="543"/>
      <c r="AM369" s="246"/>
      <c r="AN369" s="261"/>
      <c r="AO369" s="543"/>
      <c r="AP369" s="246"/>
      <c r="AQ369" s="543"/>
      <c r="AR369" s="246"/>
      <c r="AS369" s="543"/>
      <c r="AT369" s="254" t="str">
        <f t="shared" si="340"/>
        <v/>
      </c>
      <c r="AU369" s="269"/>
      <c r="AV369" s="269"/>
      <c r="AW369" s="206" t="str">
        <f t="shared" si="330"/>
        <v>#REF!</v>
      </c>
      <c r="AX369" s="206">
        <f t="shared" ref="AX369:BB369" si="352">AX111</f>
        <v>49</v>
      </c>
      <c r="AY369" s="206">
        <f t="shared" si="352"/>
        <v>52</v>
      </c>
      <c r="AZ369" s="206">
        <f t="shared" si="352"/>
        <v>45</v>
      </c>
      <c r="BA369" s="206">
        <f t="shared" si="352"/>
        <v>43</v>
      </c>
      <c r="BB369" s="464">
        <f t="shared" si="352"/>
        <v>0</v>
      </c>
      <c r="BC369" s="465">
        <f t="shared" si="332"/>
        <v>1512</v>
      </c>
      <c r="BD369" s="206"/>
      <c r="BE369" s="466"/>
    </row>
    <row r="370">
      <c r="A370" s="94"/>
      <c r="B370" s="296" t="s">
        <v>650</v>
      </c>
      <c r="C370" s="297" t="s">
        <v>649</v>
      </c>
      <c r="D370" s="243"/>
      <c r="E370" s="259"/>
      <c r="F370" s="298"/>
      <c r="G370" s="298"/>
      <c r="H370" s="298"/>
      <c r="I370" s="298"/>
      <c r="J370" s="298"/>
      <c r="K370" s="298"/>
      <c r="L370" s="261"/>
      <c r="M370" s="298"/>
      <c r="N370" s="298"/>
      <c r="O370" s="298"/>
      <c r="P370" s="298"/>
      <c r="Q370" s="298"/>
      <c r="R370" s="298"/>
      <c r="S370" s="261"/>
      <c r="T370" s="298"/>
      <c r="U370" s="298"/>
      <c r="V370" s="298"/>
      <c r="W370" s="298"/>
      <c r="X370" s="298"/>
      <c r="Y370" s="298"/>
      <c r="Z370" s="261"/>
      <c r="AA370" s="298"/>
      <c r="AB370" s="298"/>
      <c r="AC370" s="298"/>
      <c r="AD370" s="298"/>
      <c r="AE370" s="298"/>
      <c r="AF370" s="298"/>
      <c r="AG370" s="261"/>
      <c r="AH370" s="298"/>
      <c r="AI370" s="298"/>
      <c r="AJ370" s="298"/>
      <c r="AK370" s="298"/>
      <c r="AL370" s="298"/>
      <c r="AM370" s="298"/>
      <c r="AN370" s="261"/>
      <c r="AO370" s="298"/>
      <c r="AP370" s="298"/>
      <c r="AQ370" s="298"/>
      <c r="AR370" s="298"/>
      <c r="AS370" s="298"/>
      <c r="AT370" s="254" t="str">
        <f t="shared" si="340"/>
        <v/>
      </c>
      <c r="AU370" s="269"/>
      <c r="AV370" s="269"/>
      <c r="AW370" s="206" t="str">
        <f t="shared" si="330"/>
        <v>#REF!</v>
      </c>
      <c r="AX370" s="206">
        <f t="shared" ref="AX370:BB370" si="353">AX112</f>
        <v>49</v>
      </c>
      <c r="AY370" s="206">
        <f t="shared" si="353"/>
        <v>52</v>
      </c>
      <c r="AZ370" s="206">
        <f t="shared" si="353"/>
        <v>45</v>
      </c>
      <c r="BA370" s="206">
        <f t="shared" si="353"/>
        <v>43</v>
      </c>
      <c r="BB370" s="464">
        <f t="shared" si="353"/>
        <v>0</v>
      </c>
      <c r="BC370" s="465">
        <f t="shared" si="332"/>
        <v>1512</v>
      </c>
      <c r="BD370" s="206"/>
      <c r="BE370" s="466"/>
    </row>
    <row r="371">
      <c r="A371" s="94"/>
      <c r="B371" s="301" t="s">
        <v>651</v>
      </c>
      <c r="C371" s="302" t="s">
        <v>652</v>
      </c>
      <c r="D371" s="243"/>
      <c r="E371" s="259"/>
      <c r="F371" s="298"/>
      <c r="G371" s="298"/>
      <c r="H371" s="298"/>
      <c r="I371" s="298"/>
      <c r="J371" s="298"/>
      <c r="K371" s="298"/>
      <c r="L371" s="261"/>
      <c r="M371" s="298"/>
      <c r="N371" s="298"/>
      <c r="O371" s="298"/>
      <c r="P371" s="298"/>
      <c r="Q371" s="298"/>
      <c r="R371" s="298"/>
      <c r="S371" s="261"/>
      <c r="T371" s="298"/>
      <c r="U371" s="298"/>
      <c r="V371" s="298"/>
      <c r="W371" s="298"/>
      <c r="X371" s="298"/>
      <c r="Y371" s="298"/>
      <c r="Z371" s="261"/>
      <c r="AA371" s="298"/>
      <c r="AB371" s="298"/>
      <c r="AC371" s="298"/>
      <c r="AD371" s="298"/>
      <c r="AE371" s="298"/>
      <c r="AF371" s="298"/>
      <c r="AG371" s="261"/>
      <c r="AH371" s="298"/>
      <c r="AI371" s="298"/>
      <c r="AJ371" s="298"/>
      <c r="AK371" s="298"/>
      <c r="AL371" s="298"/>
      <c r="AM371" s="298"/>
      <c r="AN371" s="261"/>
      <c r="AO371" s="298"/>
      <c r="AP371" s="298"/>
      <c r="AQ371" s="298"/>
      <c r="AR371" s="298"/>
      <c r="AS371" s="298"/>
      <c r="AT371" s="254" t="str">
        <f t="shared" si="340"/>
        <v/>
      </c>
      <c r="AU371" s="269"/>
      <c r="AV371" s="269"/>
      <c r="AW371" s="206" t="str">
        <f t="shared" si="330"/>
        <v>#REF!</v>
      </c>
      <c r="AX371" s="206">
        <f t="shared" ref="AX371:BB371" si="354">AX113</f>
        <v>49</v>
      </c>
      <c r="AY371" s="206">
        <f t="shared" si="354"/>
        <v>52</v>
      </c>
      <c r="AZ371" s="206">
        <f t="shared" si="354"/>
        <v>45</v>
      </c>
      <c r="BA371" s="206">
        <f t="shared" si="354"/>
        <v>43</v>
      </c>
      <c r="BB371" s="464">
        <f t="shared" si="354"/>
        <v>0</v>
      </c>
      <c r="BC371" s="465">
        <f t="shared" si="332"/>
        <v>1512</v>
      </c>
      <c r="BD371" s="206"/>
      <c r="BE371" s="466"/>
    </row>
    <row r="372">
      <c r="A372" s="94"/>
      <c r="B372" s="322" t="s">
        <v>662</v>
      </c>
      <c r="C372" s="306" t="s">
        <v>663</v>
      </c>
      <c r="D372" s="323"/>
      <c r="E372" s="259"/>
      <c r="F372" s="542"/>
      <c r="G372" s="298"/>
      <c r="H372" s="542"/>
      <c r="I372" s="298"/>
      <c r="J372" s="542"/>
      <c r="K372" s="298"/>
      <c r="L372" s="261"/>
      <c r="M372" s="542"/>
      <c r="N372" s="298"/>
      <c r="O372" s="542"/>
      <c r="P372" s="298"/>
      <c r="Q372" s="542"/>
      <c r="R372" s="298"/>
      <c r="S372" s="261"/>
      <c r="T372" s="542"/>
      <c r="U372" s="298"/>
      <c r="V372" s="542"/>
      <c r="W372" s="298"/>
      <c r="X372" s="542"/>
      <c r="Y372" s="298"/>
      <c r="Z372" s="261"/>
      <c r="AA372" s="542"/>
      <c r="AB372" s="298"/>
      <c r="AC372" s="542"/>
      <c r="AD372" s="298"/>
      <c r="AE372" s="542"/>
      <c r="AF372" s="298"/>
      <c r="AG372" s="261"/>
      <c r="AH372" s="542"/>
      <c r="AI372" s="298"/>
      <c r="AJ372" s="542"/>
      <c r="AK372" s="298"/>
      <c r="AL372" s="542"/>
      <c r="AM372" s="298"/>
      <c r="AN372" s="261"/>
      <c r="AO372" s="542"/>
      <c r="AP372" s="298"/>
      <c r="AQ372" s="542"/>
      <c r="AR372" s="298"/>
      <c r="AS372" s="542"/>
      <c r="AT372" s="254" t="str">
        <f>IF(COUNTIF($AO$85:$AT$87, O358) &gt; 0, "X", "")</f>
        <v/>
      </c>
      <c r="AU372" s="269"/>
      <c r="AV372" s="269"/>
      <c r="AW372" s="206" t="str">
        <f t="shared" si="330"/>
        <v>#REF!</v>
      </c>
      <c r="AX372" s="206">
        <f t="shared" ref="AX372:BB372" si="355">AX114</f>
        <v>49</v>
      </c>
      <c r="AY372" s="206">
        <f t="shared" si="355"/>
        <v>52</v>
      </c>
      <c r="AZ372" s="206">
        <f t="shared" si="355"/>
        <v>45</v>
      </c>
      <c r="BA372" s="206">
        <f t="shared" si="355"/>
        <v>43</v>
      </c>
      <c r="BB372" s="464">
        <f t="shared" si="355"/>
        <v>0</v>
      </c>
      <c r="BC372" s="465">
        <f t="shared" si="332"/>
        <v>1512</v>
      </c>
      <c r="BD372" s="206"/>
      <c r="BE372" s="466"/>
    </row>
    <row r="373">
      <c r="A373" s="94"/>
      <c r="B373" s="328" t="s">
        <v>665</v>
      </c>
      <c r="C373" s="329" t="s">
        <v>654</v>
      </c>
      <c r="D373" s="330"/>
      <c r="E373" s="259"/>
      <c r="F373" s="544"/>
      <c r="G373" s="246"/>
      <c r="H373" s="542"/>
      <c r="I373" s="246"/>
      <c r="J373" s="542"/>
      <c r="K373" s="246"/>
      <c r="L373" s="261"/>
      <c r="M373" s="544"/>
      <c r="N373" s="246"/>
      <c r="O373" s="542"/>
      <c r="P373" s="246"/>
      <c r="Q373" s="542"/>
      <c r="R373" s="246"/>
      <c r="S373" s="261"/>
      <c r="T373" s="544"/>
      <c r="U373" s="246"/>
      <c r="V373" s="542"/>
      <c r="W373" s="246"/>
      <c r="X373" s="542"/>
      <c r="Y373" s="246"/>
      <c r="Z373" s="261"/>
      <c r="AA373" s="544"/>
      <c r="AB373" s="246"/>
      <c r="AC373" s="542"/>
      <c r="AD373" s="246"/>
      <c r="AE373" s="542"/>
      <c r="AF373" s="246"/>
      <c r="AG373" s="261"/>
      <c r="AH373" s="544"/>
      <c r="AI373" s="246"/>
      <c r="AJ373" s="542"/>
      <c r="AK373" s="246"/>
      <c r="AL373" s="542"/>
      <c r="AM373" s="246"/>
      <c r="AN373" s="261"/>
      <c r="AO373" s="544"/>
      <c r="AP373" s="246"/>
      <c r="AQ373" s="542"/>
      <c r="AR373" s="246"/>
      <c r="AS373" s="542"/>
      <c r="AT373" s="254" t="str">
        <f>IF(COUNTIF($AO$85:$AT$87, AQ373) &gt; 0, "X", "")</f>
        <v/>
      </c>
      <c r="AU373" s="269"/>
      <c r="AV373" s="269"/>
      <c r="AW373" s="206" t="str">
        <f t="shared" si="330"/>
        <v>#REF!</v>
      </c>
      <c r="AX373" s="206">
        <f t="shared" ref="AX373:BB373" si="356">AX115</f>
        <v>49</v>
      </c>
      <c r="AY373" s="206">
        <f t="shared" si="356"/>
        <v>52</v>
      </c>
      <c r="AZ373" s="206">
        <f t="shared" si="356"/>
        <v>45</v>
      </c>
      <c r="BA373" s="206">
        <f t="shared" si="356"/>
        <v>43</v>
      </c>
      <c r="BB373" s="464">
        <f t="shared" si="356"/>
        <v>0</v>
      </c>
      <c r="BC373" s="465">
        <f t="shared" si="332"/>
        <v>1512</v>
      </c>
      <c r="BD373" s="206"/>
      <c r="BE373" s="466"/>
    </row>
    <row r="374">
      <c r="A374" s="94"/>
      <c r="B374" s="337" t="s">
        <v>665</v>
      </c>
      <c r="C374" s="338" t="s">
        <v>657</v>
      </c>
      <c r="D374" s="330"/>
      <c r="E374" s="259"/>
      <c r="F374" s="542"/>
      <c r="G374" s="246"/>
      <c r="H374" s="542"/>
      <c r="I374" s="246"/>
      <c r="J374" s="542"/>
      <c r="K374" s="246"/>
      <c r="L374" s="261"/>
      <c r="M374" s="542"/>
      <c r="N374" s="246"/>
      <c r="O374" s="542"/>
      <c r="P374" s="246"/>
      <c r="Q374" s="542"/>
      <c r="R374" s="246"/>
      <c r="S374" s="261"/>
      <c r="T374" s="542"/>
      <c r="U374" s="246"/>
      <c r="V374" s="542"/>
      <c r="W374" s="246"/>
      <c r="X374" s="542"/>
      <c r="Y374" s="246"/>
      <c r="Z374" s="261"/>
      <c r="AA374" s="542"/>
      <c r="AB374" s="246"/>
      <c r="AC374" s="542"/>
      <c r="AD374" s="246"/>
      <c r="AE374" s="542"/>
      <c r="AF374" s="246"/>
      <c r="AG374" s="261"/>
      <c r="AH374" s="542"/>
      <c r="AI374" s="246"/>
      <c r="AJ374" s="542"/>
      <c r="AK374" s="246"/>
      <c r="AL374" s="542"/>
      <c r="AM374" s="246"/>
      <c r="AN374" s="261"/>
      <c r="AO374" s="542"/>
      <c r="AP374" s="246"/>
      <c r="AQ374" s="542"/>
      <c r="AR374" s="246"/>
      <c r="AS374" s="542"/>
      <c r="AT374" s="254" t="str">
        <f>IF(COUNTIF($AO$85:$AT$87, AS374) &gt; 0, "X", "")</f>
        <v/>
      </c>
      <c r="AU374" s="269"/>
      <c r="AV374" s="269"/>
      <c r="AW374" s="206" t="str">
        <f t="shared" si="330"/>
        <v>#REF!</v>
      </c>
      <c r="AX374" s="206">
        <f t="shared" ref="AX374:BB374" si="357">AX116</f>
        <v>49</v>
      </c>
      <c r="AY374" s="206">
        <f t="shared" si="357"/>
        <v>52</v>
      </c>
      <c r="AZ374" s="206">
        <f t="shared" si="357"/>
        <v>45</v>
      </c>
      <c r="BA374" s="206">
        <f t="shared" si="357"/>
        <v>43</v>
      </c>
      <c r="BB374" s="464">
        <f t="shared" si="357"/>
        <v>0</v>
      </c>
      <c r="BC374" s="465">
        <f t="shared" si="332"/>
        <v>1512</v>
      </c>
      <c r="BD374" s="206"/>
      <c r="BE374" s="466"/>
    </row>
    <row r="375">
      <c r="A375" s="94"/>
      <c r="B375" s="256" t="s">
        <v>665</v>
      </c>
      <c r="C375" s="257" t="s">
        <v>663</v>
      </c>
      <c r="D375" s="330"/>
      <c r="E375" s="259"/>
      <c r="F375" s="545"/>
      <c r="G375" s="246"/>
      <c r="H375" s="545"/>
      <c r="I375" s="246"/>
      <c r="J375" s="542"/>
      <c r="K375" s="246"/>
      <c r="L375" s="261"/>
      <c r="M375" s="545"/>
      <c r="N375" s="246"/>
      <c r="O375" s="545"/>
      <c r="P375" s="246"/>
      <c r="Q375" s="542"/>
      <c r="R375" s="246"/>
      <c r="S375" s="261"/>
      <c r="T375" s="545"/>
      <c r="U375" s="246"/>
      <c r="V375" s="545"/>
      <c r="W375" s="246"/>
      <c r="X375" s="542"/>
      <c r="Y375" s="246"/>
      <c r="Z375" s="261"/>
      <c r="AA375" s="545"/>
      <c r="AB375" s="246"/>
      <c r="AC375" s="545"/>
      <c r="AD375" s="246"/>
      <c r="AE375" s="542"/>
      <c r="AF375" s="246"/>
      <c r="AG375" s="261"/>
      <c r="AH375" s="545"/>
      <c r="AI375" s="246"/>
      <c r="AJ375" s="545"/>
      <c r="AK375" s="246"/>
      <c r="AL375" s="542"/>
      <c r="AM375" s="246"/>
      <c r="AN375" s="261"/>
      <c r="AO375" s="545"/>
      <c r="AP375" s="246"/>
      <c r="AQ375" s="545"/>
      <c r="AR375" s="246"/>
      <c r="AS375" s="542"/>
      <c r="AT375" s="254" t="str">
        <f>IF(COUNTIF($AO$85:$AT$87, #REF!) &gt; 0, "X", "")</f>
        <v/>
      </c>
      <c r="AU375" s="269"/>
      <c r="AV375" s="269"/>
      <c r="AW375" s="206" t="str">
        <f t="shared" si="330"/>
        <v>#REF!</v>
      </c>
      <c r="AX375" s="206">
        <f t="shared" ref="AX375:BB375" si="358">AX117</f>
        <v>49</v>
      </c>
      <c r="AY375" s="206">
        <f t="shared" si="358"/>
        <v>52</v>
      </c>
      <c r="AZ375" s="206">
        <f t="shared" si="358"/>
        <v>45</v>
      </c>
      <c r="BA375" s="206">
        <f t="shared" si="358"/>
        <v>43</v>
      </c>
      <c r="BB375" s="464">
        <f t="shared" si="358"/>
        <v>0</v>
      </c>
      <c r="BC375" s="465">
        <f t="shared" si="332"/>
        <v>1512</v>
      </c>
      <c r="BD375" s="206"/>
      <c r="BE375" s="466"/>
    </row>
    <row r="376">
      <c r="A376" s="94"/>
      <c r="B376" s="328" t="s">
        <v>665</v>
      </c>
      <c r="C376" s="329" t="s">
        <v>645</v>
      </c>
      <c r="D376" s="330"/>
      <c r="E376" s="259"/>
      <c r="F376" s="545"/>
      <c r="G376" s="246"/>
      <c r="H376" s="545"/>
      <c r="I376" s="246"/>
      <c r="J376" s="542"/>
      <c r="K376" s="246"/>
      <c r="L376" s="261"/>
      <c r="M376" s="545"/>
      <c r="N376" s="246"/>
      <c r="O376" s="545"/>
      <c r="P376" s="246"/>
      <c r="Q376" s="542"/>
      <c r="R376" s="246"/>
      <c r="S376" s="261"/>
      <c r="T376" s="545"/>
      <c r="U376" s="246"/>
      <c r="V376" s="545"/>
      <c r="W376" s="246"/>
      <c r="X376" s="542"/>
      <c r="Y376" s="246"/>
      <c r="Z376" s="261"/>
      <c r="AA376" s="545"/>
      <c r="AB376" s="246"/>
      <c r="AC376" s="545"/>
      <c r="AD376" s="246"/>
      <c r="AE376" s="542"/>
      <c r="AF376" s="246"/>
      <c r="AG376" s="261"/>
      <c r="AH376" s="545"/>
      <c r="AI376" s="246"/>
      <c r="AJ376" s="545"/>
      <c r="AK376" s="246"/>
      <c r="AL376" s="542"/>
      <c r="AM376" s="246"/>
      <c r="AN376" s="261"/>
      <c r="AO376" s="545"/>
      <c r="AP376" s="246"/>
      <c r="AQ376" s="545"/>
      <c r="AR376" s="246"/>
      <c r="AS376" s="542"/>
      <c r="AT376" s="254" t="str">
        <f>IF(COUNTIF($AO$85:$AT$87, AQ376) &gt; 0, "X", "")</f>
        <v/>
      </c>
      <c r="AU376" s="269"/>
      <c r="AV376" s="269"/>
      <c r="AW376" s="206" t="str">
        <f t="shared" si="330"/>
        <v>#REF!</v>
      </c>
      <c r="AX376" s="206">
        <f t="shared" ref="AX376:BB376" si="359">AX118</f>
        <v>49</v>
      </c>
      <c r="AY376" s="206">
        <f t="shared" si="359"/>
        <v>52</v>
      </c>
      <c r="AZ376" s="206">
        <f t="shared" si="359"/>
        <v>45</v>
      </c>
      <c r="BA376" s="206">
        <f t="shared" si="359"/>
        <v>43</v>
      </c>
      <c r="BB376" s="464">
        <f t="shared" si="359"/>
        <v>0</v>
      </c>
      <c r="BC376" s="465">
        <f t="shared" si="332"/>
        <v>1512</v>
      </c>
      <c r="BD376" s="206"/>
      <c r="BE376" s="466"/>
    </row>
    <row r="377">
      <c r="A377" s="94"/>
      <c r="B377" s="342" t="s">
        <v>667</v>
      </c>
      <c r="C377" s="343" t="s">
        <v>657</v>
      </c>
      <c r="D377" s="323"/>
      <c r="E377" s="261"/>
      <c r="F377" s="546"/>
      <c r="G377" s="246"/>
      <c r="H377" s="298"/>
      <c r="I377" s="246"/>
      <c r="J377" s="542"/>
      <c r="K377" s="246"/>
      <c r="L377" s="261"/>
      <c r="M377" s="546"/>
      <c r="N377" s="246"/>
      <c r="O377" s="298"/>
      <c r="P377" s="246"/>
      <c r="Q377" s="542"/>
      <c r="R377" s="246"/>
      <c r="S377" s="261"/>
      <c r="T377" s="546"/>
      <c r="U377" s="246"/>
      <c r="V377" s="298"/>
      <c r="W377" s="246"/>
      <c r="X377" s="542"/>
      <c r="Y377" s="246"/>
      <c r="Z377" s="261"/>
      <c r="AA377" s="546"/>
      <c r="AB377" s="246"/>
      <c r="AC377" s="298"/>
      <c r="AD377" s="246"/>
      <c r="AE377" s="542"/>
      <c r="AF377" s="246"/>
      <c r="AG377" s="261"/>
      <c r="AH377" s="546"/>
      <c r="AI377" s="246"/>
      <c r="AJ377" s="298"/>
      <c r="AK377" s="246"/>
      <c r="AL377" s="542"/>
      <c r="AM377" s="246"/>
      <c r="AN377" s="261"/>
      <c r="AO377" s="546"/>
      <c r="AP377" s="246"/>
      <c r="AQ377" s="298"/>
      <c r="AR377" s="246"/>
      <c r="AS377" s="542"/>
      <c r="AT377" s="254" t="str">
        <f>IF(COUNTIF($AO$85:$AT$87, AS377) &gt; 0, "X", "")</f>
        <v/>
      </c>
      <c r="AU377" s="269"/>
      <c r="AV377" s="269"/>
      <c r="AW377" s="206" t="str">
        <f t="shared" si="330"/>
        <v>#REF!</v>
      </c>
      <c r="AX377" s="206">
        <f t="shared" ref="AX377:BB377" si="360">AX119</f>
        <v>49</v>
      </c>
      <c r="AY377" s="206">
        <f t="shared" si="360"/>
        <v>52</v>
      </c>
      <c r="AZ377" s="206">
        <f t="shared" si="360"/>
        <v>45</v>
      </c>
      <c r="BA377" s="206">
        <f t="shared" si="360"/>
        <v>43</v>
      </c>
      <c r="BB377" s="464">
        <f t="shared" si="360"/>
        <v>0</v>
      </c>
      <c r="BC377" s="465">
        <f t="shared" si="332"/>
        <v>1512</v>
      </c>
      <c r="BD377" s="206"/>
      <c r="BE377" s="466"/>
    </row>
    <row r="378">
      <c r="A378" s="94"/>
      <c r="B378" s="349" t="s">
        <v>669</v>
      </c>
      <c r="C378" s="350" t="s">
        <v>649</v>
      </c>
      <c r="D378" s="351"/>
      <c r="E378" s="259"/>
      <c r="F378" s="547"/>
      <c r="G378" s="246"/>
      <c r="H378" s="548"/>
      <c r="I378" s="246"/>
      <c r="J378" s="543"/>
      <c r="K378" s="246"/>
      <c r="L378" s="261"/>
      <c r="M378" s="547"/>
      <c r="N378" s="246"/>
      <c r="O378" s="548"/>
      <c r="P378" s="246"/>
      <c r="Q378" s="543"/>
      <c r="R378" s="246"/>
      <c r="S378" s="261"/>
      <c r="T378" s="547"/>
      <c r="U378" s="246"/>
      <c r="V378" s="548"/>
      <c r="W378" s="246"/>
      <c r="X378" s="543"/>
      <c r="Y378" s="246"/>
      <c r="Z378" s="261"/>
      <c r="AA378" s="547"/>
      <c r="AB378" s="246"/>
      <c r="AC378" s="548"/>
      <c r="AD378" s="246"/>
      <c r="AE378" s="543"/>
      <c r="AF378" s="246"/>
      <c r="AG378" s="261"/>
      <c r="AH378" s="547"/>
      <c r="AI378" s="246"/>
      <c r="AJ378" s="548"/>
      <c r="AK378" s="246"/>
      <c r="AL378" s="543"/>
      <c r="AM378" s="246"/>
      <c r="AN378" s="261"/>
      <c r="AO378" s="547"/>
      <c r="AP378" s="246"/>
      <c r="AQ378" s="548"/>
      <c r="AR378" s="246"/>
      <c r="AS378" s="543"/>
      <c r="AT378" s="254" t="str">
        <f>IF(COUNTIF($AO$85:$AT$87, #REF!) &gt; 0, "X", "")</f>
        <v/>
      </c>
      <c r="AU378" s="269"/>
      <c r="AV378" s="269"/>
      <c r="AW378" s="206" t="str">
        <f t="shared" si="330"/>
        <v>#REF!</v>
      </c>
      <c r="AX378" s="206">
        <f t="shared" ref="AX378:BB378" si="361">AX120</f>
        <v>49</v>
      </c>
      <c r="AY378" s="206">
        <f t="shared" si="361"/>
        <v>52</v>
      </c>
      <c r="AZ378" s="206">
        <f t="shared" si="361"/>
        <v>45</v>
      </c>
      <c r="BA378" s="206">
        <f t="shared" si="361"/>
        <v>43</v>
      </c>
      <c r="BB378" s="464">
        <f t="shared" si="361"/>
        <v>0</v>
      </c>
      <c r="BC378" s="465">
        <f t="shared" si="332"/>
        <v>1512</v>
      </c>
      <c r="BD378" s="206"/>
      <c r="BE378" s="466"/>
    </row>
    <row r="379">
      <c r="A379" s="234"/>
      <c r="B379" s="296" t="s">
        <v>650</v>
      </c>
      <c r="C379" s="297" t="s">
        <v>649</v>
      </c>
      <c r="D379" s="323"/>
      <c r="E379" s="259"/>
      <c r="F379" s="542"/>
      <c r="G379" s="298"/>
      <c r="H379" s="298"/>
      <c r="I379" s="298"/>
      <c r="J379" s="298"/>
      <c r="K379" s="298"/>
      <c r="L379" s="261"/>
      <c r="M379" s="542"/>
      <c r="N379" s="298"/>
      <c r="O379" s="298"/>
      <c r="P379" s="298"/>
      <c r="Q379" s="298"/>
      <c r="R379" s="298"/>
      <c r="S379" s="261"/>
      <c r="T379" s="542"/>
      <c r="U379" s="298"/>
      <c r="V379" s="298"/>
      <c r="W379" s="298"/>
      <c r="X379" s="298"/>
      <c r="Y379" s="298"/>
      <c r="Z379" s="261"/>
      <c r="AA379" s="542"/>
      <c r="AB379" s="298"/>
      <c r="AC379" s="298"/>
      <c r="AD379" s="298"/>
      <c r="AE379" s="298"/>
      <c r="AF379" s="298"/>
      <c r="AG379" s="261"/>
      <c r="AH379" s="542"/>
      <c r="AI379" s="298"/>
      <c r="AJ379" s="298"/>
      <c r="AK379" s="298"/>
      <c r="AL379" s="298"/>
      <c r="AM379" s="298"/>
      <c r="AN379" s="261"/>
      <c r="AO379" s="542"/>
      <c r="AP379" s="298"/>
      <c r="AQ379" s="298"/>
      <c r="AR379" s="298"/>
      <c r="AS379" s="298"/>
      <c r="AT379" s="254" t="str">
        <f t="shared" ref="AT379:AT380" si="363">IF(COUNTIF($AO$85:$AT$87, AS379) &gt; 0, "X", "")</f>
        <v/>
      </c>
      <c r="AU379" s="269"/>
      <c r="AV379" s="269"/>
      <c r="AW379" s="206" t="str">
        <f t="shared" si="330"/>
        <v>#REF!</v>
      </c>
      <c r="AX379" s="206">
        <f t="shared" ref="AX379:BB379" si="362">AX121</f>
        <v>49</v>
      </c>
      <c r="AY379" s="206">
        <f t="shared" si="362"/>
        <v>52</v>
      </c>
      <c r="AZ379" s="206">
        <f t="shared" si="362"/>
        <v>45</v>
      </c>
      <c r="BA379" s="206">
        <f t="shared" si="362"/>
        <v>43</v>
      </c>
      <c r="BB379" s="464">
        <f t="shared" si="362"/>
        <v>0</v>
      </c>
      <c r="BC379" s="465">
        <f t="shared" si="332"/>
        <v>1512</v>
      </c>
      <c r="BD379" s="206"/>
      <c r="BE379" s="466"/>
    </row>
    <row r="380">
      <c r="A380" s="94"/>
      <c r="B380" s="301" t="s">
        <v>651</v>
      </c>
      <c r="C380" s="302" t="s">
        <v>652</v>
      </c>
      <c r="D380" s="330"/>
      <c r="E380" s="259"/>
      <c r="F380" s="298"/>
      <c r="G380" s="298"/>
      <c r="H380" s="298"/>
      <c r="I380" s="298"/>
      <c r="J380" s="298"/>
      <c r="K380" s="298"/>
      <c r="L380" s="261"/>
      <c r="M380" s="298"/>
      <c r="N380" s="298"/>
      <c r="O380" s="298"/>
      <c r="P380" s="298"/>
      <c r="Q380" s="298"/>
      <c r="R380" s="298"/>
      <c r="S380" s="261"/>
      <c r="T380" s="298"/>
      <c r="U380" s="298"/>
      <c r="V380" s="298"/>
      <c r="W380" s="298"/>
      <c r="X380" s="298"/>
      <c r="Y380" s="298"/>
      <c r="Z380" s="261"/>
      <c r="AA380" s="298"/>
      <c r="AB380" s="298"/>
      <c r="AC380" s="298"/>
      <c r="AD380" s="298"/>
      <c r="AE380" s="298"/>
      <c r="AF380" s="298"/>
      <c r="AG380" s="261"/>
      <c r="AH380" s="298"/>
      <c r="AI380" s="298"/>
      <c r="AJ380" s="298"/>
      <c r="AK380" s="298"/>
      <c r="AL380" s="298"/>
      <c r="AM380" s="298"/>
      <c r="AN380" s="261"/>
      <c r="AO380" s="298"/>
      <c r="AP380" s="298"/>
      <c r="AQ380" s="298"/>
      <c r="AR380" s="298"/>
      <c r="AS380" s="298"/>
      <c r="AT380" s="254" t="str">
        <f t="shared" si="363"/>
        <v/>
      </c>
      <c r="AU380" s="269"/>
      <c r="AV380" s="269"/>
      <c r="AW380" s="206" t="str">
        <f t="shared" si="330"/>
        <v>#REF!</v>
      </c>
      <c r="AX380" s="206">
        <f t="shared" ref="AX380:BB380" si="364">AX122</f>
        <v>49</v>
      </c>
      <c r="AY380" s="206">
        <f t="shared" si="364"/>
        <v>52</v>
      </c>
      <c r="AZ380" s="206">
        <f t="shared" si="364"/>
        <v>45</v>
      </c>
      <c r="BA380" s="206">
        <f t="shared" si="364"/>
        <v>43</v>
      </c>
      <c r="BB380" s="464">
        <f t="shared" si="364"/>
        <v>0</v>
      </c>
      <c r="BC380" s="465">
        <f t="shared" si="332"/>
        <v>1512</v>
      </c>
      <c r="BD380" s="206"/>
      <c r="BE380" s="466"/>
    </row>
    <row r="381">
      <c r="A381" s="94"/>
      <c r="B381" s="361" t="s">
        <v>673</v>
      </c>
      <c r="C381" s="362" t="s">
        <v>674</v>
      </c>
      <c r="D381" s="363"/>
      <c r="E381" s="259"/>
      <c r="F381" s="542"/>
      <c r="G381" s="298"/>
      <c r="H381" s="542"/>
      <c r="I381" s="298"/>
      <c r="J381" s="542"/>
      <c r="K381" s="298"/>
      <c r="L381" s="261"/>
      <c r="M381" s="542"/>
      <c r="N381" s="298"/>
      <c r="O381" s="542"/>
      <c r="P381" s="298"/>
      <c r="Q381" s="542"/>
      <c r="R381" s="298"/>
      <c r="S381" s="261"/>
      <c r="T381" s="542"/>
      <c r="U381" s="298"/>
      <c r="V381" s="542"/>
      <c r="W381" s="298"/>
      <c r="X381" s="542"/>
      <c r="Y381" s="298"/>
      <c r="Z381" s="261"/>
      <c r="AA381" s="542"/>
      <c r="AB381" s="298"/>
      <c r="AC381" s="542"/>
      <c r="AD381" s="298"/>
      <c r="AE381" s="542"/>
      <c r="AF381" s="298"/>
      <c r="AG381" s="261"/>
      <c r="AH381" s="542"/>
      <c r="AI381" s="298"/>
      <c r="AJ381" s="542"/>
      <c r="AK381" s="298"/>
      <c r="AL381" s="542"/>
      <c r="AM381" s="298"/>
      <c r="AN381" s="261"/>
      <c r="AO381" s="542"/>
      <c r="AP381" s="298"/>
      <c r="AQ381" s="542"/>
      <c r="AR381" s="298"/>
      <c r="AS381" s="542"/>
      <c r="AT381" s="254" t="str">
        <f>IF(COUNTIF($AO$85:$AT$87, AQ383) &gt; 0, "X", "")</f>
        <v/>
      </c>
      <c r="AU381" s="269"/>
      <c r="AV381" s="269"/>
      <c r="AW381" s="206" t="str">
        <f t="shared" si="330"/>
        <v>#REF!</v>
      </c>
      <c r="AX381" s="206">
        <f t="shared" ref="AX381:BB381" si="365">AX123</f>
        <v>49</v>
      </c>
      <c r="AY381" s="206">
        <f t="shared" si="365"/>
        <v>52</v>
      </c>
      <c r="AZ381" s="206">
        <f t="shared" si="365"/>
        <v>45</v>
      </c>
      <c r="BA381" s="206">
        <f t="shared" si="365"/>
        <v>43</v>
      </c>
      <c r="BB381" s="464">
        <f t="shared" si="365"/>
        <v>0</v>
      </c>
      <c r="BC381" s="465">
        <f t="shared" si="332"/>
        <v>1512</v>
      </c>
      <c r="BD381" s="206"/>
      <c r="BE381" s="466"/>
    </row>
    <row r="382">
      <c r="A382" s="94"/>
      <c r="B382" s="367" t="s">
        <v>677</v>
      </c>
      <c r="C382" s="368" t="s">
        <v>674</v>
      </c>
      <c r="D382" s="369"/>
      <c r="E382" s="259"/>
      <c r="F382" s="298"/>
      <c r="G382" s="246"/>
      <c r="H382" s="298"/>
      <c r="I382" s="246"/>
      <c r="J382" s="298"/>
      <c r="K382" s="246"/>
      <c r="L382" s="261"/>
      <c r="M382" s="298"/>
      <c r="N382" s="246"/>
      <c r="O382" s="298"/>
      <c r="P382" s="246"/>
      <c r="Q382" s="298"/>
      <c r="R382" s="246"/>
      <c r="S382" s="261"/>
      <c r="T382" s="298"/>
      <c r="U382" s="246"/>
      <c r="V382" s="298"/>
      <c r="W382" s="246"/>
      <c r="X382" s="298"/>
      <c r="Y382" s="246"/>
      <c r="Z382" s="261"/>
      <c r="AA382" s="298"/>
      <c r="AB382" s="246"/>
      <c r="AC382" s="298"/>
      <c r="AD382" s="246"/>
      <c r="AE382" s="298"/>
      <c r="AF382" s="246"/>
      <c r="AG382" s="261"/>
      <c r="AH382" s="298"/>
      <c r="AI382" s="246"/>
      <c r="AJ382" s="298"/>
      <c r="AK382" s="246"/>
      <c r="AL382" s="298"/>
      <c r="AM382" s="246"/>
      <c r="AN382" s="261"/>
      <c r="AO382" s="298"/>
      <c r="AP382" s="246"/>
      <c r="AQ382" s="298"/>
      <c r="AR382" s="246"/>
      <c r="AS382" s="298"/>
      <c r="AT382" s="254" t="str">
        <f t="shared" ref="AT382:AT383" si="367">IF(COUNTIF($AO$85:$AT$87, AS382) &gt; 0, "X", "")</f>
        <v/>
      </c>
      <c r="AU382" s="269"/>
      <c r="AV382" s="269"/>
      <c r="AW382" s="206" t="str">
        <f t="shared" si="330"/>
        <v>#REF!</v>
      </c>
      <c r="AX382" s="206">
        <f t="shared" ref="AX382:BB382" si="366">AX124</f>
        <v>49</v>
      </c>
      <c r="AY382" s="206">
        <f t="shared" si="366"/>
        <v>52</v>
      </c>
      <c r="AZ382" s="206">
        <f t="shared" si="366"/>
        <v>45</v>
      </c>
      <c r="BA382" s="206">
        <f t="shared" si="366"/>
        <v>43</v>
      </c>
      <c r="BB382" s="464">
        <f t="shared" si="366"/>
        <v>0</v>
      </c>
      <c r="BC382" s="465">
        <f t="shared" si="332"/>
        <v>1512</v>
      </c>
      <c r="BD382" s="206"/>
      <c r="BE382" s="466"/>
    </row>
    <row r="383">
      <c r="A383" s="94"/>
      <c r="B383" s="256" t="s">
        <v>679</v>
      </c>
      <c r="C383" s="257" t="s">
        <v>680</v>
      </c>
      <c r="D383" s="330"/>
      <c r="E383" s="259"/>
      <c r="F383" s="544"/>
      <c r="G383" s="246"/>
      <c r="H383" s="544"/>
      <c r="I383" s="246"/>
      <c r="J383" s="542"/>
      <c r="K383" s="246"/>
      <c r="L383" s="261"/>
      <c r="M383" s="544"/>
      <c r="N383" s="246"/>
      <c r="O383" s="544"/>
      <c r="P383" s="246"/>
      <c r="Q383" s="542"/>
      <c r="R383" s="246"/>
      <c r="S383" s="261"/>
      <c r="T383" s="544"/>
      <c r="U383" s="246"/>
      <c r="V383" s="544"/>
      <c r="W383" s="246"/>
      <c r="X383" s="542"/>
      <c r="Y383" s="246"/>
      <c r="Z383" s="261"/>
      <c r="AA383" s="544"/>
      <c r="AB383" s="246"/>
      <c r="AC383" s="544"/>
      <c r="AD383" s="246"/>
      <c r="AE383" s="542"/>
      <c r="AF383" s="246"/>
      <c r="AG383" s="261"/>
      <c r="AH383" s="544"/>
      <c r="AI383" s="246"/>
      <c r="AJ383" s="544"/>
      <c r="AK383" s="246"/>
      <c r="AL383" s="542"/>
      <c r="AM383" s="246"/>
      <c r="AN383" s="261"/>
      <c r="AO383" s="544"/>
      <c r="AP383" s="246"/>
      <c r="AQ383" s="544"/>
      <c r="AR383" s="246"/>
      <c r="AS383" s="542"/>
      <c r="AT383" s="254" t="str">
        <f t="shared" si="367"/>
        <v/>
      </c>
      <c r="AU383" s="269"/>
      <c r="AV383" s="269"/>
      <c r="AW383" s="206" t="str">
        <f t="shared" si="330"/>
        <v>#REF!</v>
      </c>
      <c r="AX383" s="206">
        <f t="shared" ref="AX383:BB383" si="368">AX125</f>
        <v>49</v>
      </c>
      <c r="AY383" s="206">
        <f t="shared" si="368"/>
        <v>52</v>
      </c>
      <c r="AZ383" s="206">
        <f t="shared" si="368"/>
        <v>45</v>
      </c>
      <c r="BA383" s="206">
        <f t="shared" si="368"/>
        <v>43</v>
      </c>
      <c r="BB383" s="464">
        <f t="shared" si="368"/>
        <v>0</v>
      </c>
      <c r="BC383" s="465">
        <f t="shared" si="332"/>
        <v>1512</v>
      </c>
      <c r="BD383" s="206"/>
      <c r="BE383" s="466"/>
    </row>
    <row r="384">
      <c r="A384" s="372"/>
      <c r="B384" s="328" t="s">
        <v>679</v>
      </c>
      <c r="C384" s="329" t="s">
        <v>652</v>
      </c>
      <c r="D384" s="330"/>
      <c r="E384" s="259"/>
      <c r="F384" s="546"/>
      <c r="G384" s="246"/>
      <c r="H384" s="545"/>
      <c r="I384" s="246"/>
      <c r="J384" s="545"/>
      <c r="K384" s="246"/>
      <c r="L384" s="261"/>
      <c r="M384" s="546"/>
      <c r="N384" s="246"/>
      <c r="O384" s="545"/>
      <c r="P384" s="246"/>
      <c r="Q384" s="545"/>
      <c r="R384" s="246"/>
      <c r="S384" s="261"/>
      <c r="T384" s="546"/>
      <c r="U384" s="246"/>
      <c r="V384" s="545"/>
      <c r="W384" s="246"/>
      <c r="X384" s="545"/>
      <c r="Y384" s="246"/>
      <c r="Z384" s="261"/>
      <c r="AA384" s="546"/>
      <c r="AB384" s="246"/>
      <c r="AC384" s="545"/>
      <c r="AD384" s="246"/>
      <c r="AE384" s="545"/>
      <c r="AF384" s="246"/>
      <c r="AG384" s="261"/>
      <c r="AH384" s="546"/>
      <c r="AI384" s="246"/>
      <c r="AJ384" s="545"/>
      <c r="AK384" s="246"/>
      <c r="AL384" s="545"/>
      <c r="AM384" s="246"/>
      <c r="AN384" s="261"/>
      <c r="AO384" s="546"/>
      <c r="AP384" s="246"/>
      <c r="AQ384" s="545"/>
      <c r="AR384" s="246"/>
      <c r="AS384" s="545"/>
      <c r="AT384" s="254" t="str">
        <f>IF(COUNTIF($AO$85:$AT$87, AS381) &gt; 0, "X", "")</f>
        <v/>
      </c>
      <c r="AU384" s="269"/>
      <c r="AV384" s="269"/>
      <c r="AW384" s="206" t="str">
        <f t="shared" si="330"/>
        <v>#REF!</v>
      </c>
      <c r="AX384" s="206">
        <f t="shared" ref="AX384:BB384" si="369">AX126</f>
        <v>49</v>
      </c>
      <c r="AY384" s="206">
        <f t="shared" si="369"/>
        <v>52</v>
      </c>
      <c r="AZ384" s="206">
        <f t="shared" si="369"/>
        <v>45</v>
      </c>
      <c r="BA384" s="206">
        <f t="shared" si="369"/>
        <v>43</v>
      </c>
      <c r="BB384" s="464">
        <f t="shared" si="369"/>
        <v>0</v>
      </c>
      <c r="BC384" s="465">
        <f t="shared" si="332"/>
        <v>1512</v>
      </c>
      <c r="BD384" s="206"/>
      <c r="BE384" s="466"/>
    </row>
    <row r="385">
      <c r="A385" s="94"/>
      <c r="B385" s="328" t="s">
        <v>679</v>
      </c>
      <c r="C385" s="329" t="s">
        <v>683</v>
      </c>
      <c r="D385" s="330"/>
      <c r="E385" s="259"/>
      <c r="F385" s="545"/>
      <c r="G385" s="246"/>
      <c r="H385" s="541"/>
      <c r="I385" s="246"/>
      <c r="J385" s="544"/>
      <c r="K385" s="246"/>
      <c r="L385" s="261"/>
      <c r="M385" s="545"/>
      <c r="N385" s="246"/>
      <c r="O385" s="541"/>
      <c r="P385" s="246"/>
      <c r="Q385" s="544"/>
      <c r="R385" s="246"/>
      <c r="S385" s="261"/>
      <c r="T385" s="545"/>
      <c r="U385" s="246"/>
      <c r="V385" s="541"/>
      <c r="W385" s="246"/>
      <c r="X385" s="544"/>
      <c r="Y385" s="246"/>
      <c r="Z385" s="261"/>
      <c r="AA385" s="545"/>
      <c r="AB385" s="246"/>
      <c r="AC385" s="541"/>
      <c r="AD385" s="246"/>
      <c r="AE385" s="544"/>
      <c r="AF385" s="246"/>
      <c r="AG385" s="261"/>
      <c r="AH385" s="545"/>
      <c r="AI385" s="246"/>
      <c r="AJ385" s="541"/>
      <c r="AK385" s="246"/>
      <c r="AL385" s="544"/>
      <c r="AM385" s="246"/>
      <c r="AN385" s="261"/>
      <c r="AO385" s="545"/>
      <c r="AP385" s="246"/>
      <c r="AQ385" s="541"/>
      <c r="AR385" s="246"/>
      <c r="AS385" s="544"/>
      <c r="AT385" s="254" t="str">
        <f t="shared" ref="AT385:AT409" si="371">IF(COUNTIF($AO$85:$AT$87, AS385) &gt; 0, "X", "")</f>
        <v/>
      </c>
      <c r="AU385" s="269"/>
      <c r="AV385" s="269"/>
      <c r="AW385" s="206" t="str">
        <f t="shared" si="330"/>
        <v>#REF!</v>
      </c>
      <c r="AX385" s="206">
        <f t="shared" ref="AX385:BB385" si="370">AX127</f>
        <v>49</v>
      </c>
      <c r="AY385" s="206">
        <f t="shared" si="370"/>
        <v>52</v>
      </c>
      <c r="AZ385" s="206">
        <f t="shared" si="370"/>
        <v>45</v>
      </c>
      <c r="BA385" s="206">
        <f t="shared" si="370"/>
        <v>43</v>
      </c>
      <c r="BB385" s="464">
        <f t="shared" si="370"/>
        <v>0</v>
      </c>
      <c r="BC385" s="465">
        <f t="shared" si="332"/>
        <v>1512</v>
      </c>
      <c r="BD385" s="206"/>
      <c r="BE385" s="466"/>
    </row>
    <row r="386">
      <c r="A386" s="94"/>
      <c r="B386" s="377" t="s">
        <v>684</v>
      </c>
      <c r="C386" s="378" t="s">
        <v>685</v>
      </c>
      <c r="D386" s="379"/>
      <c r="E386" s="380"/>
      <c r="F386" s="545"/>
      <c r="G386" s="246"/>
      <c r="H386" s="544"/>
      <c r="I386" s="246"/>
      <c r="J386" s="545"/>
      <c r="K386" s="246"/>
      <c r="L386" s="381"/>
      <c r="M386" s="545"/>
      <c r="N386" s="246"/>
      <c r="O386" s="544"/>
      <c r="P386" s="246"/>
      <c r="Q386" s="545"/>
      <c r="R386" s="246"/>
      <c r="S386" s="381"/>
      <c r="T386" s="545"/>
      <c r="U386" s="246"/>
      <c r="V386" s="544"/>
      <c r="W386" s="246"/>
      <c r="X386" s="545"/>
      <c r="Y386" s="246"/>
      <c r="Z386" s="381"/>
      <c r="AA386" s="545"/>
      <c r="AB386" s="246"/>
      <c r="AC386" s="544"/>
      <c r="AD386" s="246"/>
      <c r="AE386" s="545"/>
      <c r="AF386" s="246"/>
      <c r="AG386" s="381"/>
      <c r="AH386" s="545"/>
      <c r="AI386" s="246"/>
      <c r="AJ386" s="544"/>
      <c r="AK386" s="246"/>
      <c r="AL386" s="545"/>
      <c r="AM386" s="246"/>
      <c r="AN386" s="381"/>
      <c r="AO386" s="545"/>
      <c r="AP386" s="246"/>
      <c r="AQ386" s="544"/>
      <c r="AR386" s="246"/>
      <c r="AS386" s="545"/>
      <c r="AT386" s="254" t="str">
        <f t="shared" si="371"/>
        <v/>
      </c>
      <c r="AU386" s="269"/>
      <c r="AV386" s="269"/>
      <c r="AW386" s="206" t="str">
        <f t="shared" si="330"/>
        <v>#REF!</v>
      </c>
      <c r="AX386" s="206">
        <f t="shared" ref="AX386:BB386" si="372">AX128</f>
        <v>49</v>
      </c>
      <c r="AY386" s="206">
        <f t="shared" si="372"/>
        <v>52</v>
      </c>
      <c r="AZ386" s="206">
        <f t="shared" si="372"/>
        <v>45</v>
      </c>
      <c r="BA386" s="206">
        <f t="shared" si="372"/>
        <v>43</v>
      </c>
      <c r="BB386" s="464">
        <f t="shared" si="372"/>
        <v>0</v>
      </c>
      <c r="BC386" s="465">
        <f t="shared" si="332"/>
        <v>1512</v>
      </c>
      <c r="BD386" s="206"/>
      <c r="BE386" s="466"/>
    </row>
    <row r="387">
      <c r="A387" s="270"/>
      <c r="B387" s="382" t="s">
        <v>686</v>
      </c>
      <c r="C387" s="242" t="s">
        <v>652</v>
      </c>
      <c r="D387" s="363"/>
      <c r="E387" s="259"/>
      <c r="F387" s="545"/>
      <c r="G387" s="246"/>
      <c r="H387" s="542"/>
      <c r="I387" s="246"/>
      <c r="J387" s="542"/>
      <c r="K387" s="246"/>
      <c r="L387" s="261"/>
      <c r="M387" s="545"/>
      <c r="N387" s="246"/>
      <c r="O387" s="542"/>
      <c r="P387" s="246"/>
      <c r="Q387" s="542"/>
      <c r="R387" s="246"/>
      <c r="S387" s="261"/>
      <c r="T387" s="545"/>
      <c r="U387" s="246"/>
      <c r="V387" s="542"/>
      <c r="W387" s="246"/>
      <c r="X387" s="542"/>
      <c r="Y387" s="246"/>
      <c r="Z387" s="261"/>
      <c r="AA387" s="545"/>
      <c r="AB387" s="246"/>
      <c r="AC387" s="542"/>
      <c r="AD387" s="246"/>
      <c r="AE387" s="542"/>
      <c r="AF387" s="246"/>
      <c r="AG387" s="261"/>
      <c r="AH387" s="545"/>
      <c r="AI387" s="246"/>
      <c r="AJ387" s="542"/>
      <c r="AK387" s="246"/>
      <c r="AL387" s="542"/>
      <c r="AM387" s="246"/>
      <c r="AN387" s="261"/>
      <c r="AO387" s="545"/>
      <c r="AP387" s="246"/>
      <c r="AQ387" s="542"/>
      <c r="AR387" s="246"/>
      <c r="AS387" s="542"/>
      <c r="AT387" s="254" t="str">
        <f t="shared" si="371"/>
        <v/>
      </c>
      <c r="AU387" s="269"/>
      <c r="AV387" s="269"/>
      <c r="AW387" s="206" t="str">
        <f t="shared" si="330"/>
        <v>#REF!</v>
      </c>
      <c r="AX387" s="206">
        <f t="shared" ref="AX387:BB387" si="373">AX129</f>
        <v>49</v>
      </c>
      <c r="AY387" s="206">
        <f t="shared" si="373"/>
        <v>52</v>
      </c>
      <c r="AZ387" s="206">
        <f t="shared" si="373"/>
        <v>45</v>
      </c>
      <c r="BA387" s="206">
        <f t="shared" si="373"/>
        <v>43</v>
      </c>
      <c r="BB387" s="464">
        <f t="shared" si="373"/>
        <v>0</v>
      </c>
      <c r="BC387" s="465">
        <f t="shared" si="332"/>
        <v>1512</v>
      </c>
      <c r="BD387" s="206"/>
      <c r="BE387" s="466"/>
    </row>
    <row r="388">
      <c r="A388" s="234"/>
      <c r="B388" s="337" t="s">
        <v>686</v>
      </c>
      <c r="C388" s="338" t="s">
        <v>687</v>
      </c>
      <c r="D388" s="330"/>
      <c r="E388" s="259"/>
      <c r="F388" s="298"/>
      <c r="G388" s="246"/>
      <c r="H388" s="546"/>
      <c r="I388" s="246"/>
      <c r="J388" s="542"/>
      <c r="K388" s="246"/>
      <c r="L388" s="261"/>
      <c r="M388" s="298"/>
      <c r="N388" s="246"/>
      <c r="O388" s="546"/>
      <c r="P388" s="246"/>
      <c r="Q388" s="542"/>
      <c r="R388" s="246"/>
      <c r="S388" s="261"/>
      <c r="T388" s="298"/>
      <c r="U388" s="246"/>
      <c r="V388" s="546"/>
      <c r="W388" s="246"/>
      <c r="X388" s="542"/>
      <c r="Y388" s="246"/>
      <c r="Z388" s="261"/>
      <c r="AA388" s="298"/>
      <c r="AB388" s="246"/>
      <c r="AC388" s="546"/>
      <c r="AD388" s="246"/>
      <c r="AE388" s="542"/>
      <c r="AF388" s="246"/>
      <c r="AG388" s="261"/>
      <c r="AH388" s="298"/>
      <c r="AI388" s="246"/>
      <c r="AJ388" s="546"/>
      <c r="AK388" s="246"/>
      <c r="AL388" s="542"/>
      <c r="AM388" s="246"/>
      <c r="AN388" s="261"/>
      <c r="AO388" s="298"/>
      <c r="AP388" s="246"/>
      <c r="AQ388" s="546"/>
      <c r="AR388" s="246"/>
      <c r="AS388" s="542"/>
      <c r="AT388" s="254" t="str">
        <f t="shared" si="371"/>
        <v/>
      </c>
      <c r="AU388" s="269"/>
      <c r="AV388" s="269"/>
      <c r="AW388" s="206" t="str">
        <f t="shared" si="330"/>
        <v>#REF!</v>
      </c>
      <c r="AX388" s="206">
        <f t="shared" ref="AX388:BB388" si="374">AX130</f>
        <v>49</v>
      </c>
      <c r="AY388" s="206">
        <f t="shared" si="374"/>
        <v>52</v>
      </c>
      <c r="AZ388" s="206">
        <f t="shared" si="374"/>
        <v>45</v>
      </c>
      <c r="BA388" s="206">
        <f t="shared" si="374"/>
        <v>43</v>
      </c>
      <c r="BB388" s="464">
        <f t="shared" si="374"/>
        <v>0</v>
      </c>
      <c r="BC388" s="465">
        <f t="shared" si="332"/>
        <v>1512</v>
      </c>
      <c r="BD388" s="206"/>
      <c r="BE388" s="466"/>
    </row>
    <row r="389">
      <c r="A389" s="94"/>
      <c r="B389" s="337" t="s">
        <v>688</v>
      </c>
      <c r="C389" s="285" t="s">
        <v>687</v>
      </c>
      <c r="D389" s="330"/>
      <c r="E389" s="259"/>
      <c r="F389" s="540"/>
      <c r="G389" s="246"/>
      <c r="H389" s="549"/>
      <c r="I389" s="246"/>
      <c r="J389" s="298"/>
      <c r="K389" s="246"/>
      <c r="L389" s="261"/>
      <c r="M389" s="540"/>
      <c r="N389" s="246"/>
      <c r="O389" s="549"/>
      <c r="P389" s="246"/>
      <c r="Q389" s="298"/>
      <c r="R389" s="246"/>
      <c r="S389" s="261"/>
      <c r="T389" s="540"/>
      <c r="U389" s="246"/>
      <c r="V389" s="549"/>
      <c r="W389" s="246"/>
      <c r="X389" s="298"/>
      <c r="Y389" s="246"/>
      <c r="Z389" s="261"/>
      <c r="AA389" s="540"/>
      <c r="AB389" s="246"/>
      <c r="AC389" s="549"/>
      <c r="AD389" s="246"/>
      <c r="AE389" s="298"/>
      <c r="AF389" s="246"/>
      <c r="AG389" s="261"/>
      <c r="AH389" s="540"/>
      <c r="AI389" s="246"/>
      <c r="AJ389" s="549"/>
      <c r="AK389" s="246"/>
      <c r="AL389" s="298"/>
      <c r="AM389" s="246"/>
      <c r="AN389" s="261"/>
      <c r="AO389" s="540"/>
      <c r="AP389" s="246"/>
      <c r="AQ389" s="549"/>
      <c r="AR389" s="246"/>
      <c r="AS389" s="298"/>
      <c r="AT389" s="254" t="str">
        <f t="shared" si="371"/>
        <v/>
      </c>
      <c r="AU389" s="269"/>
      <c r="AV389" s="269"/>
      <c r="AW389" s="206" t="str">
        <f t="shared" si="330"/>
        <v>#REF!</v>
      </c>
      <c r="AX389" s="206">
        <f t="shared" ref="AX389:BB389" si="375">AX131</f>
        <v>49</v>
      </c>
      <c r="AY389" s="206">
        <f t="shared" si="375"/>
        <v>52</v>
      </c>
      <c r="AZ389" s="206">
        <f t="shared" si="375"/>
        <v>45</v>
      </c>
      <c r="BA389" s="206">
        <f t="shared" si="375"/>
        <v>43</v>
      </c>
      <c r="BB389" s="464">
        <f t="shared" si="375"/>
        <v>0</v>
      </c>
      <c r="BC389" s="465">
        <f t="shared" si="332"/>
        <v>1512</v>
      </c>
      <c r="BD389" s="206"/>
      <c r="BE389" s="466"/>
    </row>
    <row r="390">
      <c r="A390" s="94"/>
      <c r="B390" s="387" t="s">
        <v>690</v>
      </c>
      <c r="C390" s="388" t="s">
        <v>649</v>
      </c>
      <c r="D390" s="389"/>
      <c r="E390" s="259"/>
      <c r="F390" s="298"/>
      <c r="G390" s="246"/>
      <c r="H390" s="543"/>
      <c r="I390" s="246"/>
      <c r="J390" s="298"/>
      <c r="K390" s="246"/>
      <c r="L390" s="261"/>
      <c r="M390" s="298"/>
      <c r="N390" s="246"/>
      <c r="O390" s="543"/>
      <c r="P390" s="246"/>
      <c r="Q390" s="298"/>
      <c r="R390" s="246"/>
      <c r="S390" s="261"/>
      <c r="T390" s="298"/>
      <c r="U390" s="246"/>
      <c r="V390" s="543"/>
      <c r="W390" s="246"/>
      <c r="X390" s="298"/>
      <c r="Y390" s="246"/>
      <c r="Z390" s="261"/>
      <c r="AA390" s="298"/>
      <c r="AB390" s="246"/>
      <c r="AC390" s="543"/>
      <c r="AD390" s="246"/>
      <c r="AE390" s="298"/>
      <c r="AF390" s="246"/>
      <c r="AG390" s="261"/>
      <c r="AH390" s="298"/>
      <c r="AI390" s="246"/>
      <c r="AJ390" s="543"/>
      <c r="AK390" s="246"/>
      <c r="AL390" s="298"/>
      <c r="AM390" s="246"/>
      <c r="AN390" s="261"/>
      <c r="AO390" s="298"/>
      <c r="AP390" s="246"/>
      <c r="AQ390" s="543"/>
      <c r="AR390" s="246"/>
      <c r="AS390" s="298"/>
      <c r="AT390" s="254" t="str">
        <f t="shared" si="371"/>
        <v/>
      </c>
      <c r="AU390" s="269"/>
      <c r="AV390" s="269"/>
      <c r="AW390" s="206" t="str">
        <f t="shared" si="330"/>
        <v>#REF!</v>
      </c>
      <c r="AX390" s="206">
        <f t="shared" ref="AX390:BB390" si="376">AX132</f>
        <v>49</v>
      </c>
      <c r="AY390" s="206">
        <f t="shared" si="376"/>
        <v>52</v>
      </c>
      <c r="AZ390" s="206">
        <f t="shared" si="376"/>
        <v>45</v>
      </c>
      <c r="BA390" s="206">
        <f t="shared" si="376"/>
        <v>43</v>
      </c>
      <c r="BB390" s="464">
        <f t="shared" si="376"/>
        <v>0</v>
      </c>
      <c r="BC390" s="465">
        <f t="shared" si="332"/>
        <v>1512</v>
      </c>
      <c r="BD390" s="206"/>
      <c r="BE390" s="466"/>
    </row>
    <row r="391">
      <c r="A391" s="94"/>
      <c r="B391" s="296" t="s">
        <v>650</v>
      </c>
      <c r="C391" s="297" t="s">
        <v>649</v>
      </c>
      <c r="D391" s="323"/>
      <c r="E391" s="259"/>
      <c r="F391" s="298"/>
      <c r="G391" s="246"/>
      <c r="H391" s="542"/>
      <c r="I391" s="246"/>
      <c r="J391" s="298"/>
      <c r="K391" s="246"/>
      <c r="L391" s="261"/>
      <c r="M391" s="298"/>
      <c r="N391" s="246"/>
      <c r="O391" s="542"/>
      <c r="P391" s="246"/>
      <c r="Q391" s="298"/>
      <c r="R391" s="246"/>
      <c r="S391" s="261"/>
      <c r="T391" s="298"/>
      <c r="U391" s="246"/>
      <c r="V391" s="542"/>
      <c r="W391" s="246"/>
      <c r="X391" s="298"/>
      <c r="Y391" s="246"/>
      <c r="Z391" s="261"/>
      <c r="AA391" s="298"/>
      <c r="AB391" s="246"/>
      <c r="AC391" s="542"/>
      <c r="AD391" s="246"/>
      <c r="AE391" s="298"/>
      <c r="AF391" s="246"/>
      <c r="AG391" s="261"/>
      <c r="AH391" s="298"/>
      <c r="AI391" s="246"/>
      <c r="AJ391" s="542"/>
      <c r="AK391" s="246"/>
      <c r="AL391" s="298"/>
      <c r="AM391" s="246"/>
      <c r="AN391" s="261"/>
      <c r="AO391" s="298"/>
      <c r="AP391" s="246"/>
      <c r="AQ391" s="542"/>
      <c r="AR391" s="246"/>
      <c r="AS391" s="298"/>
      <c r="AT391" s="254" t="str">
        <f t="shared" si="371"/>
        <v/>
      </c>
      <c r="AU391" s="269"/>
      <c r="AV391" s="269"/>
      <c r="AW391" s="206" t="str">
        <f t="shared" si="330"/>
        <v>#REF!</v>
      </c>
      <c r="AX391" s="206">
        <f t="shared" ref="AX391:BB391" si="377">AX133</f>
        <v>49</v>
      </c>
      <c r="AY391" s="206">
        <f t="shared" si="377"/>
        <v>52</v>
      </c>
      <c r="AZ391" s="206">
        <f t="shared" si="377"/>
        <v>45</v>
      </c>
      <c r="BA391" s="206">
        <f t="shared" si="377"/>
        <v>43</v>
      </c>
      <c r="BB391" s="464">
        <f t="shared" si="377"/>
        <v>0</v>
      </c>
      <c r="BC391" s="465">
        <f t="shared" si="332"/>
        <v>1512</v>
      </c>
      <c r="BD391" s="206"/>
      <c r="BE391" s="466"/>
    </row>
    <row r="392">
      <c r="A392" s="94"/>
      <c r="B392" s="301" t="s">
        <v>651</v>
      </c>
      <c r="C392" s="391" t="s">
        <v>652</v>
      </c>
      <c r="D392" s="323"/>
      <c r="E392" s="261"/>
      <c r="F392" s="298"/>
      <c r="G392" s="246"/>
      <c r="H392" s="298"/>
      <c r="I392" s="246"/>
      <c r="J392" s="298"/>
      <c r="K392" s="246"/>
      <c r="L392" s="261"/>
      <c r="M392" s="298"/>
      <c r="N392" s="246"/>
      <c r="O392" s="298"/>
      <c r="P392" s="246"/>
      <c r="Q392" s="298"/>
      <c r="R392" s="246"/>
      <c r="S392" s="261"/>
      <c r="T392" s="298"/>
      <c r="U392" s="246"/>
      <c r="V392" s="298"/>
      <c r="W392" s="246"/>
      <c r="X392" s="298"/>
      <c r="Y392" s="246"/>
      <c r="Z392" s="261"/>
      <c r="AA392" s="298"/>
      <c r="AB392" s="246"/>
      <c r="AC392" s="298"/>
      <c r="AD392" s="246"/>
      <c r="AE392" s="298"/>
      <c r="AF392" s="246"/>
      <c r="AG392" s="261"/>
      <c r="AH392" s="298"/>
      <c r="AI392" s="246"/>
      <c r="AJ392" s="298"/>
      <c r="AK392" s="246"/>
      <c r="AL392" s="298"/>
      <c r="AM392" s="246"/>
      <c r="AN392" s="261"/>
      <c r="AO392" s="298"/>
      <c r="AP392" s="246"/>
      <c r="AQ392" s="298"/>
      <c r="AR392" s="246"/>
      <c r="AS392" s="298"/>
      <c r="AT392" s="254" t="str">
        <f t="shared" si="371"/>
        <v/>
      </c>
      <c r="AU392" s="269"/>
      <c r="AV392" s="269"/>
      <c r="AW392" s="206" t="str">
        <f t="shared" si="330"/>
        <v>#REF!</v>
      </c>
      <c r="AX392" s="206">
        <f t="shared" ref="AX392:BB392" si="378">AX134</f>
        <v>49</v>
      </c>
      <c r="AY392" s="206">
        <f t="shared" si="378"/>
        <v>52</v>
      </c>
      <c r="AZ392" s="206">
        <f t="shared" si="378"/>
        <v>45</v>
      </c>
      <c r="BA392" s="206">
        <f t="shared" si="378"/>
        <v>43</v>
      </c>
      <c r="BB392" s="464">
        <f t="shared" si="378"/>
        <v>0</v>
      </c>
      <c r="BC392" s="465">
        <f t="shared" si="332"/>
        <v>1512</v>
      </c>
      <c r="BD392" s="206"/>
      <c r="BE392" s="466"/>
    </row>
    <row r="393">
      <c r="A393" s="94"/>
      <c r="B393" s="392" t="s">
        <v>691</v>
      </c>
      <c r="C393" s="393" t="s">
        <v>652</v>
      </c>
      <c r="D393" s="323"/>
      <c r="E393" s="259"/>
      <c r="F393" s="298"/>
      <c r="G393" s="246"/>
      <c r="H393" s="542"/>
      <c r="I393" s="246"/>
      <c r="J393" s="298"/>
      <c r="K393" s="246"/>
      <c r="L393" s="261"/>
      <c r="M393" s="298"/>
      <c r="N393" s="246"/>
      <c r="O393" s="542"/>
      <c r="P393" s="246"/>
      <c r="Q393" s="298"/>
      <c r="R393" s="246"/>
      <c r="S393" s="261"/>
      <c r="T393" s="298"/>
      <c r="U393" s="246"/>
      <c r="V393" s="542"/>
      <c r="W393" s="246"/>
      <c r="X393" s="298"/>
      <c r="Y393" s="246"/>
      <c r="Z393" s="261"/>
      <c r="AA393" s="298"/>
      <c r="AB393" s="246"/>
      <c r="AC393" s="542"/>
      <c r="AD393" s="246"/>
      <c r="AE393" s="298"/>
      <c r="AF393" s="246"/>
      <c r="AG393" s="261"/>
      <c r="AH393" s="298"/>
      <c r="AI393" s="246"/>
      <c r="AJ393" s="542"/>
      <c r="AK393" s="246"/>
      <c r="AL393" s="298"/>
      <c r="AM393" s="246"/>
      <c r="AN393" s="261"/>
      <c r="AO393" s="298"/>
      <c r="AP393" s="246"/>
      <c r="AQ393" s="542"/>
      <c r="AR393" s="246"/>
      <c r="AS393" s="298"/>
      <c r="AT393" s="254" t="str">
        <f t="shared" si="371"/>
        <v/>
      </c>
      <c r="AU393" s="269"/>
      <c r="AV393" s="269"/>
      <c r="AW393" s="206" t="str">
        <f t="shared" si="330"/>
        <v>#REF!</v>
      </c>
      <c r="AX393" s="206">
        <f t="shared" ref="AX393:BB393" si="379">AX135</f>
        <v>49</v>
      </c>
      <c r="AY393" s="206">
        <f t="shared" si="379"/>
        <v>52</v>
      </c>
      <c r="AZ393" s="206">
        <f t="shared" si="379"/>
        <v>45</v>
      </c>
      <c r="BA393" s="206">
        <f t="shared" si="379"/>
        <v>43</v>
      </c>
      <c r="BB393" s="464">
        <f t="shared" si="379"/>
        <v>0</v>
      </c>
      <c r="BC393" s="465">
        <f t="shared" si="332"/>
        <v>1512</v>
      </c>
      <c r="BD393" s="206"/>
      <c r="BE393" s="466"/>
    </row>
    <row r="394">
      <c r="A394" s="94"/>
      <c r="B394" s="328" t="s">
        <v>692</v>
      </c>
      <c r="C394" s="329" t="s">
        <v>652</v>
      </c>
      <c r="D394" s="330"/>
      <c r="E394" s="259"/>
      <c r="F394" s="298"/>
      <c r="G394" s="246"/>
      <c r="H394" s="298"/>
      <c r="I394" s="246"/>
      <c r="J394" s="298"/>
      <c r="K394" s="246"/>
      <c r="L394" s="261"/>
      <c r="M394" s="298"/>
      <c r="N394" s="246"/>
      <c r="O394" s="298"/>
      <c r="P394" s="246"/>
      <c r="Q394" s="298"/>
      <c r="R394" s="246"/>
      <c r="S394" s="261"/>
      <c r="T394" s="298"/>
      <c r="U394" s="246"/>
      <c r="V394" s="298"/>
      <c r="W394" s="246"/>
      <c r="X394" s="298"/>
      <c r="Y394" s="246"/>
      <c r="Z394" s="261"/>
      <c r="AA394" s="298"/>
      <c r="AB394" s="246"/>
      <c r="AC394" s="298"/>
      <c r="AD394" s="246"/>
      <c r="AE394" s="298"/>
      <c r="AF394" s="246"/>
      <c r="AG394" s="261"/>
      <c r="AH394" s="298"/>
      <c r="AI394" s="246"/>
      <c r="AJ394" s="298"/>
      <c r="AK394" s="246"/>
      <c r="AL394" s="298"/>
      <c r="AM394" s="246"/>
      <c r="AN394" s="261"/>
      <c r="AO394" s="298"/>
      <c r="AP394" s="246"/>
      <c r="AQ394" s="298"/>
      <c r="AR394" s="246"/>
      <c r="AS394" s="298"/>
      <c r="AT394" s="254" t="str">
        <f t="shared" si="371"/>
        <v/>
      </c>
      <c r="AU394" s="269"/>
      <c r="AV394" s="269"/>
      <c r="AW394" s="206" t="str">
        <f t="shared" si="330"/>
        <v>#REF!</v>
      </c>
      <c r="AX394" s="206">
        <f t="shared" ref="AX394:BB394" si="380">AX136</f>
        <v>49</v>
      </c>
      <c r="AY394" s="206">
        <f t="shared" si="380"/>
        <v>52</v>
      </c>
      <c r="AZ394" s="206">
        <f t="shared" si="380"/>
        <v>45</v>
      </c>
      <c r="BA394" s="206">
        <f t="shared" si="380"/>
        <v>43</v>
      </c>
      <c r="BB394" s="464">
        <f t="shared" si="380"/>
        <v>0</v>
      </c>
      <c r="BC394" s="465">
        <f t="shared" si="332"/>
        <v>1512</v>
      </c>
      <c r="BD394" s="206"/>
      <c r="BE394" s="466"/>
    </row>
    <row r="395">
      <c r="A395" s="94"/>
      <c r="B395" s="397" t="s">
        <v>692</v>
      </c>
      <c r="C395" s="398" t="s">
        <v>687</v>
      </c>
      <c r="D395" s="369"/>
      <c r="E395" s="259"/>
      <c r="F395" s="298"/>
      <c r="G395" s="246"/>
      <c r="H395" s="298"/>
      <c r="I395" s="246"/>
      <c r="J395" s="298"/>
      <c r="K395" s="246"/>
      <c r="L395" s="261"/>
      <c r="M395" s="298"/>
      <c r="N395" s="246"/>
      <c r="O395" s="298"/>
      <c r="P395" s="246"/>
      <c r="Q395" s="298"/>
      <c r="R395" s="246"/>
      <c r="S395" s="261"/>
      <c r="T395" s="298"/>
      <c r="U395" s="246"/>
      <c r="V395" s="298"/>
      <c r="W395" s="246"/>
      <c r="X395" s="298"/>
      <c r="Y395" s="246"/>
      <c r="Z395" s="261"/>
      <c r="AA395" s="298"/>
      <c r="AB395" s="246"/>
      <c r="AC395" s="298"/>
      <c r="AD395" s="246"/>
      <c r="AE395" s="298"/>
      <c r="AF395" s="246"/>
      <c r="AG395" s="261"/>
      <c r="AH395" s="298"/>
      <c r="AI395" s="246"/>
      <c r="AJ395" s="298"/>
      <c r="AK395" s="246"/>
      <c r="AL395" s="298"/>
      <c r="AM395" s="246"/>
      <c r="AN395" s="261"/>
      <c r="AO395" s="298"/>
      <c r="AP395" s="246"/>
      <c r="AQ395" s="298"/>
      <c r="AR395" s="246"/>
      <c r="AS395" s="298"/>
      <c r="AT395" s="254" t="str">
        <f t="shared" si="371"/>
        <v/>
      </c>
      <c r="AU395" s="269"/>
      <c r="AV395" s="269"/>
      <c r="AW395" s="206" t="str">
        <f t="shared" si="330"/>
        <v>#REF!</v>
      </c>
      <c r="AX395" s="206">
        <f t="shared" ref="AX395:BB395" si="381">AX137</f>
        <v>49</v>
      </c>
      <c r="AY395" s="206">
        <f t="shared" si="381"/>
        <v>52</v>
      </c>
      <c r="AZ395" s="206">
        <f t="shared" si="381"/>
        <v>45</v>
      </c>
      <c r="BA395" s="206">
        <f t="shared" si="381"/>
        <v>43</v>
      </c>
      <c r="BB395" s="464">
        <f t="shared" si="381"/>
        <v>0</v>
      </c>
      <c r="BC395" s="465">
        <f t="shared" si="332"/>
        <v>1512</v>
      </c>
      <c r="BD395" s="206"/>
      <c r="BE395" s="466"/>
    </row>
    <row r="396">
      <c r="A396" s="94"/>
      <c r="B396" s="387" t="s">
        <v>694</v>
      </c>
      <c r="C396" s="388" t="s">
        <v>649</v>
      </c>
      <c r="D396" s="389"/>
      <c r="E396" s="259"/>
      <c r="F396" s="298"/>
      <c r="G396" s="246"/>
      <c r="H396" s="298"/>
      <c r="I396" s="246"/>
      <c r="J396" s="298"/>
      <c r="K396" s="246"/>
      <c r="L396" s="261"/>
      <c r="M396" s="298"/>
      <c r="N396" s="246"/>
      <c r="O396" s="298"/>
      <c r="P396" s="246"/>
      <c r="Q396" s="298"/>
      <c r="R396" s="246"/>
      <c r="S396" s="261"/>
      <c r="T396" s="298"/>
      <c r="U396" s="246"/>
      <c r="V396" s="298"/>
      <c r="W396" s="246"/>
      <c r="X396" s="298"/>
      <c r="Y396" s="246"/>
      <c r="Z396" s="261"/>
      <c r="AA396" s="298"/>
      <c r="AB396" s="246"/>
      <c r="AC396" s="298"/>
      <c r="AD396" s="246"/>
      <c r="AE396" s="298"/>
      <c r="AF396" s="246"/>
      <c r="AG396" s="261"/>
      <c r="AH396" s="298"/>
      <c r="AI396" s="246"/>
      <c r="AJ396" s="298"/>
      <c r="AK396" s="246"/>
      <c r="AL396" s="298"/>
      <c r="AM396" s="246"/>
      <c r="AN396" s="261"/>
      <c r="AO396" s="298"/>
      <c r="AP396" s="246"/>
      <c r="AQ396" s="298"/>
      <c r="AR396" s="246"/>
      <c r="AS396" s="298"/>
      <c r="AT396" s="254" t="str">
        <f t="shared" si="371"/>
        <v/>
      </c>
      <c r="AU396" s="269"/>
      <c r="AV396" s="269"/>
      <c r="AW396" s="206" t="str">
        <f t="shared" si="330"/>
        <v>#REF!</v>
      </c>
      <c r="AX396" s="206">
        <f t="shared" ref="AX396:BB396" si="382">AX138</f>
        <v>49</v>
      </c>
      <c r="AY396" s="206">
        <f t="shared" si="382"/>
        <v>52</v>
      </c>
      <c r="AZ396" s="206">
        <f t="shared" si="382"/>
        <v>45</v>
      </c>
      <c r="BA396" s="206">
        <f t="shared" si="382"/>
        <v>43</v>
      </c>
      <c r="BB396" s="464">
        <f t="shared" si="382"/>
        <v>0</v>
      </c>
      <c r="BC396" s="465">
        <f t="shared" si="332"/>
        <v>1512</v>
      </c>
      <c r="BD396" s="206"/>
      <c r="BE396" s="466"/>
    </row>
    <row r="397">
      <c r="A397" s="94"/>
      <c r="B397" s="296" t="s">
        <v>650</v>
      </c>
      <c r="C397" s="297" t="s">
        <v>649</v>
      </c>
      <c r="D397" s="323"/>
      <c r="E397" s="259"/>
      <c r="F397" s="298"/>
      <c r="G397" s="298"/>
      <c r="H397" s="298"/>
      <c r="I397" s="298"/>
      <c r="J397" s="298"/>
      <c r="K397" s="298"/>
      <c r="L397" s="261"/>
      <c r="M397" s="298"/>
      <c r="N397" s="298"/>
      <c r="O397" s="298"/>
      <c r="P397" s="298"/>
      <c r="Q397" s="298"/>
      <c r="R397" s="298"/>
      <c r="S397" s="261"/>
      <c r="T397" s="298"/>
      <c r="U397" s="298"/>
      <c r="V397" s="298"/>
      <c r="W397" s="298"/>
      <c r="X397" s="298"/>
      <c r="Y397" s="298"/>
      <c r="Z397" s="261"/>
      <c r="AA397" s="298"/>
      <c r="AB397" s="298"/>
      <c r="AC397" s="298"/>
      <c r="AD397" s="298"/>
      <c r="AE397" s="298"/>
      <c r="AF397" s="298"/>
      <c r="AG397" s="261"/>
      <c r="AH397" s="298"/>
      <c r="AI397" s="298"/>
      <c r="AJ397" s="298"/>
      <c r="AK397" s="298"/>
      <c r="AL397" s="298"/>
      <c r="AM397" s="298"/>
      <c r="AN397" s="261"/>
      <c r="AO397" s="298"/>
      <c r="AP397" s="298"/>
      <c r="AQ397" s="298"/>
      <c r="AR397" s="298"/>
      <c r="AS397" s="298"/>
      <c r="AT397" s="254" t="str">
        <f t="shared" si="371"/>
        <v/>
      </c>
      <c r="AU397" s="269"/>
      <c r="AV397" s="269"/>
      <c r="AW397" s="206" t="str">
        <f t="shared" si="330"/>
        <v>#REF!</v>
      </c>
      <c r="AX397" s="206">
        <f t="shared" ref="AX397:BB397" si="383">AX139</f>
        <v>49</v>
      </c>
      <c r="AY397" s="206">
        <f t="shared" si="383"/>
        <v>52</v>
      </c>
      <c r="AZ397" s="206">
        <f t="shared" si="383"/>
        <v>45</v>
      </c>
      <c r="BA397" s="206">
        <f t="shared" si="383"/>
        <v>43</v>
      </c>
      <c r="BB397" s="464">
        <f t="shared" si="383"/>
        <v>0</v>
      </c>
      <c r="BC397" s="465">
        <f t="shared" si="332"/>
        <v>1512</v>
      </c>
      <c r="BD397" s="206"/>
      <c r="BE397" s="466"/>
    </row>
    <row r="398">
      <c r="A398" s="94"/>
      <c r="B398" s="301" t="s">
        <v>651</v>
      </c>
      <c r="C398" s="391" t="s">
        <v>652</v>
      </c>
      <c r="D398" s="323"/>
      <c r="E398" s="261"/>
      <c r="F398" s="298"/>
      <c r="G398" s="298"/>
      <c r="H398" s="298"/>
      <c r="I398" s="298"/>
      <c r="J398" s="298"/>
      <c r="K398" s="298"/>
      <c r="L398" s="261"/>
      <c r="M398" s="298"/>
      <c r="N398" s="298"/>
      <c r="O398" s="298"/>
      <c r="P398" s="298"/>
      <c r="Q398" s="298"/>
      <c r="R398" s="298"/>
      <c r="S398" s="261"/>
      <c r="T398" s="298"/>
      <c r="U398" s="298"/>
      <c r="V398" s="298"/>
      <c r="W398" s="298"/>
      <c r="X398" s="298"/>
      <c r="Y398" s="298"/>
      <c r="Z398" s="261"/>
      <c r="AA398" s="298"/>
      <c r="AB398" s="298"/>
      <c r="AC398" s="298"/>
      <c r="AD398" s="298"/>
      <c r="AE398" s="298"/>
      <c r="AF398" s="298"/>
      <c r="AG398" s="261"/>
      <c r="AH398" s="298"/>
      <c r="AI398" s="298"/>
      <c r="AJ398" s="298"/>
      <c r="AK398" s="298"/>
      <c r="AL398" s="298"/>
      <c r="AM398" s="298"/>
      <c r="AN398" s="261"/>
      <c r="AO398" s="298"/>
      <c r="AP398" s="298"/>
      <c r="AQ398" s="298"/>
      <c r="AR398" s="298"/>
      <c r="AS398" s="298"/>
      <c r="AT398" s="254" t="str">
        <f t="shared" si="371"/>
        <v/>
      </c>
      <c r="AU398" s="269"/>
      <c r="AV398" s="269"/>
      <c r="AW398" s="206" t="str">
        <f t="shared" si="330"/>
        <v>#REF!</v>
      </c>
      <c r="AX398" s="206">
        <f t="shared" ref="AX398:BB398" si="384">AX140</f>
        <v>49</v>
      </c>
      <c r="AY398" s="206">
        <f t="shared" si="384"/>
        <v>52</v>
      </c>
      <c r="AZ398" s="206">
        <f t="shared" si="384"/>
        <v>45</v>
      </c>
      <c r="BA398" s="206">
        <f t="shared" si="384"/>
        <v>43</v>
      </c>
      <c r="BB398" s="464">
        <f t="shared" si="384"/>
        <v>0</v>
      </c>
      <c r="BC398" s="465">
        <f t="shared" si="332"/>
        <v>1512</v>
      </c>
      <c r="BD398" s="206"/>
      <c r="BE398" s="466"/>
    </row>
    <row r="399">
      <c r="A399" s="94"/>
      <c r="B399" s="392" t="s">
        <v>691</v>
      </c>
      <c r="C399" s="393" t="s">
        <v>652</v>
      </c>
      <c r="D399" s="323"/>
      <c r="E399" s="259"/>
      <c r="F399" s="298"/>
      <c r="G399" s="298"/>
      <c r="H399" s="298"/>
      <c r="I399" s="298"/>
      <c r="J399" s="298"/>
      <c r="K399" s="298"/>
      <c r="L399" s="261"/>
      <c r="M399" s="298"/>
      <c r="N399" s="298"/>
      <c r="O399" s="298"/>
      <c r="P399" s="298"/>
      <c r="Q399" s="298"/>
      <c r="R399" s="298"/>
      <c r="S399" s="261"/>
      <c r="T399" s="298"/>
      <c r="U399" s="298"/>
      <c r="V399" s="298"/>
      <c r="W399" s="298"/>
      <c r="X399" s="298"/>
      <c r="Y399" s="298"/>
      <c r="Z399" s="261"/>
      <c r="AA399" s="298"/>
      <c r="AB399" s="298"/>
      <c r="AC399" s="298"/>
      <c r="AD399" s="298"/>
      <c r="AE399" s="298"/>
      <c r="AF399" s="298"/>
      <c r="AG399" s="261"/>
      <c r="AH399" s="298"/>
      <c r="AI399" s="298"/>
      <c r="AJ399" s="298"/>
      <c r="AK399" s="298"/>
      <c r="AL399" s="298"/>
      <c r="AM399" s="298"/>
      <c r="AN399" s="261"/>
      <c r="AO399" s="298"/>
      <c r="AP399" s="298"/>
      <c r="AQ399" s="298"/>
      <c r="AR399" s="298"/>
      <c r="AS399" s="298"/>
      <c r="AT399" s="254" t="str">
        <f t="shared" si="371"/>
        <v/>
      </c>
      <c r="AU399" s="269"/>
      <c r="AV399" s="269"/>
      <c r="AW399" s="206" t="str">
        <f t="shared" si="330"/>
        <v>#REF!</v>
      </c>
      <c r="AX399" s="206">
        <f t="shared" ref="AX399:BB399" si="385">AX141</f>
        <v>49</v>
      </c>
      <c r="AY399" s="206">
        <f t="shared" si="385"/>
        <v>52</v>
      </c>
      <c r="AZ399" s="206">
        <f t="shared" si="385"/>
        <v>45</v>
      </c>
      <c r="BA399" s="206">
        <f t="shared" si="385"/>
        <v>43</v>
      </c>
      <c r="BB399" s="464">
        <f t="shared" si="385"/>
        <v>0</v>
      </c>
      <c r="BC399" s="465">
        <f t="shared" si="332"/>
        <v>1512</v>
      </c>
      <c r="BD399" s="206"/>
      <c r="BE399" s="466"/>
    </row>
    <row r="400">
      <c r="A400" s="94"/>
      <c r="B400" s="328" t="s">
        <v>692</v>
      </c>
      <c r="C400" s="329" t="s">
        <v>652</v>
      </c>
      <c r="D400" s="330"/>
      <c r="E400" s="259"/>
      <c r="F400" s="298"/>
      <c r="G400" s="246"/>
      <c r="H400" s="298"/>
      <c r="I400" s="246"/>
      <c r="J400" s="298"/>
      <c r="K400" s="246"/>
      <c r="L400" s="261"/>
      <c r="M400" s="298"/>
      <c r="N400" s="246"/>
      <c r="O400" s="298"/>
      <c r="P400" s="246"/>
      <c r="Q400" s="298"/>
      <c r="R400" s="246"/>
      <c r="S400" s="261"/>
      <c r="T400" s="298"/>
      <c r="U400" s="246"/>
      <c r="V400" s="298"/>
      <c r="W400" s="246"/>
      <c r="X400" s="298"/>
      <c r="Y400" s="246"/>
      <c r="Z400" s="261"/>
      <c r="AA400" s="298"/>
      <c r="AB400" s="246"/>
      <c r="AC400" s="298"/>
      <c r="AD400" s="246"/>
      <c r="AE400" s="298"/>
      <c r="AF400" s="246"/>
      <c r="AG400" s="261"/>
      <c r="AH400" s="298"/>
      <c r="AI400" s="246"/>
      <c r="AJ400" s="298"/>
      <c r="AK400" s="246"/>
      <c r="AL400" s="298"/>
      <c r="AM400" s="246"/>
      <c r="AN400" s="261"/>
      <c r="AO400" s="298"/>
      <c r="AP400" s="246"/>
      <c r="AQ400" s="298"/>
      <c r="AR400" s="246"/>
      <c r="AS400" s="298"/>
      <c r="AT400" s="254" t="str">
        <f t="shared" si="371"/>
        <v/>
      </c>
      <c r="AU400" s="269"/>
      <c r="AV400" s="269"/>
      <c r="AW400" s="206" t="str">
        <f t="shared" si="330"/>
        <v>#REF!</v>
      </c>
      <c r="AX400" s="206">
        <f t="shared" ref="AX400:BB400" si="386">AX142</f>
        <v>49</v>
      </c>
      <c r="AY400" s="206">
        <f t="shared" si="386"/>
        <v>52</v>
      </c>
      <c r="AZ400" s="206">
        <f t="shared" si="386"/>
        <v>45</v>
      </c>
      <c r="BA400" s="206">
        <f t="shared" si="386"/>
        <v>43</v>
      </c>
      <c r="BB400" s="464">
        <f t="shared" si="386"/>
        <v>0</v>
      </c>
      <c r="BC400" s="465">
        <f t="shared" si="332"/>
        <v>1512</v>
      </c>
      <c r="BD400" s="206"/>
      <c r="BE400" s="466"/>
    </row>
    <row r="401">
      <c r="A401" s="94"/>
      <c r="B401" s="397" t="s">
        <v>692</v>
      </c>
      <c r="C401" s="398" t="s">
        <v>687</v>
      </c>
      <c r="D401" s="369"/>
      <c r="E401" s="259"/>
      <c r="F401" s="298"/>
      <c r="G401" s="246"/>
      <c r="H401" s="298"/>
      <c r="I401" s="246"/>
      <c r="J401" s="298"/>
      <c r="K401" s="246"/>
      <c r="L401" s="261"/>
      <c r="M401" s="298"/>
      <c r="N401" s="246"/>
      <c r="O401" s="298"/>
      <c r="P401" s="246"/>
      <c r="Q401" s="298"/>
      <c r="R401" s="246"/>
      <c r="S401" s="261"/>
      <c r="T401" s="298"/>
      <c r="U401" s="246"/>
      <c r="V401" s="298"/>
      <c r="W401" s="246"/>
      <c r="X401" s="298"/>
      <c r="Y401" s="246"/>
      <c r="Z401" s="261"/>
      <c r="AA401" s="298"/>
      <c r="AB401" s="246"/>
      <c r="AC401" s="298"/>
      <c r="AD401" s="246"/>
      <c r="AE401" s="298"/>
      <c r="AF401" s="246"/>
      <c r="AG401" s="261"/>
      <c r="AH401" s="298"/>
      <c r="AI401" s="246"/>
      <c r="AJ401" s="298"/>
      <c r="AK401" s="246"/>
      <c r="AL401" s="298"/>
      <c r="AM401" s="246"/>
      <c r="AN401" s="261"/>
      <c r="AO401" s="298"/>
      <c r="AP401" s="246"/>
      <c r="AQ401" s="298"/>
      <c r="AR401" s="246"/>
      <c r="AS401" s="298"/>
      <c r="AT401" s="254" t="str">
        <f t="shared" si="371"/>
        <v/>
      </c>
      <c r="AU401" s="269"/>
      <c r="AV401" s="269"/>
      <c r="AW401" s="206" t="str">
        <f t="shared" si="330"/>
        <v>#REF!</v>
      </c>
      <c r="AX401" s="206">
        <f t="shared" ref="AX401:BB401" si="387">AX143</f>
        <v>49</v>
      </c>
      <c r="AY401" s="206">
        <f t="shared" si="387"/>
        <v>52</v>
      </c>
      <c r="AZ401" s="206">
        <f t="shared" si="387"/>
        <v>45</v>
      </c>
      <c r="BA401" s="206">
        <f t="shared" si="387"/>
        <v>43</v>
      </c>
      <c r="BB401" s="464">
        <f t="shared" si="387"/>
        <v>0</v>
      </c>
      <c r="BC401" s="465">
        <f t="shared" si="332"/>
        <v>1512</v>
      </c>
      <c r="BD401" s="206"/>
      <c r="BE401" s="466"/>
    </row>
    <row r="402">
      <c r="A402" s="270"/>
      <c r="B402" s="402" t="s">
        <v>699</v>
      </c>
      <c r="C402" s="403" t="s">
        <v>649</v>
      </c>
      <c r="D402" s="404"/>
      <c r="E402" s="259"/>
      <c r="F402" s="298"/>
      <c r="G402" s="246"/>
      <c r="H402" s="298"/>
      <c r="I402" s="246"/>
      <c r="J402" s="298"/>
      <c r="K402" s="246"/>
      <c r="L402" s="261"/>
      <c r="M402" s="298"/>
      <c r="N402" s="246"/>
      <c r="O402" s="298"/>
      <c r="P402" s="246"/>
      <c r="Q402" s="298"/>
      <c r="R402" s="246"/>
      <c r="S402" s="261"/>
      <c r="T402" s="298"/>
      <c r="U402" s="246"/>
      <c r="V402" s="298"/>
      <c r="W402" s="246"/>
      <c r="X402" s="298"/>
      <c r="Y402" s="246"/>
      <c r="Z402" s="261"/>
      <c r="AA402" s="298"/>
      <c r="AB402" s="246"/>
      <c r="AC402" s="298"/>
      <c r="AD402" s="246"/>
      <c r="AE402" s="298"/>
      <c r="AF402" s="246"/>
      <c r="AG402" s="261"/>
      <c r="AH402" s="298"/>
      <c r="AI402" s="246"/>
      <c r="AJ402" s="298"/>
      <c r="AK402" s="246"/>
      <c r="AL402" s="298"/>
      <c r="AM402" s="246"/>
      <c r="AN402" s="261"/>
      <c r="AO402" s="298"/>
      <c r="AP402" s="246"/>
      <c r="AQ402" s="298"/>
      <c r="AR402" s="246"/>
      <c r="AS402" s="298"/>
      <c r="AT402" s="254" t="str">
        <f t="shared" si="371"/>
        <v/>
      </c>
      <c r="AU402" s="269"/>
      <c r="AV402" s="269"/>
      <c r="AW402" s="206" t="str">
        <f t="shared" si="330"/>
        <v>#REF!</v>
      </c>
      <c r="AX402" s="206">
        <f t="shared" ref="AX402:BB402" si="388">AX144</f>
        <v>49</v>
      </c>
      <c r="AY402" s="206">
        <f t="shared" si="388"/>
        <v>52</v>
      </c>
      <c r="AZ402" s="206">
        <f t="shared" si="388"/>
        <v>45</v>
      </c>
      <c r="BA402" s="206">
        <f t="shared" si="388"/>
        <v>43</v>
      </c>
      <c r="BB402" s="464">
        <f t="shared" si="388"/>
        <v>0</v>
      </c>
      <c r="BC402" s="465">
        <f t="shared" si="332"/>
        <v>1512</v>
      </c>
      <c r="BD402" s="206"/>
      <c r="BE402" s="466"/>
    </row>
    <row r="403">
      <c r="A403" s="94"/>
      <c r="B403" s="328" t="s">
        <v>700</v>
      </c>
      <c r="C403" s="329" t="s">
        <v>657</v>
      </c>
      <c r="D403" s="330"/>
      <c r="E403" s="259"/>
      <c r="F403" s="298"/>
      <c r="G403" s="246"/>
      <c r="H403" s="298"/>
      <c r="I403" s="246"/>
      <c r="J403" s="298"/>
      <c r="K403" s="246"/>
      <c r="L403" s="261"/>
      <c r="M403" s="298"/>
      <c r="N403" s="246"/>
      <c r="O403" s="298"/>
      <c r="P403" s="246"/>
      <c r="Q403" s="298"/>
      <c r="R403" s="246"/>
      <c r="S403" s="261"/>
      <c r="T403" s="298"/>
      <c r="U403" s="246"/>
      <c r="V403" s="298"/>
      <c r="W403" s="246"/>
      <c r="X403" s="298"/>
      <c r="Y403" s="246"/>
      <c r="Z403" s="261"/>
      <c r="AA403" s="298"/>
      <c r="AB403" s="246"/>
      <c r="AC403" s="298"/>
      <c r="AD403" s="246"/>
      <c r="AE403" s="298"/>
      <c r="AF403" s="246"/>
      <c r="AG403" s="261"/>
      <c r="AH403" s="298"/>
      <c r="AI403" s="246"/>
      <c r="AJ403" s="298"/>
      <c r="AK403" s="246"/>
      <c r="AL403" s="298"/>
      <c r="AM403" s="246"/>
      <c r="AN403" s="261"/>
      <c r="AO403" s="298"/>
      <c r="AP403" s="246"/>
      <c r="AQ403" s="298"/>
      <c r="AR403" s="246"/>
      <c r="AS403" s="298"/>
      <c r="AT403" s="254" t="str">
        <f t="shared" si="371"/>
        <v/>
      </c>
      <c r="AU403" s="269"/>
      <c r="AV403" s="269"/>
      <c r="AW403" s="206" t="str">
        <f t="shared" si="330"/>
        <v>#REF!</v>
      </c>
      <c r="AX403" s="206">
        <f t="shared" ref="AX403:BB403" si="389">AX145</f>
        <v>49</v>
      </c>
      <c r="AY403" s="206">
        <f t="shared" si="389"/>
        <v>52</v>
      </c>
      <c r="AZ403" s="206">
        <f t="shared" si="389"/>
        <v>45</v>
      </c>
      <c r="BA403" s="206">
        <f t="shared" si="389"/>
        <v>43</v>
      </c>
      <c r="BB403" s="464">
        <f t="shared" si="389"/>
        <v>0</v>
      </c>
      <c r="BC403" s="465">
        <f t="shared" si="332"/>
        <v>1512</v>
      </c>
      <c r="BD403" s="206"/>
      <c r="BE403" s="466"/>
    </row>
    <row r="404">
      <c r="A404" s="94"/>
      <c r="B404" s="328" t="s">
        <v>700</v>
      </c>
      <c r="C404" s="329" t="s">
        <v>657</v>
      </c>
      <c r="D404" s="330"/>
      <c r="E404" s="259"/>
      <c r="F404" s="540"/>
      <c r="G404" s="246"/>
      <c r="H404" s="540"/>
      <c r="I404" s="246"/>
      <c r="J404" s="540"/>
      <c r="K404" s="246"/>
      <c r="L404" s="261"/>
      <c r="M404" s="540"/>
      <c r="N404" s="246"/>
      <c r="O404" s="540"/>
      <c r="P404" s="246"/>
      <c r="Q404" s="540"/>
      <c r="R404" s="246"/>
      <c r="S404" s="261"/>
      <c r="T404" s="540"/>
      <c r="U404" s="246"/>
      <c r="V404" s="540"/>
      <c r="W404" s="246"/>
      <c r="X404" s="540"/>
      <c r="Y404" s="246"/>
      <c r="Z404" s="261"/>
      <c r="AA404" s="540"/>
      <c r="AB404" s="246"/>
      <c r="AC404" s="540"/>
      <c r="AD404" s="246"/>
      <c r="AE404" s="540"/>
      <c r="AF404" s="246"/>
      <c r="AG404" s="261"/>
      <c r="AH404" s="540"/>
      <c r="AI404" s="246"/>
      <c r="AJ404" s="540"/>
      <c r="AK404" s="246"/>
      <c r="AL404" s="540"/>
      <c r="AM404" s="246"/>
      <c r="AN404" s="261"/>
      <c r="AO404" s="540"/>
      <c r="AP404" s="246"/>
      <c r="AQ404" s="540"/>
      <c r="AR404" s="246"/>
      <c r="AS404" s="540"/>
      <c r="AT404" s="254" t="str">
        <f t="shared" si="371"/>
        <v/>
      </c>
      <c r="AU404" s="269"/>
      <c r="AV404" s="269"/>
      <c r="AW404" s="206" t="str">
        <f t="shared" si="330"/>
        <v>#REF!</v>
      </c>
      <c r="AX404" s="206">
        <f t="shared" ref="AX404:BB404" si="390">AX146</f>
        <v>49</v>
      </c>
      <c r="AY404" s="206">
        <f t="shared" si="390"/>
        <v>52</v>
      </c>
      <c r="AZ404" s="206">
        <f t="shared" si="390"/>
        <v>45</v>
      </c>
      <c r="BA404" s="206">
        <f t="shared" si="390"/>
        <v>43</v>
      </c>
      <c r="BB404" s="464">
        <f t="shared" si="390"/>
        <v>0</v>
      </c>
      <c r="BC404" s="465">
        <f t="shared" si="332"/>
        <v>1512</v>
      </c>
      <c r="BD404" s="206"/>
      <c r="BE404" s="466"/>
    </row>
    <row r="405">
      <c r="A405" s="94"/>
      <c r="B405" s="328" t="s">
        <v>700</v>
      </c>
      <c r="C405" s="329" t="s">
        <v>657</v>
      </c>
      <c r="D405" s="330"/>
      <c r="E405" s="259"/>
      <c r="F405" s="298"/>
      <c r="G405" s="246"/>
      <c r="H405" s="298"/>
      <c r="I405" s="246"/>
      <c r="J405" s="298"/>
      <c r="K405" s="246"/>
      <c r="L405" s="261"/>
      <c r="M405" s="298"/>
      <c r="N405" s="246"/>
      <c r="O405" s="298"/>
      <c r="P405" s="246"/>
      <c r="Q405" s="298"/>
      <c r="R405" s="246"/>
      <c r="S405" s="261"/>
      <c r="T405" s="298"/>
      <c r="U405" s="246"/>
      <c r="V405" s="298"/>
      <c r="W405" s="246"/>
      <c r="X405" s="298"/>
      <c r="Y405" s="246"/>
      <c r="Z405" s="261"/>
      <c r="AA405" s="298"/>
      <c r="AB405" s="246"/>
      <c r="AC405" s="298"/>
      <c r="AD405" s="246"/>
      <c r="AE405" s="298"/>
      <c r="AF405" s="246"/>
      <c r="AG405" s="261"/>
      <c r="AH405" s="298"/>
      <c r="AI405" s="246"/>
      <c r="AJ405" s="298"/>
      <c r="AK405" s="246"/>
      <c r="AL405" s="298"/>
      <c r="AM405" s="246"/>
      <c r="AN405" s="261"/>
      <c r="AO405" s="298"/>
      <c r="AP405" s="246"/>
      <c r="AQ405" s="298"/>
      <c r="AR405" s="246"/>
      <c r="AS405" s="298"/>
      <c r="AT405" s="254" t="str">
        <f t="shared" si="371"/>
        <v/>
      </c>
      <c r="AU405" s="269"/>
      <c r="AV405" s="269"/>
      <c r="AW405" s="206" t="str">
        <f t="shared" si="330"/>
        <v>#REF!</v>
      </c>
      <c r="AX405" s="206">
        <f t="shared" ref="AX405:BB405" si="391">AX147</f>
        <v>49</v>
      </c>
      <c r="AY405" s="206">
        <f t="shared" si="391"/>
        <v>52</v>
      </c>
      <c r="AZ405" s="206">
        <f t="shared" si="391"/>
        <v>45</v>
      </c>
      <c r="BA405" s="206">
        <f t="shared" si="391"/>
        <v>43</v>
      </c>
      <c r="BB405" s="464">
        <f t="shared" si="391"/>
        <v>0</v>
      </c>
      <c r="BC405" s="465">
        <f t="shared" si="332"/>
        <v>1512</v>
      </c>
      <c r="BD405" s="206"/>
      <c r="BE405" s="466"/>
    </row>
    <row r="406">
      <c r="A406" s="94"/>
      <c r="B406" s="408" t="s">
        <v>702</v>
      </c>
      <c r="C406" s="409" t="s">
        <v>652</v>
      </c>
      <c r="D406" s="351"/>
      <c r="E406" s="259"/>
      <c r="F406" s="540"/>
      <c r="G406" s="246"/>
      <c r="H406" s="540"/>
      <c r="I406" s="246"/>
      <c r="J406" s="540"/>
      <c r="K406" s="246"/>
      <c r="L406" s="261"/>
      <c r="M406" s="540"/>
      <c r="N406" s="246"/>
      <c r="O406" s="540"/>
      <c r="P406" s="246"/>
      <c r="Q406" s="540"/>
      <c r="R406" s="246"/>
      <c r="S406" s="261"/>
      <c r="T406" s="540"/>
      <c r="U406" s="246"/>
      <c r="V406" s="540"/>
      <c r="W406" s="246"/>
      <c r="X406" s="540"/>
      <c r="Y406" s="246"/>
      <c r="Z406" s="261"/>
      <c r="AA406" s="540"/>
      <c r="AB406" s="246"/>
      <c r="AC406" s="540"/>
      <c r="AD406" s="246"/>
      <c r="AE406" s="540"/>
      <c r="AF406" s="246"/>
      <c r="AG406" s="261"/>
      <c r="AH406" s="540"/>
      <c r="AI406" s="246"/>
      <c r="AJ406" s="540"/>
      <c r="AK406" s="246"/>
      <c r="AL406" s="540"/>
      <c r="AM406" s="246"/>
      <c r="AN406" s="261"/>
      <c r="AO406" s="540"/>
      <c r="AP406" s="246"/>
      <c r="AQ406" s="540"/>
      <c r="AR406" s="246"/>
      <c r="AS406" s="540"/>
      <c r="AT406" s="254" t="str">
        <f t="shared" si="371"/>
        <v/>
      </c>
      <c r="AU406" s="269"/>
      <c r="AV406" s="269"/>
      <c r="AW406" s="206" t="str">
        <f t="shared" si="330"/>
        <v>#REF!</v>
      </c>
      <c r="AX406" s="206">
        <f t="shared" ref="AX406:BB406" si="392">AX148</f>
        <v>49</v>
      </c>
      <c r="AY406" s="206">
        <f t="shared" si="392"/>
        <v>52</v>
      </c>
      <c r="AZ406" s="206">
        <f t="shared" si="392"/>
        <v>45</v>
      </c>
      <c r="BA406" s="206">
        <f t="shared" si="392"/>
        <v>43</v>
      </c>
      <c r="BB406" s="464">
        <f t="shared" si="392"/>
        <v>0</v>
      </c>
      <c r="BC406" s="465">
        <f t="shared" si="332"/>
        <v>1512</v>
      </c>
      <c r="BD406" s="206"/>
      <c r="BE406" s="466"/>
    </row>
    <row r="407">
      <c r="A407" s="234"/>
      <c r="B407" s="401" t="s">
        <v>703</v>
      </c>
      <c r="C407" s="412" t="s">
        <v>704</v>
      </c>
      <c r="D407" s="323"/>
      <c r="E407" s="259"/>
      <c r="F407" s="540"/>
      <c r="G407" s="246"/>
      <c r="H407" s="540"/>
      <c r="I407" s="246"/>
      <c r="J407" s="540"/>
      <c r="K407" s="246"/>
      <c r="L407" s="261"/>
      <c r="M407" s="540"/>
      <c r="N407" s="246"/>
      <c r="O407" s="540"/>
      <c r="P407" s="246"/>
      <c r="Q407" s="540"/>
      <c r="R407" s="246"/>
      <c r="S407" s="261"/>
      <c r="T407" s="540"/>
      <c r="U407" s="246"/>
      <c r="V407" s="540"/>
      <c r="W407" s="246"/>
      <c r="X407" s="540"/>
      <c r="Y407" s="246"/>
      <c r="Z407" s="261"/>
      <c r="AA407" s="540"/>
      <c r="AB407" s="246"/>
      <c r="AC407" s="540"/>
      <c r="AD407" s="246"/>
      <c r="AE407" s="540"/>
      <c r="AF407" s="246"/>
      <c r="AG407" s="261"/>
      <c r="AH407" s="540"/>
      <c r="AI407" s="246"/>
      <c r="AJ407" s="540"/>
      <c r="AK407" s="246"/>
      <c r="AL407" s="540"/>
      <c r="AM407" s="246"/>
      <c r="AN407" s="261"/>
      <c r="AO407" s="540"/>
      <c r="AP407" s="246"/>
      <c r="AQ407" s="540"/>
      <c r="AR407" s="246"/>
      <c r="AS407" s="540"/>
      <c r="AT407" s="254" t="str">
        <f t="shared" si="371"/>
        <v/>
      </c>
      <c r="AU407" s="269"/>
      <c r="AV407" s="269"/>
      <c r="AW407" s="206" t="str">
        <f t="shared" si="330"/>
        <v>#REF!</v>
      </c>
      <c r="AX407" s="206">
        <f t="shared" ref="AX407:BB407" si="393">AX149</f>
        <v>49</v>
      </c>
      <c r="AY407" s="206">
        <f t="shared" si="393"/>
        <v>52</v>
      </c>
      <c r="AZ407" s="206">
        <f t="shared" si="393"/>
        <v>45</v>
      </c>
      <c r="BA407" s="206">
        <f t="shared" si="393"/>
        <v>43</v>
      </c>
      <c r="BB407" s="464">
        <f t="shared" si="393"/>
        <v>0</v>
      </c>
      <c r="BC407" s="465">
        <f t="shared" si="332"/>
        <v>1512</v>
      </c>
      <c r="BD407" s="206"/>
      <c r="BE407" s="466"/>
    </row>
    <row r="408">
      <c r="A408" s="234"/>
      <c r="B408" s="414" t="s">
        <v>705</v>
      </c>
      <c r="C408" s="415" t="s">
        <v>704</v>
      </c>
      <c r="D408" s="330"/>
      <c r="E408" s="259"/>
      <c r="F408" s="545"/>
      <c r="G408" s="246"/>
      <c r="H408" s="541"/>
      <c r="I408" s="246"/>
      <c r="J408" s="540"/>
      <c r="K408" s="246"/>
      <c r="L408" s="261"/>
      <c r="M408" s="545"/>
      <c r="N408" s="246"/>
      <c r="O408" s="541"/>
      <c r="P408" s="246"/>
      <c r="Q408" s="540"/>
      <c r="R408" s="246"/>
      <c r="S408" s="261"/>
      <c r="T408" s="545"/>
      <c r="U408" s="246"/>
      <c r="V408" s="541"/>
      <c r="W408" s="246"/>
      <c r="X408" s="540"/>
      <c r="Y408" s="246"/>
      <c r="Z408" s="261"/>
      <c r="AA408" s="545"/>
      <c r="AB408" s="246"/>
      <c r="AC408" s="541"/>
      <c r="AD408" s="246"/>
      <c r="AE408" s="540"/>
      <c r="AF408" s="246"/>
      <c r="AG408" s="261"/>
      <c r="AH408" s="545"/>
      <c r="AI408" s="246"/>
      <c r="AJ408" s="541"/>
      <c r="AK408" s="246"/>
      <c r="AL408" s="540"/>
      <c r="AM408" s="246"/>
      <c r="AN408" s="261"/>
      <c r="AO408" s="545"/>
      <c r="AP408" s="246"/>
      <c r="AQ408" s="541"/>
      <c r="AR408" s="246"/>
      <c r="AS408" s="540"/>
      <c r="AT408" s="254" t="str">
        <f t="shared" si="371"/>
        <v/>
      </c>
      <c r="AU408" s="269"/>
      <c r="AV408" s="269"/>
      <c r="AW408" s="206" t="str">
        <f t="shared" si="330"/>
        <v>#REF!</v>
      </c>
      <c r="AX408" s="206">
        <f t="shared" ref="AX408:BB408" si="394">AX150</f>
        <v>49</v>
      </c>
      <c r="AY408" s="206">
        <f t="shared" si="394"/>
        <v>52</v>
      </c>
      <c r="AZ408" s="206">
        <f t="shared" si="394"/>
        <v>45</v>
      </c>
      <c r="BA408" s="206">
        <f t="shared" si="394"/>
        <v>43</v>
      </c>
      <c r="BB408" s="464">
        <f t="shared" si="394"/>
        <v>0</v>
      </c>
      <c r="BC408" s="465">
        <f t="shared" si="332"/>
        <v>1512</v>
      </c>
      <c r="BD408" s="206"/>
      <c r="BE408" s="466"/>
    </row>
    <row r="409">
      <c r="A409" s="94"/>
      <c r="B409" s="328" t="s">
        <v>705</v>
      </c>
      <c r="C409" s="257" t="s">
        <v>657</v>
      </c>
      <c r="D409" s="330"/>
      <c r="E409" s="259"/>
      <c r="F409" s="545"/>
      <c r="G409" s="246"/>
      <c r="H409" s="541"/>
      <c r="I409" s="246"/>
      <c r="J409" s="540"/>
      <c r="K409" s="246"/>
      <c r="L409" s="261"/>
      <c r="M409" s="545"/>
      <c r="N409" s="246"/>
      <c r="O409" s="541"/>
      <c r="P409" s="246"/>
      <c r="Q409" s="540"/>
      <c r="R409" s="246"/>
      <c r="S409" s="261"/>
      <c r="T409" s="545"/>
      <c r="U409" s="246"/>
      <c r="V409" s="541"/>
      <c r="W409" s="246"/>
      <c r="X409" s="540"/>
      <c r="Y409" s="246"/>
      <c r="Z409" s="261"/>
      <c r="AA409" s="545"/>
      <c r="AB409" s="246"/>
      <c r="AC409" s="541"/>
      <c r="AD409" s="246"/>
      <c r="AE409" s="540"/>
      <c r="AF409" s="246"/>
      <c r="AG409" s="261"/>
      <c r="AH409" s="545"/>
      <c r="AI409" s="246"/>
      <c r="AJ409" s="541"/>
      <c r="AK409" s="246"/>
      <c r="AL409" s="540"/>
      <c r="AM409" s="246"/>
      <c r="AN409" s="261"/>
      <c r="AO409" s="545"/>
      <c r="AP409" s="246"/>
      <c r="AQ409" s="541"/>
      <c r="AR409" s="246"/>
      <c r="AS409" s="540"/>
      <c r="AT409" s="254" t="str">
        <f t="shared" si="371"/>
        <v/>
      </c>
      <c r="AU409" s="269"/>
      <c r="AV409" s="269"/>
      <c r="AW409" s="206" t="str">
        <f t="shared" si="330"/>
        <v>#REF!</v>
      </c>
      <c r="AX409" s="206">
        <f t="shared" ref="AX409:BB409" si="395">AX151</f>
        <v>49</v>
      </c>
      <c r="AY409" s="206">
        <f t="shared" si="395"/>
        <v>52</v>
      </c>
      <c r="AZ409" s="206">
        <f t="shared" si="395"/>
        <v>45</v>
      </c>
      <c r="BA409" s="206">
        <f t="shared" si="395"/>
        <v>43</v>
      </c>
      <c r="BB409" s="464">
        <f t="shared" si="395"/>
        <v>0</v>
      </c>
      <c r="BC409" s="465">
        <f t="shared" si="332"/>
        <v>1512</v>
      </c>
      <c r="BD409" s="206"/>
      <c r="BE409" s="466"/>
    </row>
    <row r="410">
      <c r="A410" s="94"/>
      <c r="B410" s="277" t="s">
        <v>705</v>
      </c>
      <c r="C410" s="329" t="s">
        <v>685</v>
      </c>
      <c r="D410" s="330"/>
      <c r="E410" s="259"/>
      <c r="F410" s="545"/>
      <c r="G410" s="246"/>
      <c r="H410" s="541"/>
      <c r="I410" s="246"/>
      <c r="J410" s="540"/>
      <c r="K410" s="246"/>
      <c r="L410" s="261"/>
      <c r="M410" s="545"/>
      <c r="N410" s="246"/>
      <c r="O410" s="541"/>
      <c r="P410" s="246"/>
      <c r="Q410" s="540"/>
      <c r="R410" s="246"/>
      <c r="S410" s="261"/>
      <c r="T410" s="545"/>
      <c r="U410" s="246"/>
      <c r="V410" s="541"/>
      <c r="W410" s="246"/>
      <c r="X410" s="540"/>
      <c r="Y410" s="246"/>
      <c r="Z410" s="261"/>
      <c r="AA410" s="545"/>
      <c r="AB410" s="246"/>
      <c r="AC410" s="541"/>
      <c r="AD410" s="246"/>
      <c r="AE410" s="540"/>
      <c r="AF410" s="246"/>
      <c r="AG410" s="261"/>
      <c r="AH410" s="545"/>
      <c r="AI410" s="246"/>
      <c r="AJ410" s="541"/>
      <c r="AK410" s="246"/>
      <c r="AL410" s="540"/>
      <c r="AM410" s="246"/>
      <c r="AN410" s="261"/>
      <c r="AO410" s="545"/>
      <c r="AP410" s="246"/>
      <c r="AQ410" s="541"/>
      <c r="AR410" s="246"/>
      <c r="AS410" s="540"/>
      <c r="AT410" s="254" t="str">
        <f>IF(COUNTIF($AO$85:$AT$87, #REF!) &gt; 0, "X", "")</f>
        <v/>
      </c>
      <c r="AU410" s="269"/>
      <c r="AV410" s="269"/>
      <c r="AW410" s="206" t="str">
        <f t="shared" si="330"/>
        <v>#REF!</v>
      </c>
      <c r="AX410" s="206">
        <f t="shared" ref="AX410:BB410" si="396">AX152</f>
        <v>49</v>
      </c>
      <c r="AY410" s="206">
        <f t="shared" si="396"/>
        <v>52</v>
      </c>
      <c r="AZ410" s="206">
        <f t="shared" si="396"/>
        <v>45</v>
      </c>
      <c r="BA410" s="206">
        <f t="shared" si="396"/>
        <v>43</v>
      </c>
      <c r="BB410" s="464">
        <f t="shared" si="396"/>
        <v>0</v>
      </c>
      <c r="BC410" s="465">
        <f t="shared" si="332"/>
        <v>1512</v>
      </c>
      <c r="BD410" s="206"/>
      <c r="BE410" s="466"/>
    </row>
    <row r="411">
      <c r="A411" s="94"/>
      <c r="B411" s="271" t="s">
        <v>705</v>
      </c>
      <c r="C411" s="272" t="s">
        <v>687</v>
      </c>
      <c r="D411" s="369"/>
      <c r="E411" s="259"/>
      <c r="F411" s="545"/>
      <c r="G411" s="246"/>
      <c r="H411" s="541"/>
      <c r="I411" s="246"/>
      <c r="J411" s="540"/>
      <c r="K411" s="246"/>
      <c r="L411" s="261"/>
      <c r="M411" s="545"/>
      <c r="N411" s="246"/>
      <c r="O411" s="541"/>
      <c r="P411" s="246"/>
      <c r="Q411" s="540"/>
      <c r="R411" s="246"/>
      <c r="S411" s="261"/>
      <c r="T411" s="545"/>
      <c r="U411" s="246"/>
      <c r="V411" s="541"/>
      <c r="W411" s="246"/>
      <c r="X411" s="540"/>
      <c r="Y411" s="246"/>
      <c r="Z411" s="261"/>
      <c r="AA411" s="545"/>
      <c r="AB411" s="246"/>
      <c r="AC411" s="541"/>
      <c r="AD411" s="246"/>
      <c r="AE411" s="540"/>
      <c r="AF411" s="246"/>
      <c r="AG411" s="261"/>
      <c r="AH411" s="545"/>
      <c r="AI411" s="246"/>
      <c r="AJ411" s="541"/>
      <c r="AK411" s="246"/>
      <c r="AL411" s="540"/>
      <c r="AM411" s="246"/>
      <c r="AN411" s="261"/>
      <c r="AO411" s="545"/>
      <c r="AP411" s="246"/>
      <c r="AQ411" s="541"/>
      <c r="AR411" s="246"/>
      <c r="AS411" s="540"/>
      <c r="AT411" s="254" t="str">
        <f>IF(COUNTIF($AO$85:$AT$87, AS410) &gt; 0, "X", "")</f>
        <v/>
      </c>
      <c r="AU411" s="269"/>
      <c r="AV411" s="269"/>
      <c r="AW411" s="206" t="str">
        <f t="shared" si="330"/>
        <v>#REF!</v>
      </c>
      <c r="AX411" s="206">
        <f t="shared" ref="AX411:BB411" si="397">AX153</f>
        <v>49</v>
      </c>
      <c r="AY411" s="206">
        <f t="shared" si="397"/>
        <v>52</v>
      </c>
      <c r="AZ411" s="206">
        <f t="shared" si="397"/>
        <v>45</v>
      </c>
      <c r="BA411" s="206">
        <f t="shared" si="397"/>
        <v>43</v>
      </c>
      <c r="BB411" s="464">
        <f t="shared" si="397"/>
        <v>0</v>
      </c>
      <c r="BC411" s="465">
        <f t="shared" si="332"/>
        <v>1512</v>
      </c>
      <c r="BD411" s="206"/>
      <c r="BE411" s="466"/>
    </row>
    <row r="412">
      <c r="A412" s="270"/>
      <c r="B412" s="397" t="s">
        <v>708</v>
      </c>
      <c r="C412" s="398" t="s">
        <v>654</v>
      </c>
      <c r="D412" s="330"/>
      <c r="E412" s="259"/>
      <c r="F412" s="545"/>
      <c r="G412" s="246"/>
      <c r="H412" s="541"/>
      <c r="I412" s="246"/>
      <c r="J412" s="540"/>
      <c r="K412" s="246"/>
      <c r="L412" s="261"/>
      <c r="M412" s="545"/>
      <c r="N412" s="246"/>
      <c r="O412" s="541"/>
      <c r="P412" s="246"/>
      <c r="Q412" s="540"/>
      <c r="R412" s="246"/>
      <c r="S412" s="261"/>
      <c r="T412" s="545"/>
      <c r="U412" s="246"/>
      <c r="V412" s="541"/>
      <c r="W412" s="246"/>
      <c r="X412" s="540"/>
      <c r="Y412" s="246"/>
      <c r="Z412" s="261"/>
      <c r="AA412" s="545"/>
      <c r="AB412" s="246"/>
      <c r="AC412" s="541"/>
      <c r="AD412" s="246"/>
      <c r="AE412" s="540"/>
      <c r="AF412" s="246"/>
      <c r="AG412" s="261"/>
      <c r="AH412" s="545"/>
      <c r="AI412" s="246"/>
      <c r="AJ412" s="541"/>
      <c r="AK412" s="246"/>
      <c r="AL412" s="540"/>
      <c r="AM412" s="246"/>
      <c r="AN412" s="261"/>
      <c r="AO412" s="545"/>
      <c r="AP412" s="246"/>
      <c r="AQ412" s="541"/>
      <c r="AR412" s="246"/>
      <c r="AS412" s="540"/>
      <c r="AT412" s="254" t="str">
        <f t="shared" ref="AT412:AT414" si="399">IF(COUNTIF($AO$85:$AT$87, AS412) &gt; 0, "X", "")</f>
        <v/>
      </c>
      <c r="AU412" s="269"/>
      <c r="AV412" s="269"/>
      <c r="AW412" s="206" t="str">
        <f t="shared" si="330"/>
        <v>#REF!</v>
      </c>
      <c r="AX412" s="206">
        <f t="shared" ref="AX412:BB412" si="398">AX154</f>
        <v>49</v>
      </c>
      <c r="AY412" s="206">
        <f t="shared" si="398"/>
        <v>52</v>
      </c>
      <c r="AZ412" s="206">
        <f t="shared" si="398"/>
        <v>45</v>
      </c>
      <c r="BA412" s="206">
        <f t="shared" si="398"/>
        <v>43</v>
      </c>
      <c r="BB412" s="464">
        <f t="shared" si="398"/>
        <v>0</v>
      </c>
      <c r="BC412" s="465">
        <f t="shared" si="332"/>
        <v>1512</v>
      </c>
      <c r="BD412" s="206"/>
      <c r="BE412" s="466"/>
    </row>
    <row r="413">
      <c r="A413" s="94"/>
      <c r="B413" s="277" t="s">
        <v>709</v>
      </c>
      <c r="C413" s="278" t="s">
        <v>710</v>
      </c>
      <c r="D413" s="330"/>
      <c r="E413" s="259"/>
      <c r="F413" s="545"/>
      <c r="G413" s="246"/>
      <c r="H413" s="541"/>
      <c r="I413" s="246"/>
      <c r="J413" s="540"/>
      <c r="K413" s="246"/>
      <c r="L413" s="261"/>
      <c r="M413" s="545"/>
      <c r="N413" s="246"/>
      <c r="O413" s="541"/>
      <c r="P413" s="246"/>
      <c r="Q413" s="540"/>
      <c r="R413" s="246"/>
      <c r="S413" s="261"/>
      <c r="T413" s="545"/>
      <c r="U413" s="246"/>
      <c r="V413" s="541"/>
      <c r="W413" s="246"/>
      <c r="X413" s="540"/>
      <c r="Y413" s="246"/>
      <c r="Z413" s="261"/>
      <c r="AA413" s="545"/>
      <c r="AB413" s="246"/>
      <c r="AC413" s="541"/>
      <c r="AD413" s="246"/>
      <c r="AE413" s="540"/>
      <c r="AF413" s="246"/>
      <c r="AG413" s="261"/>
      <c r="AH413" s="545"/>
      <c r="AI413" s="246"/>
      <c r="AJ413" s="541"/>
      <c r="AK413" s="246"/>
      <c r="AL413" s="540"/>
      <c r="AM413" s="246"/>
      <c r="AN413" s="261"/>
      <c r="AO413" s="545"/>
      <c r="AP413" s="246"/>
      <c r="AQ413" s="541"/>
      <c r="AR413" s="246"/>
      <c r="AS413" s="540"/>
      <c r="AT413" s="254" t="str">
        <f t="shared" si="399"/>
        <v/>
      </c>
      <c r="AU413" s="269"/>
      <c r="AV413" s="269"/>
      <c r="AW413" s="206" t="str">
        <f t="shared" si="330"/>
        <v>#REF!</v>
      </c>
      <c r="AX413" s="206">
        <f t="shared" ref="AX413:BB413" si="400">AX155</f>
        <v>49</v>
      </c>
      <c r="AY413" s="206">
        <f t="shared" si="400"/>
        <v>52</v>
      </c>
      <c r="AZ413" s="206">
        <f t="shared" si="400"/>
        <v>45</v>
      </c>
      <c r="BA413" s="206">
        <f t="shared" si="400"/>
        <v>43</v>
      </c>
      <c r="BB413" s="464">
        <f t="shared" si="400"/>
        <v>0</v>
      </c>
      <c r="BC413" s="465">
        <f t="shared" si="332"/>
        <v>1512</v>
      </c>
      <c r="BD413" s="206"/>
      <c r="BE413" s="466"/>
    </row>
    <row r="414">
      <c r="A414" s="94"/>
      <c r="B414" s="271" t="s">
        <v>712</v>
      </c>
      <c r="C414" s="272" t="s">
        <v>710</v>
      </c>
      <c r="D414" s="323"/>
      <c r="E414" s="259"/>
      <c r="F414" s="545"/>
      <c r="G414" s="246"/>
      <c r="H414" s="541"/>
      <c r="I414" s="246"/>
      <c r="J414" s="540"/>
      <c r="K414" s="246"/>
      <c r="L414" s="261"/>
      <c r="M414" s="545"/>
      <c r="N414" s="246"/>
      <c r="O414" s="541"/>
      <c r="P414" s="246"/>
      <c r="Q414" s="540"/>
      <c r="R414" s="246"/>
      <c r="S414" s="261"/>
      <c r="T414" s="545"/>
      <c r="U414" s="246"/>
      <c r="V414" s="541"/>
      <c r="W414" s="246"/>
      <c r="X414" s="540"/>
      <c r="Y414" s="246"/>
      <c r="Z414" s="261"/>
      <c r="AA414" s="545"/>
      <c r="AB414" s="246"/>
      <c r="AC414" s="541"/>
      <c r="AD414" s="246"/>
      <c r="AE414" s="540"/>
      <c r="AF414" s="246"/>
      <c r="AG414" s="261"/>
      <c r="AH414" s="545"/>
      <c r="AI414" s="246"/>
      <c r="AJ414" s="541"/>
      <c r="AK414" s="246"/>
      <c r="AL414" s="540"/>
      <c r="AM414" s="246"/>
      <c r="AN414" s="261"/>
      <c r="AO414" s="545"/>
      <c r="AP414" s="246"/>
      <c r="AQ414" s="541"/>
      <c r="AR414" s="246"/>
      <c r="AS414" s="540"/>
      <c r="AT414" s="254" t="str">
        <f t="shared" si="399"/>
        <v/>
      </c>
      <c r="AU414" s="269"/>
      <c r="AV414" s="269"/>
      <c r="AW414" s="206" t="str">
        <f t="shared" si="330"/>
        <v>#REF!</v>
      </c>
      <c r="AX414" s="206">
        <f t="shared" ref="AX414:BB414" si="401">AX156</f>
        <v>49</v>
      </c>
      <c r="AY414" s="206">
        <f t="shared" si="401"/>
        <v>52</v>
      </c>
      <c r="AZ414" s="206">
        <f t="shared" si="401"/>
        <v>45</v>
      </c>
      <c r="BA414" s="206">
        <f t="shared" si="401"/>
        <v>43</v>
      </c>
      <c r="BB414" s="464">
        <f t="shared" si="401"/>
        <v>0</v>
      </c>
      <c r="BC414" s="465">
        <f t="shared" si="332"/>
        <v>1512</v>
      </c>
      <c r="BD414" s="206"/>
      <c r="BE414" s="466"/>
    </row>
    <row r="415">
      <c r="A415" s="94"/>
      <c r="B415" s="429" t="s">
        <v>714</v>
      </c>
      <c r="C415" s="430"/>
      <c r="D415" s="431"/>
      <c r="E415" s="259"/>
      <c r="F415" s="432"/>
      <c r="G415" s="433"/>
      <c r="H415" s="432"/>
      <c r="I415" s="432"/>
      <c r="J415" s="432"/>
      <c r="K415" s="432"/>
      <c r="L415" s="261"/>
      <c r="M415" s="432"/>
      <c r="N415" s="433"/>
      <c r="O415" s="432"/>
      <c r="P415" s="432"/>
      <c r="Q415" s="432"/>
      <c r="R415" s="432"/>
      <c r="S415" s="261"/>
      <c r="T415" s="432"/>
      <c r="U415" s="433"/>
      <c r="V415" s="432"/>
      <c r="W415" s="432"/>
      <c r="X415" s="432"/>
      <c r="Y415" s="432"/>
      <c r="Z415" s="261"/>
      <c r="AA415" s="432"/>
      <c r="AB415" s="433"/>
      <c r="AC415" s="432"/>
      <c r="AD415" s="432"/>
      <c r="AE415" s="432"/>
      <c r="AF415" s="432"/>
      <c r="AG415" s="261"/>
      <c r="AH415" s="432"/>
      <c r="AI415" s="433"/>
      <c r="AJ415" s="432"/>
      <c r="AK415" s="432"/>
      <c r="AL415" s="432"/>
      <c r="AM415" s="432"/>
      <c r="AN415" s="261"/>
      <c r="AO415" s="432"/>
      <c r="AP415" s="433"/>
      <c r="AQ415" s="432"/>
      <c r="AR415" s="432"/>
      <c r="AS415" s="432"/>
      <c r="AT415" s="430"/>
      <c r="AU415" s="269"/>
      <c r="AV415" s="269"/>
      <c r="AW415" s="206" t="str">
        <f t="shared" si="330"/>
        <v>#REF!</v>
      </c>
      <c r="AX415" s="206">
        <f t="shared" ref="AX415:BB415" si="402">AX157</f>
        <v>49</v>
      </c>
      <c r="AY415" s="206">
        <f t="shared" si="402"/>
        <v>52</v>
      </c>
      <c r="AZ415" s="206">
        <f t="shared" si="402"/>
        <v>45</v>
      </c>
      <c r="BA415" s="206">
        <f t="shared" si="402"/>
        <v>43</v>
      </c>
      <c r="BB415" s="464">
        <f t="shared" si="402"/>
        <v>0</v>
      </c>
      <c r="BC415" s="465">
        <f t="shared" si="332"/>
        <v>1512</v>
      </c>
      <c r="BD415" s="206"/>
      <c r="BE415" s="466"/>
    </row>
    <row r="416">
      <c r="A416" s="94"/>
      <c r="B416" s="401" t="s">
        <v>715</v>
      </c>
      <c r="C416" s="412" t="s">
        <v>811</v>
      </c>
      <c r="D416" s="323"/>
      <c r="E416" s="259"/>
      <c r="F416" s="132"/>
      <c r="G416" s="246"/>
      <c r="H416" s="132"/>
      <c r="I416" s="246"/>
      <c r="J416" s="132"/>
      <c r="K416" s="246"/>
      <c r="L416" s="261"/>
      <c r="M416" s="132"/>
      <c r="N416" s="246"/>
      <c r="O416" s="132"/>
      <c r="P416" s="246"/>
      <c r="Q416" s="132"/>
      <c r="R416" s="246"/>
      <c r="S416" s="261"/>
      <c r="T416" s="132"/>
      <c r="U416" s="246"/>
      <c r="V416" s="132"/>
      <c r="W416" s="246"/>
      <c r="X416" s="132"/>
      <c r="Y416" s="246"/>
      <c r="Z416" s="261"/>
      <c r="AA416" s="132"/>
      <c r="AB416" s="246"/>
      <c r="AC416" s="132"/>
      <c r="AD416" s="246"/>
      <c r="AE416" s="132"/>
      <c r="AF416" s="246"/>
      <c r="AG416" s="261"/>
      <c r="AH416" s="132"/>
      <c r="AI416" s="246"/>
      <c r="AJ416" s="132"/>
      <c r="AK416" s="246"/>
      <c r="AL416" s="132"/>
      <c r="AM416" s="246"/>
      <c r="AN416" s="261"/>
      <c r="AO416" s="132"/>
      <c r="AP416" s="246"/>
      <c r="AQ416" s="132"/>
      <c r="AR416" s="246"/>
      <c r="AS416" s="132"/>
      <c r="AT416" s="254" t="str">
        <f t="shared" ref="AT416:AT428" si="404">IF(COUNTIF($AO$85:$AT$87, AS416) &gt; 0, "X", "")</f>
        <v/>
      </c>
      <c r="AU416" s="269"/>
      <c r="AV416" s="269"/>
      <c r="AW416" s="206" t="str">
        <f t="shared" si="330"/>
        <v>#REF!</v>
      </c>
      <c r="AX416" s="206">
        <f t="shared" ref="AX416:BB416" si="403">AX158</f>
        <v>49</v>
      </c>
      <c r="AY416" s="206">
        <f t="shared" si="403"/>
        <v>52</v>
      </c>
      <c r="AZ416" s="206">
        <f t="shared" si="403"/>
        <v>45</v>
      </c>
      <c r="BA416" s="206">
        <f t="shared" si="403"/>
        <v>43</v>
      </c>
      <c r="BB416" s="464">
        <f t="shared" si="403"/>
        <v>0</v>
      </c>
      <c r="BC416" s="465">
        <f t="shared" si="332"/>
        <v>1512</v>
      </c>
      <c r="BD416" s="206"/>
      <c r="BE416" s="466"/>
    </row>
    <row r="417">
      <c r="A417" s="94"/>
      <c r="B417" s="550" t="s">
        <v>812</v>
      </c>
      <c r="C417" s="551" t="s">
        <v>813</v>
      </c>
      <c r="D417" s="363"/>
      <c r="E417" s="259"/>
      <c r="F417" s="132"/>
      <c r="G417" s="246"/>
      <c r="H417" s="132"/>
      <c r="I417" s="246"/>
      <c r="J417" s="132"/>
      <c r="K417" s="246"/>
      <c r="L417" s="261"/>
      <c r="M417" s="132"/>
      <c r="N417" s="246"/>
      <c r="O417" s="132"/>
      <c r="P417" s="246"/>
      <c r="Q417" s="132"/>
      <c r="R417" s="246"/>
      <c r="S417" s="261"/>
      <c r="T417" s="132"/>
      <c r="U417" s="246"/>
      <c r="V417" s="132"/>
      <c r="W417" s="246"/>
      <c r="X417" s="132"/>
      <c r="Y417" s="246"/>
      <c r="Z417" s="261"/>
      <c r="AA417" s="132"/>
      <c r="AB417" s="246"/>
      <c r="AC417" s="132"/>
      <c r="AD417" s="246"/>
      <c r="AE417" s="132"/>
      <c r="AF417" s="246"/>
      <c r="AG417" s="261"/>
      <c r="AH417" s="132"/>
      <c r="AI417" s="246"/>
      <c r="AJ417" s="132"/>
      <c r="AK417" s="246"/>
      <c r="AL417" s="132"/>
      <c r="AM417" s="246"/>
      <c r="AN417" s="261"/>
      <c r="AO417" s="132"/>
      <c r="AP417" s="246"/>
      <c r="AQ417" s="132"/>
      <c r="AR417" s="246"/>
      <c r="AS417" s="132"/>
      <c r="AT417" s="254" t="str">
        <f t="shared" si="404"/>
        <v/>
      </c>
      <c r="AU417" s="269"/>
      <c r="AV417" s="269"/>
      <c r="AW417" s="206" t="str">
        <f t="shared" si="330"/>
        <v>#REF!</v>
      </c>
      <c r="AX417" s="206">
        <f t="shared" ref="AX417:BB417" si="405">AX159</f>
        <v>49</v>
      </c>
      <c r="AY417" s="206">
        <f t="shared" si="405"/>
        <v>52</v>
      </c>
      <c r="AZ417" s="206">
        <f t="shared" si="405"/>
        <v>45</v>
      </c>
      <c r="BA417" s="206">
        <f t="shared" si="405"/>
        <v>43</v>
      </c>
      <c r="BB417" s="464">
        <f t="shared" si="405"/>
        <v>0</v>
      </c>
      <c r="BC417" s="465">
        <f t="shared" si="332"/>
        <v>1512</v>
      </c>
      <c r="BD417" s="206"/>
      <c r="BE417" s="466"/>
    </row>
    <row r="418">
      <c r="A418" s="94"/>
      <c r="B418" s="552" t="s">
        <v>814</v>
      </c>
      <c r="C418" s="278" t="s">
        <v>815</v>
      </c>
      <c r="D418" s="330"/>
      <c r="E418" s="259"/>
      <c r="F418" s="132"/>
      <c r="G418" s="246"/>
      <c r="H418" s="132"/>
      <c r="I418" s="246"/>
      <c r="J418" s="132"/>
      <c r="K418" s="246"/>
      <c r="L418" s="261"/>
      <c r="M418" s="132"/>
      <c r="N418" s="246"/>
      <c r="O418" s="132"/>
      <c r="P418" s="246"/>
      <c r="Q418" s="132"/>
      <c r="R418" s="246"/>
      <c r="S418" s="261"/>
      <c r="T418" s="132"/>
      <c r="U418" s="246"/>
      <c r="V418" s="132"/>
      <c r="W418" s="246"/>
      <c r="X418" s="132"/>
      <c r="Y418" s="246"/>
      <c r="Z418" s="261"/>
      <c r="AA418" s="132"/>
      <c r="AB418" s="246"/>
      <c r="AC418" s="132"/>
      <c r="AD418" s="246"/>
      <c r="AE418" s="132"/>
      <c r="AF418" s="246"/>
      <c r="AG418" s="261"/>
      <c r="AH418" s="132"/>
      <c r="AI418" s="246"/>
      <c r="AJ418" s="132"/>
      <c r="AK418" s="246"/>
      <c r="AL418" s="132"/>
      <c r="AM418" s="246"/>
      <c r="AN418" s="261"/>
      <c r="AO418" s="132"/>
      <c r="AP418" s="246"/>
      <c r="AQ418" s="132"/>
      <c r="AR418" s="246"/>
      <c r="AS418" s="132"/>
      <c r="AT418" s="254" t="str">
        <f t="shared" si="404"/>
        <v/>
      </c>
      <c r="AU418" s="269"/>
      <c r="AV418" s="269"/>
      <c r="AW418" s="206" t="str">
        <f t="shared" si="330"/>
        <v>#REF!</v>
      </c>
      <c r="AX418" s="206">
        <f t="shared" ref="AX418:BB418" si="406">AX160</f>
        <v>49</v>
      </c>
      <c r="AY418" s="206">
        <f t="shared" si="406"/>
        <v>52</v>
      </c>
      <c r="AZ418" s="206">
        <f t="shared" si="406"/>
        <v>45</v>
      </c>
      <c r="BA418" s="206">
        <f t="shared" si="406"/>
        <v>43</v>
      </c>
      <c r="BB418" s="464">
        <f t="shared" si="406"/>
        <v>0</v>
      </c>
      <c r="BC418" s="465">
        <f t="shared" si="332"/>
        <v>1512</v>
      </c>
      <c r="BD418" s="206"/>
      <c r="BE418" s="466"/>
    </row>
    <row r="419">
      <c r="A419" s="94"/>
      <c r="B419" s="439" t="s">
        <v>816</v>
      </c>
      <c r="C419" s="442" t="s">
        <v>726</v>
      </c>
      <c r="D419" s="330"/>
      <c r="E419" s="259"/>
      <c r="F419" s="132"/>
      <c r="G419" s="246"/>
      <c r="H419" s="132"/>
      <c r="I419" s="246"/>
      <c r="J419" s="132"/>
      <c r="K419" s="246"/>
      <c r="L419" s="261"/>
      <c r="M419" s="132"/>
      <c r="N419" s="246"/>
      <c r="O419" s="132"/>
      <c r="P419" s="246"/>
      <c r="Q419" s="132"/>
      <c r="R419" s="246"/>
      <c r="S419" s="261"/>
      <c r="T419" s="132"/>
      <c r="U419" s="246"/>
      <c r="V419" s="132"/>
      <c r="W419" s="246"/>
      <c r="X419" s="132"/>
      <c r="Y419" s="246"/>
      <c r="Z419" s="261"/>
      <c r="AA419" s="132"/>
      <c r="AB419" s="246"/>
      <c r="AC419" s="132"/>
      <c r="AD419" s="246"/>
      <c r="AE419" s="132"/>
      <c r="AF419" s="246"/>
      <c r="AG419" s="261"/>
      <c r="AH419" s="132"/>
      <c r="AI419" s="246"/>
      <c r="AJ419" s="132"/>
      <c r="AK419" s="246"/>
      <c r="AL419" s="132"/>
      <c r="AM419" s="246"/>
      <c r="AN419" s="261"/>
      <c r="AO419" s="132"/>
      <c r="AP419" s="246"/>
      <c r="AQ419" s="132"/>
      <c r="AR419" s="246"/>
      <c r="AS419" s="132"/>
      <c r="AT419" s="254" t="str">
        <f t="shared" si="404"/>
        <v/>
      </c>
      <c r="AU419" s="269"/>
      <c r="AV419" s="269"/>
      <c r="AW419" s="206" t="str">
        <f t="shared" si="330"/>
        <v>#REF!</v>
      </c>
      <c r="AX419" s="206">
        <f t="shared" ref="AX419:BB419" si="407">AX161</f>
        <v>49</v>
      </c>
      <c r="AY419" s="206">
        <f t="shared" si="407"/>
        <v>52</v>
      </c>
      <c r="AZ419" s="206">
        <f t="shared" si="407"/>
        <v>45</v>
      </c>
      <c r="BA419" s="206">
        <f t="shared" si="407"/>
        <v>43</v>
      </c>
      <c r="BB419" s="464">
        <f t="shared" si="407"/>
        <v>0</v>
      </c>
      <c r="BC419" s="465">
        <f t="shared" si="332"/>
        <v>1512</v>
      </c>
      <c r="BD419" s="206"/>
      <c r="BE419" s="466"/>
    </row>
    <row r="420">
      <c r="A420" s="94"/>
      <c r="B420" s="439" t="s">
        <v>817</v>
      </c>
      <c r="C420" s="440" t="s">
        <v>818</v>
      </c>
      <c r="D420" s="330"/>
      <c r="E420" s="259"/>
      <c r="F420" s="446"/>
      <c r="G420" s="246"/>
      <c r="H420" s="132"/>
      <c r="I420" s="246"/>
      <c r="J420" s="446"/>
      <c r="K420" s="246"/>
      <c r="L420" s="261"/>
      <c r="M420" s="446"/>
      <c r="N420" s="246"/>
      <c r="O420" s="132"/>
      <c r="P420" s="246"/>
      <c r="Q420" s="446"/>
      <c r="R420" s="246"/>
      <c r="S420" s="261"/>
      <c r="T420" s="446"/>
      <c r="U420" s="246"/>
      <c r="V420" s="132"/>
      <c r="W420" s="246"/>
      <c r="X420" s="446"/>
      <c r="Y420" s="246"/>
      <c r="Z420" s="261"/>
      <c r="AA420" s="446"/>
      <c r="AB420" s="246"/>
      <c r="AC420" s="132"/>
      <c r="AD420" s="246"/>
      <c r="AE420" s="446"/>
      <c r="AF420" s="246"/>
      <c r="AG420" s="261"/>
      <c r="AH420" s="446"/>
      <c r="AI420" s="246"/>
      <c r="AJ420" s="132"/>
      <c r="AK420" s="246"/>
      <c r="AL420" s="446"/>
      <c r="AM420" s="246"/>
      <c r="AN420" s="261"/>
      <c r="AO420" s="446"/>
      <c r="AP420" s="246"/>
      <c r="AQ420" s="132"/>
      <c r="AR420" s="246"/>
      <c r="AS420" s="446"/>
      <c r="AT420" s="254" t="str">
        <f t="shared" si="404"/>
        <v/>
      </c>
      <c r="AU420" s="269"/>
      <c r="AV420" s="269"/>
      <c r="AW420" s="206" t="str">
        <f t="shared" si="330"/>
        <v>#REF!</v>
      </c>
      <c r="AX420" s="206">
        <f t="shared" ref="AX420:BB420" si="408">AX162</f>
        <v>49</v>
      </c>
      <c r="AY420" s="206">
        <f t="shared" si="408"/>
        <v>52</v>
      </c>
      <c r="AZ420" s="206">
        <f t="shared" si="408"/>
        <v>45</v>
      </c>
      <c r="BA420" s="206">
        <f t="shared" si="408"/>
        <v>43</v>
      </c>
      <c r="BB420" s="464">
        <f t="shared" si="408"/>
        <v>0</v>
      </c>
      <c r="BC420" s="465">
        <f t="shared" si="332"/>
        <v>1512</v>
      </c>
      <c r="BD420" s="206"/>
      <c r="BE420" s="466"/>
    </row>
    <row r="421">
      <c r="A421" s="94"/>
      <c r="B421" s="444" t="s">
        <v>727</v>
      </c>
      <c r="C421" s="445" t="s">
        <v>728</v>
      </c>
      <c r="D421" s="330"/>
      <c r="E421" s="259"/>
      <c r="F421" s="446"/>
      <c r="G421" s="246"/>
      <c r="H421" s="446"/>
      <c r="I421" s="246"/>
      <c r="J421" s="446"/>
      <c r="K421" s="246"/>
      <c r="L421" s="261"/>
      <c r="M421" s="446"/>
      <c r="N421" s="246"/>
      <c r="O421" s="446"/>
      <c r="P421" s="246"/>
      <c r="Q421" s="446"/>
      <c r="R421" s="246"/>
      <c r="S421" s="261"/>
      <c r="T421" s="446"/>
      <c r="U421" s="246"/>
      <c r="V421" s="446"/>
      <c r="W421" s="246"/>
      <c r="X421" s="446"/>
      <c r="Y421" s="246"/>
      <c r="Z421" s="261"/>
      <c r="AA421" s="446"/>
      <c r="AB421" s="246"/>
      <c r="AC421" s="446"/>
      <c r="AD421" s="246"/>
      <c r="AE421" s="446"/>
      <c r="AF421" s="246"/>
      <c r="AG421" s="261"/>
      <c r="AH421" s="446"/>
      <c r="AI421" s="246"/>
      <c r="AJ421" s="446"/>
      <c r="AK421" s="246"/>
      <c r="AL421" s="446"/>
      <c r="AM421" s="246"/>
      <c r="AN421" s="261"/>
      <c r="AO421" s="446"/>
      <c r="AP421" s="246"/>
      <c r="AQ421" s="446"/>
      <c r="AR421" s="246"/>
      <c r="AS421" s="446"/>
      <c r="AT421" s="254" t="str">
        <f t="shared" si="404"/>
        <v/>
      </c>
      <c r="AU421" s="269"/>
      <c r="AV421" s="269"/>
      <c r="AW421" s="206" t="str">
        <f t="shared" si="330"/>
        <v>#REF!</v>
      </c>
      <c r="AX421" s="206">
        <f t="shared" ref="AX421:BB421" si="409">AX163</f>
        <v>49</v>
      </c>
      <c r="AY421" s="206">
        <f t="shared" si="409"/>
        <v>52</v>
      </c>
      <c r="AZ421" s="206">
        <f t="shared" si="409"/>
        <v>45</v>
      </c>
      <c r="BA421" s="206">
        <f t="shared" si="409"/>
        <v>43</v>
      </c>
      <c r="BB421" s="464">
        <f t="shared" si="409"/>
        <v>0</v>
      </c>
      <c r="BC421" s="465">
        <f t="shared" si="332"/>
        <v>1512</v>
      </c>
      <c r="BD421" s="206"/>
      <c r="BE421" s="466"/>
    </row>
    <row r="422">
      <c r="A422" s="94"/>
      <c r="B422" s="553" t="s">
        <v>819</v>
      </c>
      <c r="C422" s="554"/>
      <c r="D422" s="369"/>
      <c r="E422" s="259"/>
      <c r="F422" s="446"/>
      <c r="G422" s="246"/>
      <c r="H422" s="446"/>
      <c r="I422" s="246"/>
      <c r="J422" s="446"/>
      <c r="K422" s="246"/>
      <c r="L422" s="261"/>
      <c r="M422" s="446"/>
      <c r="N422" s="246"/>
      <c r="O422" s="446"/>
      <c r="P422" s="246"/>
      <c r="Q422" s="446"/>
      <c r="R422" s="246"/>
      <c r="S422" s="261"/>
      <c r="T422" s="446"/>
      <c r="U422" s="246"/>
      <c r="V422" s="446"/>
      <c r="W422" s="246"/>
      <c r="X422" s="446"/>
      <c r="Y422" s="246"/>
      <c r="Z422" s="261"/>
      <c r="AA422" s="446"/>
      <c r="AB422" s="246"/>
      <c r="AC422" s="446"/>
      <c r="AD422" s="246"/>
      <c r="AE422" s="446"/>
      <c r="AF422" s="246"/>
      <c r="AG422" s="261"/>
      <c r="AH422" s="446"/>
      <c r="AI422" s="246"/>
      <c r="AJ422" s="446"/>
      <c r="AK422" s="246"/>
      <c r="AL422" s="446"/>
      <c r="AM422" s="246"/>
      <c r="AN422" s="261"/>
      <c r="AO422" s="446"/>
      <c r="AP422" s="246"/>
      <c r="AQ422" s="446"/>
      <c r="AR422" s="246"/>
      <c r="AS422" s="446"/>
      <c r="AT422" s="254" t="str">
        <f t="shared" si="404"/>
        <v/>
      </c>
      <c r="AU422" s="269"/>
      <c r="AV422" s="269"/>
      <c r="AW422" s="206" t="str">
        <f t="shared" si="330"/>
        <v>#REF!</v>
      </c>
      <c r="AX422" s="206">
        <f t="shared" ref="AX422:BB422" si="410">AX164</f>
        <v>49</v>
      </c>
      <c r="AY422" s="206">
        <f t="shared" si="410"/>
        <v>52</v>
      </c>
      <c r="AZ422" s="206">
        <f t="shared" si="410"/>
        <v>45</v>
      </c>
      <c r="BA422" s="206">
        <f t="shared" si="410"/>
        <v>43</v>
      </c>
      <c r="BB422" s="464">
        <f t="shared" si="410"/>
        <v>0</v>
      </c>
      <c r="BC422" s="465">
        <f t="shared" si="332"/>
        <v>1512</v>
      </c>
      <c r="BD422" s="206"/>
      <c r="BE422" s="466"/>
    </row>
    <row r="423">
      <c r="A423" s="94"/>
      <c r="B423" s="450" t="s">
        <v>731</v>
      </c>
      <c r="C423" s="451" t="s">
        <v>732</v>
      </c>
      <c r="D423" s="330"/>
      <c r="E423" s="259"/>
      <c r="F423" s="446"/>
      <c r="G423" s="246"/>
      <c r="H423" s="446"/>
      <c r="I423" s="246"/>
      <c r="J423" s="446"/>
      <c r="K423" s="246"/>
      <c r="L423" s="261"/>
      <c r="M423" s="446"/>
      <c r="N423" s="246"/>
      <c r="O423" s="446"/>
      <c r="P423" s="246"/>
      <c r="Q423" s="446"/>
      <c r="R423" s="246"/>
      <c r="S423" s="261"/>
      <c r="T423" s="446"/>
      <c r="U423" s="246"/>
      <c r="V423" s="446"/>
      <c r="W423" s="246"/>
      <c r="X423" s="446"/>
      <c r="Y423" s="246"/>
      <c r="Z423" s="261"/>
      <c r="AA423" s="446"/>
      <c r="AB423" s="246"/>
      <c r="AC423" s="446"/>
      <c r="AD423" s="246"/>
      <c r="AE423" s="446"/>
      <c r="AF423" s="246"/>
      <c r="AG423" s="261"/>
      <c r="AH423" s="446"/>
      <c r="AI423" s="246"/>
      <c r="AJ423" s="446"/>
      <c r="AK423" s="246"/>
      <c r="AL423" s="446"/>
      <c r="AM423" s="246"/>
      <c r="AN423" s="261"/>
      <c r="AO423" s="446"/>
      <c r="AP423" s="246"/>
      <c r="AQ423" s="446"/>
      <c r="AR423" s="246"/>
      <c r="AS423" s="446"/>
      <c r="AT423" s="254" t="str">
        <f t="shared" si="404"/>
        <v/>
      </c>
      <c r="AU423" s="269"/>
      <c r="AV423" s="269"/>
      <c r="AW423" s="206" t="str">
        <f t="shared" si="330"/>
        <v>#REF!</v>
      </c>
      <c r="AX423" s="206">
        <f t="shared" ref="AX423:BB423" si="411">AX165</f>
        <v>49</v>
      </c>
      <c r="AY423" s="206">
        <f t="shared" si="411"/>
        <v>52</v>
      </c>
      <c r="AZ423" s="206">
        <f t="shared" si="411"/>
        <v>45</v>
      </c>
      <c r="BA423" s="206">
        <f t="shared" si="411"/>
        <v>43</v>
      </c>
      <c r="BB423" s="464">
        <f t="shared" si="411"/>
        <v>0</v>
      </c>
      <c r="BC423" s="465">
        <f t="shared" si="332"/>
        <v>1512</v>
      </c>
      <c r="BD423" s="206"/>
      <c r="BE423" s="466"/>
    </row>
    <row r="424">
      <c r="A424" s="94"/>
      <c r="B424" s="555" t="s">
        <v>820</v>
      </c>
      <c r="C424" s="453" t="s">
        <v>734</v>
      </c>
      <c r="D424" s="363"/>
      <c r="E424" s="259"/>
      <c r="F424" s="556"/>
      <c r="G424" s="246"/>
      <c r="H424" s="556"/>
      <c r="I424" s="246"/>
      <c r="J424" s="556"/>
      <c r="K424" s="246"/>
      <c r="L424" s="261"/>
      <c r="M424" s="556"/>
      <c r="N424" s="246"/>
      <c r="O424" s="556"/>
      <c r="P424" s="246"/>
      <c r="Q424" s="556"/>
      <c r="R424" s="246"/>
      <c r="S424" s="261"/>
      <c r="T424" s="556"/>
      <c r="U424" s="246"/>
      <c r="V424" s="556"/>
      <c r="W424" s="246"/>
      <c r="X424" s="556"/>
      <c r="Y424" s="246"/>
      <c r="Z424" s="261"/>
      <c r="AA424" s="556"/>
      <c r="AB424" s="246"/>
      <c r="AC424" s="556"/>
      <c r="AD424" s="246"/>
      <c r="AE424" s="556"/>
      <c r="AF424" s="246"/>
      <c r="AG424" s="261"/>
      <c r="AH424" s="556"/>
      <c r="AI424" s="246"/>
      <c r="AJ424" s="556"/>
      <c r="AK424" s="246"/>
      <c r="AL424" s="556"/>
      <c r="AM424" s="246"/>
      <c r="AN424" s="261"/>
      <c r="AO424" s="556"/>
      <c r="AP424" s="246"/>
      <c r="AQ424" s="556"/>
      <c r="AR424" s="246"/>
      <c r="AS424" s="556"/>
      <c r="AT424" s="254" t="str">
        <f t="shared" si="404"/>
        <v/>
      </c>
      <c r="AU424" s="269"/>
      <c r="AV424" s="269"/>
      <c r="AW424" s="206" t="str">
        <f t="shared" si="330"/>
        <v>#REF!</v>
      </c>
      <c r="AX424" s="206">
        <f t="shared" ref="AX424:BB424" si="412">AX166</f>
        <v>49</v>
      </c>
      <c r="AY424" s="206">
        <f t="shared" si="412"/>
        <v>52</v>
      </c>
      <c r="AZ424" s="206">
        <f t="shared" si="412"/>
        <v>45</v>
      </c>
      <c r="BA424" s="206">
        <f t="shared" si="412"/>
        <v>43</v>
      </c>
      <c r="BB424" s="464">
        <f t="shared" si="412"/>
        <v>0</v>
      </c>
      <c r="BC424" s="465">
        <f t="shared" si="332"/>
        <v>1512</v>
      </c>
      <c r="BD424" s="206"/>
      <c r="BE424" s="466"/>
    </row>
    <row r="425">
      <c r="A425" s="94"/>
      <c r="B425" s="557" t="s">
        <v>821</v>
      </c>
      <c r="C425" s="558" t="s">
        <v>822</v>
      </c>
      <c r="D425" s="363"/>
      <c r="E425" s="259"/>
      <c r="F425" s="545"/>
      <c r="G425" s="246"/>
      <c r="H425" s="545"/>
      <c r="I425" s="246"/>
      <c r="J425" s="545"/>
      <c r="K425" s="246"/>
      <c r="L425" s="261"/>
      <c r="M425" s="545"/>
      <c r="N425" s="246"/>
      <c r="O425" s="545"/>
      <c r="P425" s="246"/>
      <c r="Q425" s="545"/>
      <c r="R425" s="246"/>
      <c r="S425" s="261"/>
      <c r="T425" s="545"/>
      <c r="U425" s="246"/>
      <c r="V425" s="545"/>
      <c r="W425" s="246"/>
      <c r="X425" s="545"/>
      <c r="Y425" s="246"/>
      <c r="Z425" s="261"/>
      <c r="AA425" s="545"/>
      <c r="AB425" s="246"/>
      <c r="AC425" s="545"/>
      <c r="AD425" s="246"/>
      <c r="AE425" s="545"/>
      <c r="AF425" s="246"/>
      <c r="AG425" s="261"/>
      <c r="AH425" s="545"/>
      <c r="AI425" s="246"/>
      <c r="AJ425" s="545"/>
      <c r="AK425" s="246"/>
      <c r="AL425" s="545"/>
      <c r="AM425" s="246"/>
      <c r="AN425" s="261"/>
      <c r="AO425" s="545"/>
      <c r="AP425" s="246"/>
      <c r="AQ425" s="545"/>
      <c r="AR425" s="246"/>
      <c r="AS425" s="545"/>
      <c r="AT425" s="254" t="str">
        <f t="shared" si="404"/>
        <v/>
      </c>
      <c r="AU425" s="269"/>
      <c r="AV425" s="269"/>
      <c r="AW425" s="206" t="str">
        <f t="shared" si="330"/>
        <v>#REF!</v>
      </c>
      <c r="AX425" s="206">
        <f t="shared" ref="AX425:BB425" si="413">AX167</f>
        <v>49</v>
      </c>
      <c r="AY425" s="206">
        <f t="shared" si="413"/>
        <v>52</v>
      </c>
      <c r="AZ425" s="206">
        <f t="shared" si="413"/>
        <v>45</v>
      </c>
      <c r="BA425" s="206">
        <f t="shared" si="413"/>
        <v>43</v>
      </c>
      <c r="BB425" s="464">
        <f t="shared" si="413"/>
        <v>0</v>
      </c>
      <c r="BC425" s="465">
        <f t="shared" si="332"/>
        <v>1512</v>
      </c>
      <c r="BD425" s="206"/>
      <c r="BE425" s="466"/>
    </row>
    <row r="426">
      <c r="A426" s="94"/>
      <c r="B426" s="454" t="s">
        <v>735</v>
      </c>
      <c r="C426" s="455" t="s">
        <v>736</v>
      </c>
      <c r="D426" s="363"/>
      <c r="E426" s="259"/>
      <c r="F426" s="446"/>
      <c r="G426" s="246"/>
      <c r="H426" s="446"/>
      <c r="I426" s="246"/>
      <c r="J426" s="446"/>
      <c r="K426" s="246"/>
      <c r="L426" s="261"/>
      <c r="M426" s="446"/>
      <c r="N426" s="246"/>
      <c r="O426" s="446"/>
      <c r="P426" s="246"/>
      <c r="Q426" s="446"/>
      <c r="R426" s="246"/>
      <c r="S426" s="261"/>
      <c r="T426" s="446"/>
      <c r="U426" s="246"/>
      <c r="V426" s="446"/>
      <c r="W426" s="246"/>
      <c r="X426" s="446"/>
      <c r="Y426" s="246"/>
      <c r="Z426" s="261"/>
      <c r="AA426" s="446"/>
      <c r="AB426" s="246"/>
      <c r="AC426" s="446"/>
      <c r="AD426" s="246"/>
      <c r="AE426" s="446"/>
      <c r="AF426" s="246"/>
      <c r="AG426" s="261"/>
      <c r="AH426" s="446"/>
      <c r="AI426" s="246"/>
      <c r="AJ426" s="446"/>
      <c r="AK426" s="246"/>
      <c r="AL426" s="446"/>
      <c r="AM426" s="246"/>
      <c r="AN426" s="261"/>
      <c r="AO426" s="446"/>
      <c r="AP426" s="246"/>
      <c r="AQ426" s="446"/>
      <c r="AR426" s="246"/>
      <c r="AS426" s="446"/>
      <c r="AT426" s="254" t="str">
        <f t="shared" si="404"/>
        <v/>
      </c>
      <c r="AU426" s="269"/>
      <c r="AV426" s="269"/>
      <c r="AW426" s="206" t="str">
        <f t="shared" si="330"/>
        <v>#REF!</v>
      </c>
      <c r="AX426" s="206">
        <f t="shared" ref="AX426:BB426" si="414">AX168</f>
        <v>49</v>
      </c>
      <c r="AY426" s="206">
        <f t="shared" si="414"/>
        <v>52</v>
      </c>
      <c r="AZ426" s="206">
        <f t="shared" si="414"/>
        <v>45</v>
      </c>
      <c r="BA426" s="206">
        <f t="shared" si="414"/>
        <v>43</v>
      </c>
      <c r="BB426" s="464">
        <f t="shared" si="414"/>
        <v>0</v>
      </c>
      <c r="BC426" s="465">
        <f t="shared" si="332"/>
        <v>1512</v>
      </c>
      <c r="BD426" s="206"/>
      <c r="BE426" s="466"/>
    </row>
    <row r="427">
      <c r="A427" s="94"/>
      <c r="B427" s="454" t="s">
        <v>735</v>
      </c>
      <c r="C427" s="442" t="s">
        <v>736</v>
      </c>
      <c r="D427" s="363"/>
      <c r="E427" s="259"/>
      <c r="F427" s="446"/>
      <c r="G427" s="246"/>
      <c r="H427" s="446"/>
      <c r="I427" s="246"/>
      <c r="J427" s="446"/>
      <c r="K427" s="246"/>
      <c r="L427" s="261"/>
      <c r="M427" s="446"/>
      <c r="N427" s="246"/>
      <c r="O427" s="446"/>
      <c r="P427" s="246"/>
      <c r="Q427" s="446"/>
      <c r="R427" s="246"/>
      <c r="S427" s="261"/>
      <c r="T427" s="446"/>
      <c r="U427" s="246"/>
      <c r="V427" s="446"/>
      <c r="W427" s="246"/>
      <c r="X427" s="446"/>
      <c r="Y427" s="246"/>
      <c r="Z427" s="261"/>
      <c r="AA427" s="446"/>
      <c r="AB427" s="246"/>
      <c r="AC427" s="446"/>
      <c r="AD427" s="246"/>
      <c r="AE427" s="446"/>
      <c r="AF427" s="246"/>
      <c r="AG427" s="261"/>
      <c r="AH427" s="446"/>
      <c r="AI427" s="246"/>
      <c r="AJ427" s="446"/>
      <c r="AK427" s="246"/>
      <c r="AL427" s="446"/>
      <c r="AM427" s="246"/>
      <c r="AN427" s="261"/>
      <c r="AO427" s="446"/>
      <c r="AP427" s="246"/>
      <c r="AQ427" s="446"/>
      <c r="AR427" s="246"/>
      <c r="AS427" s="446"/>
      <c r="AT427" s="254" t="str">
        <f t="shared" si="404"/>
        <v/>
      </c>
      <c r="AU427" s="269"/>
      <c r="AV427" s="269"/>
      <c r="AW427" s="206" t="str">
        <f t="shared" si="330"/>
        <v>#REF!</v>
      </c>
      <c r="AX427" s="206">
        <f t="shared" ref="AX427:BB427" si="415">AX169</f>
        <v>49</v>
      </c>
      <c r="AY427" s="206">
        <f t="shared" si="415"/>
        <v>52</v>
      </c>
      <c r="AZ427" s="206">
        <f t="shared" si="415"/>
        <v>45</v>
      </c>
      <c r="BA427" s="206">
        <f t="shared" si="415"/>
        <v>43</v>
      </c>
      <c r="BB427" s="464">
        <f t="shared" si="415"/>
        <v>0</v>
      </c>
      <c r="BC427" s="465">
        <f t="shared" si="332"/>
        <v>1512</v>
      </c>
      <c r="BD427" s="206"/>
      <c r="BE427" s="466"/>
    </row>
    <row r="428">
      <c r="A428" s="94"/>
      <c r="B428" s="457" t="s">
        <v>735</v>
      </c>
      <c r="C428" s="458" t="s">
        <v>737</v>
      </c>
      <c r="D428" s="363"/>
      <c r="E428" s="259"/>
      <c r="F428" s="132"/>
      <c r="G428" s="246"/>
      <c r="H428" s="132"/>
      <c r="I428" s="246"/>
      <c r="J428" s="132"/>
      <c r="K428" s="246"/>
      <c r="L428" s="261"/>
      <c r="M428" s="132"/>
      <c r="N428" s="246"/>
      <c r="O428" s="132"/>
      <c r="P428" s="246"/>
      <c r="Q428" s="132"/>
      <c r="R428" s="246"/>
      <c r="S428" s="261"/>
      <c r="T428" s="132"/>
      <c r="U428" s="246"/>
      <c r="V428" s="132"/>
      <c r="W428" s="246"/>
      <c r="X428" s="132"/>
      <c r="Y428" s="246"/>
      <c r="Z428" s="261"/>
      <c r="AA428" s="132"/>
      <c r="AB428" s="246"/>
      <c r="AC428" s="132"/>
      <c r="AD428" s="246"/>
      <c r="AE428" s="132"/>
      <c r="AF428" s="246"/>
      <c r="AG428" s="261"/>
      <c r="AH428" s="132"/>
      <c r="AI428" s="246"/>
      <c r="AJ428" s="132"/>
      <c r="AK428" s="246"/>
      <c r="AL428" s="132"/>
      <c r="AM428" s="246"/>
      <c r="AN428" s="261"/>
      <c r="AO428" s="132"/>
      <c r="AP428" s="246"/>
      <c r="AQ428" s="132"/>
      <c r="AR428" s="246"/>
      <c r="AS428" s="132"/>
      <c r="AT428" s="254" t="str">
        <f t="shared" si="404"/>
        <v/>
      </c>
      <c r="AU428" s="269"/>
      <c r="AV428" s="269"/>
      <c r="AW428" s="206" t="str">
        <f t="shared" si="330"/>
        <v>#REF!</v>
      </c>
      <c r="AX428" s="206">
        <f t="shared" ref="AX428:BB428" si="416">AX170</f>
        <v>49</v>
      </c>
      <c r="AY428" s="206">
        <f t="shared" si="416"/>
        <v>52</v>
      </c>
      <c r="AZ428" s="206">
        <f t="shared" si="416"/>
        <v>45</v>
      </c>
      <c r="BA428" s="206">
        <f t="shared" si="416"/>
        <v>43</v>
      </c>
      <c r="BB428" s="464">
        <f t="shared" si="416"/>
        <v>0</v>
      </c>
      <c r="BC428" s="465">
        <f t="shared" si="332"/>
        <v>1512</v>
      </c>
      <c r="BD428" s="206"/>
      <c r="BE428" s="466"/>
    </row>
    <row r="429">
      <c r="A429" s="94"/>
      <c r="B429" s="459"/>
      <c r="C429" s="460" t="s">
        <v>738</v>
      </c>
      <c r="D429" s="363"/>
      <c r="E429" s="259"/>
      <c r="F429" s="132"/>
      <c r="G429" s="246"/>
      <c r="H429" s="132"/>
      <c r="I429" s="246"/>
      <c r="J429" s="132"/>
      <c r="K429" s="246"/>
      <c r="L429" s="261"/>
      <c r="M429" s="132"/>
      <c r="N429" s="246"/>
      <c r="O429" s="132"/>
      <c r="P429" s="246"/>
      <c r="Q429" s="132"/>
      <c r="R429" s="246"/>
      <c r="S429" s="261"/>
      <c r="T429" s="132"/>
      <c r="U429" s="246"/>
      <c r="V429" s="132"/>
      <c r="W429" s="246"/>
      <c r="X429" s="132"/>
      <c r="Y429" s="246"/>
      <c r="Z429" s="261"/>
      <c r="AA429" s="132"/>
      <c r="AB429" s="246"/>
      <c r="AC429" s="132"/>
      <c r="AD429" s="246"/>
      <c r="AE429" s="132"/>
      <c r="AF429" s="246"/>
      <c r="AG429" s="261"/>
      <c r="AH429" s="132"/>
      <c r="AI429" s="246"/>
      <c r="AJ429" s="132"/>
      <c r="AK429" s="246"/>
      <c r="AL429" s="132"/>
      <c r="AM429" s="246"/>
      <c r="AN429" s="261"/>
      <c r="AO429" s="132"/>
      <c r="AP429" s="246"/>
      <c r="AQ429" s="132"/>
      <c r="AR429" s="246"/>
      <c r="AS429" s="132"/>
      <c r="AT429" s="460"/>
      <c r="AU429" s="269"/>
      <c r="AV429" s="269"/>
      <c r="AW429" s="206" t="str">
        <f t="shared" si="330"/>
        <v>#REF!</v>
      </c>
      <c r="AX429" s="206">
        <f t="shared" ref="AX429:BB429" si="417">AX171</f>
        <v>49</v>
      </c>
      <c r="AY429" s="206">
        <f t="shared" si="417"/>
        <v>52</v>
      </c>
      <c r="AZ429" s="206">
        <f t="shared" si="417"/>
        <v>45</v>
      </c>
      <c r="BA429" s="206">
        <f t="shared" si="417"/>
        <v>43</v>
      </c>
      <c r="BB429" s="464">
        <f t="shared" si="417"/>
        <v>0</v>
      </c>
      <c r="BC429" s="465" t="str">
        <f t="shared" si="332"/>
        <v/>
      </c>
      <c r="BD429" s="206"/>
      <c r="BE429" s="466"/>
    </row>
    <row r="430">
      <c r="A430" s="270"/>
      <c r="B430" s="459"/>
      <c r="C430" s="460" t="s">
        <v>738</v>
      </c>
      <c r="D430" s="363"/>
      <c r="E430" s="259"/>
      <c r="F430" s="132"/>
      <c r="G430" s="246"/>
      <c r="H430" s="132"/>
      <c r="I430" s="246"/>
      <c r="J430" s="132"/>
      <c r="K430" s="246"/>
      <c r="L430" s="261"/>
      <c r="M430" s="132"/>
      <c r="N430" s="246"/>
      <c r="O430" s="132"/>
      <c r="P430" s="246"/>
      <c r="Q430" s="132"/>
      <c r="R430" s="246"/>
      <c r="S430" s="261"/>
      <c r="T430" s="132"/>
      <c r="U430" s="246"/>
      <c r="V430" s="132"/>
      <c r="W430" s="246"/>
      <c r="X430" s="132"/>
      <c r="Y430" s="246"/>
      <c r="Z430" s="261"/>
      <c r="AA430" s="132"/>
      <c r="AB430" s="246"/>
      <c r="AC430" s="132"/>
      <c r="AD430" s="246"/>
      <c r="AE430" s="132"/>
      <c r="AF430" s="246"/>
      <c r="AG430" s="261"/>
      <c r="AH430" s="132"/>
      <c r="AI430" s="246"/>
      <c r="AJ430" s="132"/>
      <c r="AK430" s="246"/>
      <c r="AL430" s="132"/>
      <c r="AM430" s="246"/>
      <c r="AN430" s="261"/>
      <c r="AO430" s="132"/>
      <c r="AP430" s="246"/>
      <c r="AQ430" s="132"/>
      <c r="AR430" s="246"/>
      <c r="AS430" s="132"/>
      <c r="AT430" s="460"/>
      <c r="AU430" s="236"/>
      <c r="AV430" s="236"/>
      <c r="AW430" s="206" t="str">
        <f t="shared" si="330"/>
        <v>#REF!</v>
      </c>
      <c r="AX430" s="206">
        <f t="shared" ref="AX430:BB430" si="418">AX172</f>
        <v>49</v>
      </c>
      <c r="AY430" s="206">
        <f t="shared" si="418"/>
        <v>52</v>
      </c>
      <c r="AZ430" s="206">
        <f t="shared" si="418"/>
        <v>45</v>
      </c>
      <c r="BA430" s="206">
        <f t="shared" si="418"/>
        <v>43</v>
      </c>
      <c r="BB430" s="464">
        <f t="shared" si="418"/>
        <v>0</v>
      </c>
      <c r="BC430" s="465" t="str">
        <f t="shared" si="332"/>
        <v/>
      </c>
      <c r="BD430" s="206"/>
      <c r="BE430" s="466"/>
    </row>
    <row r="431">
      <c r="A431" s="236"/>
      <c r="B431" s="459"/>
      <c r="C431" s="460" t="s">
        <v>738</v>
      </c>
      <c r="D431" s="363"/>
      <c r="E431" s="259"/>
      <c r="F431" s="132"/>
      <c r="G431" s="246"/>
      <c r="H431" s="132"/>
      <c r="I431" s="246"/>
      <c r="J431" s="132"/>
      <c r="K431" s="246"/>
      <c r="L431" s="261"/>
      <c r="M431" s="132"/>
      <c r="N431" s="246"/>
      <c r="O431" s="132"/>
      <c r="P431" s="246"/>
      <c r="Q431" s="132"/>
      <c r="R431" s="246"/>
      <c r="S431" s="261"/>
      <c r="T431" s="132"/>
      <c r="U431" s="246"/>
      <c r="V431" s="132"/>
      <c r="W431" s="246"/>
      <c r="X431" s="132"/>
      <c r="Y431" s="246"/>
      <c r="Z431" s="261"/>
      <c r="AA431" s="132"/>
      <c r="AB431" s="246"/>
      <c r="AC431" s="132"/>
      <c r="AD431" s="246"/>
      <c r="AE431" s="132"/>
      <c r="AF431" s="246"/>
      <c r="AG431" s="261"/>
      <c r="AH431" s="132"/>
      <c r="AI431" s="246"/>
      <c r="AJ431" s="132"/>
      <c r="AK431" s="246"/>
      <c r="AL431" s="132"/>
      <c r="AM431" s="246"/>
      <c r="AN431" s="261"/>
      <c r="AO431" s="132"/>
      <c r="AP431" s="246"/>
      <c r="AQ431" s="132"/>
      <c r="AR431" s="246"/>
      <c r="AS431" s="132"/>
      <c r="AT431" s="460"/>
      <c r="AU431" s="236"/>
      <c r="AV431" s="236"/>
      <c r="AW431" s="206" t="str">
        <f>AW87</f>
        <v>#REF!</v>
      </c>
      <c r="AX431" s="206" t="str">
        <f t="shared" ref="AX431:BB431" si="419">AX173</f>
        <v/>
      </c>
      <c r="AY431" s="206" t="str">
        <f t="shared" si="419"/>
        <v/>
      </c>
      <c r="AZ431" s="206" t="str">
        <f t="shared" si="419"/>
        <v/>
      </c>
      <c r="BA431" s="206" t="str">
        <f t="shared" si="419"/>
        <v/>
      </c>
      <c r="BB431" s="464" t="str">
        <f t="shared" si="419"/>
        <v/>
      </c>
      <c r="BC431" s="465" t="str">
        <f t="shared" si="332"/>
        <v/>
      </c>
      <c r="BD431" s="206"/>
      <c r="BE431" s="466"/>
    </row>
    <row r="432">
      <c r="A432" s="236"/>
      <c r="B432" s="459"/>
      <c r="C432" s="460"/>
      <c r="D432" s="460"/>
      <c r="E432" s="559"/>
      <c r="F432" s="460"/>
      <c r="G432" s="460"/>
      <c r="H432" s="460"/>
      <c r="I432" s="460"/>
      <c r="J432" s="460"/>
      <c r="K432" s="460"/>
      <c r="L432" s="460"/>
      <c r="M432" s="460"/>
      <c r="N432" s="460"/>
      <c r="O432" s="460"/>
      <c r="P432" s="460"/>
      <c r="Q432" s="460"/>
      <c r="R432" s="460"/>
      <c r="S432" s="460"/>
      <c r="T432" s="460"/>
      <c r="U432" s="460"/>
      <c r="V432" s="460"/>
      <c r="W432" s="460"/>
      <c r="X432" s="460"/>
      <c r="Y432" s="460"/>
      <c r="Z432" s="460"/>
      <c r="AA432" s="460"/>
      <c r="AB432" s="460"/>
      <c r="AC432" s="460"/>
      <c r="AD432" s="460"/>
      <c r="AE432" s="460"/>
      <c r="AF432" s="460"/>
      <c r="AG432" s="460"/>
      <c r="AH432" s="460"/>
      <c r="AI432" s="460"/>
      <c r="AJ432" s="460"/>
      <c r="AK432" s="460"/>
      <c r="AL432" s="460"/>
      <c r="AM432" s="460"/>
      <c r="AN432" s="460"/>
      <c r="AO432" s="460"/>
      <c r="AP432" s="460"/>
      <c r="AQ432" s="460"/>
      <c r="AR432" s="460"/>
      <c r="AS432" s="460"/>
      <c r="AT432" s="460"/>
      <c r="AU432" s="236"/>
      <c r="AV432" s="236"/>
      <c r="AW432" s="182"/>
      <c r="AX432" s="182"/>
      <c r="AY432" s="182"/>
      <c r="AZ432" s="182"/>
      <c r="BA432" s="182"/>
      <c r="BB432" s="182"/>
      <c r="BC432" s="182"/>
      <c r="BD432" s="182"/>
      <c r="BE432" s="466"/>
    </row>
  </sheetData>
  <mergeCells count="132">
    <mergeCell ref="F88:L88"/>
    <mergeCell ref="M88:S88"/>
    <mergeCell ref="T88:Z88"/>
    <mergeCell ref="AA88:AG88"/>
    <mergeCell ref="AH88:AN88"/>
    <mergeCell ref="AO88:AT88"/>
    <mergeCell ref="F89:L89"/>
    <mergeCell ref="AO89:AT89"/>
    <mergeCell ref="M89:S89"/>
    <mergeCell ref="T89:Z89"/>
    <mergeCell ref="H90:I90"/>
    <mergeCell ref="J90:L90"/>
    <mergeCell ref="Q90:R90"/>
    <mergeCell ref="X90:Y90"/>
    <mergeCell ref="AE90:AF90"/>
    <mergeCell ref="M1:V2"/>
    <mergeCell ref="W1:AT2"/>
    <mergeCell ref="M3:S3"/>
    <mergeCell ref="T3:Z3"/>
    <mergeCell ref="AA3:AG3"/>
    <mergeCell ref="AH3:AN3"/>
    <mergeCell ref="AO3:AT3"/>
    <mergeCell ref="F3:L3"/>
    <mergeCell ref="M4:S4"/>
    <mergeCell ref="T4:Z4"/>
    <mergeCell ref="AA4:AG4"/>
    <mergeCell ref="AH4:AN4"/>
    <mergeCell ref="AO4:AT4"/>
    <mergeCell ref="AW4:BA4"/>
    <mergeCell ref="AS5:AT5"/>
    <mergeCell ref="AU7:AV7"/>
    <mergeCell ref="AU8:AV8"/>
    <mergeCell ref="AU9:AV9"/>
    <mergeCell ref="AU10:AV10"/>
    <mergeCell ref="AU11:AV11"/>
    <mergeCell ref="AU12:AV12"/>
    <mergeCell ref="F4:L4"/>
    <mergeCell ref="H5:I5"/>
    <mergeCell ref="J5:L5"/>
    <mergeCell ref="Q5:R5"/>
    <mergeCell ref="X5:Y5"/>
    <mergeCell ref="AE5:AF5"/>
    <mergeCell ref="AL5:AM5"/>
    <mergeCell ref="AA89:AG89"/>
    <mergeCell ref="AH89:AN89"/>
    <mergeCell ref="AW89:BA89"/>
    <mergeCell ref="AL90:AM90"/>
    <mergeCell ref="AS90:AT90"/>
    <mergeCell ref="AU92:AV92"/>
    <mergeCell ref="AU93:AV93"/>
    <mergeCell ref="AU94:AV94"/>
    <mergeCell ref="AU95:AV95"/>
    <mergeCell ref="AU96:AV96"/>
    <mergeCell ref="AU97:AV97"/>
    <mergeCell ref="M175:S175"/>
    <mergeCell ref="T175:Z175"/>
    <mergeCell ref="AW175:BA175"/>
    <mergeCell ref="AA347:AG347"/>
    <mergeCell ref="AH347:AN347"/>
    <mergeCell ref="AW347:BA347"/>
    <mergeCell ref="F346:L346"/>
    <mergeCell ref="M346:S346"/>
    <mergeCell ref="T346:Z346"/>
    <mergeCell ref="AA346:AG346"/>
    <mergeCell ref="AH346:AN346"/>
    <mergeCell ref="AO346:AT346"/>
    <mergeCell ref="F347:L347"/>
    <mergeCell ref="AO347:AT347"/>
    <mergeCell ref="AL348:AM348"/>
    <mergeCell ref="AS348:AT348"/>
    <mergeCell ref="AU350:AV350"/>
    <mergeCell ref="AU351:AV351"/>
    <mergeCell ref="AU352:AV352"/>
    <mergeCell ref="AU353:AV353"/>
    <mergeCell ref="AU354:AV354"/>
    <mergeCell ref="AU355:AV355"/>
    <mergeCell ref="M347:S347"/>
    <mergeCell ref="T347:Z347"/>
    <mergeCell ref="H348:I348"/>
    <mergeCell ref="J348:L348"/>
    <mergeCell ref="Q348:R348"/>
    <mergeCell ref="X348:Y348"/>
    <mergeCell ref="AE348:AF348"/>
    <mergeCell ref="AA175:AG175"/>
    <mergeCell ref="AH175:AN175"/>
    <mergeCell ref="AU178:AV178"/>
    <mergeCell ref="AU179:AV179"/>
    <mergeCell ref="AU180:AV180"/>
    <mergeCell ref="AU181:AV181"/>
    <mergeCell ref="AU182:AV182"/>
    <mergeCell ref="AU183:AV183"/>
    <mergeCell ref="F174:L174"/>
    <mergeCell ref="M174:S174"/>
    <mergeCell ref="T174:Z174"/>
    <mergeCell ref="AA174:AG174"/>
    <mergeCell ref="AH174:AN174"/>
    <mergeCell ref="AO174:AT174"/>
    <mergeCell ref="AO175:AT175"/>
    <mergeCell ref="F175:L175"/>
    <mergeCell ref="H176:I176"/>
    <mergeCell ref="Q176:R176"/>
    <mergeCell ref="X176:Y176"/>
    <mergeCell ref="AE176:AF176"/>
    <mergeCell ref="AL176:AM176"/>
    <mergeCell ref="AS176:AT176"/>
    <mergeCell ref="J176:L176"/>
    <mergeCell ref="F260:L260"/>
    <mergeCell ref="M260:S260"/>
    <mergeCell ref="T260:Z260"/>
    <mergeCell ref="AA260:AG260"/>
    <mergeCell ref="AH260:AN260"/>
    <mergeCell ref="AO260:AT260"/>
    <mergeCell ref="F261:L261"/>
    <mergeCell ref="M261:S261"/>
    <mergeCell ref="T261:Z261"/>
    <mergeCell ref="AA261:AG261"/>
    <mergeCell ref="AH261:AN261"/>
    <mergeCell ref="AO261:AT261"/>
    <mergeCell ref="AW261:BA261"/>
    <mergeCell ref="AU264:AV264"/>
    <mergeCell ref="AU265:AV265"/>
    <mergeCell ref="AU266:AV266"/>
    <mergeCell ref="AU267:AV267"/>
    <mergeCell ref="AU268:AV268"/>
    <mergeCell ref="AU269:AV269"/>
    <mergeCell ref="H262:I262"/>
    <mergeCell ref="J262:L262"/>
    <mergeCell ref="Q262:R262"/>
    <mergeCell ref="X262:Y262"/>
    <mergeCell ref="AE262:AF262"/>
    <mergeCell ref="AL262:AM262"/>
    <mergeCell ref="AS262:AT262"/>
  </mergeCells>
  <dataValidations>
    <dataValidation type="list" allowBlank="1" showErrorMessage="1" sqref="C3 C88 C174 C260 C346">
      <formula1>"RTC,RG,PUB,Working on it"</formula1>
    </dataValidation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.5"/>
    <col customWidth="1" min="2" max="2" width="18.0"/>
    <col customWidth="1" min="3" max="3" width="10.88"/>
    <col customWidth="1" min="4" max="4" width="8.0"/>
    <col customWidth="1" min="5" max="5" width="1.75"/>
    <col customWidth="1" min="6" max="6" width="14.75"/>
    <col customWidth="1" min="7" max="7" width="0.88"/>
    <col customWidth="1" min="8" max="8" width="15.13"/>
    <col customWidth="1" min="9" max="9" width="0.88"/>
    <col customWidth="1" min="10" max="10" width="14.75"/>
    <col customWidth="1" min="11" max="11" width="0.88"/>
    <col customWidth="1" min="12" max="12" width="1.75"/>
    <col customWidth="1" min="13" max="13" width="15.63"/>
    <col customWidth="1" min="14" max="14" width="0.88"/>
    <col customWidth="1" min="15" max="15" width="15.63"/>
    <col customWidth="1" min="16" max="16" width="0.88"/>
    <col customWidth="1" min="17" max="17" width="14.75"/>
    <col customWidth="1" min="18" max="18" width="0.88"/>
    <col customWidth="1" min="19" max="19" width="1.75"/>
    <col customWidth="1" min="20" max="20" width="16.38"/>
    <col customWidth="1" min="21" max="21" width="0.88"/>
    <col customWidth="1" min="22" max="22" width="14.25"/>
    <col customWidth="1" min="23" max="23" width="0.88"/>
    <col customWidth="1" min="24" max="24" width="14.75"/>
    <col customWidth="1" min="25" max="25" width="0.88"/>
    <col customWidth="1" min="26" max="26" width="1.75"/>
    <col customWidth="1" min="27" max="27" width="16.38"/>
    <col customWidth="1" min="28" max="28" width="0.88"/>
    <col customWidth="1" min="29" max="29" width="16.38"/>
    <col customWidth="1" min="30" max="30" width="0.88"/>
    <col customWidth="1" min="31" max="31" width="14.75"/>
    <col customWidth="1" min="32" max="32" width="0.88"/>
    <col customWidth="1" min="33" max="33" width="1.75"/>
    <col customWidth="1" min="34" max="34" width="16.38"/>
    <col customWidth="1" min="35" max="35" width="0.88"/>
    <col customWidth="1" min="36" max="36" width="16.38"/>
    <col customWidth="1" min="37" max="37" width="0.88"/>
    <col customWidth="1" min="38" max="38" width="14.75"/>
    <col customWidth="1" min="39" max="39" width="0.88"/>
    <col customWidth="1" min="40" max="40" width="1.75"/>
    <col customWidth="1" min="41" max="41" width="16.38"/>
    <col customWidth="1" min="42" max="42" width="0.88"/>
    <col customWidth="1" min="43" max="43" width="16.38"/>
    <col customWidth="1" min="44" max="44" width="0.88"/>
    <col customWidth="1" min="45" max="45" width="14.75"/>
    <col customWidth="1" min="46" max="46" width="0.88"/>
    <col customWidth="1" min="47" max="47" width="1.5"/>
    <col customWidth="1" min="48" max="48" width="2.75"/>
    <col customWidth="1" min="49" max="49" width="15.5"/>
    <col customWidth="1" min="50" max="54" width="4.13"/>
    <col customWidth="1" min="55" max="55" width="5.25"/>
    <col customWidth="1" min="56" max="57" width="8.25"/>
  </cols>
  <sheetData>
    <row r="1" ht="9.75" customHeight="1">
      <c r="A1" s="172" t="s">
        <v>602</v>
      </c>
      <c r="B1" s="173" t="s">
        <v>603</v>
      </c>
      <c r="C1" s="174"/>
      <c r="D1" s="174"/>
      <c r="E1" s="175"/>
      <c r="F1" s="176"/>
      <c r="G1" s="176"/>
      <c r="H1" s="176"/>
      <c r="I1" s="177"/>
      <c r="J1" s="177"/>
      <c r="K1" s="177"/>
      <c r="L1" s="177"/>
      <c r="M1" s="178" t="s">
        <v>823</v>
      </c>
      <c r="W1" s="178"/>
      <c r="AU1" s="176"/>
      <c r="AV1" s="176"/>
      <c r="AW1" s="172"/>
      <c r="AX1" s="176"/>
      <c r="AY1" s="176"/>
      <c r="AZ1" s="176"/>
      <c r="BA1" s="176"/>
      <c r="BB1" s="176"/>
      <c r="BC1" s="176"/>
      <c r="BD1" s="176"/>
      <c r="BE1" s="176"/>
    </row>
    <row r="2" ht="9.75" customHeight="1">
      <c r="A2" s="176"/>
      <c r="B2" s="176"/>
      <c r="C2" s="176"/>
      <c r="D2" s="176"/>
      <c r="E2" s="180"/>
      <c r="F2" s="176"/>
      <c r="G2" s="176"/>
      <c r="H2" s="176"/>
      <c r="I2" s="181"/>
      <c r="J2" s="181"/>
      <c r="K2" s="181"/>
      <c r="L2" s="181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</row>
    <row r="3">
      <c r="A3" s="182"/>
      <c r="B3" s="183" t="s">
        <v>604</v>
      </c>
      <c r="C3" s="184" t="s">
        <v>605</v>
      </c>
      <c r="D3" s="185" t="s">
        <v>486</v>
      </c>
      <c r="E3" s="186"/>
      <c r="F3" s="185" t="s">
        <v>487</v>
      </c>
      <c r="M3" s="185" t="s">
        <v>488</v>
      </c>
      <c r="T3" s="185" t="s">
        <v>489</v>
      </c>
      <c r="AA3" s="185" t="s">
        <v>490</v>
      </c>
      <c r="AH3" s="185" t="s">
        <v>491</v>
      </c>
      <c r="AO3" s="185" t="s">
        <v>492</v>
      </c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</row>
    <row r="4">
      <c r="A4" s="182"/>
      <c r="B4" s="187"/>
      <c r="C4" s="187"/>
      <c r="D4" s="188">
        <v>1.0</v>
      </c>
      <c r="E4" s="189"/>
      <c r="F4" s="188">
        <v>2.0</v>
      </c>
      <c r="M4" s="188">
        <v>3.0</v>
      </c>
      <c r="T4" s="188">
        <v>4.0</v>
      </c>
      <c r="AA4" s="188">
        <v>5.0</v>
      </c>
      <c r="AH4" s="188">
        <v>6.0</v>
      </c>
      <c r="AO4" s="188">
        <v>7.0</v>
      </c>
      <c r="AU4" s="182"/>
      <c r="AV4" s="182"/>
      <c r="AW4" s="190" t="s">
        <v>606</v>
      </c>
      <c r="BB4" s="190"/>
      <c r="BC4" s="191" t="s">
        <v>607</v>
      </c>
      <c r="BD4" s="191"/>
      <c r="BE4" s="192"/>
    </row>
    <row r="5">
      <c r="A5" s="182"/>
      <c r="B5" s="193" t="s">
        <v>608</v>
      </c>
      <c r="C5" s="193" t="s">
        <v>609</v>
      </c>
      <c r="D5" s="187"/>
      <c r="E5" s="189"/>
      <c r="F5" s="194" t="s">
        <v>610</v>
      </c>
      <c r="G5" s="195"/>
      <c r="H5" s="193" t="s">
        <v>611</v>
      </c>
      <c r="J5" s="194" t="s">
        <v>612</v>
      </c>
      <c r="M5" s="194" t="s">
        <v>610</v>
      </c>
      <c r="N5" s="195"/>
      <c r="O5" s="193" t="s">
        <v>611</v>
      </c>
      <c r="P5" s="195"/>
      <c r="Q5" s="194" t="s">
        <v>612</v>
      </c>
      <c r="S5" s="193"/>
      <c r="T5" s="194" t="s">
        <v>610</v>
      </c>
      <c r="U5" s="195"/>
      <c r="V5" s="193" t="s">
        <v>611</v>
      </c>
      <c r="W5" s="195"/>
      <c r="X5" s="194" t="s">
        <v>612</v>
      </c>
      <c r="Z5" s="193"/>
      <c r="AA5" s="194" t="s">
        <v>610</v>
      </c>
      <c r="AB5" s="195"/>
      <c r="AC5" s="193" t="s">
        <v>611</v>
      </c>
      <c r="AD5" s="195"/>
      <c r="AE5" s="194" t="s">
        <v>612</v>
      </c>
      <c r="AG5" s="193"/>
      <c r="AH5" s="194" t="s">
        <v>610</v>
      </c>
      <c r="AI5" s="195"/>
      <c r="AJ5" s="193" t="s">
        <v>611</v>
      </c>
      <c r="AK5" s="195"/>
      <c r="AL5" s="194" t="s">
        <v>612</v>
      </c>
      <c r="AN5" s="193"/>
      <c r="AO5" s="194" t="s">
        <v>610</v>
      </c>
      <c r="AP5" s="195"/>
      <c r="AQ5" s="193" t="s">
        <v>611</v>
      </c>
      <c r="AR5" s="195"/>
      <c r="AS5" s="194" t="s">
        <v>612</v>
      </c>
      <c r="AU5" s="182"/>
      <c r="AV5" s="182"/>
      <c r="AW5" s="196" t="s">
        <v>613</v>
      </c>
      <c r="AX5" s="197" t="s">
        <v>614</v>
      </c>
      <c r="AY5" s="197" t="s">
        <v>615</v>
      </c>
      <c r="AZ5" s="197" t="s">
        <v>616</v>
      </c>
      <c r="BA5" s="197" t="s">
        <v>617</v>
      </c>
      <c r="BB5" s="197" t="s">
        <v>618</v>
      </c>
      <c r="BC5" s="197" t="s">
        <v>619</v>
      </c>
      <c r="BD5" s="197"/>
      <c r="BE5" s="198"/>
    </row>
    <row r="6" ht="15.0" customHeight="1">
      <c r="A6" s="199"/>
      <c r="B6" s="200" t="s">
        <v>620</v>
      </c>
      <c r="C6" s="201"/>
      <c r="D6" s="201"/>
      <c r="E6" s="202"/>
      <c r="F6" s="203"/>
      <c r="G6" s="204"/>
      <c r="H6" s="203"/>
      <c r="I6" s="204"/>
      <c r="J6" s="203"/>
      <c r="K6" s="204"/>
      <c r="L6" s="205"/>
      <c r="M6" s="560" t="s">
        <v>781</v>
      </c>
      <c r="N6" s="204"/>
      <c r="O6" s="203"/>
      <c r="P6" s="204"/>
      <c r="Q6" s="203"/>
      <c r="R6" s="204"/>
      <c r="S6" s="205"/>
      <c r="T6" s="203" t="s">
        <v>824</v>
      </c>
      <c r="U6" s="204"/>
      <c r="V6" s="203" t="s">
        <v>825</v>
      </c>
      <c r="W6" s="204"/>
      <c r="X6" s="203" t="s">
        <v>620</v>
      </c>
      <c r="Y6" s="204"/>
      <c r="Z6" s="205"/>
      <c r="AA6" s="203"/>
      <c r="AB6" s="204"/>
      <c r="AC6" s="203"/>
      <c r="AD6" s="204"/>
      <c r="AE6" s="203"/>
      <c r="AF6" s="204"/>
      <c r="AG6" s="205"/>
      <c r="AH6" s="203" t="s">
        <v>826</v>
      </c>
      <c r="AI6" s="204"/>
      <c r="AJ6" s="203" t="s">
        <v>827</v>
      </c>
      <c r="AK6" s="204"/>
      <c r="AL6" s="203" t="s">
        <v>749</v>
      </c>
      <c r="AM6" s="204"/>
      <c r="AN6" s="205"/>
      <c r="AO6" s="203"/>
      <c r="AP6" s="204"/>
      <c r="AQ6" s="203"/>
      <c r="AR6" s="204"/>
      <c r="AS6" s="203"/>
      <c r="AT6" s="204"/>
      <c r="AU6" s="199"/>
      <c r="AV6" s="199"/>
      <c r="AW6" s="206" t="str">
        <f t="shared" ref="AW6:AW20" si="1">TEAM!B6</f>
        <v>#REF!</v>
      </c>
      <c r="AX6" s="207">
        <f t="shared" ref="AX6:AX87" si="2">countif($D$14:$AS$84, AW6)</f>
        <v>5</v>
      </c>
      <c r="AY6" s="208">
        <f t="shared" ref="AY6:AY87" si="3">countif(D$99:AS$169, AW6)</f>
        <v>5</v>
      </c>
      <c r="AZ6" s="208">
        <f t="shared" ref="AZ6:AZ87" si="4">countif(D$184:AS$254, AW6)</f>
        <v>3</v>
      </c>
      <c r="BA6" s="208">
        <f t="shared" ref="BA6:BA87" si="5">countif(D$269:AS$339, AW6)</f>
        <v>1</v>
      </c>
      <c r="BB6" s="209">
        <f t="shared" ref="BB6:BB87" si="6">countif(#REF!, AW6)</f>
        <v>1</v>
      </c>
      <c r="BC6" s="210">
        <f t="shared" ref="BC6:BC87" si="7">sum(AX6:BB6)*8</f>
        <v>120</v>
      </c>
      <c r="BD6" s="211"/>
      <c r="BE6" s="212"/>
    </row>
    <row r="7" ht="15.0" customHeight="1">
      <c r="A7" s="199"/>
      <c r="B7" s="213" t="s">
        <v>623</v>
      </c>
      <c r="C7" s="214"/>
      <c r="D7" s="215"/>
      <c r="E7" s="216"/>
      <c r="F7" s="561" t="s">
        <v>626</v>
      </c>
      <c r="G7" s="218"/>
      <c r="H7" s="223" t="s">
        <v>628</v>
      </c>
      <c r="I7" s="220"/>
      <c r="J7" s="561" t="s">
        <v>626</v>
      </c>
      <c r="K7" s="221"/>
      <c r="L7" s="216"/>
      <c r="M7" s="217"/>
      <c r="N7" s="218"/>
      <c r="O7" s="222" t="s">
        <v>625</v>
      </c>
      <c r="P7" s="220"/>
      <c r="Q7" s="561" t="s">
        <v>626</v>
      </c>
      <c r="R7" s="221"/>
      <c r="S7" s="216"/>
      <c r="T7" s="561" t="s">
        <v>626</v>
      </c>
      <c r="U7" s="218"/>
      <c r="V7" s="223" t="s">
        <v>628</v>
      </c>
      <c r="W7" s="220"/>
      <c r="X7" s="561" t="s">
        <v>828</v>
      </c>
      <c r="Y7" s="221"/>
      <c r="Z7" s="216"/>
      <c r="AA7" s="217"/>
      <c r="AB7" s="218"/>
      <c r="AC7" s="222" t="s">
        <v>625</v>
      </c>
      <c r="AD7" s="220"/>
      <c r="AE7" s="561" t="s">
        <v>626</v>
      </c>
      <c r="AF7" s="221"/>
      <c r="AG7" s="216"/>
      <c r="AH7" s="561" t="s">
        <v>627</v>
      </c>
      <c r="AI7" s="218"/>
      <c r="AJ7" s="223" t="s">
        <v>628</v>
      </c>
      <c r="AK7" s="220"/>
      <c r="AL7" s="561" t="s">
        <v>626</v>
      </c>
      <c r="AM7" s="221"/>
      <c r="AN7" s="216"/>
      <c r="AO7" s="217"/>
      <c r="AP7" s="218"/>
      <c r="AQ7" s="222" t="s">
        <v>625</v>
      </c>
      <c r="AR7" s="220"/>
      <c r="AS7" s="561" t="s">
        <v>626</v>
      </c>
      <c r="AT7" s="221"/>
      <c r="AU7" s="225">
        <f>counta(F7:AT7)*20</f>
        <v>300</v>
      </c>
      <c r="AW7" s="206" t="str">
        <f t="shared" si="1"/>
        <v>#REF!</v>
      </c>
      <c r="AX7" s="207">
        <f t="shared" si="2"/>
        <v>5</v>
      </c>
      <c r="AY7" s="208">
        <f t="shared" si="3"/>
        <v>5</v>
      </c>
      <c r="AZ7" s="208">
        <f t="shared" si="4"/>
        <v>3</v>
      </c>
      <c r="BA7" s="208">
        <f t="shared" si="5"/>
        <v>1</v>
      </c>
      <c r="BB7" s="209">
        <f t="shared" si="6"/>
        <v>1</v>
      </c>
      <c r="BC7" s="210">
        <f t="shared" si="7"/>
        <v>120</v>
      </c>
      <c r="BD7" s="211"/>
      <c r="BE7" s="212"/>
    </row>
    <row r="8" ht="15.0" customHeight="1">
      <c r="A8" s="199"/>
      <c r="B8" s="226" t="s">
        <v>629</v>
      </c>
      <c r="C8" s="214"/>
      <c r="D8" s="215"/>
      <c r="E8" s="216"/>
      <c r="F8" s="562">
        <v>0.0</v>
      </c>
      <c r="G8" s="218"/>
      <c r="H8" s="227">
        <v>4.0</v>
      </c>
      <c r="I8" s="220"/>
      <c r="J8" s="469">
        <v>7.0</v>
      </c>
      <c r="K8" s="221"/>
      <c r="L8" s="216"/>
      <c r="M8" s="227"/>
      <c r="N8" s="218"/>
      <c r="O8" s="563">
        <v>4.0</v>
      </c>
      <c r="P8" s="220"/>
      <c r="Q8" s="563">
        <v>4.0</v>
      </c>
      <c r="R8" s="221"/>
      <c r="S8" s="216"/>
      <c r="T8" s="563">
        <v>4.0</v>
      </c>
      <c r="U8" s="218"/>
      <c r="V8" s="563">
        <v>4.0</v>
      </c>
      <c r="W8" s="220"/>
      <c r="X8" s="561" t="s">
        <v>828</v>
      </c>
      <c r="Y8" s="221"/>
      <c r="Z8" s="216"/>
      <c r="AA8" s="227"/>
      <c r="AB8" s="218"/>
      <c r="AC8" s="563">
        <v>4.0</v>
      </c>
      <c r="AD8" s="220"/>
      <c r="AE8" s="227">
        <v>5.0</v>
      </c>
      <c r="AF8" s="221"/>
      <c r="AG8" s="216"/>
      <c r="AH8" s="563">
        <v>4.0</v>
      </c>
      <c r="AI8" s="218"/>
      <c r="AJ8" s="563">
        <v>4.0</v>
      </c>
      <c r="AK8" s="220"/>
      <c r="AL8" s="227">
        <v>6.0</v>
      </c>
      <c r="AM8" s="221"/>
      <c r="AN8" s="216"/>
      <c r="AO8" s="227"/>
      <c r="AP8" s="218"/>
      <c r="AQ8" s="227">
        <v>4.0</v>
      </c>
      <c r="AR8" s="220"/>
      <c r="AS8" s="227">
        <v>4.0</v>
      </c>
      <c r="AT8" s="221"/>
      <c r="AU8" s="225">
        <f>sum(F8:AK8)</f>
        <v>44</v>
      </c>
      <c r="AW8" s="206" t="str">
        <f t="shared" si="1"/>
        <v>#REF!</v>
      </c>
      <c r="AX8" s="207">
        <f t="shared" si="2"/>
        <v>5</v>
      </c>
      <c r="AY8" s="208">
        <f t="shared" si="3"/>
        <v>5</v>
      </c>
      <c r="AZ8" s="208">
        <f t="shared" si="4"/>
        <v>3</v>
      </c>
      <c r="BA8" s="208">
        <f t="shared" si="5"/>
        <v>1</v>
      </c>
      <c r="BB8" s="209">
        <f t="shared" si="6"/>
        <v>1</v>
      </c>
      <c r="BC8" s="210">
        <f t="shared" si="7"/>
        <v>120</v>
      </c>
      <c r="BD8" s="211"/>
      <c r="BE8" s="212"/>
    </row>
    <row r="9" ht="15.0" customHeight="1">
      <c r="A9" s="199"/>
      <c r="B9" s="213" t="s">
        <v>630</v>
      </c>
      <c r="C9" s="214"/>
      <c r="D9" s="215"/>
      <c r="E9" s="216"/>
      <c r="F9" s="215"/>
      <c r="G9" s="218"/>
      <c r="H9" s="215"/>
      <c r="I9" s="220"/>
      <c r="J9" s="215"/>
      <c r="K9" s="221"/>
      <c r="L9" s="216"/>
      <c r="M9" s="215"/>
      <c r="N9" s="218"/>
      <c r="O9" s="228" t="s">
        <v>631</v>
      </c>
      <c r="P9" s="220"/>
      <c r="Q9" s="215"/>
      <c r="R9" s="221"/>
      <c r="S9" s="216"/>
      <c r="T9" s="228" t="s">
        <v>631</v>
      </c>
      <c r="U9" s="218"/>
      <c r="V9" s="215"/>
      <c r="W9" s="220"/>
      <c r="X9" s="561" t="s">
        <v>828</v>
      </c>
      <c r="Y9" s="221"/>
      <c r="Z9" s="216"/>
      <c r="AA9" s="215"/>
      <c r="AB9" s="218"/>
      <c r="AC9" s="228" t="s">
        <v>631</v>
      </c>
      <c r="AD9" s="220"/>
      <c r="AE9" s="215"/>
      <c r="AF9" s="221"/>
      <c r="AG9" s="216"/>
      <c r="AH9" s="215"/>
      <c r="AI9" s="218"/>
      <c r="AJ9" s="215"/>
      <c r="AK9" s="220"/>
      <c r="AL9" s="215"/>
      <c r="AM9" s="221"/>
      <c r="AN9" s="216"/>
      <c r="AO9" s="215"/>
      <c r="AP9" s="218"/>
      <c r="AQ9" s="215"/>
      <c r="AR9" s="220"/>
      <c r="AS9" s="215"/>
      <c r="AT9" s="221"/>
      <c r="AU9" s="225">
        <f>countA(F9:AJ9)*5</f>
        <v>20</v>
      </c>
      <c r="AW9" s="206" t="str">
        <f t="shared" si="1"/>
        <v>#REF!</v>
      </c>
      <c r="AX9" s="207">
        <f t="shared" si="2"/>
        <v>5</v>
      </c>
      <c r="AY9" s="208">
        <f t="shared" si="3"/>
        <v>5</v>
      </c>
      <c r="AZ9" s="208">
        <f t="shared" si="4"/>
        <v>3</v>
      </c>
      <c r="BA9" s="208">
        <f t="shared" si="5"/>
        <v>1</v>
      </c>
      <c r="BB9" s="209">
        <f t="shared" si="6"/>
        <v>1</v>
      </c>
      <c r="BC9" s="210">
        <f t="shared" si="7"/>
        <v>120</v>
      </c>
      <c r="BD9" s="211"/>
      <c r="BE9" s="212"/>
    </row>
    <row r="10" ht="15.0" customHeight="1">
      <c r="A10" s="199"/>
      <c r="B10" s="229" t="s">
        <v>632</v>
      </c>
      <c r="C10" s="214"/>
      <c r="D10" s="215"/>
      <c r="E10" s="216"/>
      <c r="F10" s="215"/>
      <c r="G10" s="221"/>
      <c r="H10" s="215"/>
      <c r="I10" s="220"/>
      <c r="J10" s="215"/>
      <c r="K10" s="221"/>
      <c r="L10" s="216"/>
      <c r="M10" s="215"/>
      <c r="N10" s="221"/>
      <c r="O10" s="215"/>
      <c r="P10" s="220"/>
      <c r="Q10" s="215"/>
      <c r="R10" s="221"/>
      <c r="S10" s="216"/>
      <c r="T10" s="215"/>
      <c r="U10" s="221"/>
      <c r="V10" s="215"/>
      <c r="W10" s="220"/>
      <c r="X10" s="561" t="s">
        <v>828</v>
      </c>
      <c r="Y10" s="221"/>
      <c r="Z10" s="216"/>
      <c r="AA10" s="215"/>
      <c r="AB10" s="221"/>
      <c r="AC10" s="215"/>
      <c r="AD10" s="220"/>
      <c r="AE10" s="215"/>
      <c r="AF10" s="221"/>
      <c r="AG10" s="216"/>
      <c r="AH10" s="215"/>
      <c r="AI10" s="221"/>
      <c r="AJ10" s="215"/>
      <c r="AK10" s="220"/>
      <c r="AL10" s="215"/>
      <c r="AM10" s="221"/>
      <c r="AN10" s="216"/>
      <c r="AO10" s="215"/>
      <c r="AP10" s="221"/>
      <c r="AQ10" s="215"/>
      <c r="AR10" s="220"/>
      <c r="AS10" s="215"/>
      <c r="AT10" s="221"/>
      <c r="AU10" s="225">
        <f>countA(F10:AK10)*12</f>
        <v>12</v>
      </c>
      <c r="AW10" s="206" t="str">
        <f t="shared" si="1"/>
        <v>#REF!</v>
      </c>
      <c r="AX10" s="207">
        <f t="shared" si="2"/>
        <v>5</v>
      </c>
      <c r="AY10" s="208">
        <f t="shared" si="3"/>
        <v>5</v>
      </c>
      <c r="AZ10" s="208">
        <f t="shared" si="4"/>
        <v>3</v>
      </c>
      <c r="BA10" s="208">
        <f t="shared" si="5"/>
        <v>1</v>
      </c>
      <c r="BB10" s="209">
        <f t="shared" si="6"/>
        <v>1</v>
      </c>
      <c r="BC10" s="210">
        <f t="shared" si="7"/>
        <v>120</v>
      </c>
      <c r="BD10" s="211"/>
      <c r="BE10" s="212"/>
    </row>
    <row r="11" ht="15.0" customHeight="1">
      <c r="A11" s="199"/>
      <c r="B11" s="213" t="s">
        <v>633</v>
      </c>
      <c r="C11" s="214"/>
      <c r="D11" s="215"/>
      <c r="E11" s="216"/>
      <c r="F11" s="215"/>
      <c r="G11" s="230"/>
      <c r="H11" s="215"/>
      <c r="I11" s="231"/>
      <c r="J11" s="215"/>
      <c r="K11" s="216"/>
      <c r="L11" s="216"/>
      <c r="M11" s="215"/>
      <c r="N11" s="230"/>
      <c r="O11" s="564" t="s">
        <v>829</v>
      </c>
      <c r="P11" s="231"/>
      <c r="Q11" s="565" t="s">
        <v>753</v>
      </c>
      <c r="R11" s="216"/>
      <c r="S11" s="216"/>
      <c r="T11" s="215"/>
      <c r="U11" s="230"/>
      <c r="V11" s="215"/>
      <c r="W11" s="231"/>
      <c r="X11" s="561" t="s">
        <v>828</v>
      </c>
      <c r="Y11" s="216"/>
      <c r="Z11" s="216"/>
      <c r="AA11" s="215"/>
      <c r="AB11" s="230"/>
      <c r="AC11" s="215"/>
      <c r="AD11" s="231"/>
      <c r="AE11" s="565" t="s">
        <v>830</v>
      </c>
      <c r="AF11" s="216"/>
      <c r="AG11" s="216"/>
      <c r="AH11" s="215"/>
      <c r="AI11" s="230"/>
      <c r="AJ11" s="215"/>
      <c r="AK11" s="231"/>
      <c r="AL11" s="565" t="s">
        <v>753</v>
      </c>
      <c r="AM11" s="216"/>
      <c r="AN11" s="216"/>
      <c r="AO11" s="215"/>
      <c r="AP11" s="230"/>
      <c r="AQ11" s="215"/>
      <c r="AR11" s="231"/>
      <c r="AS11" s="565" t="s">
        <v>753</v>
      </c>
      <c r="AT11" s="216"/>
      <c r="AU11" s="225">
        <f>counta(F11:AT11)*4</f>
        <v>24</v>
      </c>
      <c r="AW11" s="206" t="str">
        <f t="shared" si="1"/>
        <v>#REF!</v>
      </c>
      <c r="AX11" s="207">
        <f t="shared" si="2"/>
        <v>5</v>
      </c>
      <c r="AY11" s="208">
        <f t="shared" si="3"/>
        <v>5</v>
      </c>
      <c r="AZ11" s="208">
        <f t="shared" si="4"/>
        <v>3</v>
      </c>
      <c r="BA11" s="208">
        <f t="shared" si="5"/>
        <v>1</v>
      </c>
      <c r="BB11" s="209">
        <f t="shared" si="6"/>
        <v>1</v>
      </c>
      <c r="BC11" s="210">
        <f t="shared" si="7"/>
        <v>120</v>
      </c>
      <c r="BD11" s="211"/>
      <c r="BE11" s="212"/>
    </row>
    <row r="12" ht="15.0" customHeight="1">
      <c r="A12" s="199"/>
      <c r="B12" s="213" t="s">
        <v>637</v>
      </c>
      <c r="C12" s="214"/>
      <c r="D12" s="215"/>
      <c r="E12" s="216"/>
      <c r="F12" s="215"/>
      <c r="G12" s="230"/>
      <c r="H12" s="215"/>
      <c r="I12" s="231"/>
      <c r="J12" s="215"/>
      <c r="K12" s="216"/>
      <c r="L12" s="216"/>
      <c r="M12" s="215"/>
      <c r="N12" s="230"/>
      <c r="O12" s="215"/>
      <c r="P12" s="231"/>
      <c r="Q12" s="563" t="s">
        <v>756</v>
      </c>
      <c r="R12" s="216"/>
      <c r="S12" s="216"/>
      <c r="T12" s="215"/>
      <c r="U12" s="230"/>
      <c r="V12" s="215"/>
      <c r="W12" s="231"/>
      <c r="X12" s="215"/>
      <c r="Y12" s="216"/>
      <c r="Z12" s="216"/>
      <c r="AA12" s="215"/>
      <c r="AB12" s="230"/>
      <c r="AC12" s="215"/>
      <c r="AD12" s="231"/>
      <c r="AE12" s="215"/>
      <c r="AF12" s="216"/>
      <c r="AG12" s="216"/>
      <c r="AH12" s="215"/>
      <c r="AI12" s="230"/>
      <c r="AJ12" s="215"/>
      <c r="AK12" s="231"/>
      <c r="AL12" s="215"/>
      <c r="AM12" s="216"/>
      <c r="AN12" s="216"/>
      <c r="AO12" s="215"/>
      <c r="AP12" s="230"/>
      <c r="AQ12" s="215"/>
      <c r="AR12" s="231"/>
      <c r="AS12" s="215"/>
      <c r="AT12" s="216"/>
      <c r="AU12" s="225">
        <f>sum(F12:AT12)</f>
        <v>0</v>
      </c>
      <c r="AW12" s="206" t="str">
        <f t="shared" si="1"/>
        <v>#REF!</v>
      </c>
      <c r="AX12" s="207">
        <f t="shared" si="2"/>
        <v>5</v>
      </c>
      <c r="AY12" s="208">
        <f t="shared" si="3"/>
        <v>5</v>
      </c>
      <c r="AZ12" s="208">
        <f t="shared" si="4"/>
        <v>3</v>
      </c>
      <c r="BA12" s="208">
        <f t="shared" si="5"/>
        <v>1</v>
      </c>
      <c r="BB12" s="209">
        <f t="shared" si="6"/>
        <v>1</v>
      </c>
      <c r="BC12" s="210">
        <f t="shared" si="7"/>
        <v>120</v>
      </c>
      <c r="BD12" s="211"/>
      <c r="BE12" s="212"/>
    </row>
    <row r="13">
      <c r="A13" s="234"/>
      <c r="B13" s="235" t="s">
        <v>608</v>
      </c>
      <c r="C13" s="195" t="s">
        <v>609</v>
      </c>
      <c r="D13" s="236"/>
      <c r="E13" s="237"/>
      <c r="F13" s="238"/>
      <c r="G13" s="182"/>
      <c r="H13" s="238"/>
      <c r="I13" s="239"/>
      <c r="J13" s="238"/>
      <c r="K13" s="239"/>
      <c r="L13" s="237"/>
      <c r="M13" s="238"/>
      <c r="N13" s="182"/>
      <c r="O13" s="238"/>
      <c r="P13" s="239"/>
      <c r="Q13" s="238"/>
      <c r="R13" s="239"/>
      <c r="S13" s="237"/>
      <c r="T13" s="238"/>
      <c r="U13" s="182"/>
      <c r="V13" s="238"/>
      <c r="W13" s="239"/>
      <c r="X13" s="238"/>
      <c r="Y13" s="239"/>
      <c r="Z13" s="237"/>
      <c r="AA13" s="238"/>
      <c r="AB13" s="182"/>
      <c r="AC13" s="238"/>
      <c r="AD13" s="239"/>
      <c r="AE13" s="238"/>
      <c r="AF13" s="239"/>
      <c r="AG13" s="237"/>
      <c r="AH13" s="238"/>
      <c r="AI13" s="182"/>
      <c r="AJ13" s="238"/>
      <c r="AK13" s="239"/>
      <c r="AL13" s="238"/>
      <c r="AM13" s="239"/>
      <c r="AN13" s="237"/>
      <c r="AO13" s="238"/>
      <c r="AP13" s="182"/>
      <c r="AQ13" s="238"/>
      <c r="AR13" s="239"/>
      <c r="AS13" s="238"/>
      <c r="AT13" s="239"/>
      <c r="AU13" s="236"/>
      <c r="AV13" s="236"/>
      <c r="AW13" s="206" t="str">
        <f t="shared" si="1"/>
        <v>#REF!</v>
      </c>
      <c r="AX13" s="207">
        <f t="shared" si="2"/>
        <v>5</v>
      </c>
      <c r="AY13" s="208">
        <f t="shared" si="3"/>
        <v>5</v>
      </c>
      <c r="AZ13" s="208">
        <f t="shared" si="4"/>
        <v>3</v>
      </c>
      <c r="BA13" s="208">
        <f t="shared" si="5"/>
        <v>1</v>
      </c>
      <c r="BB13" s="209">
        <f t="shared" si="6"/>
        <v>1</v>
      </c>
      <c r="BC13" s="210">
        <f t="shared" si="7"/>
        <v>120</v>
      </c>
      <c r="BD13" s="211"/>
      <c r="BE13" s="212"/>
    </row>
    <row r="14" ht="14.25" customHeight="1">
      <c r="A14" s="240"/>
      <c r="B14" s="241" t="s">
        <v>638</v>
      </c>
      <c r="C14" s="242" t="s">
        <v>639</v>
      </c>
      <c r="D14" s="243"/>
      <c r="E14" s="244"/>
      <c r="F14" s="247"/>
      <c r="G14" s="246"/>
      <c r="H14" s="247"/>
      <c r="I14" s="246"/>
      <c r="J14" s="274" t="s">
        <v>419</v>
      </c>
      <c r="K14" s="246"/>
      <c r="L14" s="249"/>
      <c r="M14" s="250"/>
      <c r="N14" s="246"/>
      <c r="O14" s="282"/>
      <c r="P14" s="246"/>
      <c r="Q14" s="274"/>
      <c r="R14" s="246"/>
      <c r="S14" s="249"/>
      <c r="U14" s="246"/>
      <c r="V14" s="274" t="s">
        <v>419</v>
      </c>
      <c r="W14" s="246"/>
      <c r="X14" s="320"/>
      <c r="Y14" s="246"/>
      <c r="Z14" s="249"/>
      <c r="AA14" s="250"/>
      <c r="AB14" s="246"/>
      <c r="AC14" s="247"/>
      <c r="AD14" s="246"/>
      <c r="AE14" s="268" t="s">
        <v>414</v>
      </c>
      <c r="AF14" s="246"/>
      <c r="AG14" s="249"/>
      <c r="AH14" s="247"/>
      <c r="AI14" s="246"/>
      <c r="AJ14" s="247"/>
      <c r="AK14" s="246"/>
      <c r="AL14" s="282"/>
      <c r="AM14" s="246"/>
      <c r="AN14" s="249"/>
      <c r="AO14" s="250"/>
      <c r="AP14" s="246"/>
      <c r="AQ14" s="247"/>
      <c r="AR14" s="246"/>
      <c r="AS14" s="247"/>
      <c r="AT14" s="254" t="str">
        <f>IF(COUNTIF($AO$85:$AT$87, #REF!) &gt; 0, "X", "")</f>
        <v/>
      </c>
      <c r="AU14" s="255"/>
      <c r="AV14" s="255"/>
      <c r="AW14" s="206" t="str">
        <f t="shared" si="1"/>
        <v>#REF!</v>
      </c>
      <c r="AX14" s="207">
        <f t="shared" si="2"/>
        <v>5</v>
      </c>
      <c r="AY14" s="208">
        <f t="shared" si="3"/>
        <v>5</v>
      </c>
      <c r="AZ14" s="208">
        <f t="shared" si="4"/>
        <v>3</v>
      </c>
      <c r="BA14" s="208">
        <f t="shared" si="5"/>
        <v>1</v>
      </c>
      <c r="BB14" s="209">
        <f t="shared" si="6"/>
        <v>1</v>
      </c>
      <c r="BC14" s="210">
        <f t="shared" si="7"/>
        <v>120</v>
      </c>
      <c r="BD14" s="211"/>
      <c r="BE14" s="212"/>
    </row>
    <row r="15" ht="13.5" customHeight="1">
      <c r="A15" s="94"/>
      <c r="B15" s="256" t="s">
        <v>638</v>
      </c>
      <c r="C15" s="257" t="s">
        <v>639</v>
      </c>
      <c r="D15" s="258"/>
      <c r="E15" s="259"/>
      <c r="F15" s="264"/>
      <c r="G15" s="246"/>
      <c r="I15" s="246"/>
      <c r="J15" s="287" t="s">
        <v>405</v>
      </c>
      <c r="K15" s="246"/>
      <c r="L15" s="261"/>
      <c r="M15" s="262"/>
      <c r="N15" s="246"/>
      <c r="P15" s="246"/>
      <c r="R15" s="246"/>
      <c r="S15" s="261"/>
      <c r="U15" s="246"/>
      <c r="V15" s="287" t="s">
        <v>405</v>
      </c>
      <c r="W15" s="246"/>
      <c r="X15" s="320"/>
      <c r="Y15" s="246"/>
      <c r="Z15" s="261"/>
      <c r="AA15" s="262"/>
      <c r="AB15" s="246"/>
      <c r="AC15" s="265"/>
      <c r="AD15" s="246"/>
      <c r="AE15" s="287" t="s">
        <v>405</v>
      </c>
      <c r="AF15" s="246"/>
      <c r="AG15" s="261"/>
      <c r="AH15" s="264"/>
      <c r="AI15" s="246"/>
      <c r="AJ15" s="265"/>
      <c r="AK15" s="246"/>
      <c r="AL15" s="287" t="s">
        <v>405</v>
      </c>
      <c r="AM15" s="246"/>
      <c r="AN15" s="261"/>
      <c r="AO15" s="262"/>
      <c r="AP15" s="246"/>
      <c r="AQ15" s="266"/>
      <c r="AR15" s="246"/>
      <c r="AS15" s="264"/>
      <c r="AT15" s="254" t="str">
        <f>IF(COUNTIF($AO$85:$AT$87, AS19) &gt; 0, "X", "")</f>
        <v/>
      </c>
      <c r="AU15" s="269"/>
      <c r="AV15" s="269"/>
      <c r="AW15" s="206" t="str">
        <f t="shared" si="1"/>
        <v>#REF!</v>
      </c>
      <c r="AX15" s="207">
        <f t="shared" si="2"/>
        <v>5</v>
      </c>
      <c r="AY15" s="208">
        <f t="shared" si="3"/>
        <v>5</v>
      </c>
      <c r="AZ15" s="208">
        <f t="shared" si="4"/>
        <v>3</v>
      </c>
      <c r="BA15" s="208">
        <f t="shared" si="5"/>
        <v>1</v>
      </c>
      <c r="BB15" s="209">
        <f t="shared" si="6"/>
        <v>1</v>
      </c>
      <c r="BC15" s="210">
        <f t="shared" si="7"/>
        <v>120</v>
      </c>
      <c r="BD15" s="211"/>
      <c r="BE15" s="212"/>
    </row>
    <row r="16" ht="13.5" customHeight="1">
      <c r="A16" s="270"/>
      <c r="B16" s="271" t="s">
        <v>642</v>
      </c>
      <c r="C16" s="272" t="s">
        <v>639</v>
      </c>
      <c r="D16" s="258"/>
      <c r="E16" s="259"/>
      <c r="F16" s="275"/>
      <c r="G16" s="246"/>
      <c r="H16" s="311" t="s">
        <v>432</v>
      </c>
      <c r="I16" s="246"/>
      <c r="K16" s="246"/>
      <c r="L16" s="261"/>
      <c r="M16" s="250"/>
      <c r="N16" s="246"/>
      <c r="P16" s="246"/>
      <c r="R16" s="246"/>
      <c r="S16" s="261"/>
      <c r="U16" s="246"/>
      <c r="V16" s="325" t="s">
        <v>707</v>
      </c>
      <c r="W16" s="246"/>
      <c r="X16" s="320"/>
      <c r="Y16" s="246"/>
      <c r="Z16" s="261"/>
      <c r="AA16" s="250"/>
      <c r="AB16" s="246"/>
      <c r="AC16" s="282"/>
      <c r="AD16" s="246"/>
      <c r="AE16" s="325" t="s">
        <v>707</v>
      </c>
      <c r="AF16" s="246"/>
      <c r="AG16" s="261"/>
      <c r="AH16" s="275"/>
      <c r="AI16" s="246"/>
      <c r="AK16" s="246"/>
      <c r="AL16" s="282"/>
      <c r="AM16" s="246"/>
      <c r="AN16" s="261"/>
      <c r="AO16" s="250"/>
      <c r="AP16" s="246"/>
      <c r="AQ16" s="275"/>
      <c r="AR16" s="246"/>
      <c r="AS16" s="275"/>
      <c r="AT16" s="254" t="str">
        <f>IF(COUNTIF($AO$85:$AT$87, #REF!) &gt; 0, "X", "")</f>
        <v/>
      </c>
      <c r="AU16" s="269"/>
      <c r="AV16" s="269"/>
      <c r="AW16" s="206" t="str">
        <f t="shared" si="1"/>
        <v>#REF!</v>
      </c>
      <c r="AX16" s="207">
        <f t="shared" si="2"/>
        <v>5</v>
      </c>
      <c r="AY16" s="208">
        <f t="shared" si="3"/>
        <v>5</v>
      </c>
      <c r="AZ16" s="208">
        <f t="shared" si="4"/>
        <v>3</v>
      </c>
      <c r="BA16" s="208">
        <f t="shared" si="5"/>
        <v>1</v>
      </c>
      <c r="BB16" s="209">
        <f t="shared" si="6"/>
        <v>1</v>
      </c>
      <c r="BC16" s="210">
        <f t="shared" si="7"/>
        <v>120</v>
      </c>
      <c r="BD16" s="211"/>
      <c r="BE16" s="212"/>
    </row>
    <row r="17">
      <c r="A17" s="94"/>
      <c r="B17" s="277" t="s">
        <v>644</v>
      </c>
      <c r="C17" s="278" t="s">
        <v>645</v>
      </c>
      <c r="D17" s="243"/>
      <c r="E17" s="259"/>
      <c r="F17" s="274"/>
      <c r="G17" s="246"/>
      <c r="H17" s="280" t="s">
        <v>400</v>
      </c>
      <c r="I17" s="246"/>
      <c r="J17" s="282"/>
      <c r="K17" s="246"/>
      <c r="L17" s="261"/>
      <c r="M17" s="250"/>
      <c r="N17" s="246"/>
      <c r="P17" s="246"/>
      <c r="Q17" s="274" t="s">
        <v>400</v>
      </c>
      <c r="R17" s="246"/>
      <c r="S17" s="261"/>
      <c r="U17" s="246"/>
      <c r="V17" s="280" t="s">
        <v>400</v>
      </c>
      <c r="W17" s="246"/>
      <c r="X17" s="320"/>
      <c r="Y17" s="246"/>
      <c r="Z17" s="261"/>
      <c r="AA17" s="250"/>
      <c r="AB17" s="246"/>
      <c r="AD17" s="246"/>
      <c r="AE17" s="274" t="s">
        <v>400</v>
      </c>
      <c r="AF17" s="246"/>
      <c r="AG17" s="261"/>
      <c r="AH17" s="281"/>
      <c r="AI17" s="246"/>
      <c r="AJ17" s="274" t="s">
        <v>400</v>
      </c>
      <c r="AK17" s="246"/>
      <c r="AL17" s="281"/>
      <c r="AM17" s="246"/>
      <c r="AN17" s="261"/>
      <c r="AO17" s="250"/>
      <c r="AP17" s="246"/>
      <c r="AQ17" s="281"/>
      <c r="AR17" s="246"/>
      <c r="AS17" s="281"/>
      <c r="AT17" s="254" t="str">
        <f t="shared" ref="AT17:AT18" si="8">IF(COUNTIF($AO$85:$AT$87, AS17) &gt; 0, "X", "")</f>
        <v/>
      </c>
      <c r="AU17" s="269"/>
      <c r="AV17" s="269"/>
      <c r="AW17" s="206" t="str">
        <f t="shared" si="1"/>
        <v>#REF!</v>
      </c>
      <c r="AX17" s="207">
        <f t="shared" si="2"/>
        <v>5</v>
      </c>
      <c r="AY17" s="208">
        <f t="shared" si="3"/>
        <v>5</v>
      </c>
      <c r="AZ17" s="208">
        <f t="shared" si="4"/>
        <v>3</v>
      </c>
      <c r="BA17" s="208">
        <f t="shared" si="5"/>
        <v>1</v>
      </c>
      <c r="BB17" s="209">
        <f t="shared" si="6"/>
        <v>1</v>
      </c>
      <c r="BC17" s="210">
        <f t="shared" si="7"/>
        <v>120</v>
      </c>
      <c r="BD17" s="211"/>
      <c r="BE17" s="212"/>
    </row>
    <row r="18">
      <c r="A18" s="270"/>
      <c r="B18" s="284" t="s">
        <v>646</v>
      </c>
      <c r="C18" s="285" t="s">
        <v>647</v>
      </c>
      <c r="D18" s="243"/>
      <c r="E18" s="259"/>
      <c r="F18" s="251" t="s">
        <v>427</v>
      </c>
      <c r="G18" s="246"/>
      <c r="H18" s="371"/>
      <c r="I18" s="246"/>
      <c r="J18" s="371"/>
      <c r="K18" s="246"/>
      <c r="L18" s="261"/>
      <c r="M18" s="324"/>
      <c r="N18" s="246"/>
      <c r="O18" s="371"/>
      <c r="P18" s="246"/>
      <c r="Q18" s="251" t="s">
        <v>427</v>
      </c>
      <c r="R18" s="246"/>
      <c r="S18" s="261"/>
      <c r="T18" s="251" t="s">
        <v>427</v>
      </c>
      <c r="U18" s="246"/>
      <c r="W18" s="246"/>
      <c r="X18" s="320"/>
      <c r="Y18" s="246"/>
      <c r="Z18" s="261"/>
      <c r="AA18" s="324"/>
      <c r="AB18" s="246"/>
      <c r="AD18" s="246"/>
      <c r="AE18" s="251" t="s">
        <v>427</v>
      </c>
      <c r="AF18" s="246"/>
      <c r="AG18" s="261"/>
      <c r="AH18" s="251" t="s">
        <v>427</v>
      </c>
      <c r="AI18" s="246"/>
      <c r="AJ18" s="371"/>
      <c r="AK18" s="246"/>
      <c r="AL18" s="274"/>
      <c r="AM18" s="246"/>
      <c r="AN18" s="261"/>
      <c r="AO18" s="324"/>
      <c r="AP18" s="246"/>
      <c r="AQ18" s="274"/>
      <c r="AR18" s="246"/>
      <c r="AS18" s="371"/>
      <c r="AT18" s="254" t="str">
        <f t="shared" si="8"/>
        <v/>
      </c>
      <c r="AU18" s="269"/>
      <c r="AV18" s="269"/>
      <c r="AW18" s="206" t="str">
        <f t="shared" si="1"/>
        <v>#REF!</v>
      </c>
      <c r="AX18" s="207">
        <f t="shared" si="2"/>
        <v>5</v>
      </c>
      <c r="AY18" s="208">
        <f t="shared" si="3"/>
        <v>5</v>
      </c>
      <c r="AZ18" s="208">
        <f t="shared" si="4"/>
        <v>3</v>
      </c>
      <c r="BA18" s="208">
        <f t="shared" si="5"/>
        <v>1</v>
      </c>
      <c r="BB18" s="209">
        <f t="shared" si="6"/>
        <v>1</v>
      </c>
      <c r="BC18" s="210">
        <f t="shared" si="7"/>
        <v>120</v>
      </c>
      <c r="BD18" s="211"/>
      <c r="BE18" s="212"/>
    </row>
    <row r="19">
      <c r="A19" s="94"/>
      <c r="B19" s="291" t="s">
        <v>648</v>
      </c>
      <c r="C19" s="292" t="s">
        <v>649</v>
      </c>
      <c r="D19" s="243"/>
      <c r="E19" s="259"/>
      <c r="F19" s="294"/>
      <c r="G19" s="246"/>
      <c r="H19" s="293"/>
      <c r="I19" s="246"/>
      <c r="J19" s="294"/>
      <c r="K19" s="246"/>
      <c r="L19" s="261"/>
      <c r="M19" s="250"/>
      <c r="N19" s="246"/>
      <c r="O19" s="293" t="s">
        <v>418</v>
      </c>
      <c r="P19" s="246"/>
      <c r="Q19" s="294"/>
      <c r="R19" s="246"/>
      <c r="S19" s="261"/>
      <c r="T19" s="294"/>
      <c r="U19" s="246"/>
      <c r="V19" s="293" t="s">
        <v>418</v>
      </c>
      <c r="W19" s="246"/>
      <c r="X19" s="317"/>
      <c r="Y19" s="246"/>
      <c r="Z19" s="261"/>
      <c r="AA19" s="250"/>
      <c r="AB19" s="246"/>
      <c r="AC19" s="294"/>
      <c r="AD19" s="246"/>
      <c r="AE19" s="293" t="s">
        <v>418</v>
      </c>
      <c r="AF19" s="246"/>
      <c r="AG19" s="261"/>
      <c r="AH19" s="294"/>
      <c r="AI19" s="246"/>
      <c r="AJ19" s="294"/>
      <c r="AK19" s="246"/>
      <c r="AL19" s="294"/>
      <c r="AM19" s="246"/>
      <c r="AN19" s="261"/>
      <c r="AO19" s="250"/>
      <c r="AP19" s="246"/>
      <c r="AQ19" s="294"/>
      <c r="AR19" s="246"/>
      <c r="AS19" s="294"/>
      <c r="AT19" s="254" t="str">
        <f t="shared" ref="AT19:AT21" si="9">IF(COUNTIF($AO$85:$AT$87, #REF!) &gt; 0, "X", "")</f>
        <v/>
      </c>
      <c r="AU19" s="269"/>
      <c r="AV19" s="269"/>
      <c r="AW19" s="206" t="str">
        <f t="shared" si="1"/>
        <v>#REF!</v>
      </c>
      <c r="AX19" s="207">
        <f t="shared" si="2"/>
        <v>5</v>
      </c>
      <c r="AY19" s="208">
        <f t="shared" si="3"/>
        <v>5</v>
      </c>
      <c r="AZ19" s="208">
        <f t="shared" si="4"/>
        <v>3</v>
      </c>
      <c r="BA19" s="208">
        <f t="shared" si="5"/>
        <v>1</v>
      </c>
      <c r="BB19" s="209">
        <f t="shared" si="6"/>
        <v>1</v>
      </c>
      <c r="BC19" s="210">
        <f t="shared" si="7"/>
        <v>120</v>
      </c>
      <c r="BD19" s="211"/>
      <c r="BE19" s="212"/>
    </row>
    <row r="20">
      <c r="A20" s="94"/>
      <c r="B20" s="296" t="s">
        <v>650</v>
      </c>
      <c r="C20" s="297" t="s">
        <v>649</v>
      </c>
      <c r="D20" s="243"/>
      <c r="E20" s="259"/>
      <c r="F20" s="299"/>
      <c r="G20" s="298"/>
      <c r="H20" s="299"/>
      <c r="I20" s="298"/>
      <c r="J20" s="299"/>
      <c r="K20" s="298"/>
      <c r="L20" s="261"/>
      <c r="M20" s="250"/>
      <c r="N20" s="298"/>
      <c r="O20" s="299"/>
      <c r="P20" s="298"/>
      <c r="Q20" s="299"/>
      <c r="R20" s="298"/>
      <c r="S20" s="261"/>
      <c r="T20" s="299"/>
      <c r="U20" s="298"/>
      <c r="V20" s="299"/>
      <c r="W20" s="298"/>
      <c r="X20" s="509"/>
      <c r="Y20" s="298"/>
      <c r="Z20" s="261"/>
      <c r="AA20" s="250"/>
      <c r="AB20" s="298"/>
      <c r="AC20" s="299"/>
      <c r="AD20" s="298"/>
      <c r="AE20" s="299"/>
      <c r="AF20" s="298"/>
      <c r="AG20" s="261"/>
      <c r="AH20" s="299"/>
      <c r="AI20" s="298"/>
      <c r="AJ20" s="299"/>
      <c r="AK20" s="298"/>
      <c r="AL20" s="299"/>
      <c r="AM20" s="298"/>
      <c r="AN20" s="261"/>
      <c r="AO20" s="250"/>
      <c r="AP20" s="298"/>
      <c r="AQ20" s="299"/>
      <c r="AR20" s="298"/>
      <c r="AS20" s="299"/>
      <c r="AT20" s="254" t="str">
        <f t="shared" si="9"/>
        <v/>
      </c>
      <c r="AU20" s="269"/>
      <c r="AV20" s="269"/>
      <c r="AW20" s="206" t="str">
        <f t="shared" si="1"/>
        <v>#REF!</v>
      </c>
      <c r="AX20" s="207">
        <f t="shared" si="2"/>
        <v>5</v>
      </c>
      <c r="AY20" s="208">
        <f t="shared" si="3"/>
        <v>5</v>
      </c>
      <c r="AZ20" s="208">
        <f t="shared" si="4"/>
        <v>3</v>
      </c>
      <c r="BA20" s="208">
        <f t="shared" si="5"/>
        <v>1</v>
      </c>
      <c r="BB20" s="209">
        <f t="shared" si="6"/>
        <v>1</v>
      </c>
      <c r="BC20" s="210">
        <f t="shared" si="7"/>
        <v>120</v>
      </c>
      <c r="BD20" s="211"/>
      <c r="BE20" s="212"/>
    </row>
    <row r="21">
      <c r="A21" s="94"/>
      <c r="B21" s="301" t="s">
        <v>651</v>
      </c>
      <c r="C21" s="302" t="s">
        <v>652</v>
      </c>
      <c r="D21" s="243"/>
      <c r="E21" s="259"/>
      <c r="F21" s="303"/>
      <c r="G21" s="298"/>
      <c r="H21" s="303"/>
      <c r="I21" s="298"/>
      <c r="J21" s="303"/>
      <c r="K21" s="298"/>
      <c r="L21" s="261"/>
      <c r="M21" s="250"/>
      <c r="N21" s="298"/>
      <c r="O21" s="303"/>
      <c r="P21" s="298"/>
      <c r="Q21" s="303"/>
      <c r="R21" s="298"/>
      <c r="S21" s="261"/>
      <c r="T21" s="303"/>
      <c r="U21" s="298"/>
      <c r="V21" s="303"/>
      <c r="W21" s="298"/>
      <c r="X21" s="320"/>
      <c r="Y21" s="298"/>
      <c r="Z21" s="261"/>
      <c r="AA21" s="250"/>
      <c r="AB21" s="298"/>
      <c r="AC21" s="303"/>
      <c r="AD21" s="298"/>
      <c r="AE21" s="303"/>
      <c r="AF21" s="298"/>
      <c r="AG21" s="261"/>
      <c r="AH21" s="303"/>
      <c r="AI21" s="298"/>
      <c r="AJ21" s="303"/>
      <c r="AK21" s="298"/>
      <c r="AL21" s="303"/>
      <c r="AM21" s="298"/>
      <c r="AN21" s="261"/>
      <c r="AO21" s="250"/>
      <c r="AP21" s="298"/>
      <c r="AQ21" s="303"/>
      <c r="AR21" s="298"/>
      <c r="AS21" s="303"/>
      <c r="AT21" s="254" t="str">
        <f t="shared" si="9"/>
        <v/>
      </c>
      <c r="AU21" s="269"/>
      <c r="AV21" s="269"/>
      <c r="AW21" s="206" t="str">
        <f>#REF!</f>
        <v>#REF!</v>
      </c>
      <c r="AX21" s="207">
        <f t="shared" si="2"/>
        <v>5</v>
      </c>
      <c r="AY21" s="208">
        <f t="shared" si="3"/>
        <v>5</v>
      </c>
      <c r="AZ21" s="208">
        <f t="shared" si="4"/>
        <v>3</v>
      </c>
      <c r="BA21" s="208">
        <f t="shared" si="5"/>
        <v>1</v>
      </c>
      <c r="BB21" s="209">
        <f t="shared" si="6"/>
        <v>1</v>
      </c>
      <c r="BC21" s="210">
        <f t="shared" si="7"/>
        <v>120</v>
      </c>
      <c r="BD21" s="211"/>
      <c r="BE21" s="212"/>
    </row>
    <row r="22">
      <c r="A22" s="94"/>
      <c r="B22" s="305" t="s">
        <v>653</v>
      </c>
      <c r="C22" s="306" t="s">
        <v>654</v>
      </c>
      <c r="D22" s="243"/>
      <c r="E22" s="259"/>
      <c r="F22" s="307"/>
      <c r="G22" s="298"/>
      <c r="H22" s="307"/>
      <c r="I22" s="298"/>
      <c r="J22" s="307"/>
      <c r="K22" s="298"/>
      <c r="L22" s="261"/>
      <c r="M22" s="250"/>
      <c r="N22" s="298"/>
      <c r="O22" s="308" t="s">
        <v>434</v>
      </c>
      <c r="P22" s="298"/>
      <c r="Q22" s="307"/>
      <c r="R22" s="298"/>
      <c r="S22" s="261"/>
      <c r="T22" s="307"/>
      <c r="U22" s="298"/>
      <c r="V22" s="307"/>
      <c r="W22" s="298"/>
      <c r="X22" s="317"/>
      <c r="Y22" s="298"/>
      <c r="Z22" s="261"/>
      <c r="AA22" s="250"/>
      <c r="AB22" s="298"/>
      <c r="AC22" s="307"/>
      <c r="AD22" s="298"/>
      <c r="AE22" s="309" t="s">
        <v>449</v>
      </c>
      <c r="AF22" s="298"/>
      <c r="AG22" s="261"/>
      <c r="AH22" s="307"/>
      <c r="AI22" s="298"/>
      <c r="AJ22" s="307"/>
      <c r="AK22" s="298"/>
      <c r="AL22" s="307"/>
      <c r="AM22" s="298"/>
      <c r="AN22" s="261"/>
      <c r="AO22" s="250"/>
      <c r="AP22" s="298"/>
      <c r="AQ22" s="307"/>
      <c r="AR22" s="298"/>
      <c r="AS22" s="307"/>
      <c r="AT22" s="254" t="str">
        <f t="shared" ref="AT22:AT23" si="10">IF(COUNTIF($AO$85:$AT$87, AS21) &gt; 0, "X", "")</f>
        <v/>
      </c>
      <c r="AU22" s="269"/>
      <c r="AV22" s="269"/>
      <c r="AW22" s="206" t="str">
        <f>TEAM!B94</f>
        <v>#REF!</v>
      </c>
      <c r="AX22" s="207">
        <f t="shared" si="2"/>
        <v>5</v>
      </c>
      <c r="AY22" s="208">
        <f t="shared" si="3"/>
        <v>5</v>
      </c>
      <c r="AZ22" s="208">
        <f t="shared" si="4"/>
        <v>3</v>
      </c>
      <c r="BA22" s="208">
        <f t="shared" si="5"/>
        <v>1</v>
      </c>
      <c r="BB22" s="209">
        <f t="shared" si="6"/>
        <v>1</v>
      </c>
      <c r="BC22" s="210">
        <f t="shared" si="7"/>
        <v>120</v>
      </c>
      <c r="BD22" s="211"/>
      <c r="BE22" s="212"/>
    </row>
    <row r="23">
      <c r="A23" s="94"/>
      <c r="B23" s="310" t="s">
        <v>656</v>
      </c>
      <c r="C23" s="278" t="s">
        <v>657</v>
      </c>
      <c r="D23" s="243"/>
      <c r="E23" s="259"/>
      <c r="G23" s="246"/>
      <c r="I23" s="246"/>
      <c r="K23" s="246"/>
      <c r="L23" s="261"/>
      <c r="M23" s="250"/>
      <c r="N23" s="246"/>
      <c r="O23" s="274" t="s">
        <v>655</v>
      </c>
      <c r="P23" s="246"/>
      <c r="R23" s="246"/>
      <c r="S23" s="261"/>
      <c r="U23" s="246"/>
      <c r="W23" s="246"/>
      <c r="X23" s="479"/>
      <c r="Y23" s="246"/>
      <c r="Z23" s="261"/>
      <c r="AA23" s="250"/>
      <c r="AB23" s="246"/>
      <c r="AD23" s="246"/>
      <c r="AF23" s="246"/>
      <c r="AG23" s="261"/>
      <c r="AI23" s="246"/>
      <c r="AK23" s="246"/>
      <c r="AM23" s="246"/>
      <c r="AN23" s="261"/>
      <c r="AO23" s="250"/>
      <c r="AP23" s="246"/>
      <c r="AR23" s="246"/>
      <c r="AT23" s="254" t="str">
        <f t="shared" si="10"/>
        <v/>
      </c>
      <c r="AU23" s="269"/>
      <c r="AV23" s="269"/>
      <c r="AW23" s="206" t="str">
        <f t="shared" ref="AW23:AW39" si="11">TEAM!B22</f>
        <v>#REF!</v>
      </c>
      <c r="AX23" s="207">
        <f t="shared" si="2"/>
        <v>5</v>
      </c>
      <c r="AY23" s="208">
        <f t="shared" si="3"/>
        <v>5</v>
      </c>
      <c r="AZ23" s="208">
        <f t="shared" si="4"/>
        <v>3</v>
      </c>
      <c r="BA23" s="208">
        <f t="shared" si="5"/>
        <v>1</v>
      </c>
      <c r="BB23" s="209">
        <f t="shared" si="6"/>
        <v>1</v>
      </c>
      <c r="BC23" s="210">
        <f t="shared" si="7"/>
        <v>120</v>
      </c>
      <c r="BD23" s="211"/>
      <c r="BE23" s="212"/>
    </row>
    <row r="24">
      <c r="A24" s="94"/>
      <c r="B24" s="277" t="s">
        <v>658</v>
      </c>
      <c r="C24" s="278" t="s">
        <v>657</v>
      </c>
      <c r="D24" s="243"/>
      <c r="E24" s="259"/>
      <c r="F24" s="281"/>
      <c r="G24" s="246"/>
      <c r="H24" s="282"/>
      <c r="I24" s="246"/>
      <c r="K24" s="246"/>
      <c r="L24" s="261"/>
      <c r="M24" s="250"/>
      <c r="N24" s="246"/>
      <c r="P24" s="246"/>
      <c r="R24" s="246"/>
      <c r="S24" s="261"/>
      <c r="T24" s="282"/>
      <c r="U24" s="246"/>
      <c r="V24" s="282"/>
      <c r="W24" s="246"/>
      <c r="X24" s="479"/>
      <c r="Y24" s="246"/>
      <c r="Z24" s="261"/>
      <c r="AA24" s="250"/>
      <c r="AB24" s="246"/>
      <c r="AC24" s="282"/>
      <c r="AD24" s="246"/>
      <c r="AF24" s="246"/>
      <c r="AG24" s="261"/>
      <c r="AH24" s="282"/>
      <c r="AI24" s="246"/>
      <c r="AJ24" s="282"/>
      <c r="AK24" s="246"/>
      <c r="AL24" s="471" t="s">
        <v>419</v>
      </c>
      <c r="AM24" s="246"/>
      <c r="AN24" s="261"/>
      <c r="AO24" s="250"/>
      <c r="AP24" s="246"/>
      <c r="AR24" s="246"/>
      <c r="AS24" s="281"/>
      <c r="AT24" s="254" t="str">
        <f t="shared" ref="AT24:AT26" si="12">IF(COUNTIF($AO$85:$AT$87, #REF!) &gt; 0, "X", "")</f>
        <v/>
      </c>
      <c r="AU24" s="269"/>
      <c r="AV24" s="269"/>
      <c r="AW24" s="206" t="str">
        <f t="shared" si="11"/>
        <v>#REF!</v>
      </c>
      <c r="AX24" s="207">
        <f t="shared" si="2"/>
        <v>5</v>
      </c>
      <c r="AY24" s="208">
        <f t="shared" si="3"/>
        <v>5</v>
      </c>
      <c r="AZ24" s="208">
        <f t="shared" si="4"/>
        <v>3</v>
      </c>
      <c r="BA24" s="208">
        <f t="shared" si="5"/>
        <v>1</v>
      </c>
      <c r="BB24" s="209">
        <f t="shared" si="6"/>
        <v>1</v>
      </c>
      <c r="BC24" s="210">
        <f t="shared" si="7"/>
        <v>120</v>
      </c>
      <c r="BD24" s="211"/>
      <c r="BE24" s="212"/>
    </row>
    <row r="25">
      <c r="A25" s="94"/>
      <c r="B25" s="314" t="s">
        <v>660</v>
      </c>
      <c r="C25" s="315" t="s">
        <v>649</v>
      </c>
      <c r="D25" s="243"/>
      <c r="E25" s="259"/>
      <c r="F25" s="566"/>
      <c r="G25" s="246"/>
      <c r="H25" s="253" t="s">
        <v>417</v>
      </c>
      <c r="I25" s="246"/>
      <c r="J25" s="356" t="s">
        <v>423</v>
      </c>
      <c r="K25" s="246"/>
      <c r="L25" s="261"/>
      <c r="M25" s="316"/>
      <c r="N25" s="246"/>
      <c r="O25" s="253" t="s">
        <v>417</v>
      </c>
      <c r="P25" s="246"/>
      <c r="Q25" s="293" t="s">
        <v>421</v>
      </c>
      <c r="R25" s="246"/>
      <c r="S25" s="261"/>
      <c r="T25" s="356" t="s">
        <v>423</v>
      </c>
      <c r="U25" s="246"/>
      <c r="V25" s="253" t="s">
        <v>417</v>
      </c>
      <c r="W25" s="246"/>
      <c r="X25" s="479"/>
      <c r="Y25" s="246"/>
      <c r="Z25" s="261"/>
      <c r="AA25" s="316"/>
      <c r="AB25" s="246"/>
      <c r="AC25" s="293" t="s">
        <v>421</v>
      </c>
      <c r="AD25" s="246"/>
      <c r="AE25" s="471" t="s">
        <v>419</v>
      </c>
      <c r="AF25" s="246"/>
      <c r="AG25" s="261"/>
      <c r="AH25" s="356" t="s">
        <v>423</v>
      </c>
      <c r="AI25" s="246"/>
      <c r="AJ25" s="293" t="s">
        <v>418</v>
      </c>
      <c r="AK25" s="246"/>
      <c r="AL25" s="293" t="s">
        <v>421</v>
      </c>
      <c r="AM25" s="246"/>
      <c r="AN25" s="261"/>
      <c r="AO25" s="316"/>
      <c r="AP25" s="246"/>
      <c r="AQ25" s="293" t="s">
        <v>418</v>
      </c>
      <c r="AR25" s="246"/>
      <c r="AS25" s="356" t="s">
        <v>423</v>
      </c>
      <c r="AT25" s="254" t="str">
        <f t="shared" si="12"/>
        <v/>
      </c>
      <c r="AU25" s="269"/>
      <c r="AV25" s="269"/>
      <c r="AW25" s="206" t="str">
        <f t="shared" si="11"/>
        <v>#REF!</v>
      </c>
      <c r="AX25" s="207">
        <f t="shared" si="2"/>
        <v>5</v>
      </c>
      <c r="AY25" s="208">
        <f t="shared" si="3"/>
        <v>5</v>
      </c>
      <c r="AZ25" s="208">
        <f t="shared" si="4"/>
        <v>3</v>
      </c>
      <c r="BA25" s="208">
        <f t="shared" si="5"/>
        <v>1</v>
      </c>
      <c r="BB25" s="209">
        <f t="shared" si="6"/>
        <v>1</v>
      </c>
      <c r="BC25" s="210">
        <f t="shared" si="7"/>
        <v>120</v>
      </c>
      <c r="BD25" s="211"/>
      <c r="BE25" s="212"/>
    </row>
    <row r="26">
      <c r="A26" s="94"/>
      <c r="B26" s="296" t="s">
        <v>650</v>
      </c>
      <c r="C26" s="297" t="s">
        <v>649</v>
      </c>
      <c r="D26" s="243"/>
      <c r="E26" s="259"/>
      <c r="F26" s="567"/>
      <c r="G26" s="298"/>
      <c r="H26" s="299"/>
      <c r="I26" s="298"/>
      <c r="J26" s="299"/>
      <c r="K26" s="298"/>
      <c r="L26" s="261"/>
      <c r="M26" s="250"/>
      <c r="N26" s="298"/>
      <c r="O26" s="300"/>
      <c r="P26" s="298"/>
      <c r="Q26" s="299"/>
      <c r="R26" s="298"/>
      <c r="S26" s="261"/>
      <c r="T26" s="300"/>
      <c r="U26" s="298"/>
      <c r="V26" s="300"/>
      <c r="W26" s="298"/>
      <c r="X26" s="317"/>
      <c r="Y26" s="298"/>
      <c r="Z26" s="261"/>
      <c r="AA26" s="250"/>
      <c r="AB26" s="298"/>
      <c r="AC26" s="300"/>
      <c r="AD26" s="298"/>
      <c r="AE26" s="300"/>
      <c r="AF26" s="298"/>
      <c r="AG26" s="261"/>
      <c r="AH26" s="300"/>
      <c r="AI26" s="298"/>
      <c r="AJ26" s="300"/>
      <c r="AK26" s="298"/>
      <c r="AL26" s="299"/>
      <c r="AM26" s="298"/>
      <c r="AN26" s="261"/>
      <c r="AO26" s="250"/>
      <c r="AP26" s="298"/>
      <c r="AQ26" s="299"/>
      <c r="AR26" s="298"/>
      <c r="AS26" s="299"/>
      <c r="AT26" s="254" t="str">
        <f t="shared" si="12"/>
        <v/>
      </c>
      <c r="AU26" s="269"/>
      <c r="AV26" s="269"/>
      <c r="AW26" s="206" t="str">
        <f t="shared" si="11"/>
        <v>#REF!</v>
      </c>
      <c r="AX26" s="207">
        <f t="shared" si="2"/>
        <v>5</v>
      </c>
      <c r="AY26" s="208">
        <f t="shared" si="3"/>
        <v>5</v>
      </c>
      <c r="AZ26" s="208">
        <f t="shared" si="4"/>
        <v>3</v>
      </c>
      <c r="BA26" s="208">
        <f t="shared" si="5"/>
        <v>1</v>
      </c>
      <c r="BB26" s="209">
        <f t="shared" si="6"/>
        <v>1</v>
      </c>
      <c r="BC26" s="210">
        <f t="shared" si="7"/>
        <v>120</v>
      </c>
      <c r="BD26" s="211"/>
      <c r="BE26" s="212"/>
    </row>
    <row r="27">
      <c r="A27" s="94"/>
      <c r="B27" s="301" t="s">
        <v>651</v>
      </c>
      <c r="C27" s="302" t="s">
        <v>652</v>
      </c>
      <c r="D27" s="243"/>
      <c r="E27" s="259"/>
      <c r="F27" s="568"/>
      <c r="G27" s="298"/>
      <c r="H27" s="303"/>
      <c r="I27" s="298"/>
      <c r="J27" s="569"/>
      <c r="K27" s="298"/>
      <c r="L27" s="261"/>
      <c r="M27" s="250"/>
      <c r="N27" s="298"/>
      <c r="O27" s="303"/>
      <c r="P27" s="298"/>
      <c r="Q27" s="484"/>
      <c r="R27" s="298"/>
      <c r="S27" s="261"/>
      <c r="T27" s="569"/>
      <c r="U27" s="298"/>
      <c r="V27" s="303"/>
      <c r="W27" s="298"/>
      <c r="X27" s="515"/>
      <c r="Y27" s="298"/>
      <c r="Z27" s="261"/>
      <c r="AA27" s="250"/>
      <c r="AB27" s="298"/>
      <c r="AC27" s="303"/>
      <c r="AD27" s="298"/>
      <c r="AE27" s="303"/>
      <c r="AF27" s="298"/>
      <c r="AG27" s="261"/>
      <c r="AH27" s="303"/>
      <c r="AI27" s="298"/>
      <c r="AJ27" s="303"/>
      <c r="AK27" s="298"/>
      <c r="AL27" s="570"/>
      <c r="AM27" s="298"/>
      <c r="AN27" s="261"/>
      <c r="AO27" s="250"/>
      <c r="AP27" s="298"/>
      <c r="AQ27" s="303"/>
      <c r="AR27" s="298"/>
      <c r="AS27" s="303"/>
      <c r="AT27" s="254" t="str">
        <f>IF(COUNTIF($AO$85:$AT$87, AS26) &gt; 0, "X", "")</f>
        <v/>
      </c>
      <c r="AU27" s="269"/>
      <c r="AV27" s="269"/>
      <c r="AW27" s="206" t="str">
        <f t="shared" si="11"/>
        <v>#REF!</v>
      </c>
      <c r="AX27" s="207">
        <f t="shared" si="2"/>
        <v>5</v>
      </c>
      <c r="AY27" s="208">
        <f t="shared" si="3"/>
        <v>5</v>
      </c>
      <c r="AZ27" s="208">
        <f t="shared" si="4"/>
        <v>3</v>
      </c>
      <c r="BA27" s="208">
        <f t="shared" si="5"/>
        <v>1</v>
      </c>
      <c r="BB27" s="209">
        <f t="shared" si="6"/>
        <v>1</v>
      </c>
      <c r="BC27" s="210">
        <f t="shared" si="7"/>
        <v>120</v>
      </c>
      <c r="BD27" s="211"/>
      <c r="BE27" s="212"/>
    </row>
    <row r="28">
      <c r="A28" s="94"/>
      <c r="B28" s="322" t="s">
        <v>662</v>
      </c>
      <c r="C28" s="306" t="s">
        <v>663</v>
      </c>
      <c r="D28" s="323"/>
      <c r="E28" s="259"/>
      <c r="F28" s="566"/>
      <c r="G28" s="298"/>
      <c r="H28" s="307"/>
      <c r="I28" s="298"/>
      <c r="J28" s="395" t="s">
        <v>414</v>
      </c>
      <c r="K28" s="298"/>
      <c r="L28" s="261"/>
      <c r="M28" s="324"/>
      <c r="N28" s="298"/>
      <c r="O28" s="307"/>
      <c r="P28" s="298"/>
      <c r="Q28" s="513" t="s">
        <v>414</v>
      </c>
      <c r="R28" s="298"/>
      <c r="S28" s="261"/>
      <c r="T28" s="307"/>
      <c r="U28" s="298"/>
      <c r="V28" s="307"/>
      <c r="W28" s="298"/>
      <c r="X28" s="479"/>
      <c r="Y28" s="298"/>
      <c r="Z28" s="261"/>
      <c r="AA28" s="324"/>
      <c r="AB28" s="298"/>
      <c r="AC28" s="307"/>
      <c r="AD28" s="298"/>
      <c r="AE28" s="308" t="s">
        <v>434</v>
      </c>
      <c r="AF28" s="298"/>
      <c r="AG28" s="261"/>
      <c r="AH28" s="307"/>
      <c r="AI28" s="298"/>
      <c r="AJ28" s="307"/>
      <c r="AK28" s="298"/>
      <c r="AL28" s="513" t="s">
        <v>414</v>
      </c>
      <c r="AM28" s="298"/>
      <c r="AN28" s="261"/>
      <c r="AO28" s="324"/>
      <c r="AP28" s="298"/>
      <c r="AQ28" s="307"/>
      <c r="AR28" s="298"/>
      <c r="AS28" s="513" t="s">
        <v>414</v>
      </c>
      <c r="AT28" s="254" t="str">
        <f t="shared" ref="AT28:AT29" si="13">IF(COUNTIF($AO$85:$AT$87, #REF!) &gt; 0, "X", "")</f>
        <v/>
      </c>
      <c r="AU28" s="269"/>
      <c r="AV28" s="269"/>
      <c r="AW28" s="206" t="str">
        <f t="shared" si="11"/>
        <v>#REF!</v>
      </c>
      <c r="AX28" s="207">
        <f t="shared" si="2"/>
        <v>5</v>
      </c>
      <c r="AY28" s="208">
        <f t="shared" si="3"/>
        <v>5</v>
      </c>
      <c r="AZ28" s="208">
        <f t="shared" si="4"/>
        <v>3</v>
      </c>
      <c r="BA28" s="208">
        <f t="shared" si="5"/>
        <v>1</v>
      </c>
      <c r="BB28" s="209">
        <f t="shared" si="6"/>
        <v>1</v>
      </c>
      <c r="BC28" s="210">
        <f t="shared" si="7"/>
        <v>120</v>
      </c>
      <c r="BD28" s="211"/>
      <c r="BE28" s="212"/>
    </row>
    <row r="29">
      <c r="A29" s="94"/>
      <c r="B29" s="328" t="s">
        <v>665</v>
      </c>
      <c r="C29" s="329" t="s">
        <v>654</v>
      </c>
      <c r="D29" s="330"/>
      <c r="E29" s="259"/>
      <c r="F29" s="566"/>
      <c r="G29" s="246"/>
      <c r="H29" s="274" t="s">
        <v>458</v>
      </c>
      <c r="I29" s="246"/>
      <c r="J29" s="311" t="s">
        <v>434</v>
      </c>
      <c r="K29" s="246"/>
      <c r="L29" s="261"/>
      <c r="M29" s="333"/>
      <c r="N29" s="246"/>
      <c r="O29" s="571" t="s">
        <v>458</v>
      </c>
      <c r="P29" s="246"/>
      <c r="Q29" s="274" t="s">
        <v>449</v>
      </c>
      <c r="R29" s="246"/>
      <c r="S29" s="261"/>
      <c r="T29" s="311" t="s">
        <v>434</v>
      </c>
      <c r="U29" s="246"/>
      <c r="V29" s="274" t="s">
        <v>458</v>
      </c>
      <c r="W29" s="246"/>
      <c r="X29" s="479"/>
      <c r="Y29" s="246"/>
      <c r="Z29" s="261"/>
      <c r="AA29" s="333"/>
      <c r="AB29" s="246"/>
      <c r="AC29" s="280" t="s">
        <v>655</v>
      </c>
      <c r="AD29" s="246"/>
      <c r="AE29" s="274" t="s">
        <v>443</v>
      </c>
      <c r="AF29" s="246"/>
      <c r="AG29" s="261"/>
      <c r="AH29" s="274" t="s">
        <v>655</v>
      </c>
      <c r="AI29" s="246"/>
      <c r="AJ29" s="274" t="s">
        <v>439</v>
      </c>
      <c r="AK29" s="246"/>
      <c r="AL29" s="311" t="s">
        <v>434</v>
      </c>
      <c r="AM29" s="246"/>
      <c r="AN29" s="261"/>
      <c r="AO29" s="333"/>
      <c r="AP29" s="246"/>
      <c r="AQ29" s="274" t="s">
        <v>458</v>
      </c>
      <c r="AR29" s="246"/>
      <c r="AS29" s="274" t="s">
        <v>449</v>
      </c>
      <c r="AT29" s="254" t="str">
        <f t="shared" si="13"/>
        <v/>
      </c>
      <c r="AU29" s="269"/>
      <c r="AV29" s="269"/>
      <c r="AW29" s="206" t="str">
        <f t="shared" si="11"/>
        <v>#REF!</v>
      </c>
      <c r="AX29" s="207">
        <f t="shared" si="2"/>
        <v>5</v>
      </c>
      <c r="AY29" s="208">
        <f t="shared" si="3"/>
        <v>5</v>
      </c>
      <c r="AZ29" s="208">
        <f t="shared" si="4"/>
        <v>3</v>
      </c>
      <c r="BA29" s="208">
        <f t="shared" si="5"/>
        <v>1</v>
      </c>
      <c r="BB29" s="209">
        <f t="shared" si="6"/>
        <v>1</v>
      </c>
      <c r="BC29" s="210">
        <f t="shared" si="7"/>
        <v>120</v>
      </c>
      <c r="BD29" s="211"/>
      <c r="BE29" s="212"/>
    </row>
    <row r="30">
      <c r="A30" s="94"/>
      <c r="B30" s="337" t="s">
        <v>665</v>
      </c>
      <c r="C30" s="338" t="s">
        <v>657</v>
      </c>
      <c r="D30" s="330"/>
      <c r="E30" s="259"/>
      <c r="F30" s="566"/>
      <c r="G30" s="246"/>
      <c r="H30" s="283" t="s">
        <v>450</v>
      </c>
      <c r="I30" s="246"/>
      <c r="K30" s="246"/>
      <c r="L30" s="261"/>
      <c r="M30" s="324"/>
      <c r="N30" s="246"/>
      <c r="O30" s="283" t="s">
        <v>450</v>
      </c>
      <c r="P30" s="246"/>
      <c r="Q30" s="274" t="s">
        <v>443</v>
      </c>
      <c r="R30" s="246"/>
      <c r="S30" s="261"/>
      <c r="T30" s="274" t="s">
        <v>655</v>
      </c>
      <c r="U30" s="246"/>
      <c r="V30" s="283" t="s">
        <v>450</v>
      </c>
      <c r="W30" s="246"/>
      <c r="X30" s="479"/>
      <c r="Y30" s="246"/>
      <c r="Z30" s="261"/>
      <c r="AA30" s="324"/>
      <c r="AB30" s="246"/>
      <c r="AC30" s="283" t="s">
        <v>450</v>
      </c>
      <c r="AD30" s="246"/>
      <c r="AE30" s="340" t="s">
        <v>409</v>
      </c>
      <c r="AF30" s="246"/>
      <c r="AG30" s="261"/>
      <c r="AH30" s="280" t="s">
        <v>443</v>
      </c>
      <c r="AI30" s="246"/>
      <c r="AJ30" s="283" t="s">
        <v>450</v>
      </c>
      <c r="AK30" s="246"/>
      <c r="AM30" s="246"/>
      <c r="AN30" s="261"/>
      <c r="AO30" s="324"/>
      <c r="AP30" s="246"/>
      <c r="AQ30" s="311" t="s">
        <v>459</v>
      </c>
      <c r="AR30" s="246"/>
      <c r="AS30" s="348" t="s">
        <v>831</v>
      </c>
      <c r="AT30" s="254" t="str">
        <f>IF(COUNTIF($AO$85:$AT$87, AH36) &gt; 0, "X", "")</f>
        <v/>
      </c>
      <c r="AU30" s="269"/>
      <c r="AV30" s="269"/>
      <c r="AW30" s="206" t="str">
        <f t="shared" si="11"/>
        <v>#REF!</v>
      </c>
      <c r="AX30" s="207">
        <f t="shared" si="2"/>
        <v>5</v>
      </c>
      <c r="AY30" s="208">
        <f t="shared" si="3"/>
        <v>5</v>
      </c>
      <c r="AZ30" s="208">
        <f t="shared" si="4"/>
        <v>3</v>
      </c>
      <c r="BA30" s="208">
        <f t="shared" si="5"/>
        <v>1</v>
      </c>
      <c r="BB30" s="209">
        <f t="shared" si="6"/>
        <v>1</v>
      </c>
      <c r="BC30" s="210">
        <f t="shared" si="7"/>
        <v>120</v>
      </c>
      <c r="BD30" s="211"/>
      <c r="BE30" s="212"/>
    </row>
    <row r="31">
      <c r="A31" s="94"/>
      <c r="B31" s="256" t="s">
        <v>665</v>
      </c>
      <c r="C31" s="257" t="s">
        <v>663</v>
      </c>
      <c r="D31" s="330"/>
      <c r="E31" s="259"/>
      <c r="F31" s="566"/>
      <c r="G31" s="246"/>
      <c r="H31" s="274" t="s">
        <v>448</v>
      </c>
      <c r="I31" s="246"/>
      <c r="J31" s="340" t="s">
        <v>409</v>
      </c>
      <c r="K31" s="246"/>
      <c r="L31" s="261"/>
      <c r="M31" s="341"/>
      <c r="N31" s="246"/>
      <c r="P31" s="246"/>
      <c r="R31" s="246"/>
      <c r="S31" s="261"/>
      <c r="T31" s="274" t="s">
        <v>448</v>
      </c>
      <c r="U31" s="246"/>
      <c r="V31" s="274" t="s">
        <v>415</v>
      </c>
      <c r="W31" s="246"/>
      <c r="X31" s="479"/>
      <c r="Y31" s="246"/>
      <c r="Z31" s="261"/>
      <c r="AA31" s="341"/>
      <c r="AB31" s="246"/>
      <c r="AD31" s="246"/>
      <c r="AF31" s="246"/>
      <c r="AG31" s="261"/>
      <c r="AI31" s="246"/>
      <c r="AK31" s="246"/>
      <c r="AL31" s="340" t="s">
        <v>409</v>
      </c>
      <c r="AM31" s="246"/>
      <c r="AN31" s="261"/>
      <c r="AO31" s="341"/>
      <c r="AP31" s="246"/>
      <c r="AR31" s="246"/>
      <c r="AT31" s="254" t="str">
        <f t="shared" ref="AT31:AT35" si="14">IF(COUNTIF($AO$85:$AT$87, #REF!) &gt; 0, "X", "")</f>
        <v/>
      </c>
      <c r="AU31" s="269"/>
      <c r="AV31" s="269"/>
      <c r="AW31" s="206" t="str">
        <f t="shared" si="11"/>
        <v>#REF!</v>
      </c>
      <c r="AX31" s="207">
        <f t="shared" si="2"/>
        <v>5</v>
      </c>
      <c r="AY31" s="208">
        <f t="shared" si="3"/>
        <v>5</v>
      </c>
      <c r="AZ31" s="208">
        <f t="shared" si="4"/>
        <v>3</v>
      </c>
      <c r="BA31" s="208">
        <f t="shared" si="5"/>
        <v>1</v>
      </c>
      <c r="BB31" s="209">
        <f t="shared" si="6"/>
        <v>1</v>
      </c>
      <c r="BC31" s="210">
        <f t="shared" si="7"/>
        <v>120</v>
      </c>
      <c r="BD31" s="211"/>
      <c r="BE31" s="212"/>
    </row>
    <row r="32">
      <c r="A32" s="94"/>
      <c r="B32" s="328" t="s">
        <v>665</v>
      </c>
      <c r="C32" s="329" t="s">
        <v>645</v>
      </c>
      <c r="D32" s="330"/>
      <c r="E32" s="259"/>
      <c r="F32" s="566"/>
      <c r="G32" s="246"/>
      <c r="H32" s="311" t="s">
        <v>459</v>
      </c>
      <c r="I32" s="246"/>
      <c r="J32" s="274" t="s">
        <v>655</v>
      </c>
      <c r="K32" s="246"/>
      <c r="L32" s="261"/>
      <c r="M32" s="341"/>
      <c r="N32" s="246"/>
      <c r="O32" s="311" t="s">
        <v>459</v>
      </c>
      <c r="P32" s="246"/>
      <c r="Q32" s="340" t="s">
        <v>409</v>
      </c>
      <c r="R32" s="246"/>
      <c r="S32" s="261"/>
      <c r="T32" s="274" t="s">
        <v>443</v>
      </c>
      <c r="U32" s="246"/>
      <c r="V32" s="311" t="s">
        <v>459</v>
      </c>
      <c r="W32" s="246"/>
      <c r="X32" s="479"/>
      <c r="Y32" s="246"/>
      <c r="Z32" s="261"/>
      <c r="AA32" s="341"/>
      <c r="AB32" s="246"/>
      <c r="AC32" s="274" t="s">
        <v>415</v>
      </c>
      <c r="AD32" s="246"/>
      <c r="AE32" s="274" t="s">
        <v>448</v>
      </c>
      <c r="AF32" s="246"/>
      <c r="AG32" s="261"/>
      <c r="AH32" s="274" t="s">
        <v>448</v>
      </c>
      <c r="AI32" s="246"/>
      <c r="AJ32" s="311" t="s">
        <v>459</v>
      </c>
      <c r="AK32" s="246"/>
      <c r="AL32" s="348" t="s">
        <v>831</v>
      </c>
      <c r="AM32" s="246"/>
      <c r="AN32" s="261"/>
      <c r="AO32" s="341"/>
      <c r="AP32" s="246"/>
      <c r="AQ32" s="340" t="s">
        <v>409</v>
      </c>
      <c r="AR32" s="246"/>
      <c r="AS32" s="274" t="s">
        <v>448</v>
      </c>
      <c r="AT32" s="254" t="str">
        <f t="shared" si="14"/>
        <v/>
      </c>
      <c r="AU32" s="269"/>
      <c r="AV32" s="269"/>
      <c r="AW32" s="206" t="str">
        <f t="shared" si="11"/>
        <v>#REF!</v>
      </c>
      <c r="AX32" s="207">
        <f t="shared" si="2"/>
        <v>5</v>
      </c>
      <c r="AY32" s="208">
        <f t="shared" si="3"/>
        <v>5</v>
      </c>
      <c r="AZ32" s="208">
        <f t="shared" si="4"/>
        <v>3</v>
      </c>
      <c r="BA32" s="208">
        <f t="shared" si="5"/>
        <v>1</v>
      </c>
      <c r="BB32" s="209">
        <f t="shared" si="6"/>
        <v>1</v>
      </c>
      <c r="BC32" s="210">
        <f t="shared" si="7"/>
        <v>120</v>
      </c>
      <c r="BD32" s="211"/>
      <c r="BE32" s="212"/>
    </row>
    <row r="33">
      <c r="A33" s="94"/>
      <c r="B33" s="342" t="s">
        <v>667</v>
      </c>
      <c r="C33" s="343" t="s">
        <v>657</v>
      </c>
      <c r="D33" s="323"/>
      <c r="E33" s="261"/>
      <c r="F33" s="572" t="s">
        <v>401</v>
      </c>
      <c r="G33" s="246"/>
      <c r="H33" s="313" t="s">
        <v>832</v>
      </c>
      <c r="I33" s="246"/>
      <c r="K33" s="246"/>
      <c r="L33" s="261"/>
      <c r="M33" s="346"/>
      <c r="N33" s="246"/>
      <c r="O33" s="572" t="s">
        <v>401</v>
      </c>
      <c r="P33" s="246"/>
      <c r="Q33" s="313" t="s">
        <v>832</v>
      </c>
      <c r="R33" s="246"/>
      <c r="S33" s="261"/>
      <c r="U33" s="246"/>
      <c r="W33" s="246"/>
      <c r="X33" s="479"/>
      <c r="Y33" s="246"/>
      <c r="Z33" s="261"/>
      <c r="AA33" s="346"/>
      <c r="AB33" s="246"/>
      <c r="AC33" s="573" t="s">
        <v>401</v>
      </c>
      <c r="AD33" s="246"/>
      <c r="AF33" s="246"/>
      <c r="AG33" s="261"/>
      <c r="AH33" s="572" t="s">
        <v>401</v>
      </c>
      <c r="AI33" s="246"/>
      <c r="AJ33" s="265"/>
      <c r="AK33" s="246"/>
      <c r="AL33" s="265"/>
      <c r="AM33" s="246"/>
      <c r="AN33" s="261"/>
      <c r="AO33" s="346"/>
      <c r="AP33" s="246"/>
      <c r="AQ33" s="572" t="s">
        <v>401</v>
      </c>
      <c r="AR33" s="246"/>
      <c r="AS33" s="313" t="s">
        <v>832</v>
      </c>
      <c r="AT33" s="254" t="str">
        <f t="shared" si="14"/>
        <v/>
      </c>
      <c r="AU33" s="269"/>
      <c r="AV33" s="269"/>
      <c r="AW33" s="206" t="str">
        <f t="shared" si="11"/>
        <v>#REF!</v>
      </c>
      <c r="AX33" s="207">
        <f t="shared" si="2"/>
        <v>5</v>
      </c>
      <c r="AY33" s="208">
        <f t="shared" si="3"/>
        <v>5</v>
      </c>
      <c r="AZ33" s="208">
        <f t="shared" si="4"/>
        <v>3</v>
      </c>
      <c r="BA33" s="208">
        <f t="shared" si="5"/>
        <v>1</v>
      </c>
      <c r="BB33" s="209">
        <f t="shared" si="6"/>
        <v>1</v>
      </c>
      <c r="BC33" s="210">
        <f t="shared" si="7"/>
        <v>120</v>
      </c>
      <c r="BD33" s="211"/>
      <c r="BE33" s="212"/>
    </row>
    <row r="34">
      <c r="A34" s="234"/>
      <c r="B34" s="349" t="s">
        <v>669</v>
      </c>
      <c r="C34" s="350" t="s">
        <v>649</v>
      </c>
      <c r="D34" s="351"/>
      <c r="E34" s="259"/>
      <c r="F34" s="293" t="s">
        <v>421</v>
      </c>
      <c r="G34" s="246"/>
      <c r="H34" s="355" t="s">
        <v>670</v>
      </c>
      <c r="I34" s="246"/>
      <c r="J34" s="293" t="s">
        <v>422</v>
      </c>
      <c r="K34" s="246"/>
      <c r="L34" s="261"/>
      <c r="M34" s="354"/>
      <c r="N34" s="246"/>
      <c r="O34" s="355" t="s">
        <v>670</v>
      </c>
      <c r="P34" s="246"/>
      <c r="Q34" s="574" t="s">
        <v>833</v>
      </c>
      <c r="R34" s="246"/>
      <c r="S34" s="261"/>
      <c r="T34" s="355" t="s">
        <v>670</v>
      </c>
      <c r="U34" s="246"/>
      <c r="V34" s="293" t="s">
        <v>421</v>
      </c>
      <c r="W34" s="246"/>
      <c r="X34" s="479"/>
      <c r="Y34" s="246"/>
      <c r="Z34" s="261"/>
      <c r="AA34" s="354"/>
      <c r="AB34" s="246"/>
      <c r="AC34" s="355" t="s">
        <v>670</v>
      </c>
      <c r="AD34" s="246"/>
      <c r="AE34" s="356" t="s">
        <v>423</v>
      </c>
      <c r="AF34" s="246"/>
      <c r="AG34" s="261"/>
      <c r="AH34" s="575" t="s">
        <v>834</v>
      </c>
      <c r="AI34" s="246"/>
      <c r="AJ34" s="355" t="s">
        <v>420</v>
      </c>
      <c r="AK34" s="246"/>
      <c r="AL34" s="253" t="s">
        <v>417</v>
      </c>
      <c r="AM34" s="246"/>
      <c r="AN34" s="261"/>
      <c r="AO34" s="354"/>
      <c r="AP34" s="246"/>
      <c r="AQ34" s="253" t="s">
        <v>417</v>
      </c>
      <c r="AR34" s="246"/>
      <c r="AS34" s="575" t="s">
        <v>834</v>
      </c>
      <c r="AT34" s="254" t="str">
        <f t="shared" si="14"/>
        <v/>
      </c>
      <c r="AU34" s="269"/>
      <c r="AV34" s="269"/>
      <c r="AW34" s="206" t="str">
        <f t="shared" si="11"/>
        <v>#REF!</v>
      </c>
      <c r="AX34" s="207">
        <f t="shared" si="2"/>
        <v>5</v>
      </c>
      <c r="AY34" s="208">
        <f t="shared" si="3"/>
        <v>5</v>
      </c>
      <c r="AZ34" s="208">
        <f t="shared" si="4"/>
        <v>3</v>
      </c>
      <c r="BA34" s="208">
        <f t="shared" si="5"/>
        <v>1</v>
      </c>
      <c r="BB34" s="209">
        <f t="shared" si="6"/>
        <v>1</v>
      </c>
      <c r="BC34" s="210">
        <f t="shared" si="7"/>
        <v>120</v>
      </c>
      <c r="BD34" s="211"/>
      <c r="BE34" s="212"/>
    </row>
    <row r="35">
      <c r="A35" s="94"/>
      <c r="B35" s="296" t="s">
        <v>650</v>
      </c>
      <c r="C35" s="297" t="s">
        <v>649</v>
      </c>
      <c r="D35" s="323"/>
      <c r="E35" s="259"/>
      <c r="F35" s="299"/>
      <c r="G35" s="298"/>
      <c r="H35" s="517" t="s">
        <v>397</v>
      </c>
      <c r="I35" s="298"/>
      <c r="J35" s="299"/>
      <c r="K35" s="298"/>
      <c r="L35" s="261"/>
      <c r="M35" s="324"/>
      <c r="N35" s="298"/>
      <c r="O35" s="517" t="s">
        <v>397</v>
      </c>
      <c r="P35" s="298"/>
      <c r="Q35" s="319"/>
      <c r="R35" s="298"/>
      <c r="S35" s="261"/>
      <c r="T35" s="319"/>
      <c r="U35" s="298"/>
      <c r="V35" s="517" t="s">
        <v>397</v>
      </c>
      <c r="W35" s="298"/>
      <c r="X35" s="479"/>
      <c r="Y35" s="298"/>
      <c r="Z35" s="261"/>
      <c r="AA35" s="324"/>
      <c r="AB35" s="298"/>
      <c r="AC35" s="517" t="s">
        <v>397</v>
      </c>
      <c r="AD35" s="298"/>
      <c r="AE35" s="313" t="s">
        <v>832</v>
      </c>
      <c r="AF35" s="298"/>
      <c r="AG35" s="261"/>
      <c r="AH35" s="313" t="s">
        <v>832</v>
      </c>
      <c r="AI35" s="298"/>
      <c r="AJ35" s="517" t="s">
        <v>397</v>
      </c>
      <c r="AK35" s="298"/>
      <c r="AL35" s="300"/>
      <c r="AM35" s="298"/>
      <c r="AN35" s="261"/>
      <c r="AO35" s="324"/>
      <c r="AP35" s="298"/>
      <c r="AQ35" s="299"/>
      <c r="AR35" s="298"/>
      <c r="AS35" s="299"/>
      <c r="AT35" s="254" t="str">
        <f t="shared" si="14"/>
        <v/>
      </c>
      <c r="AU35" s="269"/>
      <c r="AV35" s="269"/>
      <c r="AW35" s="206" t="str">
        <f t="shared" si="11"/>
        <v>#REF!</v>
      </c>
      <c r="AX35" s="207">
        <f t="shared" si="2"/>
        <v>5</v>
      </c>
      <c r="AY35" s="208">
        <f t="shared" si="3"/>
        <v>5</v>
      </c>
      <c r="AZ35" s="208">
        <f t="shared" si="4"/>
        <v>3</v>
      </c>
      <c r="BA35" s="208">
        <f t="shared" si="5"/>
        <v>1</v>
      </c>
      <c r="BB35" s="209">
        <f t="shared" si="6"/>
        <v>1</v>
      </c>
      <c r="BC35" s="210">
        <f t="shared" si="7"/>
        <v>120</v>
      </c>
      <c r="BD35" s="211"/>
      <c r="BE35" s="212"/>
    </row>
    <row r="36">
      <c r="A36" s="94"/>
      <c r="B36" s="301" t="s">
        <v>651</v>
      </c>
      <c r="C36" s="302" t="s">
        <v>652</v>
      </c>
      <c r="D36" s="330"/>
      <c r="E36" s="259"/>
      <c r="F36" s="303"/>
      <c r="G36" s="298"/>
      <c r="H36" s="576"/>
      <c r="I36" s="298"/>
      <c r="J36" s="570"/>
      <c r="K36" s="298"/>
      <c r="L36" s="261"/>
      <c r="M36" s="250"/>
      <c r="N36" s="298"/>
      <c r="O36" s="303"/>
      <c r="P36" s="298"/>
      <c r="Q36" s="303"/>
      <c r="R36" s="298"/>
      <c r="S36" s="261"/>
      <c r="T36" s="303"/>
      <c r="U36" s="298"/>
      <c r="V36" s="576"/>
      <c r="W36" s="298"/>
      <c r="X36" s="577"/>
      <c r="Y36" s="298"/>
      <c r="Z36" s="261"/>
      <c r="AA36" s="250"/>
      <c r="AB36" s="298"/>
      <c r="AC36" s="303"/>
      <c r="AD36" s="298"/>
      <c r="AE36" s="303"/>
      <c r="AF36" s="298"/>
      <c r="AG36" s="261"/>
      <c r="AH36" s="304"/>
      <c r="AI36" s="298"/>
      <c r="AJ36" s="360" t="s">
        <v>835</v>
      </c>
      <c r="AK36" s="298"/>
      <c r="AL36" s="569"/>
      <c r="AM36" s="298"/>
      <c r="AN36" s="261"/>
      <c r="AO36" s="250"/>
      <c r="AP36" s="298"/>
      <c r="AQ36" s="303"/>
      <c r="AR36" s="298"/>
      <c r="AS36" s="303"/>
      <c r="AT36" s="254" t="str">
        <f>IF(COUNTIF($AO$85:$AT$87, AS35) &gt; 0, "X", "")</f>
        <v/>
      </c>
      <c r="AU36" s="269"/>
      <c r="AV36" s="269"/>
      <c r="AW36" s="206" t="str">
        <f t="shared" si="11"/>
        <v>#REF!</v>
      </c>
      <c r="AX36" s="207">
        <f t="shared" si="2"/>
        <v>5</v>
      </c>
      <c r="AY36" s="208">
        <f t="shared" si="3"/>
        <v>5</v>
      </c>
      <c r="AZ36" s="208">
        <f t="shared" si="4"/>
        <v>3</v>
      </c>
      <c r="BA36" s="208">
        <f t="shared" si="5"/>
        <v>1</v>
      </c>
      <c r="BB36" s="209">
        <f t="shared" si="6"/>
        <v>1</v>
      </c>
      <c r="BC36" s="210">
        <f t="shared" si="7"/>
        <v>120</v>
      </c>
      <c r="BD36" s="211"/>
      <c r="BE36" s="212"/>
    </row>
    <row r="37">
      <c r="A37" s="94"/>
      <c r="B37" s="361" t="s">
        <v>673</v>
      </c>
      <c r="C37" s="362" t="s">
        <v>674</v>
      </c>
      <c r="D37" s="363"/>
      <c r="E37" s="259"/>
      <c r="F37" s="274" t="s">
        <v>433</v>
      </c>
      <c r="G37" s="298"/>
      <c r="H37" s="578" t="s">
        <v>676</v>
      </c>
      <c r="I37" s="298"/>
      <c r="J37" s="274" t="s">
        <v>443</v>
      </c>
      <c r="K37" s="298"/>
      <c r="L37" s="261"/>
      <c r="M37" s="324"/>
      <c r="N37" s="298"/>
      <c r="O37" s="336" t="s">
        <v>412</v>
      </c>
      <c r="P37" s="298"/>
      <c r="Q37" s="366" t="s">
        <v>676</v>
      </c>
      <c r="R37" s="298"/>
      <c r="S37" s="261"/>
      <c r="T37" s="251" t="s">
        <v>457</v>
      </c>
      <c r="U37" s="298"/>
      <c r="V37" s="251" t="s">
        <v>412</v>
      </c>
      <c r="W37" s="298"/>
      <c r="X37" s="479"/>
      <c r="Y37" s="298"/>
      <c r="Z37" s="261"/>
      <c r="AA37" s="324"/>
      <c r="AB37" s="298"/>
      <c r="AC37" s="365" t="s">
        <v>412</v>
      </c>
      <c r="AD37" s="298"/>
      <c r="AE37" s="251" t="s">
        <v>457</v>
      </c>
      <c r="AF37" s="298"/>
      <c r="AG37" s="261"/>
      <c r="AH37" s="274" t="s">
        <v>433</v>
      </c>
      <c r="AI37" s="298"/>
      <c r="AJ37" s="365" t="s">
        <v>412</v>
      </c>
      <c r="AK37" s="298"/>
      <c r="AL37" s="251" t="s">
        <v>457</v>
      </c>
      <c r="AM37" s="298"/>
      <c r="AN37" s="261"/>
      <c r="AO37" s="324"/>
      <c r="AP37" s="298"/>
      <c r="AQ37" s="251" t="s">
        <v>457</v>
      </c>
      <c r="AR37" s="298"/>
      <c r="AS37" s="274" t="s">
        <v>433</v>
      </c>
      <c r="AT37" s="254" t="str">
        <f t="shared" ref="AT37:AT38" si="15">IF(COUNTIF($AO$85:$AT$87, #REF!) &gt; 0, "X", "")</f>
        <v/>
      </c>
      <c r="AU37" s="269"/>
      <c r="AV37" s="269"/>
      <c r="AW37" s="206" t="str">
        <f t="shared" si="11"/>
        <v>#REF!</v>
      </c>
      <c r="AX37" s="207">
        <f t="shared" si="2"/>
        <v>5</v>
      </c>
      <c r="AY37" s="208">
        <f t="shared" si="3"/>
        <v>5</v>
      </c>
      <c r="AZ37" s="208">
        <f t="shared" si="4"/>
        <v>3</v>
      </c>
      <c r="BA37" s="208">
        <f t="shared" si="5"/>
        <v>1</v>
      </c>
      <c r="BB37" s="209">
        <f t="shared" si="6"/>
        <v>1</v>
      </c>
      <c r="BC37" s="210">
        <f t="shared" si="7"/>
        <v>120</v>
      </c>
      <c r="BD37" s="211"/>
      <c r="BE37" s="212"/>
    </row>
    <row r="38">
      <c r="A38" s="94"/>
      <c r="B38" s="367" t="s">
        <v>677</v>
      </c>
      <c r="C38" s="368" t="s">
        <v>674</v>
      </c>
      <c r="D38" s="369"/>
      <c r="E38" s="259"/>
      <c r="G38" s="246"/>
      <c r="I38" s="246"/>
      <c r="K38" s="246"/>
      <c r="L38" s="261"/>
      <c r="M38" s="250"/>
      <c r="N38" s="246"/>
      <c r="O38" s="282"/>
      <c r="P38" s="246"/>
      <c r="R38" s="246"/>
      <c r="S38" s="261"/>
      <c r="T38" s="282"/>
      <c r="U38" s="246"/>
      <c r="W38" s="246"/>
      <c r="X38" s="479"/>
      <c r="Y38" s="246"/>
      <c r="Z38" s="261"/>
      <c r="AA38" s="250"/>
      <c r="AB38" s="246"/>
      <c r="AC38" s="282"/>
      <c r="AD38" s="246"/>
      <c r="AF38" s="246"/>
      <c r="AG38" s="261"/>
      <c r="AH38" s="282"/>
      <c r="AI38" s="246"/>
      <c r="AJ38" s="325" t="s">
        <v>836</v>
      </c>
      <c r="AK38" s="246"/>
      <c r="AM38" s="246"/>
      <c r="AN38" s="261"/>
      <c r="AO38" s="250"/>
      <c r="AP38" s="246"/>
      <c r="AQ38" s="311" t="s">
        <v>394</v>
      </c>
      <c r="AR38" s="246"/>
      <c r="AT38" s="254" t="str">
        <f t="shared" si="15"/>
        <v/>
      </c>
      <c r="AU38" s="269"/>
      <c r="AV38" s="269"/>
      <c r="AW38" s="206" t="str">
        <f t="shared" si="11"/>
        <v>#REF!</v>
      </c>
      <c r="AX38" s="207">
        <f t="shared" si="2"/>
        <v>5</v>
      </c>
      <c r="AY38" s="208">
        <f t="shared" si="3"/>
        <v>5</v>
      </c>
      <c r="AZ38" s="208">
        <f t="shared" si="4"/>
        <v>3</v>
      </c>
      <c r="BA38" s="208">
        <f t="shared" si="5"/>
        <v>1</v>
      </c>
      <c r="BB38" s="209">
        <f t="shared" si="6"/>
        <v>1</v>
      </c>
      <c r="BC38" s="210">
        <f t="shared" si="7"/>
        <v>120</v>
      </c>
      <c r="BD38" s="211"/>
      <c r="BE38" s="212"/>
    </row>
    <row r="39">
      <c r="A39" s="372"/>
      <c r="B39" s="256" t="s">
        <v>679</v>
      </c>
      <c r="C39" s="257" t="s">
        <v>680</v>
      </c>
      <c r="D39" s="330"/>
      <c r="E39" s="259"/>
      <c r="F39" s="311" t="s">
        <v>393</v>
      </c>
      <c r="G39" s="246"/>
      <c r="H39" s="374" t="s">
        <v>436</v>
      </c>
      <c r="I39" s="246"/>
      <c r="J39" s="274" t="s">
        <v>439</v>
      </c>
      <c r="K39" s="246"/>
      <c r="L39" s="261"/>
      <c r="M39" s="333"/>
      <c r="N39" s="246"/>
      <c r="O39" s="374" t="s">
        <v>436</v>
      </c>
      <c r="P39" s="246"/>
      <c r="Q39" s="274" t="s">
        <v>439</v>
      </c>
      <c r="R39" s="246"/>
      <c r="S39" s="261"/>
      <c r="T39" s="274" t="s">
        <v>437</v>
      </c>
      <c r="U39" s="246"/>
      <c r="V39" s="374" t="s">
        <v>436</v>
      </c>
      <c r="W39" s="246"/>
      <c r="X39" s="479"/>
      <c r="Y39" s="246"/>
      <c r="Z39" s="261"/>
      <c r="AA39" s="333"/>
      <c r="AB39" s="246"/>
      <c r="AC39" s="274" t="s">
        <v>406</v>
      </c>
      <c r="AD39" s="246"/>
      <c r="AE39" s="376" t="s">
        <v>453</v>
      </c>
      <c r="AF39" s="246"/>
      <c r="AG39" s="261"/>
      <c r="AH39" s="311" t="s">
        <v>393</v>
      </c>
      <c r="AI39" s="246"/>
      <c r="AJ39" s="274" t="s">
        <v>406</v>
      </c>
      <c r="AK39" s="246"/>
      <c r="AL39" s="274" t="s">
        <v>437</v>
      </c>
      <c r="AM39" s="246"/>
      <c r="AN39" s="261"/>
      <c r="AO39" s="333"/>
      <c r="AP39" s="246"/>
      <c r="AQ39" s="374" t="s">
        <v>436</v>
      </c>
      <c r="AR39" s="246"/>
      <c r="AS39" s="274" t="s">
        <v>437</v>
      </c>
      <c r="AT39" s="254" t="str">
        <f>IF(COUNTIF($AO$85:$AT$87, AS37) &gt; 0, "X", "")</f>
        <v/>
      </c>
      <c r="AU39" s="269"/>
      <c r="AV39" s="269"/>
      <c r="AW39" s="206" t="str">
        <f t="shared" si="11"/>
        <v>#REF!</v>
      </c>
      <c r="AX39" s="207">
        <f t="shared" si="2"/>
        <v>5</v>
      </c>
      <c r="AY39" s="208">
        <f t="shared" si="3"/>
        <v>5</v>
      </c>
      <c r="AZ39" s="208">
        <f t="shared" si="4"/>
        <v>3</v>
      </c>
      <c r="BA39" s="208">
        <f t="shared" si="5"/>
        <v>1</v>
      </c>
      <c r="BB39" s="209">
        <f t="shared" si="6"/>
        <v>1</v>
      </c>
      <c r="BC39" s="210">
        <f t="shared" si="7"/>
        <v>120</v>
      </c>
      <c r="BD39" s="211"/>
      <c r="BE39" s="212"/>
    </row>
    <row r="40">
      <c r="A40" s="94"/>
      <c r="B40" s="328" t="s">
        <v>679</v>
      </c>
      <c r="C40" s="329" t="s">
        <v>652</v>
      </c>
      <c r="D40" s="330"/>
      <c r="E40" s="259"/>
      <c r="G40" s="246"/>
      <c r="I40" s="246"/>
      <c r="K40" s="246"/>
      <c r="L40" s="261"/>
      <c r="M40" s="346"/>
      <c r="N40" s="246"/>
      <c r="P40" s="246"/>
      <c r="R40" s="246"/>
      <c r="S40" s="261"/>
      <c r="T40" s="376" t="s">
        <v>453</v>
      </c>
      <c r="U40" s="246"/>
      <c r="W40" s="246"/>
      <c r="X40" s="479"/>
      <c r="Y40" s="246"/>
      <c r="Z40" s="261"/>
      <c r="AA40" s="346"/>
      <c r="AB40" s="246"/>
      <c r="AD40" s="246"/>
      <c r="AE40" s="274" t="s">
        <v>439</v>
      </c>
      <c r="AF40" s="246"/>
      <c r="AG40" s="261"/>
      <c r="AH40" s="282"/>
      <c r="AI40" s="246"/>
      <c r="AK40" s="246"/>
      <c r="AM40" s="246"/>
      <c r="AN40" s="261"/>
      <c r="AO40" s="346"/>
      <c r="AP40" s="246"/>
      <c r="AR40" s="246"/>
      <c r="AT40" s="254" t="str">
        <f t="shared" ref="AT40:AT44" si="16">IF(COUNTIF($AO$85:$AT$87, #REF!) &gt; 0, "X", "")</f>
        <v/>
      </c>
      <c r="AU40" s="269"/>
      <c r="AV40" s="269"/>
      <c r="AW40" s="206" t="str">
        <f t="shared" ref="AW40:AW58" si="17">TEAM!B41</f>
        <v>#REF!</v>
      </c>
      <c r="AX40" s="207">
        <f t="shared" si="2"/>
        <v>5</v>
      </c>
      <c r="AY40" s="208">
        <f t="shared" si="3"/>
        <v>5</v>
      </c>
      <c r="AZ40" s="208">
        <f t="shared" si="4"/>
        <v>3</v>
      </c>
      <c r="BA40" s="208">
        <f t="shared" si="5"/>
        <v>1</v>
      </c>
      <c r="BB40" s="209">
        <f t="shared" si="6"/>
        <v>1</v>
      </c>
      <c r="BC40" s="210">
        <f t="shared" si="7"/>
        <v>120</v>
      </c>
      <c r="BD40" s="211"/>
      <c r="BE40" s="212"/>
    </row>
    <row r="41">
      <c r="A41" s="94"/>
      <c r="B41" s="328" t="s">
        <v>679</v>
      </c>
      <c r="C41" s="329" t="s">
        <v>683</v>
      </c>
      <c r="D41" s="330"/>
      <c r="E41" s="259"/>
      <c r="G41" s="246"/>
      <c r="H41" s="274" t="s">
        <v>406</v>
      </c>
      <c r="I41" s="246"/>
      <c r="J41" s="340" t="s">
        <v>437</v>
      </c>
      <c r="K41" s="246"/>
      <c r="L41" s="261"/>
      <c r="M41" s="341"/>
      <c r="N41" s="246"/>
      <c r="O41" s="374" t="s">
        <v>407</v>
      </c>
      <c r="P41" s="246"/>
      <c r="Q41" s="290" t="s">
        <v>455</v>
      </c>
      <c r="R41" s="246"/>
      <c r="S41" s="261"/>
      <c r="T41" s="274" t="s">
        <v>433</v>
      </c>
      <c r="U41" s="246"/>
      <c r="V41" s="274" t="s">
        <v>439</v>
      </c>
      <c r="W41" s="246"/>
      <c r="X41" s="479"/>
      <c r="Y41" s="246"/>
      <c r="Z41" s="261"/>
      <c r="AA41" s="341"/>
      <c r="AB41" s="246"/>
      <c r="AC41" s="374" t="s">
        <v>436</v>
      </c>
      <c r="AD41" s="246"/>
      <c r="AE41" s="274" t="s">
        <v>433</v>
      </c>
      <c r="AF41" s="246"/>
      <c r="AG41" s="261"/>
      <c r="AI41" s="246"/>
      <c r="AJ41" s="336" t="s">
        <v>398</v>
      </c>
      <c r="AK41" s="246"/>
      <c r="AL41" s="579" t="s">
        <v>837</v>
      </c>
      <c r="AM41" s="246"/>
      <c r="AN41" s="261"/>
      <c r="AO41" s="341"/>
      <c r="AP41" s="246"/>
      <c r="AQ41" s="274" t="s">
        <v>397</v>
      </c>
      <c r="AR41" s="246"/>
      <c r="AS41" s="376" t="s">
        <v>453</v>
      </c>
      <c r="AT41" s="254" t="str">
        <f t="shared" si="16"/>
        <v/>
      </c>
      <c r="AU41" s="269"/>
      <c r="AV41" s="269"/>
      <c r="AW41" s="206" t="str">
        <f t="shared" si="17"/>
        <v>#REF!</v>
      </c>
      <c r="AX41" s="207">
        <f t="shared" si="2"/>
        <v>5</v>
      </c>
      <c r="AY41" s="208">
        <f t="shared" si="3"/>
        <v>5</v>
      </c>
      <c r="AZ41" s="208">
        <f t="shared" si="4"/>
        <v>3</v>
      </c>
      <c r="BA41" s="208">
        <f t="shared" si="5"/>
        <v>1</v>
      </c>
      <c r="BB41" s="209">
        <f t="shared" si="6"/>
        <v>1</v>
      </c>
      <c r="BC41" s="210">
        <f t="shared" si="7"/>
        <v>120</v>
      </c>
      <c r="BD41" s="211"/>
      <c r="BE41" s="212"/>
    </row>
    <row r="42">
      <c r="A42" s="270"/>
      <c r="B42" s="377" t="s">
        <v>684</v>
      </c>
      <c r="C42" s="378" t="s">
        <v>685</v>
      </c>
      <c r="D42" s="379"/>
      <c r="E42" s="380"/>
      <c r="F42" s="580" t="s">
        <v>453</v>
      </c>
      <c r="G42" s="246"/>
      <c r="H42" s="282"/>
      <c r="I42" s="246"/>
      <c r="K42" s="246"/>
      <c r="L42" s="381"/>
      <c r="M42" s="341"/>
      <c r="N42" s="246"/>
      <c r="O42" s="282"/>
      <c r="P42" s="246"/>
      <c r="Q42" s="287" t="s">
        <v>405</v>
      </c>
      <c r="R42" s="246"/>
      <c r="S42" s="381"/>
      <c r="T42" s="282"/>
      <c r="U42" s="246"/>
      <c r="V42" s="282"/>
      <c r="W42" s="246"/>
      <c r="X42" s="479"/>
      <c r="Y42" s="246"/>
      <c r="Z42" s="381"/>
      <c r="AA42" s="341"/>
      <c r="AB42" s="246"/>
      <c r="AC42" s="282"/>
      <c r="AD42" s="246"/>
      <c r="AF42" s="246"/>
      <c r="AG42" s="381"/>
      <c r="AH42" s="376" t="s">
        <v>453</v>
      </c>
      <c r="AI42" s="246"/>
      <c r="AK42" s="246"/>
      <c r="AL42" s="251" t="s">
        <v>410</v>
      </c>
      <c r="AM42" s="246"/>
      <c r="AN42" s="381"/>
      <c r="AO42" s="341"/>
      <c r="AP42" s="246"/>
      <c r="AR42" s="246"/>
      <c r="AS42" s="251" t="s">
        <v>410</v>
      </c>
      <c r="AT42" s="254" t="str">
        <f t="shared" si="16"/>
        <v/>
      </c>
      <c r="AU42" s="269"/>
      <c r="AV42" s="269"/>
      <c r="AW42" s="206" t="str">
        <f t="shared" si="17"/>
        <v>#REF!</v>
      </c>
      <c r="AX42" s="207">
        <f t="shared" si="2"/>
        <v>5</v>
      </c>
      <c r="AY42" s="208">
        <f t="shared" si="3"/>
        <v>5</v>
      </c>
      <c r="AZ42" s="208">
        <f t="shared" si="4"/>
        <v>3</v>
      </c>
      <c r="BA42" s="208">
        <f t="shared" si="5"/>
        <v>1</v>
      </c>
      <c r="BB42" s="209">
        <f t="shared" si="6"/>
        <v>1</v>
      </c>
      <c r="BC42" s="210">
        <f t="shared" si="7"/>
        <v>120</v>
      </c>
      <c r="BD42" s="211"/>
      <c r="BE42" s="212"/>
    </row>
    <row r="43">
      <c r="A43" s="234"/>
      <c r="B43" s="382" t="s">
        <v>686</v>
      </c>
      <c r="C43" s="242" t="s">
        <v>652</v>
      </c>
      <c r="D43" s="363"/>
      <c r="E43" s="259"/>
      <c r="F43" s="290" t="s">
        <v>466</v>
      </c>
      <c r="G43" s="246"/>
      <c r="H43" s="280" t="s">
        <v>435</v>
      </c>
      <c r="I43" s="246"/>
      <c r="J43" s="251" t="s">
        <v>429</v>
      </c>
      <c r="K43" s="246"/>
      <c r="L43" s="261"/>
      <c r="M43" s="341"/>
      <c r="N43" s="246"/>
      <c r="O43" s="365" t="s">
        <v>435</v>
      </c>
      <c r="P43" s="246"/>
      <c r="Q43" s="376" t="s">
        <v>453</v>
      </c>
      <c r="R43" s="246"/>
      <c r="S43" s="261"/>
      <c r="T43" s="376" t="s">
        <v>466</v>
      </c>
      <c r="U43" s="246"/>
      <c r="V43" s="251" t="s">
        <v>435</v>
      </c>
      <c r="W43" s="246"/>
      <c r="X43" s="479"/>
      <c r="Y43" s="246"/>
      <c r="Z43" s="261"/>
      <c r="AA43" s="341"/>
      <c r="AB43" s="246"/>
      <c r="AC43" s="383" t="s">
        <v>428</v>
      </c>
      <c r="AD43" s="246"/>
      <c r="AE43" s="287" t="s">
        <v>429</v>
      </c>
      <c r="AF43" s="246"/>
      <c r="AG43" s="261"/>
      <c r="AH43" s="311" t="s">
        <v>455</v>
      </c>
      <c r="AI43" s="246"/>
      <c r="AJ43" s="280" t="s">
        <v>435</v>
      </c>
      <c r="AK43" s="246"/>
      <c r="AL43" s="287" t="s">
        <v>429</v>
      </c>
      <c r="AM43" s="246"/>
      <c r="AN43" s="261"/>
      <c r="AO43" s="341"/>
      <c r="AP43" s="246"/>
      <c r="AQ43" s="383" t="s">
        <v>428</v>
      </c>
      <c r="AR43" s="246"/>
      <c r="AS43" s="251" t="s">
        <v>429</v>
      </c>
      <c r="AT43" s="254" t="str">
        <f t="shared" si="16"/>
        <v/>
      </c>
      <c r="AU43" s="269"/>
      <c r="AV43" s="269"/>
      <c r="AW43" s="206" t="str">
        <f t="shared" si="17"/>
        <v>#REF!</v>
      </c>
      <c r="AX43" s="207">
        <f t="shared" si="2"/>
        <v>5</v>
      </c>
      <c r="AY43" s="208">
        <f t="shared" si="3"/>
        <v>5</v>
      </c>
      <c r="AZ43" s="208">
        <f t="shared" si="4"/>
        <v>3</v>
      </c>
      <c r="BA43" s="208">
        <f t="shared" si="5"/>
        <v>1</v>
      </c>
      <c r="BB43" s="209">
        <f t="shared" si="6"/>
        <v>1</v>
      </c>
      <c r="BC43" s="210">
        <f t="shared" si="7"/>
        <v>120</v>
      </c>
      <c r="BD43" s="211"/>
      <c r="BE43" s="212"/>
    </row>
    <row r="44">
      <c r="A44" s="94"/>
      <c r="B44" s="337" t="s">
        <v>686</v>
      </c>
      <c r="C44" s="338" t="s">
        <v>687</v>
      </c>
      <c r="D44" s="330"/>
      <c r="E44" s="259"/>
      <c r="G44" s="246"/>
      <c r="H44" s="581" t="s">
        <v>428</v>
      </c>
      <c r="I44" s="246"/>
      <c r="J44" s="290" t="s">
        <v>455</v>
      </c>
      <c r="K44" s="246"/>
      <c r="L44" s="261"/>
      <c r="M44" s="250"/>
      <c r="N44" s="246"/>
      <c r="O44" s="290" t="s">
        <v>466</v>
      </c>
      <c r="P44" s="246"/>
      <c r="Q44" s="287" t="s">
        <v>429</v>
      </c>
      <c r="R44" s="246"/>
      <c r="S44" s="261"/>
      <c r="T44" s="290" t="s">
        <v>455</v>
      </c>
      <c r="U44" s="246"/>
      <c r="V44" s="581" t="s">
        <v>428</v>
      </c>
      <c r="W44" s="246"/>
      <c r="X44" s="479"/>
      <c r="Y44" s="246"/>
      <c r="Z44" s="261"/>
      <c r="AA44" s="250"/>
      <c r="AB44" s="246"/>
      <c r="AC44" s="340" t="s">
        <v>455</v>
      </c>
      <c r="AD44" s="246"/>
      <c r="AE44" s="251" t="s">
        <v>435</v>
      </c>
      <c r="AF44" s="246"/>
      <c r="AG44" s="261"/>
      <c r="AI44" s="246"/>
      <c r="AJ44" s="581" t="s">
        <v>428</v>
      </c>
      <c r="AK44" s="246"/>
      <c r="AM44" s="246"/>
      <c r="AN44" s="261"/>
      <c r="AO44" s="250"/>
      <c r="AP44" s="246"/>
      <c r="AQ44" s="376" t="s">
        <v>466</v>
      </c>
      <c r="AR44" s="246"/>
      <c r="AT44" s="254" t="str">
        <f t="shared" si="16"/>
        <v/>
      </c>
      <c r="AU44" s="269"/>
      <c r="AV44" s="269"/>
      <c r="AW44" s="206" t="str">
        <f t="shared" si="17"/>
        <v>#REF!</v>
      </c>
      <c r="AX44" s="207">
        <f t="shared" si="2"/>
        <v>5</v>
      </c>
      <c r="AY44" s="208">
        <f t="shared" si="3"/>
        <v>5</v>
      </c>
      <c r="AZ44" s="208">
        <f t="shared" si="4"/>
        <v>3</v>
      </c>
      <c r="BA44" s="208">
        <f t="shared" si="5"/>
        <v>1</v>
      </c>
      <c r="BB44" s="209">
        <f t="shared" si="6"/>
        <v>1</v>
      </c>
      <c r="BC44" s="210">
        <f t="shared" si="7"/>
        <v>120</v>
      </c>
      <c r="BD44" s="211"/>
      <c r="BE44" s="212"/>
    </row>
    <row r="45">
      <c r="A45" s="94"/>
      <c r="B45" s="337" t="s">
        <v>688</v>
      </c>
      <c r="C45" s="285" t="s">
        <v>687</v>
      </c>
      <c r="D45" s="330"/>
      <c r="E45" s="259"/>
      <c r="F45" s="265"/>
      <c r="G45" s="246"/>
      <c r="H45" s="282"/>
      <c r="I45" s="246"/>
      <c r="J45" s="282"/>
      <c r="K45" s="246"/>
      <c r="L45" s="261"/>
      <c r="M45" s="262"/>
      <c r="N45" s="246"/>
      <c r="O45" s="282"/>
      <c r="P45" s="246"/>
      <c r="R45" s="246"/>
      <c r="S45" s="261"/>
      <c r="T45" s="282"/>
      <c r="U45" s="246"/>
      <c r="V45" s="282"/>
      <c r="W45" s="246"/>
      <c r="X45" s="479"/>
      <c r="Y45" s="246"/>
      <c r="Z45" s="261"/>
      <c r="AA45" s="262"/>
      <c r="AB45" s="246"/>
      <c r="AC45" s="282"/>
      <c r="AD45" s="246"/>
      <c r="AF45" s="246"/>
      <c r="AG45" s="261"/>
      <c r="AH45" s="282"/>
      <c r="AI45" s="246"/>
      <c r="AK45" s="246"/>
      <c r="AL45" s="282"/>
      <c r="AM45" s="246"/>
      <c r="AN45" s="261"/>
      <c r="AO45" s="262"/>
      <c r="AP45" s="246"/>
      <c r="AR45" s="246"/>
      <c r="AS45" s="282"/>
      <c r="AT45" s="254" t="str">
        <f>IF(COUNTIF($AO$85:$AT$87, AS42) &gt; 0, "X", "")</f>
        <v/>
      </c>
      <c r="AU45" s="269"/>
      <c r="AV45" s="269"/>
      <c r="AW45" s="206" t="str">
        <f t="shared" si="17"/>
        <v>#REF!</v>
      </c>
      <c r="AX45" s="207">
        <f t="shared" si="2"/>
        <v>5</v>
      </c>
      <c r="AY45" s="208">
        <f t="shared" si="3"/>
        <v>5</v>
      </c>
      <c r="AZ45" s="208">
        <f t="shared" si="4"/>
        <v>3</v>
      </c>
      <c r="BA45" s="208">
        <f t="shared" si="5"/>
        <v>1</v>
      </c>
      <c r="BB45" s="209">
        <f t="shared" si="6"/>
        <v>1</v>
      </c>
      <c r="BC45" s="210">
        <f t="shared" si="7"/>
        <v>120</v>
      </c>
      <c r="BD45" s="211"/>
      <c r="BE45" s="212"/>
    </row>
    <row r="46">
      <c r="A46" s="94"/>
      <c r="B46" s="387" t="s">
        <v>690</v>
      </c>
      <c r="C46" s="388" t="s">
        <v>649</v>
      </c>
      <c r="D46" s="389"/>
      <c r="E46" s="259"/>
      <c r="F46" s="390"/>
      <c r="G46" s="246"/>
      <c r="H46" s="355" t="s">
        <v>420</v>
      </c>
      <c r="I46" s="246"/>
      <c r="J46" s="390"/>
      <c r="K46" s="246"/>
      <c r="L46" s="261"/>
      <c r="M46" s="250"/>
      <c r="N46" s="246"/>
      <c r="O46" s="357" t="s">
        <v>420</v>
      </c>
      <c r="P46" s="246"/>
      <c r="Q46" s="390"/>
      <c r="R46" s="246"/>
      <c r="S46" s="261"/>
      <c r="T46" s="355" t="s">
        <v>670</v>
      </c>
      <c r="U46" s="246"/>
      <c r="V46" s="390"/>
      <c r="W46" s="246"/>
      <c r="X46" s="582"/>
      <c r="Y46" s="246"/>
      <c r="Z46" s="261"/>
      <c r="AA46" s="250"/>
      <c r="AB46" s="246"/>
      <c r="AC46" s="357" t="s">
        <v>420</v>
      </c>
      <c r="AD46" s="246"/>
      <c r="AE46" s="390"/>
      <c r="AF46" s="246"/>
      <c r="AG46" s="261"/>
      <c r="AH46" s="390"/>
      <c r="AI46" s="246"/>
      <c r="AJ46" s="357"/>
      <c r="AK46" s="246"/>
      <c r="AL46" s="390"/>
      <c r="AM46" s="246"/>
      <c r="AN46" s="261"/>
      <c r="AO46" s="250"/>
      <c r="AP46" s="246"/>
      <c r="AQ46" s="390"/>
      <c r="AR46" s="246"/>
      <c r="AS46" s="390"/>
      <c r="AT46" s="254" t="str">
        <f>IF(COUNTIF($AO$85:$AT$87, #REF!) &gt; 0, "X", "")</f>
        <v/>
      </c>
      <c r="AU46" s="269"/>
      <c r="AV46" s="269"/>
      <c r="AW46" s="206" t="str">
        <f t="shared" si="17"/>
        <v>#REF!</v>
      </c>
      <c r="AX46" s="207">
        <f t="shared" si="2"/>
        <v>5</v>
      </c>
      <c r="AY46" s="208">
        <f t="shared" si="3"/>
        <v>5</v>
      </c>
      <c r="AZ46" s="208">
        <f t="shared" si="4"/>
        <v>3</v>
      </c>
      <c r="BA46" s="208">
        <f t="shared" si="5"/>
        <v>1</v>
      </c>
      <c r="BB46" s="209">
        <f t="shared" si="6"/>
        <v>1</v>
      </c>
      <c r="BC46" s="210">
        <f t="shared" si="7"/>
        <v>120</v>
      </c>
      <c r="BD46" s="211"/>
      <c r="BE46" s="212"/>
    </row>
    <row r="47">
      <c r="A47" s="94"/>
      <c r="B47" s="296" t="s">
        <v>650</v>
      </c>
      <c r="C47" s="297" t="s">
        <v>649</v>
      </c>
      <c r="D47" s="323"/>
      <c r="E47" s="259"/>
      <c r="F47" s="300"/>
      <c r="G47" s="246"/>
      <c r="H47" s="300"/>
      <c r="I47" s="246"/>
      <c r="J47" s="300"/>
      <c r="K47" s="246"/>
      <c r="L47" s="261"/>
      <c r="M47" s="250"/>
      <c r="N47" s="246"/>
      <c r="O47" s="300"/>
      <c r="P47" s="246"/>
      <c r="Q47" s="300"/>
      <c r="R47" s="246"/>
      <c r="S47" s="261"/>
      <c r="T47" s="319"/>
      <c r="U47" s="246"/>
      <c r="V47" s="319"/>
      <c r="W47" s="246"/>
      <c r="X47" s="317"/>
      <c r="Y47" s="246"/>
      <c r="Z47" s="261"/>
      <c r="AA47" s="250"/>
      <c r="AB47" s="246"/>
      <c r="AC47" s="521"/>
      <c r="AD47" s="246"/>
      <c r="AE47" s="300"/>
      <c r="AF47" s="246"/>
      <c r="AG47" s="261"/>
      <c r="AH47" s="300"/>
      <c r="AI47" s="246"/>
      <c r="AJ47" s="300"/>
      <c r="AK47" s="246"/>
      <c r="AL47" s="300"/>
      <c r="AM47" s="246"/>
      <c r="AN47" s="261"/>
      <c r="AO47" s="250"/>
      <c r="AP47" s="246"/>
      <c r="AQ47" s="300"/>
      <c r="AR47" s="246"/>
      <c r="AS47" s="300"/>
      <c r="AT47" s="254" t="str">
        <f t="shared" ref="AT47:AT54" si="18">IF(COUNTIF($AO$85:$AT$87, AS46) &gt; 0, "X", "")</f>
        <v/>
      </c>
      <c r="AU47" s="269"/>
      <c r="AV47" s="269"/>
      <c r="AW47" s="206" t="str">
        <f t="shared" si="17"/>
        <v>#REF!</v>
      </c>
      <c r="AX47" s="207">
        <f t="shared" si="2"/>
        <v>5</v>
      </c>
      <c r="AY47" s="208">
        <f t="shared" si="3"/>
        <v>5</v>
      </c>
      <c r="AZ47" s="208">
        <f t="shared" si="4"/>
        <v>3</v>
      </c>
      <c r="BA47" s="208">
        <f t="shared" si="5"/>
        <v>1</v>
      </c>
      <c r="BB47" s="209">
        <f t="shared" si="6"/>
        <v>1</v>
      </c>
      <c r="BC47" s="210">
        <f t="shared" si="7"/>
        <v>120</v>
      </c>
      <c r="BD47" s="211"/>
      <c r="BE47" s="212"/>
    </row>
    <row r="48">
      <c r="A48" s="94"/>
      <c r="B48" s="301" t="s">
        <v>651</v>
      </c>
      <c r="C48" s="391" t="s">
        <v>652</v>
      </c>
      <c r="D48" s="323"/>
      <c r="E48" s="261"/>
      <c r="F48" s="304"/>
      <c r="G48" s="246"/>
      <c r="H48" s="360" t="s">
        <v>835</v>
      </c>
      <c r="I48" s="246"/>
      <c r="J48" s="304"/>
      <c r="K48" s="246"/>
      <c r="L48" s="261"/>
      <c r="M48" s="250"/>
      <c r="N48" s="246"/>
      <c r="O48" s="360" t="s">
        <v>835</v>
      </c>
      <c r="P48" s="246"/>
      <c r="Q48" s="304"/>
      <c r="R48" s="246"/>
      <c r="S48" s="261"/>
      <c r="T48" s="360" t="s">
        <v>835</v>
      </c>
      <c r="U48" s="246"/>
      <c r="V48" s="304"/>
      <c r="W48" s="246"/>
      <c r="X48" s="317"/>
      <c r="Y48" s="246"/>
      <c r="Z48" s="261"/>
      <c r="AA48" s="250"/>
      <c r="AB48" s="246"/>
      <c r="AC48" s="360" t="s">
        <v>835</v>
      </c>
      <c r="AD48" s="246"/>
      <c r="AE48" s="304"/>
      <c r="AF48" s="246"/>
      <c r="AG48" s="261"/>
      <c r="AH48" s="304"/>
      <c r="AI48" s="246"/>
      <c r="AJ48" s="576"/>
      <c r="AK48" s="246"/>
      <c r="AL48" s="304"/>
      <c r="AM48" s="246"/>
      <c r="AN48" s="261"/>
      <c r="AO48" s="250"/>
      <c r="AP48" s="246"/>
      <c r="AQ48" s="304"/>
      <c r="AR48" s="246"/>
      <c r="AS48" s="304"/>
      <c r="AT48" s="254" t="str">
        <f t="shared" si="18"/>
        <v/>
      </c>
      <c r="AU48" s="269"/>
      <c r="AV48" s="269"/>
      <c r="AW48" s="206" t="str">
        <f t="shared" si="17"/>
        <v>#REF!</v>
      </c>
      <c r="AX48" s="207">
        <f t="shared" si="2"/>
        <v>5</v>
      </c>
      <c r="AY48" s="208">
        <f t="shared" si="3"/>
        <v>5</v>
      </c>
      <c r="AZ48" s="208">
        <f t="shared" si="4"/>
        <v>3</v>
      </c>
      <c r="BA48" s="208">
        <f t="shared" si="5"/>
        <v>1</v>
      </c>
      <c r="BB48" s="209">
        <f t="shared" si="6"/>
        <v>1</v>
      </c>
      <c r="BC48" s="210">
        <f t="shared" si="7"/>
        <v>120</v>
      </c>
      <c r="BD48" s="211"/>
      <c r="BE48" s="212"/>
    </row>
    <row r="49">
      <c r="A49" s="94"/>
      <c r="B49" s="392" t="s">
        <v>691</v>
      </c>
      <c r="C49" s="393" t="s">
        <v>652</v>
      </c>
      <c r="D49" s="323"/>
      <c r="E49" s="259"/>
      <c r="F49" s="307"/>
      <c r="G49" s="246"/>
      <c r="H49" s="395" t="s">
        <v>398</v>
      </c>
      <c r="I49" s="246"/>
      <c r="J49" s="307"/>
      <c r="K49" s="246"/>
      <c r="L49" s="261"/>
      <c r="M49" s="250"/>
      <c r="N49" s="246"/>
      <c r="O49" s="395" t="s">
        <v>398</v>
      </c>
      <c r="P49" s="246"/>
      <c r="Q49" s="307"/>
      <c r="R49" s="246"/>
      <c r="S49" s="261"/>
      <c r="T49" s="394" t="s">
        <v>398</v>
      </c>
      <c r="U49" s="246"/>
      <c r="V49" s="488"/>
      <c r="W49" s="246"/>
      <c r="X49" s="479"/>
      <c r="Y49" s="246"/>
      <c r="Z49" s="261"/>
      <c r="AA49" s="250"/>
      <c r="AB49" s="246"/>
      <c r="AC49" s="394" t="s">
        <v>398</v>
      </c>
      <c r="AD49" s="246"/>
      <c r="AE49" s="307"/>
      <c r="AF49" s="246"/>
      <c r="AG49" s="261"/>
      <c r="AH49" s="307"/>
      <c r="AI49" s="246"/>
      <c r="AJ49" s="307"/>
      <c r="AK49" s="246"/>
      <c r="AL49" s="307"/>
      <c r="AM49" s="246"/>
      <c r="AN49" s="261"/>
      <c r="AO49" s="250"/>
      <c r="AP49" s="246"/>
      <c r="AQ49" s="307"/>
      <c r="AR49" s="246"/>
      <c r="AS49" s="307"/>
      <c r="AT49" s="254" t="str">
        <f t="shared" si="18"/>
        <v/>
      </c>
      <c r="AU49" s="269"/>
      <c r="AV49" s="269"/>
      <c r="AW49" s="206" t="str">
        <f t="shared" si="17"/>
        <v>#REF!</v>
      </c>
      <c r="AX49" s="207">
        <f t="shared" si="2"/>
        <v>5</v>
      </c>
      <c r="AY49" s="208">
        <f t="shared" si="3"/>
        <v>5</v>
      </c>
      <c r="AZ49" s="208">
        <f t="shared" si="4"/>
        <v>3</v>
      </c>
      <c r="BA49" s="208">
        <f t="shared" si="5"/>
        <v>1</v>
      </c>
      <c r="BB49" s="209">
        <f t="shared" si="6"/>
        <v>1</v>
      </c>
      <c r="BC49" s="210">
        <f t="shared" si="7"/>
        <v>120</v>
      </c>
      <c r="BD49" s="211"/>
      <c r="BE49" s="212"/>
    </row>
    <row r="50">
      <c r="A50" s="94"/>
      <c r="B50" s="328" t="s">
        <v>692</v>
      </c>
      <c r="C50" s="329" t="s">
        <v>652</v>
      </c>
      <c r="D50" s="330"/>
      <c r="E50" s="259"/>
      <c r="G50" s="246"/>
      <c r="H50" s="371"/>
      <c r="I50" s="246"/>
      <c r="J50" s="371"/>
      <c r="K50" s="246"/>
      <c r="L50" s="261"/>
      <c r="M50" s="250"/>
      <c r="N50" s="246"/>
      <c r="O50" s="371"/>
      <c r="P50" s="246"/>
      <c r="Q50" s="371"/>
      <c r="R50" s="246"/>
      <c r="S50" s="261"/>
      <c r="T50" s="371"/>
      <c r="U50" s="246"/>
      <c r="V50" s="371"/>
      <c r="W50" s="246"/>
      <c r="X50" s="320"/>
      <c r="Y50" s="246"/>
      <c r="Z50" s="261"/>
      <c r="AA50" s="250"/>
      <c r="AB50" s="246"/>
      <c r="AC50" s="371"/>
      <c r="AD50" s="246"/>
      <c r="AE50" s="371"/>
      <c r="AF50" s="246"/>
      <c r="AG50" s="261"/>
      <c r="AH50" s="371"/>
      <c r="AI50" s="246"/>
      <c r="AJ50" s="371"/>
      <c r="AK50" s="246"/>
      <c r="AL50" s="371"/>
      <c r="AM50" s="246"/>
      <c r="AN50" s="261"/>
      <c r="AO50" s="250"/>
      <c r="AP50" s="246"/>
      <c r="AQ50" s="371"/>
      <c r="AR50" s="246"/>
      <c r="AS50" s="371"/>
      <c r="AT50" s="254" t="str">
        <f t="shared" si="18"/>
        <v/>
      </c>
      <c r="AU50" s="269"/>
      <c r="AV50" s="269"/>
      <c r="AW50" s="206" t="str">
        <f t="shared" si="17"/>
        <v>#REF!</v>
      </c>
      <c r="AX50" s="207">
        <f t="shared" si="2"/>
        <v>5</v>
      </c>
      <c r="AY50" s="208">
        <f t="shared" si="3"/>
        <v>5</v>
      </c>
      <c r="AZ50" s="208">
        <f t="shared" si="4"/>
        <v>3</v>
      </c>
      <c r="BA50" s="208">
        <f t="shared" si="5"/>
        <v>1</v>
      </c>
      <c r="BB50" s="209">
        <f t="shared" si="6"/>
        <v>1</v>
      </c>
      <c r="BC50" s="210">
        <f t="shared" si="7"/>
        <v>120</v>
      </c>
      <c r="BD50" s="211"/>
      <c r="BE50" s="212"/>
    </row>
    <row r="51">
      <c r="A51" s="270"/>
      <c r="B51" s="397" t="s">
        <v>692</v>
      </c>
      <c r="C51" s="398" t="s">
        <v>687</v>
      </c>
      <c r="D51" s="369"/>
      <c r="E51" s="259"/>
      <c r="F51" s="282"/>
      <c r="G51" s="246"/>
      <c r="H51" s="399"/>
      <c r="I51" s="246"/>
      <c r="J51" s="399"/>
      <c r="K51" s="246"/>
      <c r="L51" s="261"/>
      <c r="M51" s="250"/>
      <c r="N51" s="246"/>
      <c r="O51" s="282"/>
      <c r="P51" s="246"/>
      <c r="Q51" s="399"/>
      <c r="R51" s="246"/>
      <c r="S51" s="261"/>
      <c r="T51" s="282"/>
      <c r="U51" s="246"/>
      <c r="V51" s="282"/>
      <c r="W51" s="246"/>
      <c r="X51" s="506"/>
      <c r="Y51" s="246"/>
      <c r="Z51" s="261"/>
      <c r="AA51" s="250"/>
      <c r="AB51" s="246"/>
      <c r="AC51" s="399"/>
      <c r="AD51" s="246"/>
      <c r="AE51" s="399"/>
      <c r="AF51" s="246"/>
      <c r="AG51" s="261"/>
      <c r="AH51" s="399"/>
      <c r="AI51" s="246"/>
      <c r="AJ51" s="399"/>
      <c r="AK51" s="246"/>
      <c r="AL51" s="399"/>
      <c r="AM51" s="246"/>
      <c r="AN51" s="261"/>
      <c r="AO51" s="250"/>
      <c r="AP51" s="246"/>
      <c r="AQ51" s="399"/>
      <c r="AR51" s="246"/>
      <c r="AS51" s="399"/>
      <c r="AT51" s="254" t="str">
        <f t="shared" si="18"/>
        <v/>
      </c>
      <c r="AU51" s="269"/>
      <c r="AV51" s="269"/>
      <c r="AW51" s="206" t="str">
        <f t="shared" si="17"/>
        <v>#REF!</v>
      </c>
      <c r="AX51" s="207">
        <f t="shared" si="2"/>
        <v>5</v>
      </c>
      <c r="AY51" s="208">
        <f t="shared" si="3"/>
        <v>5</v>
      </c>
      <c r="AZ51" s="208">
        <f t="shared" si="4"/>
        <v>3</v>
      </c>
      <c r="BA51" s="208">
        <f t="shared" si="5"/>
        <v>1</v>
      </c>
      <c r="BB51" s="209">
        <f t="shared" si="6"/>
        <v>1</v>
      </c>
      <c r="BC51" s="210">
        <f t="shared" si="7"/>
        <v>120</v>
      </c>
      <c r="BD51" s="211"/>
      <c r="BE51" s="212"/>
    </row>
    <row r="52">
      <c r="A52" s="94"/>
      <c r="B52" s="387" t="s">
        <v>694</v>
      </c>
      <c r="C52" s="388" t="s">
        <v>649</v>
      </c>
      <c r="D52" s="389"/>
      <c r="E52" s="259"/>
      <c r="F52" s="390"/>
      <c r="G52" s="246"/>
      <c r="H52" s="390"/>
      <c r="I52" s="246"/>
      <c r="J52" s="390"/>
      <c r="K52" s="246"/>
      <c r="L52" s="261"/>
      <c r="M52" s="250"/>
      <c r="N52" s="246"/>
      <c r="O52" s="390"/>
      <c r="P52" s="246"/>
      <c r="Q52" s="357" t="s">
        <v>425</v>
      </c>
      <c r="R52" s="246"/>
      <c r="S52" s="261"/>
      <c r="T52" s="390"/>
      <c r="U52" s="246"/>
      <c r="V52" s="390"/>
      <c r="W52" s="246"/>
      <c r="X52" s="357" t="s">
        <v>425</v>
      </c>
      <c r="Y52" s="246"/>
      <c r="Z52" s="261"/>
      <c r="AA52" s="250"/>
      <c r="AB52" s="246"/>
      <c r="AC52" s="390"/>
      <c r="AD52" s="246"/>
      <c r="AE52" s="357" t="s">
        <v>425</v>
      </c>
      <c r="AF52" s="246"/>
      <c r="AG52" s="261"/>
      <c r="AH52" s="390"/>
      <c r="AI52" s="246"/>
      <c r="AJ52" s="390"/>
      <c r="AK52" s="246"/>
      <c r="AL52" s="357" t="s">
        <v>425</v>
      </c>
      <c r="AM52" s="246"/>
      <c r="AN52" s="261"/>
      <c r="AO52" s="250"/>
      <c r="AP52" s="246"/>
      <c r="AQ52" s="390"/>
      <c r="AR52" s="246"/>
      <c r="AS52" s="357" t="s">
        <v>425</v>
      </c>
      <c r="AT52" s="254" t="str">
        <f t="shared" si="18"/>
        <v/>
      </c>
      <c r="AU52" s="269"/>
      <c r="AV52" s="269"/>
      <c r="AW52" s="206" t="str">
        <f t="shared" si="17"/>
        <v>#REF!</v>
      </c>
      <c r="AX52" s="207">
        <f t="shared" si="2"/>
        <v>5</v>
      </c>
      <c r="AY52" s="208">
        <f t="shared" si="3"/>
        <v>5</v>
      </c>
      <c r="AZ52" s="208">
        <f t="shared" si="4"/>
        <v>3</v>
      </c>
      <c r="BA52" s="208">
        <f t="shared" si="5"/>
        <v>1</v>
      </c>
      <c r="BB52" s="209">
        <f t="shared" si="6"/>
        <v>1</v>
      </c>
      <c r="BC52" s="210">
        <f t="shared" si="7"/>
        <v>120</v>
      </c>
      <c r="BD52" s="211"/>
      <c r="BE52" s="212"/>
    </row>
    <row r="53">
      <c r="A53" s="94"/>
      <c r="B53" s="296" t="s">
        <v>650</v>
      </c>
      <c r="C53" s="297" t="s">
        <v>649</v>
      </c>
      <c r="D53" s="323"/>
      <c r="E53" s="259"/>
      <c r="F53" s="300"/>
      <c r="G53" s="298"/>
      <c r="H53" s="300"/>
      <c r="I53" s="298"/>
      <c r="J53" s="300"/>
      <c r="K53" s="298"/>
      <c r="L53" s="261"/>
      <c r="M53" s="250"/>
      <c r="N53" s="298"/>
      <c r="O53" s="300"/>
      <c r="P53" s="298"/>
      <c r="Q53" s="319"/>
      <c r="R53" s="298"/>
      <c r="S53" s="261"/>
      <c r="T53" s="300"/>
      <c r="U53" s="298"/>
      <c r="V53" s="300"/>
      <c r="W53" s="298"/>
      <c r="X53" s="320"/>
      <c r="Y53" s="298"/>
      <c r="Z53" s="261"/>
      <c r="AA53" s="250"/>
      <c r="AB53" s="298"/>
      <c r="AC53" s="300"/>
      <c r="AD53" s="298"/>
      <c r="AE53" s="300"/>
      <c r="AF53" s="298"/>
      <c r="AG53" s="261"/>
      <c r="AH53" s="300"/>
      <c r="AI53" s="298"/>
      <c r="AJ53" s="300"/>
      <c r="AK53" s="298"/>
      <c r="AL53" s="300"/>
      <c r="AM53" s="298"/>
      <c r="AN53" s="261"/>
      <c r="AO53" s="250"/>
      <c r="AP53" s="298"/>
      <c r="AQ53" s="300"/>
      <c r="AR53" s="298"/>
      <c r="AS53" s="299"/>
      <c r="AT53" s="254" t="str">
        <f t="shared" si="18"/>
        <v/>
      </c>
      <c r="AU53" s="269"/>
      <c r="AV53" s="269"/>
      <c r="AW53" s="206" t="str">
        <f t="shared" si="17"/>
        <v>#REF!</v>
      </c>
      <c r="AX53" s="207">
        <f t="shared" si="2"/>
        <v>5</v>
      </c>
      <c r="AY53" s="208">
        <f t="shared" si="3"/>
        <v>5</v>
      </c>
      <c r="AZ53" s="208">
        <f t="shared" si="4"/>
        <v>3</v>
      </c>
      <c r="BA53" s="208">
        <f t="shared" si="5"/>
        <v>1</v>
      </c>
      <c r="BB53" s="209">
        <f t="shared" si="6"/>
        <v>1</v>
      </c>
      <c r="BC53" s="210">
        <f t="shared" si="7"/>
        <v>120</v>
      </c>
      <c r="BD53" s="211"/>
      <c r="BE53" s="212"/>
    </row>
    <row r="54">
      <c r="A54" s="94"/>
      <c r="B54" s="301" t="s">
        <v>651</v>
      </c>
      <c r="C54" s="391" t="s">
        <v>652</v>
      </c>
      <c r="D54" s="323"/>
      <c r="E54" s="261"/>
      <c r="F54" s="304"/>
      <c r="G54" s="298"/>
      <c r="H54" s="304"/>
      <c r="I54" s="298"/>
      <c r="J54" s="304"/>
      <c r="K54" s="298"/>
      <c r="L54" s="261"/>
      <c r="M54" s="250"/>
      <c r="N54" s="298"/>
      <c r="O54" s="304"/>
      <c r="P54" s="298"/>
      <c r="Q54" s="583" t="s">
        <v>838</v>
      </c>
      <c r="R54" s="298"/>
      <c r="S54" s="261"/>
      <c r="T54" s="304"/>
      <c r="U54" s="298"/>
      <c r="V54" s="304"/>
      <c r="W54" s="298"/>
      <c r="X54" s="320"/>
      <c r="Y54" s="298"/>
      <c r="Z54" s="261"/>
      <c r="AA54" s="250"/>
      <c r="AB54" s="298"/>
      <c r="AC54" s="304"/>
      <c r="AD54" s="298"/>
      <c r="AE54" s="583" t="s">
        <v>838</v>
      </c>
      <c r="AF54" s="298"/>
      <c r="AG54" s="261"/>
      <c r="AH54" s="304"/>
      <c r="AI54" s="298"/>
      <c r="AJ54" s="304"/>
      <c r="AK54" s="298"/>
      <c r="AL54" s="583" t="s">
        <v>838</v>
      </c>
      <c r="AM54" s="298"/>
      <c r="AN54" s="261"/>
      <c r="AO54" s="250"/>
      <c r="AP54" s="298"/>
      <c r="AQ54" s="304"/>
      <c r="AR54" s="298"/>
      <c r="AS54" s="583" t="s">
        <v>838</v>
      </c>
      <c r="AT54" s="254" t="str">
        <f t="shared" si="18"/>
        <v/>
      </c>
      <c r="AU54" s="269"/>
      <c r="AV54" s="269"/>
      <c r="AW54" s="206" t="str">
        <f t="shared" si="17"/>
        <v>#REF!</v>
      </c>
      <c r="AX54" s="207">
        <f t="shared" si="2"/>
        <v>5</v>
      </c>
      <c r="AY54" s="208">
        <f t="shared" si="3"/>
        <v>5</v>
      </c>
      <c r="AZ54" s="208">
        <f t="shared" si="4"/>
        <v>3</v>
      </c>
      <c r="BA54" s="208">
        <f t="shared" si="5"/>
        <v>1</v>
      </c>
      <c r="BB54" s="209">
        <f t="shared" si="6"/>
        <v>1</v>
      </c>
      <c r="BC54" s="210">
        <f t="shared" si="7"/>
        <v>120</v>
      </c>
      <c r="BD54" s="211"/>
      <c r="BE54" s="212"/>
    </row>
    <row r="55">
      <c r="A55" s="94"/>
      <c r="B55" s="401" t="s">
        <v>697</v>
      </c>
      <c r="C55" s="393" t="s">
        <v>652</v>
      </c>
      <c r="D55" s="323"/>
      <c r="E55" s="259"/>
      <c r="F55" s="307"/>
      <c r="G55" s="298"/>
      <c r="H55" s="307"/>
      <c r="I55" s="298"/>
      <c r="J55" s="307"/>
      <c r="K55" s="298"/>
      <c r="L55" s="261"/>
      <c r="M55" s="250"/>
      <c r="N55" s="298"/>
      <c r="O55" s="307"/>
      <c r="P55" s="298"/>
      <c r="Q55" s="309" t="s">
        <v>406</v>
      </c>
      <c r="R55" s="298"/>
      <c r="S55" s="261"/>
      <c r="T55" s="307"/>
      <c r="U55" s="298"/>
      <c r="V55" s="307"/>
      <c r="W55" s="298"/>
      <c r="X55" s="532" t="s">
        <v>839</v>
      </c>
      <c r="Y55" s="298"/>
      <c r="Z55" s="261"/>
      <c r="AA55" s="250"/>
      <c r="AB55" s="298"/>
      <c r="AC55" s="307"/>
      <c r="AD55" s="298"/>
      <c r="AE55" s="395" t="s">
        <v>430</v>
      </c>
      <c r="AF55" s="298"/>
      <c r="AG55" s="261"/>
      <c r="AH55" s="307"/>
      <c r="AI55" s="298"/>
      <c r="AJ55" s="307"/>
      <c r="AK55" s="298"/>
      <c r="AL55" s="308" t="s">
        <v>445</v>
      </c>
      <c r="AM55" s="298"/>
      <c r="AN55" s="261"/>
      <c r="AO55" s="250"/>
      <c r="AP55" s="298"/>
      <c r="AQ55" s="307"/>
      <c r="AR55" s="298"/>
      <c r="AS55" s="308" t="s">
        <v>445</v>
      </c>
      <c r="AT55" s="254" t="str">
        <f t="shared" ref="AT55:AT56" si="19">IF(COUNTIF($AO$85:$AT$87, #REF!) &gt; 0, "X", "")</f>
        <v/>
      </c>
      <c r="AU55" s="269"/>
      <c r="AV55" s="269"/>
      <c r="AW55" s="206" t="str">
        <f t="shared" si="17"/>
        <v>#REF!</v>
      </c>
      <c r="AX55" s="207">
        <f t="shared" si="2"/>
        <v>5</v>
      </c>
      <c r="AY55" s="208">
        <f t="shared" si="3"/>
        <v>5</v>
      </c>
      <c r="AZ55" s="208">
        <f t="shared" si="4"/>
        <v>3</v>
      </c>
      <c r="BA55" s="208">
        <f t="shared" si="5"/>
        <v>1</v>
      </c>
      <c r="BB55" s="209">
        <f t="shared" si="6"/>
        <v>1</v>
      </c>
      <c r="BC55" s="210">
        <f t="shared" si="7"/>
        <v>120</v>
      </c>
      <c r="BD55" s="211"/>
      <c r="BE55" s="212"/>
    </row>
    <row r="56">
      <c r="A56" s="94"/>
      <c r="B56" s="337" t="s">
        <v>698</v>
      </c>
      <c r="C56" s="329" t="s">
        <v>652</v>
      </c>
      <c r="D56" s="330"/>
      <c r="E56" s="259"/>
      <c r="G56" s="246"/>
      <c r="H56" s="371"/>
      <c r="I56" s="246"/>
      <c r="J56" s="282"/>
      <c r="K56" s="246"/>
      <c r="L56" s="261"/>
      <c r="M56" s="250"/>
      <c r="N56" s="246"/>
      <c r="O56" s="371"/>
      <c r="P56" s="246"/>
      <c r="Q56" s="282"/>
      <c r="R56" s="246"/>
      <c r="S56" s="261"/>
      <c r="T56" s="371"/>
      <c r="U56" s="246"/>
      <c r="V56" s="371"/>
      <c r="W56" s="246"/>
      <c r="X56" s="320"/>
      <c r="Y56" s="246"/>
      <c r="Z56" s="261"/>
      <c r="AA56" s="250"/>
      <c r="AB56" s="246"/>
      <c r="AC56" s="282"/>
      <c r="AD56" s="246"/>
      <c r="AE56" s="584"/>
      <c r="AF56" s="246"/>
      <c r="AG56" s="261"/>
      <c r="AH56" s="371"/>
      <c r="AI56" s="246"/>
      <c r="AJ56" s="371"/>
      <c r="AK56" s="246"/>
      <c r="AL56" s="282"/>
      <c r="AM56" s="246"/>
      <c r="AN56" s="261"/>
      <c r="AO56" s="250"/>
      <c r="AP56" s="246"/>
      <c r="AQ56" s="371"/>
      <c r="AR56" s="246"/>
      <c r="AS56" s="282"/>
      <c r="AT56" s="254" t="str">
        <f t="shared" si="19"/>
        <v/>
      </c>
      <c r="AU56" s="269"/>
      <c r="AV56" s="269"/>
      <c r="AW56" s="206" t="str">
        <f t="shared" si="17"/>
        <v>#REF!</v>
      </c>
      <c r="AX56" s="207">
        <f t="shared" si="2"/>
        <v>5</v>
      </c>
      <c r="AY56" s="208">
        <f t="shared" si="3"/>
        <v>5</v>
      </c>
      <c r="AZ56" s="208">
        <f t="shared" si="4"/>
        <v>3</v>
      </c>
      <c r="BA56" s="208">
        <f t="shared" si="5"/>
        <v>1</v>
      </c>
      <c r="BB56" s="209">
        <f t="shared" si="6"/>
        <v>1</v>
      </c>
      <c r="BC56" s="210">
        <f t="shared" si="7"/>
        <v>120</v>
      </c>
      <c r="BD56" s="211"/>
      <c r="BE56" s="212"/>
    </row>
    <row r="57">
      <c r="A57" s="270"/>
      <c r="B57" s="337" t="s">
        <v>698</v>
      </c>
      <c r="C57" s="398" t="s">
        <v>687</v>
      </c>
      <c r="D57" s="369"/>
      <c r="E57" s="259"/>
      <c r="F57" s="371"/>
      <c r="G57" s="246"/>
      <c r="H57" s="399"/>
      <c r="I57" s="246"/>
      <c r="J57" s="252"/>
      <c r="K57" s="246"/>
      <c r="L57" s="261"/>
      <c r="M57" s="250"/>
      <c r="N57" s="246"/>
      <c r="O57" s="399"/>
      <c r="P57" s="246"/>
      <c r="Q57" s="399"/>
      <c r="R57" s="246"/>
      <c r="S57" s="261"/>
      <c r="T57" s="399"/>
      <c r="U57" s="246"/>
      <c r="V57" s="399"/>
      <c r="W57" s="246"/>
      <c r="X57" s="320"/>
      <c r="Y57" s="246"/>
      <c r="Z57" s="261"/>
      <c r="AA57" s="250"/>
      <c r="AB57" s="246"/>
      <c r="AC57" s="282"/>
      <c r="AD57" s="246"/>
      <c r="AE57" s="399"/>
      <c r="AF57" s="246"/>
      <c r="AG57" s="261"/>
      <c r="AH57" s="399"/>
      <c r="AI57" s="246"/>
      <c r="AJ57" s="399"/>
      <c r="AK57" s="246"/>
      <c r="AL57" s="399"/>
      <c r="AM57" s="246"/>
      <c r="AN57" s="261"/>
      <c r="AO57" s="250"/>
      <c r="AP57" s="246"/>
      <c r="AQ57" s="399"/>
      <c r="AR57" s="246"/>
      <c r="AS57" s="399"/>
      <c r="AT57" s="254" t="str">
        <f t="shared" ref="AT57:AT60" si="20">IF(COUNTIF($AO$85:$AT$87, AS56) &gt; 0, "X", "")</f>
        <v/>
      </c>
      <c r="AU57" s="269"/>
      <c r="AV57" s="269"/>
      <c r="AW57" s="206" t="str">
        <f t="shared" si="17"/>
        <v>#REF!</v>
      </c>
      <c r="AX57" s="207">
        <f t="shared" si="2"/>
        <v>5</v>
      </c>
      <c r="AY57" s="208">
        <f t="shared" si="3"/>
        <v>5</v>
      </c>
      <c r="AZ57" s="208">
        <f t="shared" si="4"/>
        <v>3</v>
      </c>
      <c r="BA57" s="208">
        <f t="shared" si="5"/>
        <v>1</v>
      </c>
      <c r="BB57" s="209">
        <f t="shared" si="6"/>
        <v>1</v>
      </c>
      <c r="BC57" s="210">
        <f t="shared" si="7"/>
        <v>120</v>
      </c>
      <c r="BD57" s="211"/>
      <c r="BE57" s="212"/>
    </row>
    <row r="58">
      <c r="A58" s="94"/>
      <c r="B58" s="402" t="s">
        <v>699</v>
      </c>
      <c r="C58" s="403" t="s">
        <v>649</v>
      </c>
      <c r="D58" s="404"/>
      <c r="E58" s="259"/>
      <c r="F58" s="294"/>
      <c r="G58" s="246"/>
      <c r="H58" s="294"/>
      <c r="I58" s="246"/>
      <c r="J58" s="294"/>
      <c r="K58" s="246"/>
      <c r="L58" s="261"/>
      <c r="M58" s="250"/>
      <c r="N58" s="246"/>
      <c r="O58" s="294"/>
      <c r="P58" s="246"/>
      <c r="Q58" s="471" t="s">
        <v>419</v>
      </c>
      <c r="R58" s="246"/>
      <c r="S58" s="261"/>
      <c r="T58" s="294"/>
      <c r="U58" s="246"/>
      <c r="V58" s="294"/>
      <c r="W58" s="246"/>
      <c r="X58" s="320"/>
      <c r="Y58" s="246"/>
      <c r="Z58" s="261"/>
      <c r="AA58" s="250"/>
      <c r="AB58" s="246"/>
      <c r="AC58" s="294"/>
      <c r="AD58" s="246"/>
      <c r="AE58" s="294"/>
      <c r="AF58" s="246"/>
      <c r="AG58" s="261"/>
      <c r="AH58" s="294"/>
      <c r="AI58" s="246"/>
      <c r="AJ58" s="294"/>
      <c r="AK58" s="246"/>
      <c r="AL58" s="294"/>
      <c r="AM58" s="246"/>
      <c r="AN58" s="261"/>
      <c r="AO58" s="250"/>
      <c r="AP58" s="246"/>
      <c r="AQ58" s="294"/>
      <c r="AR58" s="246"/>
      <c r="AS58" s="294"/>
      <c r="AT58" s="254" t="str">
        <f t="shared" si="20"/>
        <v/>
      </c>
      <c r="AU58" s="269"/>
      <c r="AV58" s="269"/>
      <c r="AW58" s="206" t="str">
        <f t="shared" si="17"/>
        <v>#REF!</v>
      </c>
      <c r="AX58" s="207">
        <f t="shared" si="2"/>
        <v>5</v>
      </c>
      <c r="AY58" s="208">
        <f t="shared" si="3"/>
        <v>5</v>
      </c>
      <c r="AZ58" s="208">
        <f t="shared" si="4"/>
        <v>3</v>
      </c>
      <c r="BA58" s="208">
        <f t="shared" si="5"/>
        <v>1</v>
      </c>
      <c r="BB58" s="209">
        <f t="shared" si="6"/>
        <v>1</v>
      </c>
      <c r="BC58" s="210">
        <f t="shared" si="7"/>
        <v>120</v>
      </c>
      <c r="BD58" s="211"/>
      <c r="BE58" s="212"/>
    </row>
    <row r="59">
      <c r="A59" s="94"/>
      <c r="B59" s="328" t="s">
        <v>700</v>
      </c>
      <c r="C59" s="329" t="s">
        <v>657</v>
      </c>
      <c r="D59" s="330"/>
      <c r="E59" s="259"/>
      <c r="G59" s="246"/>
      <c r="H59" s="265"/>
      <c r="I59" s="246"/>
      <c r="J59" s="265"/>
      <c r="K59" s="246"/>
      <c r="L59" s="261"/>
      <c r="M59" s="250"/>
      <c r="N59" s="246"/>
      <c r="O59" s="264"/>
      <c r="P59" s="246"/>
      <c r="Q59" s="585" t="s">
        <v>437</v>
      </c>
      <c r="R59" s="246"/>
      <c r="S59" s="261"/>
      <c r="T59" s="264"/>
      <c r="U59" s="246"/>
      <c r="V59" s="264"/>
      <c r="W59" s="246"/>
      <c r="X59" s="320"/>
      <c r="Y59" s="246"/>
      <c r="Z59" s="261"/>
      <c r="AA59" s="250"/>
      <c r="AB59" s="246"/>
      <c r="AC59" s="264"/>
      <c r="AD59" s="246"/>
      <c r="AE59" s="340"/>
      <c r="AF59" s="246"/>
      <c r="AG59" s="261"/>
      <c r="AH59" s="264"/>
      <c r="AI59" s="246"/>
      <c r="AJ59" s="264"/>
      <c r="AK59" s="246"/>
      <c r="AL59" s="264"/>
      <c r="AM59" s="246"/>
      <c r="AN59" s="261"/>
      <c r="AO59" s="250"/>
      <c r="AP59" s="246"/>
      <c r="AQ59" s="264"/>
      <c r="AR59" s="246"/>
      <c r="AS59" s="264"/>
      <c r="AT59" s="254" t="str">
        <f t="shared" si="20"/>
        <v/>
      </c>
      <c r="AU59" s="269"/>
      <c r="AV59" s="269"/>
      <c r="AW59" s="206" t="str">
        <f>TEAM!B91</f>
        <v>#REF!</v>
      </c>
      <c r="AX59" s="207">
        <f t="shared" si="2"/>
        <v>5</v>
      </c>
      <c r="AY59" s="208">
        <f t="shared" si="3"/>
        <v>5</v>
      </c>
      <c r="AZ59" s="208">
        <f t="shared" si="4"/>
        <v>3</v>
      </c>
      <c r="BA59" s="208">
        <f t="shared" si="5"/>
        <v>1</v>
      </c>
      <c r="BB59" s="209">
        <f t="shared" si="6"/>
        <v>1</v>
      </c>
      <c r="BC59" s="210">
        <f t="shared" si="7"/>
        <v>120</v>
      </c>
      <c r="BD59" s="211"/>
      <c r="BE59" s="212"/>
    </row>
    <row r="60">
      <c r="A60" s="94"/>
      <c r="B60" s="328" t="s">
        <v>700</v>
      </c>
      <c r="C60" s="329" t="s">
        <v>657</v>
      </c>
      <c r="D60" s="330"/>
      <c r="E60" s="259"/>
      <c r="F60" s="264"/>
      <c r="G60" s="246"/>
      <c r="H60" s="282"/>
      <c r="I60" s="246"/>
      <c r="J60" s="282"/>
      <c r="K60" s="246"/>
      <c r="L60" s="261"/>
      <c r="M60" s="262"/>
      <c r="N60" s="246"/>
      <c r="O60" s="371"/>
      <c r="P60" s="246"/>
      <c r="Q60" s="522" t="s">
        <v>462</v>
      </c>
      <c r="R60" s="246"/>
      <c r="S60" s="261"/>
      <c r="U60" s="246"/>
      <c r="W60" s="246"/>
      <c r="X60" s="320"/>
      <c r="Y60" s="246"/>
      <c r="Z60" s="261"/>
      <c r="AA60" s="262"/>
      <c r="AB60" s="246"/>
      <c r="AC60" s="371"/>
      <c r="AD60" s="246"/>
      <c r="AF60" s="246"/>
      <c r="AG60" s="261"/>
      <c r="AH60" s="371"/>
      <c r="AI60" s="246"/>
      <c r="AJ60" s="371"/>
      <c r="AK60" s="246"/>
      <c r="AL60" s="282"/>
      <c r="AM60" s="246"/>
      <c r="AN60" s="261"/>
      <c r="AO60" s="262"/>
      <c r="AP60" s="246"/>
      <c r="AR60" s="246"/>
      <c r="AS60" s="371"/>
      <c r="AT60" s="254" t="str">
        <f t="shared" si="20"/>
        <v/>
      </c>
      <c r="AU60" s="269"/>
      <c r="AV60" s="269"/>
      <c r="AW60" s="206" t="str">
        <f t="shared" ref="AW60:AW62" si="21">TEAM!B60</f>
        <v>#REF!</v>
      </c>
      <c r="AX60" s="207">
        <f t="shared" si="2"/>
        <v>5</v>
      </c>
      <c r="AY60" s="208">
        <f t="shared" si="3"/>
        <v>5</v>
      </c>
      <c r="AZ60" s="208">
        <f t="shared" si="4"/>
        <v>3</v>
      </c>
      <c r="BA60" s="208">
        <f t="shared" si="5"/>
        <v>1</v>
      </c>
      <c r="BB60" s="209">
        <f t="shared" si="6"/>
        <v>1</v>
      </c>
      <c r="BC60" s="210">
        <f t="shared" si="7"/>
        <v>120</v>
      </c>
      <c r="BD60" s="211"/>
      <c r="BE60" s="212"/>
    </row>
    <row r="61">
      <c r="A61" s="94"/>
      <c r="B61" s="328" t="s">
        <v>700</v>
      </c>
      <c r="C61" s="329" t="s">
        <v>657</v>
      </c>
      <c r="D61" s="330"/>
      <c r="E61" s="259"/>
      <c r="F61" s="371"/>
      <c r="G61" s="246"/>
      <c r="I61" s="246"/>
      <c r="K61" s="246"/>
      <c r="L61" s="261"/>
      <c r="M61" s="250"/>
      <c r="N61" s="246"/>
      <c r="O61" s="265"/>
      <c r="P61" s="246"/>
      <c r="Q61" s="265"/>
      <c r="R61" s="246"/>
      <c r="S61" s="261"/>
      <c r="T61" s="265"/>
      <c r="U61" s="246"/>
      <c r="V61" s="265"/>
      <c r="W61" s="246"/>
      <c r="X61" s="320"/>
      <c r="Y61" s="246"/>
      <c r="Z61" s="261"/>
      <c r="AA61" s="250"/>
      <c r="AB61" s="246"/>
      <c r="AC61" s="264"/>
      <c r="AD61" s="246"/>
      <c r="AE61" s="265"/>
      <c r="AF61" s="246"/>
      <c r="AG61" s="261"/>
      <c r="AH61" s="264"/>
      <c r="AI61" s="246"/>
      <c r="AK61" s="246"/>
      <c r="AM61" s="246"/>
      <c r="AN61" s="261"/>
      <c r="AO61" s="250"/>
      <c r="AP61" s="246"/>
      <c r="AQ61" s="265"/>
      <c r="AR61" s="246"/>
      <c r="AT61" s="254" t="str">
        <f t="shared" ref="AT61:AT62" si="22">IF(COUNTIF($AO$85:$AT$87, #REF!) &gt; 0, "X", "")</f>
        <v/>
      </c>
      <c r="AU61" s="269"/>
      <c r="AV61" s="269"/>
      <c r="AW61" s="206" t="str">
        <f t="shared" si="21"/>
        <v>#REF!</v>
      </c>
      <c r="AX61" s="207">
        <f t="shared" si="2"/>
        <v>5</v>
      </c>
      <c r="AY61" s="208">
        <f t="shared" si="3"/>
        <v>5</v>
      </c>
      <c r="AZ61" s="208">
        <f t="shared" si="4"/>
        <v>3</v>
      </c>
      <c r="BA61" s="208">
        <f t="shared" si="5"/>
        <v>1</v>
      </c>
      <c r="BB61" s="209">
        <f t="shared" si="6"/>
        <v>1</v>
      </c>
      <c r="BC61" s="210">
        <f t="shared" si="7"/>
        <v>120</v>
      </c>
      <c r="BD61" s="211"/>
      <c r="BE61" s="212"/>
    </row>
    <row r="62">
      <c r="A62" s="234"/>
      <c r="B62" s="408" t="s">
        <v>702</v>
      </c>
      <c r="C62" s="409" t="s">
        <v>652</v>
      </c>
      <c r="D62" s="351"/>
      <c r="E62" s="259"/>
      <c r="F62" s="411"/>
      <c r="G62" s="246"/>
      <c r="H62" s="411"/>
      <c r="I62" s="246"/>
      <c r="J62" s="411"/>
      <c r="K62" s="246"/>
      <c r="L62" s="261"/>
      <c r="M62" s="262"/>
      <c r="N62" s="246"/>
      <c r="O62" s="411"/>
      <c r="P62" s="246"/>
      <c r="Q62" s="411"/>
      <c r="R62" s="246"/>
      <c r="S62" s="261"/>
      <c r="T62" s="411"/>
      <c r="U62" s="246"/>
      <c r="V62" s="411"/>
      <c r="W62" s="246"/>
      <c r="X62" s="320"/>
      <c r="Y62" s="246"/>
      <c r="Z62" s="261"/>
      <c r="AA62" s="262"/>
      <c r="AB62" s="246"/>
      <c r="AC62" s="411"/>
      <c r="AD62" s="246"/>
      <c r="AE62" s="411"/>
      <c r="AF62" s="246"/>
      <c r="AG62" s="261"/>
      <c r="AH62" s="411"/>
      <c r="AI62" s="246"/>
      <c r="AJ62" s="411"/>
      <c r="AK62" s="246"/>
      <c r="AL62" s="411"/>
      <c r="AM62" s="246"/>
      <c r="AN62" s="261"/>
      <c r="AO62" s="262"/>
      <c r="AP62" s="246"/>
      <c r="AQ62" s="411"/>
      <c r="AR62" s="246"/>
      <c r="AS62" s="411"/>
      <c r="AT62" s="254" t="str">
        <f t="shared" si="22"/>
        <v/>
      </c>
      <c r="AU62" s="269"/>
      <c r="AV62" s="269"/>
      <c r="AW62" s="206" t="str">
        <f t="shared" si="21"/>
        <v>#REF!</v>
      </c>
      <c r="AX62" s="207">
        <f t="shared" si="2"/>
        <v>5</v>
      </c>
      <c r="AY62" s="208">
        <f t="shared" si="3"/>
        <v>5</v>
      </c>
      <c r="AZ62" s="208">
        <f t="shared" si="4"/>
        <v>3</v>
      </c>
      <c r="BA62" s="208">
        <f t="shared" si="5"/>
        <v>1</v>
      </c>
      <c r="BB62" s="209">
        <f t="shared" si="6"/>
        <v>1</v>
      </c>
      <c r="BC62" s="210">
        <f t="shared" si="7"/>
        <v>120</v>
      </c>
      <c r="BD62" s="211"/>
      <c r="BE62" s="212"/>
    </row>
    <row r="63">
      <c r="A63" s="234"/>
      <c r="B63" s="401" t="s">
        <v>703</v>
      </c>
      <c r="C63" s="412" t="s">
        <v>704</v>
      </c>
      <c r="D63" s="323"/>
      <c r="E63" s="259"/>
      <c r="F63" s="307"/>
      <c r="G63" s="246"/>
      <c r="H63" s="307"/>
      <c r="I63" s="246"/>
      <c r="J63" s="307"/>
      <c r="K63" s="246"/>
      <c r="L63" s="261"/>
      <c r="M63" s="262"/>
      <c r="N63" s="246"/>
      <c r="O63" s="307"/>
      <c r="P63" s="246"/>
      <c r="Q63" s="307"/>
      <c r="R63" s="246"/>
      <c r="S63" s="261"/>
      <c r="T63" s="307"/>
      <c r="U63" s="246"/>
      <c r="V63" s="307"/>
      <c r="W63" s="246"/>
      <c r="X63" s="320"/>
      <c r="Y63" s="246"/>
      <c r="Z63" s="261"/>
      <c r="AA63" s="262"/>
      <c r="AB63" s="246"/>
      <c r="AC63" s="307"/>
      <c r="AD63" s="246"/>
      <c r="AE63" s="307"/>
      <c r="AF63" s="246"/>
      <c r="AG63" s="261"/>
      <c r="AH63" s="307"/>
      <c r="AI63" s="246"/>
      <c r="AJ63" s="307"/>
      <c r="AK63" s="246"/>
      <c r="AL63" s="307"/>
      <c r="AM63" s="246"/>
      <c r="AN63" s="261"/>
      <c r="AO63" s="262"/>
      <c r="AP63" s="246"/>
      <c r="AQ63" s="307"/>
      <c r="AR63" s="246"/>
      <c r="AS63" s="307"/>
      <c r="AT63" s="254" t="str">
        <f>IF(COUNTIF($AO$85:$AT$87, AS62) &gt; 0, "X", "")</f>
        <v/>
      </c>
      <c r="AU63" s="269"/>
      <c r="AV63" s="269"/>
      <c r="AW63" s="206" t="str">
        <f t="shared" ref="AW63:AW85" si="23">TEAM!B64</f>
        <v>#REF!</v>
      </c>
      <c r="AX63" s="207">
        <f t="shared" si="2"/>
        <v>5</v>
      </c>
      <c r="AY63" s="208">
        <f t="shared" si="3"/>
        <v>5</v>
      </c>
      <c r="AZ63" s="208">
        <f t="shared" si="4"/>
        <v>3</v>
      </c>
      <c r="BA63" s="208">
        <f t="shared" si="5"/>
        <v>1</v>
      </c>
      <c r="BB63" s="209">
        <f t="shared" si="6"/>
        <v>1</v>
      </c>
      <c r="BC63" s="210">
        <f t="shared" si="7"/>
        <v>120</v>
      </c>
      <c r="BD63" s="211"/>
      <c r="BE63" s="212"/>
    </row>
    <row r="64">
      <c r="A64" s="94"/>
      <c r="B64" s="414" t="s">
        <v>705</v>
      </c>
      <c r="C64" s="415" t="s">
        <v>704</v>
      </c>
      <c r="D64" s="330"/>
      <c r="E64" s="259"/>
      <c r="F64" s="282"/>
      <c r="G64" s="246"/>
      <c r="H64" s="311" t="s">
        <v>394</v>
      </c>
      <c r="I64" s="246"/>
      <c r="J64" s="586" t="s">
        <v>452</v>
      </c>
      <c r="K64" s="246"/>
      <c r="L64" s="261"/>
      <c r="M64" s="341"/>
      <c r="N64" s="246"/>
      <c r="O64" s="311" t="s">
        <v>394</v>
      </c>
      <c r="P64" s="246"/>
      <c r="Q64" s="325" t="s">
        <v>707</v>
      </c>
      <c r="R64" s="246"/>
      <c r="S64" s="261"/>
      <c r="T64" s="586" t="s">
        <v>452</v>
      </c>
      <c r="U64" s="246"/>
      <c r="V64" s="311" t="s">
        <v>394</v>
      </c>
      <c r="W64" s="246"/>
      <c r="X64" s="320"/>
      <c r="Y64" s="246"/>
      <c r="Z64" s="261"/>
      <c r="AA64" s="341"/>
      <c r="AB64" s="246"/>
      <c r="AC64" s="311" t="s">
        <v>438</v>
      </c>
      <c r="AD64" s="246"/>
      <c r="AE64" s="365" t="s">
        <v>706</v>
      </c>
      <c r="AF64" s="246"/>
      <c r="AG64" s="261"/>
      <c r="AH64" s="251" t="s">
        <v>706</v>
      </c>
      <c r="AI64" s="246"/>
      <c r="AJ64" s="311" t="s">
        <v>438</v>
      </c>
      <c r="AK64" s="246"/>
      <c r="AL64" s="586" t="s">
        <v>452</v>
      </c>
      <c r="AM64" s="246"/>
      <c r="AN64" s="261"/>
      <c r="AO64" s="341"/>
      <c r="AP64" s="246"/>
      <c r="AQ64" s="311" t="s">
        <v>438</v>
      </c>
      <c r="AR64" s="246"/>
      <c r="AS64" s="311" t="s">
        <v>467</v>
      </c>
      <c r="AT64" s="254" t="str">
        <f t="shared" ref="AT64:AT66" si="24">IF(COUNTIF($AO$85:$AT$87, #REF!) &gt; 0, "X", "")</f>
        <v/>
      </c>
      <c r="AU64" s="269"/>
      <c r="AV64" s="269"/>
      <c r="AW64" s="206" t="str">
        <f t="shared" si="23"/>
        <v>#REF!</v>
      </c>
      <c r="AX64" s="207">
        <f t="shared" si="2"/>
        <v>5</v>
      </c>
      <c r="AY64" s="208">
        <f t="shared" si="3"/>
        <v>5</v>
      </c>
      <c r="AZ64" s="208">
        <f t="shared" si="4"/>
        <v>3</v>
      </c>
      <c r="BA64" s="208">
        <f t="shared" si="5"/>
        <v>1</v>
      </c>
      <c r="BB64" s="209">
        <f t="shared" si="6"/>
        <v>1</v>
      </c>
      <c r="BC64" s="210">
        <f t="shared" si="7"/>
        <v>120</v>
      </c>
      <c r="BD64" s="211"/>
      <c r="BE64" s="212"/>
    </row>
    <row r="65">
      <c r="A65" s="94"/>
      <c r="B65" s="328" t="s">
        <v>705</v>
      </c>
      <c r="C65" s="257" t="s">
        <v>657</v>
      </c>
      <c r="D65" s="330"/>
      <c r="E65" s="259"/>
      <c r="F65" s="251" t="s">
        <v>706</v>
      </c>
      <c r="G65" s="246"/>
      <c r="H65" s="311" t="s">
        <v>407</v>
      </c>
      <c r="I65" s="246"/>
      <c r="J65" s="251" t="s">
        <v>410</v>
      </c>
      <c r="K65" s="246"/>
      <c r="L65" s="261"/>
      <c r="M65" s="341"/>
      <c r="N65" s="246"/>
      <c r="O65" s="311" t="s">
        <v>438</v>
      </c>
      <c r="P65" s="246"/>
      <c r="Q65" s="311" t="s">
        <v>410</v>
      </c>
      <c r="R65" s="246"/>
      <c r="S65" s="261"/>
      <c r="T65" s="364" t="s">
        <v>713</v>
      </c>
      <c r="U65" s="246"/>
      <c r="V65" s="325" t="s">
        <v>836</v>
      </c>
      <c r="W65" s="246"/>
      <c r="X65" s="320"/>
      <c r="Y65" s="246"/>
      <c r="Z65" s="261"/>
      <c r="AA65" s="341"/>
      <c r="AB65" s="246"/>
      <c r="AC65" s="311" t="s">
        <v>470</v>
      </c>
      <c r="AD65" s="246"/>
      <c r="AE65" s="586" t="s">
        <v>452</v>
      </c>
      <c r="AF65" s="246"/>
      <c r="AG65" s="261"/>
      <c r="AI65" s="246"/>
      <c r="AJ65" s="311" t="s">
        <v>394</v>
      </c>
      <c r="AK65" s="246"/>
      <c r="AL65" s="311" t="s">
        <v>467</v>
      </c>
      <c r="AM65" s="246"/>
      <c r="AN65" s="261"/>
      <c r="AO65" s="341"/>
      <c r="AP65" s="246"/>
      <c r="AQ65" s="251" t="s">
        <v>440</v>
      </c>
      <c r="AR65" s="246"/>
      <c r="AS65" s="311" t="s">
        <v>432</v>
      </c>
      <c r="AT65" s="254" t="str">
        <f t="shared" si="24"/>
        <v/>
      </c>
      <c r="AU65" s="269"/>
      <c r="AV65" s="269"/>
      <c r="AW65" s="206" t="str">
        <f t="shared" si="23"/>
        <v>#REF!</v>
      </c>
      <c r="AX65" s="207">
        <f t="shared" si="2"/>
        <v>5</v>
      </c>
      <c r="AY65" s="208">
        <f t="shared" si="3"/>
        <v>5</v>
      </c>
      <c r="AZ65" s="208">
        <f t="shared" si="4"/>
        <v>3</v>
      </c>
      <c r="BA65" s="208">
        <f t="shared" si="5"/>
        <v>1</v>
      </c>
      <c r="BB65" s="209">
        <f t="shared" si="6"/>
        <v>1</v>
      </c>
      <c r="BC65" s="210">
        <f t="shared" si="7"/>
        <v>120</v>
      </c>
      <c r="BD65" s="211"/>
      <c r="BE65" s="212"/>
    </row>
    <row r="66">
      <c r="A66" s="94"/>
      <c r="B66" s="277" t="s">
        <v>705</v>
      </c>
      <c r="C66" s="329" t="s">
        <v>685</v>
      </c>
      <c r="D66" s="330"/>
      <c r="E66" s="259"/>
      <c r="F66" s="311" t="s">
        <v>470</v>
      </c>
      <c r="G66" s="246"/>
      <c r="H66" s="251" t="s">
        <v>440</v>
      </c>
      <c r="I66" s="246"/>
      <c r="J66" s="311" t="s">
        <v>467</v>
      </c>
      <c r="K66" s="246"/>
      <c r="L66" s="261"/>
      <c r="M66" s="341"/>
      <c r="N66" s="246"/>
      <c r="O66" s="311" t="s">
        <v>470</v>
      </c>
      <c r="P66" s="246"/>
      <c r="Q66" s="365" t="s">
        <v>706</v>
      </c>
      <c r="R66" s="246"/>
      <c r="S66" s="261"/>
      <c r="T66" s="311" t="s">
        <v>467</v>
      </c>
      <c r="U66" s="246"/>
      <c r="V66" s="274" t="s">
        <v>406</v>
      </c>
      <c r="W66" s="246"/>
      <c r="X66" s="320"/>
      <c r="Y66" s="246"/>
      <c r="Z66" s="261"/>
      <c r="AA66" s="341"/>
      <c r="AB66" s="246"/>
      <c r="AC66" s="364" t="s">
        <v>840</v>
      </c>
      <c r="AD66" s="246"/>
      <c r="AF66" s="246"/>
      <c r="AG66" s="261"/>
      <c r="AI66" s="246"/>
      <c r="AJ66" s="587" t="s">
        <v>840</v>
      </c>
      <c r="AK66" s="246"/>
      <c r="AM66" s="246"/>
      <c r="AN66" s="261"/>
      <c r="AO66" s="341"/>
      <c r="AP66" s="246"/>
      <c r="AQ66" s="311" t="s">
        <v>470</v>
      </c>
      <c r="AR66" s="246"/>
      <c r="AS66" s="251" t="s">
        <v>706</v>
      </c>
      <c r="AT66" s="254" t="str">
        <f t="shared" si="24"/>
        <v/>
      </c>
      <c r="AU66" s="269"/>
      <c r="AV66" s="269"/>
      <c r="AW66" s="206" t="str">
        <f t="shared" si="23"/>
        <v>#REF!</v>
      </c>
      <c r="AX66" s="207">
        <f t="shared" si="2"/>
        <v>5</v>
      </c>
      <c r="AY66" s="208">
        <f t="shared" si="3"/>
        <v>5</v>
      </c>
      <c r="AZ66" s="208">
        <f t="shared" si="4"/>
        <v>3</v>
      </c>
      <c r="BA66" s="208">
        <f t="shared" si="5"/>
        <v>1</v>
      </c>
      <c r="BB66" s="209">
        <f t="shared" si="6"/>
        <v>1</v>
      </c>
      <c r="BC66" s="210">
        <f t="shared" si="7"/>
        <v>120</v>
      </c>
      <c r="BD66" s="211"/>
      <c r="BE66" s="212"/>
    </row>
    <row r="67">
      <c r="A67" s="270"/>
      <c r="B67" s="271" t="s">
        <v>705</v>
      </c>
      <c r="C67" s="272" t="s">
        <v>687</v>
      </c>
      <c r="D67" s="369"/>
      <c r="E67" s="259"/>
      <c r="G67" s="246"/>
      <c r="H67" s="325" t="s">
        <v>841</v>
      </c>
      <c r="I67" s="246"/>
      <c r="J67" s="371"/>
      <c r="K67" s="246"/>
      <c r="L67" s="261"/>
      <c r="M67" s="341"/>
      <c r="N67" s="246"/>
      <c r="P67" s="246"/>
      <c r="Q67" s="282"/>
      <c r="R67" s="246"/>
      <c r="S67" s="261"/>
      <c r="U67" s="246"/>
      <c r="W67" s="246"/>
      <c r="X67" s="320"/>
      <c r="Y67" s="246"/>
      <c r="Z67" s="261"/>
      <c r="AA67" s="341"/>
      <c r="AB67" s="246"/>
      <c r="AC67" s="325" t="s">
        <v>836</v>
      </c>
      <c r="AD67" s="246"/>
      <c r="AF67" s="246"/>
      <c r="AG67" s="261"/>
      <c r="AH67" s="311" t="s">
        <v>470</v>
      </c>
      <c r="AI67" s="246"/>
      <c r="AK67" s="246"/>
      <c r="AL67" s="588" t="s">
        <v>707</v>
      </c>
      <c r="AM67" s="246"/>
      <c r="AN67" s="261"/>
      <c r="AO67" s="341"/>
      <c r="AP67" s="246"/>
      <c r="AR67" s="246"/>
      <c r="AT67" s="254" t="str">
        <f>IF(COUNTIF($AO$85:$AT$87, AO66) &gt; 0, "X", "")</f>
        <v/>
      </c>
      <c r="AU67" s="269"/>
      <c r="AV67" s="269"/>
      <c r="AW67" s="206" t="str">
        <f t="shared" si="23"/>
        <v>#REF!</v>
      </c>
      <c r="AX67" s="207">
        <f t="shared" si="2"/>
        <v>5</v>
      </c>
      <c r="AY67" s="208">
        <f t="shared" si="3"/>
        <v>5</v>
      </c>
      <c r="AZ67" s="208">
        <f t="shared" si="4"/>
        <v>3</v>
      </c>
      <c r="BA67" s="208">
        <f t="shared" si="5"/>
        <v>1</v>
      </c>
      <c r="BB67" s="209">
        <f t="shared" si="6"/>
        <v>1</v>
      </c>
      <c r="BC67" s="210">
        <f t="shared" si="7"/>
        <v>120</v>
      </c>
      <c r="BD67" s="211"/>
      <c r="BE67" s="212"/>
    </row>
    <row r="68">
      <c r="A68" s="94"/>
      <c r="B68" s="397" t="s">
        <v>708</v>
      </c>
      <c r="C68" s="398" t="s">
        <v>654</v>
      </c>
      <c r="D68" s="330"/>
      <c r="E68" s="259"/>
      <c r="F68" s="282"/>
      <c r="G68" s="246"/>
      <c r="H68" s="384" t="s">
        <v>441</v>
      </c>
      <c r="I68" s="246"/>
      <c r="J68" s="374" t="s">
        <v>446</v>
      </c>
      <c r="K68" s="246"/>
      <c r="L68" s="261"/>
      <c r="M68" s="341"/>
      <c r="N68" s="246"/>
      <c r="O68" s="384" t="s">
        <v>441</v>
      </c>
      <c r="P68" s="246"/>
      <c r="Q68" s="374" t="s">
        <v>446</v>
      </c>
      <c r="R68" s="246"/>
      <c r="S68" s="261"/>
      <c r="U68" s="246"/>
      <c r="V68" s="365" t="s">
        <v>469</v>
      </c>
      <c r="W68" s="246"/>
      <c r="X68" s="320"/>
      <c r="Y68" s="246"/>
      <c r="Z68" s="261"/>
      <c r="AA68" s="341"/>
      <c r="AB68" s="246"/>
      <c r="AC68" s="384" t="s">
        <v>441</v>
      </c>
      <c r="AD68" s="246"/>
      <c r="AE68" s="325" t="s">
        <v>842</v>
      </c>
      <c r="AF68" s="246"/>
      <c r="AG68" s="261"/>
      <c r="AH68" s="374" t="s">
        <v>446</v>
      </c>
      <c r="AI68" s="246"/>
      <c r="AJ68" s="384" t="s">
        <v>441</v>
      </c>
      <c r="AK68" s="246"/>
      <c r="AM68" s="246"/>
      <c r="AN68" s="261"/>
      <c r="AO68" s="341"/>
      <c r="AP68" s="246"/>
      <c r="AQ68" s="365" t="s">
        <v>469</v>
      </c>
      <c r="AR68" s="246"/>
      <c r="AS68" s="374" t="s">
        <v>446</v>
      </c>
      <c r="AT68" s="254" t="str">
        <f>IF(COUNTIF($AO$85:$AT$87, #REF!) &gt; 0, "X", "")</f>
        <v/>
      </c>
      <c r="AU68" s="269"/>
      <c r="AV68" s="269"/>
      <c r="AW68" s="206" t="str">
        <f t="shared" si="23"/>
        <v>#REF!</v>
      </c>
      <c r="AX68" s="207">
        <f t="shared" si="2"/>
        <v>5</v>
      </c>
      <c r="AY68" s="208">
        <f t="shared" si="3"/>
        <v>5</v>
      </c>
      <c r="AZ68" s="208">
        <f t="shared" si="4"/>
        <v>3</v>
      </c>
      <c r="BA68" s="208">
        <f t="shared" si="5"/>
        <v>1</v>
      </c>
      <c r="BB68" s="209">
        <f t="shared" si="6"/>
        <v>1</v>
      </c>
      <c r="BC68" s="210">
        <f t="shared" si="7"/>
        <v>120</v>
      </c>
      <c r="BD68" s="211"/>
      <c r="BE68" s="212"/>
    </row>
    <row r="69">
      <c r="A69" s="94"/>
      <c r="B69" s="277" t="s">
        <v>709</v>
      </c>
      <c r="C69" s="278" t="s">
        <v>710</v>
      </c>
      <c r="D69" s="330"/>
      <c r="E69" s="259"/>
      <c r="F69" s="275"/>
      <c r="G69" s="246"/>
      <c r="H69" s="275"/>
      <c r="I69" s="246"/>
      <c r="K69" s="246"/>
      <c r="L69" s="261"/>
      <c r="M69" s="286"/>
      <c r="N69" s="246"/>
      <c r="O69" s="275"/>
      <c r="P69" s="246"/>
      <c r="Q69" s="282"/>
      <c r="R69" s="246"/>
      <c r="S69" s="261"/>
      <c r="U69" s="246"/>
      <c r="V69" s="384" t="s">
        <v>441</v>
      </c>
      <c r="W69" s="246"/>
      <c r="X69" s="251" t="s">
        <v>440</v>
      </c>
      <c r="Y69" s="246"/>
      <c r="Z69" s="261"/>
      <c r="AA69" s="286"/>
      <c r="AB69" s="246"/>
      <c r="AC69" s="282"/>
      <c r="AD69" s="246"/>
      <c r="AE69" s="282"/>
      <c r="AF69" s="246"/>
      <c r="AG69" s="261"/>
      <c r="AH69" s="275"/>
      <c r="AI69" s="246"/>
      <c r="AJ69" s="282"/>
      <c r="AK69" s="246"/>
      <c r="AM69" s="246"/>
      <c r="AN69" s="261"/>
      <c r="AO69" s="286"/>
      <c r="AP69" s="246"/>
      <c r="AR69" s="246"/>
      <c r="AT69" s="254" t="str">
        <f>IF(COUNTIF($AO$85:$AT$87, AS68) &gt; 0, "X", "")</f>
        <v/>
      </c>
      <c r="AU69" s="269"/>
      <c r="AV69" s="269"/>
      <c r="AW69" s="206" t="str">
        <f t="shared" si="23"/>
        <v>#REF!</v>
      </c>
      <c r="AX69" s="207">
        <f t="shared" si="2"/>
        <v>5</v>
      </c>
      <c r="AY69" s="208">
        <f t="shared" si="3"/>
        <v>5</v>
      </c>
      <c r="AZ69" s="208">
        <f t="shared" si="4"/>
        <v>3</v>
      </c>
      <c r="BA69" s="208">
        <f t="shared" si="5"/>
        <v>1</v>
      </c>
      <c r="BB69" s="209">
        <f t="shared" si="6"/>
        <v>1</v>
      </c>
      <c r="BC69" s="210">
        <f t="shared" si="7"/>
        <v>120</v>
      </c>
      <c r="BD69" s="211"/>
      <c r="BE69" s="212"/>
    </row>
    <row r="70">
      <c r="A70" s="94"/>
      <c r="B70" s="271" t="s">
        <v>712</v>
      </c>
      <c r="C70" s="272" t="s">
        <v>710</v>
      </c>
      <c r="D70" s="323"/>
      <c r="E70" s="259"/>
      <c r="F70" s="281"/>
      <c r="G70" s="246"/>
      <c r="H70" s="281"/>
      <c r="I70" s="246"/>
      <c r="J70" s="281"/>
      <c r="K70" s="246"/>
      <c r="L70" s="261"/>
      <c r="M70" s="341"/>
      <c r="N70" s="246"/>
      <c r="O70" s="281"/>
      <c r="P70" s="246"/>
      <c r="R70" s="246"/>
      <c r="S70" s="261"/>
      <c r="U70" s="246"/>
      <c r="V70" s="282"/>
      <c r="W70" s="246"/>
      <c r="X70" s="320"/>
      <c r="Y70" s="246"/>
      <c r="Z70" s="261"/>
      <c r="AA70" s="341"/>
      <c r="AB70" s="246"/>
      <c r="AC70" s="282"/>
      <c r="AD70" s="246"/>
      <c r="AE70" s="282"/>
      <c r="AF70" s="246"/>
      <c r="AG70" s="261"/>
      <c r="AH70" s="281"/>
      <c r="AI70" s="246"/>
      <c r="AJ70" s="281"/>
      <c r="AK70" s="246"/>
      <c r="AL70" s="281"/>
      <c r="AM70" s="246"/>
      <c r="AN70" s="261"/>
      <c r="AO70" s="341"/>
      <c r="AP70" s="246"/>
      <c r="AQ70" s="281"/>
      <c r="AR70" s="246"/>
      <c r="AS70" s="281"/>
      <c r="AT70" s="254" t="str">
        <f>IF(COUNTIF($AO$85:$AT$87, AS70) &gt; 0, "X", "")</f>
        <v/>
      </c>
      <c r="AU70" s="269"/>
      <c r="AV70" s="269"/>
      <c r="AW70" s="206" t="str">
        <f t="shared" si="23"/>
        <v>#REF!</v>
      </c>
      <c r="AX70" s="207">
        <f t="shared" si="2"/>
        <v>5</v>
      </c>
      <c r="AY70" s="208">
        <f t="shared" si="3"/>
        <v>5</v>
      </c>
      <c r="AZ70" s="208">
        <f t="shared" si="4"/>
        <v>3</v>
      </c>
      <c r="BA70" s="208">
        <f t="shared" si="5"/>
        <v>1</v>
      </c>
      <c r="BB70" s="209">
        <f t="shared" si="6"/>
        <v>1</v>
      </c>
      <c r="BC70" s="210">
        <f t="shared" si="7"/>
        <v>120</v>
      </c>
      <c r="BD70" s="211"/>
      <c r="BE70" s="212"/>
    </row>
    <row r="71">
      <c r="A71" s="94"/>
      <c r="B71" s="429" t="s">
        <v>714</v>
      </c>
      <c r="C71" s="430"/>
      <c r="D71" s="431"/>
      <c r="E71" s="259"/>
      <c r="F71" s="5"/>
      <c r="G71" s="432"/>
      <c r="H71" s="5"/>
      <c r="I71" s="432"/>
      <c r="J71" s="589"/>
      <c r="K71" s="432"/>
      <c r="L71" s="462"/>
      <c r="M71" s="432"/>
      <c r="N71" s="433"/>
      <c r="O71" s="5"/>
      <c r="P71" s="432"/>
      <c r="Q71" s="5"/>
      <c r="R71" s="432"/>
      <c r="S71" s="462"/>
      <c r="T71" s="590"/>
      <c r="U71" s="433"/>
      <c r="V71" s="5"/>
      <c r="W71" s="432"/>
      <c r="X71" s="5"/>
      <c r="Y71" s="432"/>
      <c r="Z71" s="462"/>
      <c r="AA71" s="432"/>
      <c r="AB71" s="433"/>
      <c r="AC71" s="589"/>
      <c r="AD71" s="432"/>
      <c r="AE71" s="5"/>
      <c r="AF71" s="432"/>
      <c r="AG71" s="462"/>
      <c r="AH71" s="5"/>
      <c r="AI71" s="433"/>
      <c r="AJ71" s="591"/>
      <c r="AK71" s="432"/>
      <c r="AL71" s="589"/>
      <c r="AM71" s="432"/>
      <c r="AN71" s="462"/>
      <c r="AO71" s="432"/>
      <c r="AP71" s="433"/>
      <c r="AQ71" s="589"/>
      <c r="AR71" s="432"/>
      <c r="AS71" s="5"/>
      <c r="AT71" s="430"/>
      <c r="AU71" s="269"/>
      <c r="AV71" s="269"/>
      <c r="AW71" s="206" t="str">
        <f t="shared" si="23"/>
        <v>#REF!</v>
      </c>
      <c r="AX71" s="207">
        <f t="shared" si="2"/>
        <v>5</v>
      </c>
      <c r="AY71" s="208">
        <f t="shared" si="3"/>
        <v>5</v>
      </c>
      <c r="AZ71" s="208">
        <f t="shared" si="4"/>
        <v>3</v>
      </c>
      <c r="BA71" s="208">
        <f t="shared" si="5"/>
        <v>1</v>
      </c>
      <c r="BB71" s="209">
        <f t="shared" si="6"/>
        <v>1</v>
      </c>
      <c r="BC71" s="210">
        <f t="shared" si="7"/>
        <v>120</v>
      </c>
      <c r="BD71" s="211"/>
      <c r="BE71" s="212"/>
    </row>
    <row r="72">
      <c r="A72" s="94"/>
      <c r="B72" s="401" t="s">
        <v>715</v>
      </c>
      <c r="C72" s="412" t="s">
        <v>716</v>
      </c>
      <c r="D72" s="323"/>
      <c r="E72" s="259"/>
      <c r="F72" s="434"/>
      <c r="G72" s="246"/>
      <c r="H72" s="434" t="s">
        <v>403</v>
      </c>
      <c r="I72" s="246"/>
      <c r="J72" s="434"/>
      <c r="K72" s="246"/>
      <c r="L72" s="261"/>
      <c r="M72" s="434"/>
      <c r="N72" s="246"/>
      <c r="O72" s="434" t="s">
        <v>403</v>
      </c>
      <c r="P72" s="246"/>
      <c r="Q72" s="434"/>
      <c r="R72" s="246"/>
      <c r="S72" s="261"/>
      <c r="T72" s="434"/>
      <c r="U72" s="246"/>
      <c r="V72" s="434" t="s">
        <v>403</v>
      </c>
      <c r="W72" s="246"/>
      <c r="X72" s="434"/>
      <c r="Y72" s="246"/>
      <c r="Z72" s="261"/>
      <c r="AA72" s="434"/>
      <c r="AB72" s="246"/>
      <c r="AC72" s="434"/>
      <c r="AD72" s="246"/>
      <c r="AE72" s="434"/>
      <c r="AF72" s="246"/>
      <c r="AG72" s="261"/>
      <c r="AH72" s="434"/>
      <c r="AI72" s="246"/>
      <c r="AJ72" s="434" t="s">
        <v>403</v>
      </c>
      <c r="AK72" s="246"/>
      <c r="AL72" s="434"/>
      <c r="AM72" s="246"/>
      <c r="AN72" s="261"/>
      <c r="AO72" s="434"/>
      <c r="AP72" s="246"/>
      <c r="AQ72" s="434"/>
      <c r="AR72" s="246"/>
      <c r="AS72" s="434"/>
      <c r="AT72" s="254" t="str">
        <f t="shared" ref="AT72:AT84" si="25">IF(COUNTIF($AO$85:$AT$87, AS72) &gt; 0, "X", "")</f>
        <v/>
      </c>
      <c r="AU72" s="269"/>
      <c r="AV72" s="269"/>
      <c r="AW72" s="206" t="str">
        <f t="shared" si="23"/>
        <v>#REF!</v>
      </c>
      <c r="AX72" s="207">
        <f t="shared" si="2"/>
        <v>5</v>
      </c>
      <c r="AY72" s="208">
        <f t="shared" si="3"/>
        <v>5</v>
      </c>
      <c r="AZ72" s="208">
        <f t="shared" si="4"/>
        <v>3</v>
      </c>
      <c r="BA72" s="208">
        <f t="shared" si="5"/>
        <v>1</v>
      </c>
      <c r="BB72" s="209">
        <f t="shared" si="6"/>
        <v>1</v>
      </c>
      <c r="BC72" s="210">
        <f t="shared" si="7"/>
        <v>120</v>
      </c>
      <c r="BD72" s="211"/>
      <c r="BE72" s="212"/>
    </row>
    <row r="73">
      <c r="A73" s="94"/>
      <c r="B73" s="401" t="s">
        <v>843</v>
      </c>
      <c r="C73" s="412" t="s">
        <v>716</v>
      </c>
      <c r="D73" s="323"/>
      <c r="E73" s="259"/>
      <c r="F73" s="434"/>
      <c r="G73" s="246"/>
      <c r="H73" s="434" t="str">
        <f>TEAM!B71</f>
        <v>#REF!</v>
      </c>
      <c r="I73" s="246"/>
      <c r="J73" s="434"/>
      <c r="K73" s="246"/>
      <c r="L73" s="261"/>
      <c r="M73" s="434"/>
      <c r="N73" s="246"/>
      <c r="O73" s="434" t="str">
        <f>TEAM!B71</f>
        <v>#REF!</v>
      </c>
      <c r="P73" s="246"/>
      <c r="Q73" s="434"/>
      <c r="R73" s="246"/>
      <c r="S73" s="261"/>
      <c r="T73" s="434"/>
      <c r="U73" s="246"/>
      <c r="V73" s="434"/>
      <c r="W73" s="246"/>
      <c r="X73" s="434"/>
      <c r="Y73" s="246"/>
      <c r="Z73" s="261"/>
      <c r="AA73" s="434"/>
      <c r="AB73" s="246"/>
      <c r="AC73" s="434" t="str">
        <f>TEAM!B71</f>
        <v>#REF!</v>
      </c>
      <c r="AD73" s="246"/>
      <c r="AE73" s="434"/>
      <c r="AF73" s="246"/>
      <c r="AG73" s="261"/>
      <c r="AH73" s="434"/>
      <c r="AI73" s="246"/>
      <c r="AJ73" s="434" t="str">
        <f>TEAM!B71</f>
        <v>#REF!</v>
      </c>
      <c r="AK73" s="246"/>
      <c r="AL73" s="434"/>
      <c r="AM73" s="246"/>
      <c r="AN73" s="261"/>
      <c r="AO73" s="434"/>
      <c r="AP73" s="246"/>
      <c r="AQ73" s="434" t="str">
        <f>TEAM!B71</f>
        <v>#REF!</v>
      </c>
      <c r="AR73" s="246"/>
      <c r="AS73" s="434"/>
      <c r="AT73" s="254" t="str">
        <f t="shared" si="25"/>
        <v/>
      </c>
      <c r="AU73" s="269"/>
      <c r="AV73" s="269"/>
      <c r="AW73" s="206" t="str">
        <f t="shared" si="23"/>
        <v>#REF!</v>
      </c>
      <c r="AX73" s="207">
        <f t="shared" si="2"/>
        <v>5</v>
      </c>
      <c r="AY73" s="208">
        <f t="shared" si="3"/>
        <v>5</v>
      </c>
      <c r="AZ73" s="208">
        <f t="shared" si="4"/>
        <v>3</v>
      </c>
      <c r="BA73" s="208">
        <f t="shared" si="5"/>
        <v>1</v>
      </c>
      <c r="BB73" s="209">
        <f t="shared" si="6"/>
        <v>1</v>
      </c>
      <c r="BC73" s="210">
        <f t="shared" si="7"/>
        <v>120</v>
      </c>
      <c r="BD73" s="211"/>
      <c r="BE73" s="212"/>
    </row>
    <row r="74">
      <c r="A74" s="94"/>
      <c r="B74" s="435" t="s">
        <v>717</v>
      </c>
      <c r="C74" s="415" t="s">
        <v>718</v>
      </c>
      <c r="D74" s="363"/>
      <c r="E74" s="259"/>
      <c r="F74" s="406"/>
      <c r="G74" s="246"/>
      <c r="H74" s="406" t="s">
        <v>454</v>
      </c>
      <c r="I74" s="246"/>
      <c r="J74" s="406"/>
      <c r="K74" s="246"/>
      <c r="L74" s="261"/>
      <c r="M74" s="406"/>
      <c r="N74" s="246"/>
      <c r="O74" s="406" t="s">
        <v>442</v>
      </c>
      <c r="P74" s="246"/>
      <c r="Q74" s="406"/>
      <c r="R74" s="246"/>
      <c r="S74" s="261"/>
      <c r="T74" s="406"/>
      <c r="U74" s="246"/>
      <c r="V74" s="406" t="s">
        <v>442</v>
      </c>
      <c r="W74" s="246"/>
      <c r="X74" s="406"/>
      <c r="Y74" s="246"/>
      <c r="Z74" s="261"/>
      <c r="AA74" s="406"/>
      <c r="AB74" s="246"/>
      <c r="AC74" s="406" t="s">
        <v>442</v>
      </c>
      <c r="AD74" s="246"/>
      <c r="AE74" s="406"/>
      <c r="AF74" s="246"/>
      <c r="AG74" s="261"/>
      <c r="AH74" s="406"/>
      <c r="AI74" s="246"/>
      <c r="AJ74" s="406" t="s">
        <v>442</v>
      </c>
      <c r="AK74" s="246"/>
      <c r="AL74" s="406"/>
      <c r="AM74" s="246"/>
      <c r="AN74" s="261"/>
      <c r="AO74" s="406"/>
      <c r="AP74" s="246"/>
      <c r="AQ74" s="406" t="s">
        <v>442</v>
      </c>
      <c r="AR74" s="246"/>
      <c r="AS74" s="406"/>
      <c r="AT74" s="254" t="str">
        <f t="shared" si="25"/>
        <v/>
      </c>
      <c r="AU74" s="269"/>
      <c r="AV74" s="269"/>
      <c r="AW74" s="206" t="str">
        <f t="shared" si="23"/>
        <v>#REF!</v>
      </c>
      <c r="AX74" s="207">
        <f t="shared" si="2"/>
        <v>5</v>
      </c>
      <c r="AY74" s="208">
        <f t="shared" si="3"/>
        <v>5</v>
      </c>
      <c r="AZ74" s="208">
        <f t="shared" si="4"/>
        <v>3</v>
      </c>
      <c r="BA74" s="208">
        <f t="shared" si="5"/>
        <v>1</v>
      </c>
      <c r="BB74" s="209">
        <f t="shared" si="6"/>
        <v>1</v>
      </c>
      <c r="BC74" s="210">
        <f t="shared" si="7"/>
        <v>120</v>
      </c>
      <c r="BD74" s="211"/>
      <c r="BE74" s="212"/>
    </row>
    <row r="75">
      <c r="A75" s="94"/>
      <c r="B75" s="436" t="s">
        <v>719</v>
      </c>
      <c r="C75" s="437" t="s">
        <v>720</v>
      </c>
      <c r="D75" s="330"/>
      <c r="E75" s="259"/>
      <c r="F75" s="406"/>
      <c r="G75" s="246"/>
      <c r="H75" s="406" t="s">
        <v>463</v>
      </c>
      <c r="I75" s="246"/>
      <c r="J75" s="406"/>
      <c r="K75" s="246"/>
      <c r="L75" s="261"/>
      <c r="M75" s="406"/>
      <c r="N75" s="246"/>
      <c r="O75" s="406" t="s">
        <v>463</v>
      </c>
      <c r="P75" s="246"/>
      <c r="Q75" s="406"/>
      <c r="R75" s="246"/>
      <c r="S75" s="261"/>
      <c r="T75" s="406"/>
      <c r="U75" s="246"/>
      <c r="V75" s="406" t="s">
        <v>463</v>
      </c>
      <c r="W75" s="246"/>
      <c r="X75" s="406"/>
      <c r="Y75" s="246"/>
      <c r="Z75" s="261"/>
      <c r="AA75" s="406"/>
      <c r="AB75" s="246"/>
      <c r="AC75" s="406" t="s">
        <v>454</v>
      </c>
      <c r="AD75" s="246"/>
      <c r="AE75" s="406"/>
      <c r="AF75" s="246"/>
      <c r="AG75" s="261"/>
      <c r="AH75" s="406"/>
      <c r="AI75" s="246"/>
      <c r="AJ75" s="406" t="s">
        <v>454</v>
      </c>
      <c r="AK75" s="246"/>
      <c r="AL75" s="406"/>
      <c r="AM75" s="246"/>
      <c r="AN75" s="261"/>
      <c r="AO75" s="406"/>
      <c r="AP75" s="246"/>
      <c r="AQ75" s="406" t="s">
        <v>463</v>
      </c>
      <c r="AR75" s="246"/>
      <c r="AS75" s="406"/>
      <c r="AT75" s="254" t="str">
        <f t="shared" si="25"/>
        <v/>
      </c>
      <c r="AU75" s="269"/>
      <c r="AV75" s="269"/>
      <c r="AW75" s="206" t="str">
        <f t="shared" si="23"/>
        <v>#REF!</v>
      </c>
      <c r="AX75" s="207">
        <f t="shared" si="2"/>
        <v>5</v>
      </c>
      <c r="AY75" s="208">
        <f t="shared" si="3"/>
        <v>5</v>
      </c>
      <c r="AZ75" s="208">
        <f t="shared" si="4"/>
        <v>3</v>
      </c>
      <c r="BA75" s="208">
        <f t="shared" si="5"/>
        <v>1</v>
      </c>
      <c r="BB75" s="209">
        <f t="shared" si="6"/>
        <v>1</v>
      </c>
      <c r="BC75" s="210">
        <f t="shared" si="7"/>
        <v>120</v>
      </c>
      <c r="BD75" s="211"/>
      <c r="BE75" s="212"/>
    </row>
    <row r="76">
      <c r="A76" s="94"/>
      <c r="B76" s="439" t="s">
        <v>721</v>
      </c>
      <c r="C76" s="440" t="s">
        <v>722</v>
      </c>
      <c r="D76" s="330"/>
      <c r="E76" s="259"/>
      <c r="F76" s="406"/>
      <c r="G76" s="246"/>
      <c r="H76" s="206" t="s">
        <v>844</v>
      </c>
      <c r="I76" s="246"/>
      <c r="J76" s="406"/>
      <c r="K76" s="246"/>
      <c r="L76" s="261"/>
      <c r="M76" s="406"/>
      <c r="N76" s="246"/>
      <c r="O76" s="206" t="s">
        <v>844</v>
      </c>
      <c r="P76" s="246"/>
      <c r="Q76" s="406"/>
      <c r="R76" s="246"/>
      <c r="S76" s="261"/>
      <c r="T76" s="406"/>
      <c r="U76" s="246"/>
      <c r="V76" s="206" t="s">
        <v>844</v>
      </c>
      <c r="W76" s="246"/>
      <c r="X76" s="406"/>
      <c r="Y76" s="246"/>
      <c r="Z76" s="261"/>
      <c r="AA76" s="406"/>
      <c r="AB76" s="246"/>
      <c r="AC76" s="206" t="s">
        <v>844</v>
      </c>
      <c r="AD76" s="246"/>
      <c r="AE76" s="406"/>
      <c r="AF76" s="246"/>
      <c r="AG76" s="261"/>
      <c r="AH76" s="406"/>
      <c r="AI76" s="246"/>
      <c r="AJ76" s="206" t="s">
        <v>844</v>
      </c>
      <c r="AK76" s="246"/>
      <c r="AL76" s="406"/>
      <c r="AM76" s="246"/>
      <c r="AN76" s="261"/>
      <c r="AO76" s="406"/>
      <c r="AP76" s="246"/>
      <c r="AQ76" s="406"/>
      <c r="AR76" s="246"/>
      <c r="AS76" s="406"/>
      <c r="AT76" s="254" t="str">
        <f t="shared" si="25"/>
        <v/>
      </c>
      <c r="AU76" s="269"/>
      <c r="AV76" s="269"/>
      <c r="AW76" s="206" t="str">
        <f t="shared" si="23"/>
        <v>#REF!</v>
      </c>
      <c r="AX76" s="207">
        <f t="shared" si="2"/>
        <v>5</v>
      </c>
      <c r="AY76" s="208">
        <f t="shared" si="3"/>
        <v>5</v>
      </c>
      <c r="AZ76" s="208">
        <f t="shared" si="4"/>
        <v>3</v>
      </c>
      <c r="BA76" s="208">
        <f t="shared" si="5"/>
        <v>1</v>
      </c>
      <c r="BB76" s="209">
        <f t="shared" si="6"/>
        <v>1</v>
      </c>
      <c r="BC76" s="210">
        <f t="shared" si="7"/>
        <v>120</v>
      </c>
      <c r="BD76" s="211"/>
      <c r="BE76" s="212"/>
    </row>
    <row r="77">
      <c r="A77" s="94"/>
      <c r="B77" s="439" t="s">
        <v>723</v>
      </c>
      <c r="C77" s="440" t="s">
        <v>724</v>
      </c>
      <c r="D77" s="330"/>
      <c r="E77" s="259"/>
      <c r="F77" s="441"/>
      <c r="G77" s="246"/>
      <c r="H77" s="406" t="s">
        <v>845</v>
      </c>
      <c r="I77" s="246"/>
      <c r="J77" s="441"/>
      <c r="K77" s="246"/>
      <c r="L77" s="261"/>
      <c r="M77" s="441"/>
      <c r="N77" s="246"/>
      <c r="O77" s="406" t="s">
        <v>454</v>
      </c>
      <c r="P77" s="246"/>
      <c r="Q77" s="441"/>
      <c r="R77" s="246"/>
      <c r="S77" s="261"/>
      <c r="T77" s="441"/>
      <c r="U77" s="246"/>
      <c r="V77" s="406" t="s">
        <v>454</v>
      </c>
      <c r="W77" s="246"/>
      <c r="X77" s="441"/>
      <c r="Y77" s="246"/>
      <c r="Z77" s="261"/>
      <c r="AA77" s="441"/>
      <c r="AB77" s="246"/>
      <c r="AC77" s="434" t="s">
        <v>403</v>
      </c>
      <c r="AD77" s="246"/>
      <c r="AE77" s="441"/>
      <c r="AF77" s="246"/>
      <c r="AG77" s="261"/>
      <c r="AH77" s="441"/>
      <c r="AI77" s="246"/>
      <c r="AJ77" s="406" t="s">
        <v>463</v>
      </c>
      <c r="AK77" s="246"/>
      <c r="AL77" s="441"/>
      <c r="AM77" s="246"/>
      <c r="AN77" s="261"/>
      <c r="AO77" s="441"/>
      <c r="AP77" s="246"/>
      <c r="AQ77" s="441"/>
      <c r="AR77" s="246"/>
      <c r="AS77" s="441"/>
      <c r="AT77" s="254" t="str">
        <f t="shared" si="25"/>
        <v/>
      </c>
      <c r="AU77" s="269"/>
      <c r="AV77" s="269"/>
      <c r="AW77" s="206" t="str">
        <f t="shared" si="23"/>
        <v>#REF!</v>
      </c>
      <c r="AX77" s="207">
        <f t="shared" si="2"/>
        <v>5</v>
      </c>
      <c r="AY77" s="208">
        <f t="shared" si="3"/>
        <v>5</v>
      </c>
      <c r="AZ77" s="208">
        <f t="shared" si="4"/>
        <v>3</v>
      </c>
      <c r="BA77" s="208">
        <f t="shared" si="5"/>
        <v>1</v>
      </c>
      <c r="BB77" s="209">
        <f t="shared" si="6"/>
        <v>1</v>
      </c>
      <c r="BC77" s="210">
        <f t="shared" si="7"/>
        <v>120</v>
      </c>
      <c r="BD77" s="211"/>
      <c r="BE77" s="212"/>
    </row>
    <row r="78">
      <c r="A78" s="94"/>
      <c r="B78" s="439" t="s">
        <v>725</v>
      </c>
      <c r="C78" s="442" t="s">
        <v>726</v>
      </c>
      <c r="D78" s="330"/>
      <c r="E78" s="259"/>
      <c r="F78" s="441"/>
      <c r="G78" s="246"/>
      <c r="H78" s="406" t="s">
        <v>460</v>
      </c>
      <c r="I78" s="246"/>
      <c r="J78" s="441"/>
      <c r="K78" s="246"/>
      <c r="L78" s="261"/>
      <c r="M78" s="441"/>
      <c r="N78" s="246"/>
      <c r="O78" s="406" t="s">
        <v>460</v>
      </c>
      <c r="P78" s="246"/>
      <c r="Q78" s="441"/>
      <c r="R78" s="246"/>
      <c r="S78" s="261"/>
      <c r="T78" s="441"/>
      <c r="U78" s="246"/>
      <c r="V78" s="406" t="s">
        <v>845</v>
      </c>
      <c r="W78" s="246"/>
      <c r="X78" s="441"/>
      <c r="Y78" s="246"/>
      <c r="Z78" s="261"/>
      <c r="AA78" s="441"/>
      <c r="AB78" s="246"/>
      <c r="AC78" s="592" t="s">
        <v>846</v>
      </c>
      <c r="AD78" s="246"/>
      <c r="AE78" s="441"/>
      <c r="AF78" s="246"/>
      <c r="AG78" s="261"/>
      <c r="AH78" s="441"/>
      <c r="AI78" s="246"/>
      <c r="AJ78" s="406" t="s">
        <v>845</v>
      </c>
      <c r="AK78" s="246"/>
      <c r="AL78" s="441"/>
      <c r="AM78" s="246"/>
      <c r="AN78" s="261"/>
      <c r="AO78" s="441"/>
      <c r="AP78" s="246"/>
      <c r="AQ78" s="406" t="s">
        <v>845</v>
      </c>
      <c r="AR78" s="246"/>
      <c r="AS78" s="441"/>
      <c r="AT78" s="254" t="str">
        <f t="shared" si="25"/>
        <v/>
      </c>
      <c r="AU78" s="269"/>
      <c r="AV78" s="269"/>
      <c r="AW78" s="206" t="str">
        <f t="shared" si="23"/>
        <v>#REF!</v>
      </c>
      <c r="AX78" s="207">
        <f t="shared" si="2"/>
        <v>5</v>
      </c>
      <c r="AY78" s="208">
        <f t="shared" si="3"/>
        <v>5</v>
      </c>
      <c r="AZ78" s="208">
        <f t="shared" si="4"/>
        <v>3</v>
      </c>
      <c r="BA78" s="208">
        <f t="shared" si="5"/>
        <v>1</v>
      </c>
      <c r="BB78" s="209">
        <f t="shared" si="6"/>
        <v>1</v>
      </c>
      <c r="BC78" s="210">
        <f t="shared" si="7"/>
        <v>120</v>
      </c>
      <c r="BD78" s="211"/>
      <c r="BE78" s="212"/>
    </row>
    <row r="79">
      <c r="A79" s="94"/>
      <c r="B79" s="447" t="s">
        <v>729</v>
      </c>
      <c r="C79" s="448" t="s">
        <v>730</v>
      </c>
      <c r="D79" s="330"/>
      <c r="E79" s="259"/>
      <c r="F79" s="441"/>
      <c r="G79" s="246"/>
      <c r="H79" s="441"/>
      <c r="I79" s="246"/>
      <c r="J79" s="441"/>
      <c r="K79" s="246"/>
      <c r="L79" s="261"/>
      <c r="M79" s="441"/>
      <c r="N79" s="246"/>
      <c r="O79" s="441"/>
      <c r="P79" s="246"/>
      <c r="Q79" s="441"/>
      <c r="R79" s="246"/>
      <c r="S79" s="261"/>
      <c r="T79" s="441"/>
      <c r="U79" s="246"/>
      <c r="V79" s="441"/>
      <c r="W79" s="246"/>
      <c r="X79" s="441"/>
      <c r="Y79" s="246"/>
      <c r="Z79" s="261"/>
      <c r="AA79" s="441"/>
      <c r="AB79" s="246"/>
      <c r="AC79" s="441"/>
      <c r="AD79" s="246"/>
      <c r="AE79" s="441"/>
      <c r="AF79" s="246"/>
      <c r="AG79" s="261"/>
      <c r="AH79" s="441"/>
      <c r="AI79" s="246"/>
      <c r="AJ79" s="441"/>
      <c r="AK79" s="246"/>
      <c r="AL79" s="441"/>
      <c r="AM79" s="246"/>
      <c r="AN79" s="261"/>
      <c r="AO79" s="441"/>
      <c r="AP79" s="246"/>
      <c r="AQ79" s="441"/>
      <c r="AR79" s="246"/>
      <c r="AS79" s="441"/>
      <c r="AT79" s="254" t="str">
        <f t="shared" si="25"/>
        <v/>
      </c>
      <c r="AU79" s="269"/>
      <c r="AV79" s="269"/>
      <c r="AW79" s="206" t="str">
        <f t="shared" si="23"/>
        <v>#REF!</v>
      </c>
      <c r="AX79" s="207">
        <f t="shared" si="2"/>
        <v>5</v>
      </c>
      <c r="AY79" s="208">
        <f t="shared" si="3"/>
        <v>5</v>
      </c>
      <c r="AZ79" s="208">
        <f t="shared" si="4"/>
        <v>3</v>
      </c>
      <c r="BA79" s="208">
        <f t="shared" si="5"/>
        <v>1</v>
      </c>
      <c r="BB79" s="209">
        <f t="shared" si="6"/>
        <v>1</v>
      </c>
      <c r="BC79" s="210">
        <f t="shared" si="7"/>
        <v>120</v>
      </c>
      <c r="BD79" s="211"/>
      <c r="BE79" s="212"/>
    </row>
    <row r="80">
      <c r="A80" s="94"/>
      <c r="B80" s="450" t="s">
        <v>731</v>
      </c>
      <c r="C80" s="451" t="s">
        <v>732</v>
      </c>
      <c r="D80" s="363"/>
      <c r="E80" s="259"/>
      <c r="F80" s="206"/>
      <c r="G80" s="246"/>
      <c r="H80" s="593" t="s">
        <v>847</v>
      </c>
      <c r="I80" s="246"/>
      <c r="J80" s="206"/>
      <c r="K80" s="246"/>
      <c r="L80" s="261"/>
      <c r="M80" s="206"/>
      <c r="N80" s="246"/>
      <c r="O80" s="593" t="s">
        <v>847</v>
      </c>
      <c r="P80" s="246"/>
      <c r="Q80" s="206"/>
      <c r="R80" s="246"/>
      <c r="S80" s="261"/>
      <c r="T80" s="206"/>
      <c r="U80" s="246"/>
      <c r="V80" s="406" t="s">
        <v>460</v>
      </c>
      <c r="W80" s="246"/>
      <c r="X80" s="206"/>
      <c r="Y80" s="246"/>
      <c r="Z80" s="261"/>
      <c r="AA80" s="206"/>
      <c r="AB80" s="246"/>
      <c r="AC80" s="406" t="s">
        <v>460</v>
      </c>
      <c r="AD80" s="246"/>
      <c r="AE80" s="206"/>
      <c r="AF80" s="246"/>
      <c r="AG80" s="261"/>
      <c r="AH80" s="206"/>
      <c r="AI80" s="246"/>
      <c r="AJ80" s="593" t="s">
        <v>847</v>
      </c>
      <c r="AK80" s="246"/>
      <c r="AL80" s="206"/>
      <c r="AM80" s="246"/>
      <c r="AN80" s="261"/>
      <c r="AO80" s="206"/>
      <c r="AP80" s="246"/>
      <c r="AQ80" s="206"/>
      <c r="AR80" s="246"/>
      <c r="AS80" s="206"/>
      <c r="AT80" s="254" t="str">
        <f t="shared" si="25"/>
        <v/>
      </c>
      <c r="AU80" s="269"/>
      <c r="AV80" s="269"/>
      <c r="AW80" s="206" t="str">
        <f t="shared" si="23"/>
        <v>#REF!</v>
      </c>
      <c r="AX80" s="207">
        <f t="shared" si="2"/>
        <v>5</v>
      </c>
      <c r="AY80" s="208">
        <f t="shared" si="3"/>
        <v>5</v>
      </c>
      <c r="AZ80" s="208">
        <f t="shared" si="4"/>
        <v>3</v>
      </c>
      <c r="BA80" s="208">
        <f t="shared" si="5"/>
        <v>1</v>
      </c>
      <c r="BB80" s="209">
        <f t="shared" si="6"/>
        <v>1</v>
      </c>
      <c r="BC80" s="210">
        <f t="shared" si="7"/>
        <v>120</v>
      </c>
      <c r="BD80" s="211"/>
      <c r="BE80" s="212"/>
    </row>
    <row r="81">
      <c r="A81" s="94"/>
      <c r="B81" s="452" t="s">
        <v>733</v>
      </c>
      <c r="C81" s="453" t="s">
        <v>734</v>
      </c>
      <c r="D81" s="363"/>
      <c r="E81" s="259"/>
      <c r="F81" s="74"/>
      <c r="G81" s="246"/>
      <c r="H81" s="594" t="s">
        <v>395</v>
      </c>
      <c r="I81" s="246"/>
      <c r="J81" s="74"/>
      <c r="K81" s="246"/>
      <c r="L81" s="261"/>
      <c r="M81" s="74"/>
      <c r="N81" s="246"/>
      <c r="O81" s="594" t="s">
        <v>395</v>
      </c>
      <c r="P81" s="246"/>
      <c r="Q81" s="74"/>
      <c r="R81" s="246"/>
      <c r="S81" s="261"/>
      <c r="T81" s="74"/>
      <c r="U81" s="246"/>
      <c r="V81" s="594" t="s">
        <v>395</v>
      </c>
      <c r="W81" s="246"/>
      <c r="X81" s="74"/>
      <c r="Y81" s="246"/>
      <c r="Z81" s="261"/>
      <c r="AA81" s="74"/>
      <c r="AB81" s="246"/>
      <c r="AC81" s="594" t="s">
        <v>395</v>
      </c>
      <c r="AD81" s="246"/>
      <c r="AE81" s="74"/>
      <c r="AF81" s="246"/>
      <c r="AG81" s="261"/>
      <c r="AH81" s="74"/>
      <c r="AI81" s="246"/>
      <c r="AJ81" s="594" t="s">
        <v>395</v>
      </c>
      <c r="AK81" s="246"/>
      <c r="AL81" s="74"/>
      <c r="AM81" s="246"/>
      <c r="AN81" s="261"/>
      <c r="AO81" s="74"/>
      <c r="AP81" s="246"/>
      <c r="AQ81" s="593" t="s">
        <v>847</v>
      </c>
      <c r="AR81" s="246"/>
      <c r="AS81" s="74"/>
      <c r="AT81" s="254" t="str">
        <f t="shared" si="25"/>
        <v/>
      </c>
      <c r="AU81" s="269"/>
      <c r="AV81" s="269"/>
      <c r="AW81" s="206" t="str">
        <f t="shared" si="23"/>
        <v>#REF!</v>
      </c>
      <c r="AX81" s="207">
        <f t="shared" si="2"/>
        <v>5</v>
      </c>
      <c r="AY81" s="208">
        <f t="shared" si="3"/>
        <v>5</v>
      </c>
      <c r="AZ81" s="208">
        <f t="shared" si="4"/>
        <v>3</v>
      </c>
      <c r="BA81" s="208">
        <f t="shared" si="5"/>
        <v>1</v>
      </c>
      <c r="BB81" s="209">
        <f t="shared" si="6"/>
        <v>1</v>
      </c>
      <c r="BC81" s="210">
        <f t="shared" si="7"/>
        <v>120</v>
      </c>
      <c r="BD81" s="211"/>
      <c r="BE81" s="212"/>
    </row>
    <row r="82">
      <c r="A82" s="94"/>
      <c r="B82" s="454" t="s">
        <v>735</v>
      </c>
      <c r="C82" s="455" t="s">
        <v>736</v>
      </c>
      <c r="D82" s="363"/>
      <c r="E82" s="259"/>
      <c r="F82" s="441"/>
      <c r="G82" s="246"/>
      <c r="H82" s="441"/>
      <c r="I82" s="246"/>
      <c r="J82" s="522" t="s">
        <v>462</v>
      </c>
      <c r="K82" s="246"/>
      <c r="L82" s="261"/>
      <c r="M82" s="441"/>
      <c r="N82" s="246"/>
      <c r="O82" s="441"/>
      <c r="P82" s="246"/>
      <c r="Q82" s="441"/>
      <c r="R82" s="246"/>
      <c r="S82" s="261"/>
      <c r="T82" s="441"/>
      <c r="U82" s="246"/>
      <c r="V82" s="441"/>
      <c r="W82" s="246"/>
      <c r="X82" s="522" t="s">
        <v>462</v>
      </c>
      <c r="Y82" s="246"/>
      <c r="Z82" s="261"/>
      <c r="AA82" s="441"/>
      <c r="AB82" s="246"/>
      <c r="AC82" s="441"/>
      <c r="AD82" s="246"/>
      <c r="AE82" s="522" t="s">
        <v>462</v>
      </c>
      <c r="AF82" s="246"/>
      <c r="AG82" s="261"/>
      <c r="AH82" s="441"/>
      <c r="AI82" s="246"/>
      <c r="AJ82" s="441"/>
      <c r="AK82" s="246"/>
      <c r="AL82" s="522" t="s">
        <v>462</v>
      </c>
      <c r="AM82" s="246"/>
      <c r="AN82" s="261"/>
      <c r="AO82" s="441"/>
      <c r="AP82" s="246"/>
      <c r="AQ82" s="441"/>
      <c r="AR82" s="246"/>
      <c r="AS82" s="441"/>
      <c r="AT82" s="254" t="str">
        <f t="shared" si="25"/>
        <v/>
      </c>
      <c r="AU82" s="269"/>
      <c r="AV82" s="269"/>
      <c r="AW82" s="206" t="str">
        <f t="shared" si="23"/>
        <v>#REF!</v>
      </c>
      <c r="AX82" s="207">
        <f t="shared" si="2"/>
        <v>5</v>
      </c>
      <c r="AY82" s="208">
        <f t="shared" si="3"/>
        <v>5</v>
      </c>
      <c r="AZ82" s="208">
        <f t="shared" si="4"/>
        <v>3</v>
      </c>
      <c r="BA82" s="208">
        <f t="shared" si="5"/>
        <v>1</v>
      </c>
      <c r="BB82" s="209">
        <f t="shared" si="6"/>
        <v>1</v>
      </c>
      <c r="BC82" s="210">
        <f t="shared" si="7"/>
        <v>120</v>
      </c>
      <c r="BD82" s="211"/>
      <c r="BE82" s="212"/>
    </row>
    <row r="83">
      <c r="A83" s="94"/>
      <c r="B83" s="454" t="s">
        <v>735</v>
      </c>
      <c r="C83" s="442" t="s">
        <v>736</v>
      </c>
      <c r="D83" s="363"/>
      <c r="E83" s="259"/>
      <c r="F83" s="456"/>
      <c r="G83" s="246"/>
      <c r="H83" s="456"/>
      <c r="I83" s="246"/>
      <c r="J83" s="456"/>
      <c r="K83" s="246"/>
      <c r="L83" s="261"/>
      <c r="M83" s="456"/>
      <c r="N83" s="246"/>
      <c r="O83" s="456"/>
      <c r="P83" s="246"/>
      <c r="Q83" s="456"/>
      <c r="R83" s="246"/>
      <c r="S83" s="261"/>
      <c r="T83" s="456"/>
      <c r="U83" s="246"/>
      <c r="V83" s="456"/>
      <c r="W83" s="246"/>
      <c r="X83" s="456"/>
      <c r="Y83" s="246"/>
      <c r="Z83" s="261"/>
      <c r="AA83" s="456"/>
      <c r="AB83" s="246"/>
      <c r="AC83" s="456"/>
      <c r="AD83" s="246"/>
      <c r="AE83" s="456"/>
      <c r="AF83" s="246"/>
      <c r="AG83" s="261"/>
      <c r="AH83" s="456"/>
      <c r="AI83" s="246"/>
      <c r="AJ83" s="456"/>
      <c r="AK83" s="246"/>
      <c r="AL83" s="456"/>
      <c r="AM83" s="246"/>
      <c r="AN83" s="261"/>
      <c r="AO83" s="456"/>
      <c r="AP83" s="246"/>
      <c r="AQ83" s="456"/>
      <c r="AR83" s="246"/>
      <c r="AS83" s="456"/>
      <c r="AT83" s="254" t="str">
        <f t="shared" si="25"/>
        <v/>
      </c>
      <c r="AU83" s="269"/>
      <c r="AV83" s="269"/>
      <c r="AW83" s="206" t="str">
        <f t="shared" si="23"/>
        <v>#REF!</v>
      </c>
      <c r="AX83" s="207">
        <f t="shared" si="2"/>
        <v>5</v>
      </c>
      <c r="AY83" s="208">
        <f t="shared" si="3"/>
        <v>5</v>
      </c>
      <c r="AZ83" s="208">
        <f t="shared" si="4"/>
        <v>3</v>
      </c>
      <c r="BA83" s="208">
        <f t="shared" si="5"/>
        <v>1</v>
      </c>
      <c r="BB83" s="209">
        <f t="shared" si="6"/>
        <v>1</v>
      </c>
      <c r="BC83" s="210">
        <f t="shared" si="7"/>
        <v>120</v>
      </c>
      <c r="BD83" s="211"/>
      <c r="BE83" s="212"/>
    </row>
    <row r="84">
      <c r="A84" s="94"/>
      <c r="B84" s="457" t="s">
        <v>735</v>
      </c>
      <c r="C84" s="458" t="s">
        <v>737</v>
      </c>
      <c r="D84" s="363"/>
      <c r="E84" s="259"/>
      <c r="F84" s="406"/>
      <c r="G84" s="246"/>
      <c r="H84" s="406"/>
      <c r="I84" s="246"/>
      <c r="J84" s="406"/>
      <c r="K84" s="246"/>
      <c r="L84" s="261"/>
      <c r="M84" s="406"/>
      <c r="N84" s="246"/>
      <c r="O84" s="406"/>
      <c r="P84" s="246"/>
      <c r="Q84" s="406"/>
      <c r="R84" s="246"/>
      <c r="S84" s="261"/>
      <c r="T84" s="406"/>
      <c r="U84" s="246"/>
      <c r="V84" s="406"/>
      <c r="W84" s="246"/>
      <c r="X84" s="406"/>
      <c r="Y84" s="246"/>
      <c r="Z84" s="261"/>
      <c r="AA84" s="406"/>
      <c r="AB84" s="246"/>
      <c r="AC84" s="406"/>
      <c r="AD84" s="246"/>
      <c r="AE84" s="406"/>
      <c r="AF84" s="246"/>
      <c r="AG84" s="261"/>
      <c r="AH84" s="406"/>
      <c r="AI84" s="246"/>
      <c r="AJ84" s="406"/>
      <c r="AK84" s="246"/>
      <c r="AL84" s="406"/>
      <c r="AM84" s="246"/>
      <c r="AN84" s="261"/>
      <c r="AO84" s="406"/>
      <c r="AP84" s="246"/>
      <c r="AQ84" s="406"/>
      <c r="AR84" s="246"/>
      <c r="AS84" s="406"/>
      <c r="AT84" s="254" t="str">
        <f t="shared" si="25"/>
        <v/>
      </c>
      <c r="AU84" s="269"/>
      <c r="AV84" s="269"/>
      <c r="AW84" s="206" t="str">
        <f t="shared" si="23"/>
        <v>#REF!</v>
      </c>
      <c r="AX84" s="207">
        <f t="shared" si="2"/>
        <v>5</v>
      </c>
      <c r="AY84" s="208">
        <f t="shared" si="3"/>
        <v>5</v>
      </c>
      <c r="AZ84" s="208">
        <f t="shared" si="4"/>
        <v>3</v>
      </c>
      <c r="BA84" s="208">
        <f t="shared" si="5"/>
        <v>1</v>
      </c>
      <c r="BB84" s="209">
        <f t="shared" si="6"/>
        <v>1</v>
      </c>
      <c r="BC84" s="210">
        <f t="shared" si="7"/>
        <v>120</v>
      </c>
      <c r="BD84" s="211"/>
      <c r="BE84" s="212"/>
    </row>
    <row r="85">
      <c r="A85" s="270"/>
      <c r="B85" s="459"/>
      <c r="C85" s="460" t="s">
        <v>738</v>
      </c>
      <c r="D85" s="363"/>
      <c r="E85" s="259"/>
      <c r="F85" s="461" t="s">
        <v>848</v>
      </c>
      <c r="G85" s="246"/>
      <c r="H85" s="132"/>
      <c r="I85" s="246"/>
      <c r="J85" s="132"/>
      <c r="K85" s="246"/>
      <c r="L85" s="462"/>
      <c r="M85" s="461" t="s">
        <v>848</v>
      </c>
      <c r="N85" s="246"/>
      <c r="O85" s="132"/>
      <c r="P85" s="246"/>
      <c r="Q85" s="132"/>
      <c r="R85" s="246"/>
      <c r="S85" s="462"/>
      <c r="T85" s="461" t="s">
        <v>849</v>
      </c>
      <c r="U85" s="246"/>
      <c r="V85" s="132"/>
      <c r="W85" s="246"/>
      <c r="X85" s="132"/>
      <c r="Y85" s="246"/>
      <c r="Z85" s="462"/>
      <c r="AA85" s="461" t="s">
        <v>850</v>
      </c>
      <c r="AB85" s="246"/>
      <c r="AC85" s="132"/>
      <c r="AD85" s="246"/>
      <c r="AE85" s="132"/>
      <c r="AF85" s="246"/>
      <c r="AG85" s="462"/>
      <c r="AH85" s="461" t="s">
        <v>849</v>
      </c>
      <c r="AI85" s="246"/>
      <c r="AJ85" s="132"/>
      <c r="AK85" s="246"/>
      <c r="AL85" s="132"/>
      <c r="AM85" s="246"/>
      <c r="AN85" s="462"/>
      <c r="AO85" s="461" t="s">
        <v>851</v>
      </c>
      <c r="AP85" s="246"/>
      <c r="AQ85" s="132"/>
      <c r="AR85" s="246"/>
      <c r="AS85" s="132"/>
      <c r="AT85" s="460"/>
      <c r="AU85" s="269"/>
      <c r="AV85" s="269"/>
      <c r="AW85" s="206" t="str">
        <f t="shared" si="23"/>
        <v>#REF!</v>
      </c>
      <c r="AX85" s="207">
        <f t="shared" si="2"/>
        <v>5</v>
      </c>
      <c r="AY85" s="208">
        <f t="shared" si="3"/>
        <v>5</v>
      </c>
      <c r="AZ85" s="208">
        <f t="shared" si="4"/>
        <v>3</v>
      </c>
      <c r="BA85" s="208">
        <f t="shared" si="5"/>
        <v>1</v>
      </c>
      <c r="BB85" s="209">
        <f t="shared" si="6"/>
        <v>1</v>
      </c>
      <c r="BC85" s="210">
        <f t="shared" si="7"/>
        <v>120</v>
      </c>
      <c r="BD85" s="211"/>
      <c r="BE85" s="212"/>
    </row>
    <row r="86">
      <c r="A86" s="236"/>
      <c r="B86" s="459"/>
      <c r="C86" s="460" t="s">
        <v>738</v>
      </c>
      <c r="D86" s="363"/>
      <c r="E86" s="259"/>
      <c r="F86" s="132"/>
      <c r="G86" s="246"/>
      <c r="H86" s="132"/>
      <c r="I86" s="246"/>
      <c r="J86" s="132"/>
      <c r="K86" s="246"/>
      <c r="L86" s="462"/>
      <c r="M86" s="132"/>
      <c r="N86" s="246"/>
      <c r="O86" s="132"/>
      <c r="P86" s="246"/>
      <c r="Q86" s="132"/>
      <c r="R86" s="246"/>
      <c r="S86" s="462"/>
      <c r="T86" s="132"/>
      <c r="U86" s="246"/>
      <c r="V86" s="132"/>
      <c r="W86" s="246"/>
      <c r="X86" s="132"/>
      <c r="Y86" s="246"/>
      <c r="Z86" s="462"/>
      <c r="AA86" s="132"/>
      <c r="AB86" s="246"/>
      <c r="AC86" s="132"/>
      <c r="AD86" s="246"/>
      <c r="AE86" s="132"/>
      <c r="AF86" s="246"/>
      <c r="AG86" s="462"/>
      <c r="AH86" s="132"/>
      <c r="AI86" s="246"/>
      <c r="AJ86" s="132"/>
      <c r="AK86" s="246"/>
      <c r="AL86" s="132"/>
      <c r="AM86" s="246"/>
      <c r="AN86" s="462"/>
      <c r="AO86" s="132"/>
      <c r="AP86" s="246"/>
      <c r="AQ86" s="132"/>
      <c r="AR86" s="246"/>
      <c r="AS86" s="132"/>
      <c r="AT86" s="460"/>
      <c r="AU86" s="236"/>
      <c r="AV86" s="236"/>
      <c r="AW86" s="206" t="str">
        <f t="shared" ref="AW86:AW87" si="26">TEAM!B88</f>
        <v>#REF!</v>
      </c>
      <c r="AX86" s="207">
        <f t="shared" si="2"/>
        <v>5</v>
      </c>
      <c r="AY86" s="208">
        <f t="shared" si="3"/>
        <v>5</v>
      </c>
      <c r="AZ86" s="208">
        <f t="shared" si="4"/>
        <v>3</v>
      </c>
      <c r="BA86" s="208">
        <f t="shared" si="5"/>
        <v>1</v>
      </c>
      <c r="BB86" s="209">
        <f t="shared" si="6"/>
        <v>1</v>
      </c>
      <c r="BC86" s="210">
        <f t="shared" si="7"/>
        <v>120</v>
      </c>
      <c r="BD86" s="211"/>
      <c r="BE86" s="212"/>
    </row>
    <row r="87">
      <c r="A87" s="236"/>
      <c r="B87" s="459"/>
      <c r="C87" s="460" t="s">
        <v>738</v>
      </c>
      <c r="D87" s="363"/>
      <c r="E87" s="259"/>
      <c r="F87" s="595"/>
      <c r="G87" s="246"/>
      <c r="H87" s="132"/>
      <c r="I87" s="246"/>
      <c r="J87" s="132"/>
      <c r="K87" s="246"/>
      <c r="L87" s="462"/>
      <c r="M87" s="595"/>
      <c r="N87" s="246"/>
      <c r="O87" s="132"/>
      <c r="P87" s="246"/>
      <c r="Q87" s="132"/>
      <c r="R87" s="246"/>
      <c r="S87" s="462"/>
      <c r="T87" s="132"/>
      <c r="U87" s="246"/>
      <c r="V87" s="132"/>
      <c r="W87" s="246"/>
      <c r="X87" s="132"/>
      <c r="Y87" s="246"/>
      <c r="Z87" s="462"/>
      <c r="AA87" s="132"/>
      <c r="AB87" s="246"/>
      <c r="AC87" s="132"/>
      <c r="AD87" s="246"/>
      <c r="AE87" s="132"/>
      <c r="AF87" s="246"/>
      <c r="AG87" s="462"/>
      <c r="AH87" s="461"/>
      <c r="AI87" s="246"/>
      <c r="AJ87" s="132"/>
      <c r="AK87" s="246"/>
      <c r="AL87" s="132"/>
      <c r="AM87" s="246"/>
      <c r="AN87" s="462"/>
      <c r="AO87" s="461"/>
      <c r="AP87" s="246"/>
      <c r="AQ87" s="132"/>
      <c r="AR87" s="246"/>
      <c r="AS87" s="132"/>
      <c r="AT87" s="460"/>
      <c r="AU87" s="236"/>
      <c r="AV87" s="236"/>
      <c r="AW87" s="206" t="str">
        <f t="shared" si="26"/>
        <v>#REF!</v>
      </c>
      <c r="AX87" s="207">
        <f t="shared" si="2"/>
        <v>5</v>
      </c>
      <c r="AY87" s="208">
        <f t="shared" si="3"/>
        <v>5</v>
      </c>
      <c r="AZ87" s="208">
        <f t="shared" si="4"/>
        <v>3</v>
      </c>
      <c r="BA87" s="208">
        <f t="shared" si="5"/>
        <v>1</v>
      </c>
      <c r="BB87" s="209">
        <f t="shared" si="6"/>
        <v>1</v>
      </c>
      <c r="BC87" s="210">
        <f t="shared" si="7"/>
        <v>120</v>
      </c>
      <c r="BD87" s="211"/>
      <c r="BE87" s="212"/>
    </row>
    <row r="88">
      <c r="A88" s="182"/>
      <c r="B88" s="183" t="s">
        <v>746</v>
      </c>
      <c r="C88" s="184" t="s">
        <v>605</v>
      </c>
      <c r="D88" s="185" t="s">
        <v>486</v>
      </c>
      <c r="E88" s="186"/>
      <c r="F88" s="185" t="s">
        <v>487</v>
      </c>
      <c r="M88" s="185" t="s">
        <v>488</v>
      </c>
      <c r="T88" s="185" t="s">
        <v>489</v>
      </c>
      <c r="AA88" s="185" t="s">
        <v>490</v>
      </c>
      <c r="AH88" s="185" t="s">
        <v>491</v>
      </c>
      <c r="AO88" s="185" t="s">
        <v>492</v>
      </c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</row>
    <row r="89">
      <c r="A89" s="182"/>
      <c r="B89" s="187"/>
      <c r="C89" s="187"/>
      <c r="D89" s="188">
        <f>AO4+1</f>
        <v>8</v>
      </c>
      <c r="E89" s="189"/>
      <c r="F89" s="188">
        <f>D89+1</f>
        <v>9</v>
      </c>
      <c r="M89" s="188">
        <f>F89+1</f>
        <v>10</v>
      </c>
      <c r="T89" s="188">
        <f>M89+1</f>
        <v>11</v>
      </c>
      <c r="AA89" s="188">
        <f>T89+1</f>
        <v>12</v>
      </c>
      <c r="AH89" s="188">
        <f>AA89+1</f>
        <v>13</v>
      </c>
      <c r="AO89" s="188">
        <f>AH89+1</f>
        <v>14</v>
      </c>
      <c r="AU89" s="182"/>
      <c r="AV89" s="182"/>
      <c r="AW89" s="190" t="s">
        <v>606</v>
      </c>
      <c r="BB89" s="190"/>
      <c r="BC89" s="191" t="s">
        <v>607</v>
      </c>
      <c r="BD89" s="191"/>
      <c r="BE89" s="192"/>
    </row>
    <row r="90">
      <c r="A90" s="182"/>
      <c r="B90" s="193" t="s">
        <v>608</v>
      </c>
      <c r="C90" s="193" t="s">
        <v>609</v>
      </c>
      <c r="D90" s="187"/>
      <c r="E90" s="189"/>
      <c r="F90" s="194" t="s">
        <v>610</v>
      </c>
      <c r="G90" s="195"/>
      <c r="H90" s="193" t="s">
        <v>611</v>
      </c>
      <c r="J90" s="194" t="s">
        <v>612</v>
      </c>
      <c r="M90" s="194" t="s">
        <v>610</v>
      </c>
      <c r="N90" s="195"/>
      <c r="O90" s="193" t="s">
        <v>611</v>
      </c>
      <c r="P90" s="195"/>
      <c r="Q90" s="194" t="s">
        <v>612</v>
      </c>
      <c r="S90" s="193"/>
      <c r="T90" s="194" t="s">
        <v>610</v>
      </c>
      <c r="U90" s="195"/>
      <c r="V90" s="193" t="s">
        <v>611</v>
      </c>
      <c r="W90" s="195"/>
      <c r="X90" s="194" t="s">
        <v>612</v>
      </c>
      <c r="Z90" s="193"/>
      <c r="AA90" s="194" t="s">
        <v>610</v>
      </c>
      <c r="AB90" s="195"/>
      <c r="AC90" s="193" t="s">
        <v>611</v>
      </c>
      <c r="AD90" s="195"/>
      <c r="AE90" s="194" t="s">
        <v>612</v>
      </c>
      <c r="AG90" s="193"/>
      <c r="AH90" s="194" t="s">
        <v>610</v>
      </c>
      <c r="AI90" s="195"/>
      <c r="AJ90" s="193" t="s">
        <v>611</v>
      </c>
      <c r="AK90" s="195"/>
      <c r="AL90" s="194" t="s">
        <v>612</v>
      </c>
      <c r="AN90" s="193"/>
      <c r="AO90" s="194" t="s">
        <v>610</v>
      </c>
      <c r="AP90" s="195"/>
      <c r="AQ90" s="193" t="s">
        <v>611</v>
      </c>
      <c r="AR90" s="195"/>
      <c r="AS90" s="194" t="s">
        <v>612</v>
      </c>
      <c r="AU90" s="182"/>
      <c r="AV90" s="182"/>
      <c r="AW90" s="196" t="s">
        <v>613</v>
      </c>
      <c r="AX90" s="197" t="s">
        <v>614</v>
      </c>
      <c r="AY90" s="197" t="s">
        <v>615</v>
      </c>
      <c r="AZ90" s="197" t="s">
        <v>616</v>
      </c>
      <c r="BA90" s="197" t="s">
        <v>617</v>
      </c>
      <c r="BB90" s="197" t="s">
        <v>618</v>
      </c>
      <c r="BC90" s="197" t="s">
        <v>619</v>
      </c>
      <c r="BD90" s="197"/>
      <c r="BE90" s="198"/>
    </row>
    <row r="91" ht="15.0" customHeight="1">
      <c r="A91" s="199"/>
      <c r="B91" s="200" t="s">
        <v>620</v>
      </c>
      <c r="C91" s="201"/>
      <c r="D91" s="201"/>
      <c r="E91" s="202"/>
      <c r="F91" s="203"/>
      <c r="G91" s="204"/>
      <c r="H91" s="203"/>
      <c r="I91" s="204"/>
      <c r="J91" s="203"/>
      <c r="K91" s="204"/>
      <c r="L91" s="205"/>
      <c r="M91" s="203" t="s">
        <v>747</v>
      </c>
      <c r="N91" s="204"/>
      <c r="O91" s="203" t="s">
        <v>748</v>
      </c>
      <c r="P91" s="204"/>
      <c r="Q91" s="203" t="s">
        <v>620</v>
      </c>
      <c r="R91" s="204"/>
      <c r="S91" s="205"/>
      <c r="T91" s="203"/>
      <c r="U91" s="204"/>
      <c r="V91" s="203"/>
      <c r="W91" s="204"/>
      <c r="X91" s="203"/>
      <c r="Y91" s="204"/>
      <c r="Z91" s="205"/>
      <c r="AA91" s="203"/>
      <c r="AB91" s="204"/>
      <c r="AC91" s="203"/>
      <c r="AD91" s="204"/>
      <c r="AE91" s="203"/>
      <c r="AF91" s="204"/>
      <c r="AG91" s="205"/>
      <c r="AH91" s="203"/>
      <c r="AI91" s="204"/>
      <c r="AJ91" s="203"/>
      <c r="AK91" s="204"/>
      <c r="AL91" s="203"/>
      <c r="AM91" s="204"/>
      <c r="AN91" s="205"/>
      <c r="AO91" s="203"/>
      <c r="AP91" s="204"/>
      <c r="AQ91" s="203"/>
      <c r="AR91" s="204"/>
      <c r="AS91" s="203"/>
      <c r="AT91" s="204"/>
      <c r="AU91" s="199"/>
      <c r="AV91" s="199"/>
      <c r="AW91" s="463" t="str">
        <f t="shared" ref="AW91:BD91" si="27">AW6</f>
        <v>#REF!</v>
      </c>
      <c r="AX91" s="206">
        <f t="shared" si="27"/>
        <v>5</v>
      </c>
      <c r="AY91" s="464">
        <f t="shared" si="27"/>
        <v>5</v>
      </c>
      <c r="AZ91" s="206">
        <f t="shared" si="27"/>
        <v>3</v>
      </c>
      <c r="BA91" s="206">
        <f t="shared" si="27"/>
        <v>1</v>
      </c>
      <c r="BB91" s="206">
        <f t="shared" si="27"/>
        <v>1</v>
      </c>
      <c r="BC91" s="465">
        <f t="shared" si="27"/>
        <v>120</v>
      </c>
      <c r="BD91" s="206" t="str">
        <f t="shared" si="27"/>
        <v/>
      </c>
      <c r="BE91" s="466"/>
    </row>
    <row r="92" ht="15.0" customHeight="1">
      <c r="A92" s="199"/>
      <c r="B92" s="213" t="s">
        <v>623</v>
      </c>
      <c r="C92" s="214"/>
      <c r="D92" s="215"/>
      <c r="E92" s="216"/>
      <c r="F92" s="596" t="s">
        <v>626</v>
      </c>
      <c r="G92" s="218"/>
      <c r="H92" s="223" t="s">
        <v>628</v>
      </c>
      <c r="I92" s="220"/>
      <c r="J92" s="561" t="s">
        <v>626</v>
      </c>
      <c r="K92" s="221"/>
      <c r="L92" s="216"/>
      <c r="M92" s="217"/>
      <c r="N92" s="218"/>
      <c r="O92" s="222" t="s">
        <v>625</v>
      </c>
      <c r="P92" s="220"/>
      <c r="Q92" s="561" t="s">
        <v>626</v>
      </c>
      <c r="R92" s="221"/>
      <c r="S92" s="216"/>
      <c r="T92" s="217"/>
      <c r="U92" s="218"/>
      <c r="V92" s="223" t="s">
        <v>628</v>
      </c>
      <c r="W92" s="220"/>
      <c r="X92" s="561" t="s">
        <v>626</v>
      </c>
      <c r="Y92" s="221"/>
      <c r="Z92" s="216"/>
      <c r="AA92" s="217"/>
      <c r="AB92" s="218"/>
      <c r="AC92" s="222" t="s">
        <v>625</v>
      </c>
      <c r="AD92" s="220"/>
      <c r="AE92" s="561" t="s">
        <v>626</v>
      </c>
      <c r="AF92" s="221"/>
      <c r="AG92" s="216"/>
      <c r="AH92" s="561" t="s">
        <v>627</v>
      </c>
      <c r="AI92" s="218"/>
      <c r="AJ92" s="223" t="s">
        <v>628</v>
      </c>
      <c r="AK92" s="220"/>
      <c r="AL92" s="561" t="s">
        <v>627</v>
      </c>
      <c r="AM92" s="221"/>
      <c r="AN92" s="216"/>
      <c r="AO92" s="217"/>
      <c r="AP92" s="218"/>
      <c r="AQ92" s="222" t="s">
        <v>625</v>
      </c>
      <c r="AR92" s="220"/>
      <c r="AS92" s="561" t="s">
        <v>626</v>
      </c>
      <c r="AT92" s="221"/>
      <c r="AU92" s="225">
        <f>counta(F92:AT92)*20</f>
        <v>280</v>
      </c>
      <c r="AW92" s="463" t="str">
        <f t="shared" ref="AW92:BD92" si="28">AW7</f>
        <v>#REF!</v>
      </c>
      <c r="AX92" s="206">
        <f t="shared" si="28"/>
        <v>5</v>
      </c>
      <c r="AY92" s="464">
        <f t="shared" si="28"/>
        <v>5</v>
      </c>
      <c r="AZ92" s="206">
        <f t="shared" si="28"/>
        <v>3</v>
      </c>
      <c r="BA92" s="206">
        <f t="shared" si="28"/>
        <v>1</v>
      </c>
      <c r="BB92" s="206">
        <f t="shared" si="28"/>
        <v>1</v>
      </c>
      <c r="BC92" s="465">
        <f t="shared" si="28"/>
        <v>120</v>
      </c>
      <c r="BD92" s="206" t="str">
        <f t="shared" si="28"/>
        <v/>
      </c>
      <c r="BE92" s="466"/>
    </row>
    <row r="93" ht="15.0" customHeight="1">
      <c r="A93" s="199"/>
      <c r="B93" s="226" t="s">
        <v>629</v>
      </c>
      <c r="C93" s="214"/>
      <c r="D93" s="215"/>
      <c r="E93" s="216"/>
      <c r="F93" s="227">
        <v>0.0</v>
      </c>
      <c r="G93" s="218"/>
      <c r="H93" s="227">
        <v>4.0</v>
      </c>
      <c r="I93" s="220"/>
      <c r="J93" s="227">
        <v>6.0</v>
      </c>
      <c r="K93" s="221"/>
      <c r="L93" s="216"/>
      <c r="M93" s="227"/>
      <c r="N93" s="218"/>
      <c r="O93" s="227">
        <v>4.0</v>
      </c>
      <c r="P93" s="220"/>
      <c r="Q93" s="227">
        <v>6.0</v>
      </c>
      <c r="R93" s="221"/>
      <c r="S93" s="216"/>
      <c r="T93" s="227"/>
      <c r="U93" s="218"/>
      <c r="V93" s="227">
        <v>4.0</v>
      </c>
      <c r="W93" s="220"/>
      <c r="X93" s="227">
        <v>6.0</v>
      </c>
      <c r="Y93" s="221"/>
      <c r="Z93" s="216"/>
      <c r="AA93" s="227"/>
      <c r="AB93" s="218"/>
      <c r="AC93" s="227">
        <v>4.0</v>
      </c>
      <c r="AD93" s="220"/>
      <c r="AE93" s="227">
        <v>4.0</v>
      </c>
      <c r="AF93" s="221"/>
      <c r="AG93" s="216"/>
      <c r="AH93" s="227"/>
      <c r="AI93" s="218"/>
      <c r="AJ93" s="227">
        <v>4.0</v>
      </c>
      <c r="AK93" s="220"/>
      <c r="AL93" s="227">
        <v>4.0</v>
      </c>
      <c r="AM93" s="221"/>
      <c r="AN93" s="216"/>
      <c r="AO93" s="227"/>
      <c r="AP93" s="218"/>
      <c r="AQ93" s="227">
        <v>4.0</v>
      </c>
      <c r="AR93" s="220"/>
      <c r="AS93" s="227">
        <v>4.0</v>
      </c>
      <c r="AT93" s="221"/>
      <c r="AU93" s="225">
        <f>sum(F93:AK93)</f>
        <v>42</v>
      </c>
      <c r="AW93" s="463" t="str">
        <f t="shared" ref="AW93:BD93" si="29">AW8</f>
        <v>#REF!</v>
      </c>
      <c r="AX93" s="206">
        <f t="shared" si="29"/>
        <v>5</v>
      </c>
      <c r="AY93" s="464">
        <f t="shared" si="29"/>
        <v>5</v>
      </c>
      <c r="AZ93" s="206">
        <f t="shared" si="29"/>
        <v>3</v>
      </c>
      <c r="BA93" s="206">
        <f t="shared" si="29"/>
        <v>1</v>
      </c>
      <c r="BB93" s="206">
        <f t="shared" si="29"/>
        <v>1</v>
      </c>
      <c r="BC93" s="465">
        <f t="shared" si="29"/>
        <v>120</v>
      </c>
      <c r="BD93" s="206" t="str">
        <f t="shared" si="29"/>
        <v/>
      </c>
      <c r="BE93" s="466"/>
    </row>
    <row r="94" ht="15.0" customHeight="1">
      <c r="A94" s="199"/>
      <c r="B94" s="213" t="s">
        <v>630</v>
      </c>
      <c r="C94" s="214"/>
      <c r="D94" s="215"/>
      <c r="E94" s="216"/>
      <c r="F94" s="215"/>
      <c r="G94" s="218"/>
      <c r="H94" s="215"/>
      <c r="I94" s="220"/>
      <c r="J94" s="215"/>
      <c r="K94" s="221"/>
      <c r="L94" s="216"/>
      <c r="M94" s="215"/>
      <c r="N94" s="218"/>
      <c r="O94" s="228" t="s">
        <v>631</v>
      </c>
      <c r="P94" s="220"/>
      <c r="Q94" s="215"/>
      <c r="R94" s="221"/>
      <c r="S94" s="216"/>
      <c r="T94" s="215"/>
      <c r="U94" s="218"/>
      <c r="V94" s="228" t="s">
        <v>631</v>
      </c>
      <c r="W94" s="220"/>
      <c r="X94" s="215"/>
      <c r="Y94" s="221"/>
      <c r="Z94" s="216"/>
      <c r="AA94" s="215"/>
      <c r="AB94" s="218"/>
      <c r="AC94" s="215"/>
      <c r="AD94" s="220"/>
      <c r="AE94" s="215"/>
      <c r="AF94" s="221"/>
      <c r="AG94" s="216"/>
      <c r="AH94" s="215"/>
      <c r="AI94" s="218"/>
      <c r="AJ94" s="215"/>
      <c r="AK94" s="220"/>
      <c r="AL94" s="215"/>
      <c r="AM94" s="221"/>
      <c r="AN94" s="216"/>
      <c r="AO94" s="215"/>
      <c r="AP94" s="218"/>
      <c r="AQ94" s="215"/>
      <c r="AR94" s="220"/>
      <c r="AS94" s="215"/>
      <c r="AT94" s="221"/>
      <c r="AU94" s="225">
        <f>countA(F94:AJ94)*5</f>
        <v>10</v>
      </c>
      <c r="AW94" s="463" t="str">
        <f t="shared" ref="AW94:BD94" si="30">AW9</f>
        <v>#REF!</v>
      </c>
      <c r="AX94" s="206">
        <f t="shared" si="30"/>
        <v>5</v>
      </c>
      <c r="AY94" s="464">
        <f t="shared" si="30"/>
        <v>5</v>
      </c>
      <c r="AZ94" s="206">
        <f t="shared" si="30"/>
        <v>3</v>
      </c>
      <c r="BA94" s="206">
        <f t="shared" si="30"/>
        <v>1</v>
      </c>
      <c r="BB94" s="206">
        <f t="shared" si="30"/>
        <v>1</v>
      </c>
      <c r="BC94" s="465">
        <f t="shared" si="30"/>
        <v>120</v>
      </c>
      <c r="BD94" s="206" t="str">
        <f t="shared" si="30"/>
        <v/>
      </c>
      <c r="BE94" s="466"/>
    </row>
    <row r="95" ht="15.0" customHeight="1">
      <c r="A95" s="199"/>
      <c r="B95" s="229" t="s">
        <v>632</v>
      </c>
      <c r="C95" s="214"/>
      <c r="D95" s="215"/>
      <c r="E95" s="216"/>
      <c r="F95" s="215"/>
      <c r="G95" s="221"/>
      <c r="H95" s="215"/>
      <c r="I95" s="220"/>
      <c r="J95" s="215"/>
      <c r="K95" s="221"/>
      <c r="L95" s="216"/>
      <c r="M95" s="215"/>
      <c r="N95" s="221"/>
      <c r="O95" s="215"/>
      <c r="P95" s="220"/>
      <c r="Q95" s="215"/>
      <c r="R95" s="221"/>
      <c r="S95" s="216"/>
      <c r="T95" s="215"/>
      <c r="U95" s="221"/>
      <c r="V95" s="215"/>
      <c r="W95" s="220"/>
      <c r="X95" s="215"/>
      <c r="Y95" s="221"/>
      <c r="Z95" s="216"/>
      <c r="AA95" s="215"/>
      <c r="AB95" s="221"/>
      <c r="AC95" s="215"/>
      <c r="AD95" s="220"/>
      <c r="AE95" s="215"/>
      <c r="AF95" s="221"/>
      <c r="AG95" s="216"/>
      <c r="AH95" s="215"/>
      <c r="AI95" s="221"/>
      <c r="AJ95" s="215"/>
      <c r="AK95" s="220"/>
      <c r="AL95" s="215"/>
      <c r="AM95" s="221"/>
      <c r="AN95" s="216"/>
      <c r="AO95" s="215"/>
      <c r="AP95" s="221"/>
      <c r="AQ95" s="215"/>
      <c r="AR95" s="220"/>
      <c r="AS95" s="215"/>
      <c r="AT95" s="221"/>
      <c r="AU95" s="225">
        <f>countA(F95:AK95)*12</f>
        <v>0</v>
      </c>
      <c r="AW95" s="463" t="str">
        <f t="shared" ref="AW95:BD95" si="31">AW10</f>
        <v>#REF!</v>
      </c>
      <c r="AX95" s="206">
        <f t="shared" si="31"/>
        <v>5</v>
      </c>
      <c r="AY95" s="464">
        <f t="shared" si="31"/>
        <v>5</v>
      </c>
      <c r="AZ95" s="206">
        <f t="shared" si="31"/>
        <v>3</v>
      </c>
      <c r="BA95" s="206">
        <f t="shared" si="31"/>
        <v>1</v>
      </c>
      <c r="BB95" s="206">
        <f t="shared" si="31"/>
        <v>1</v>
      </c>
      <c r="BC95" s="465">
        <f t="shared" si="31"/>
        <v>120</v>
      </c>
      <c r="BD95" s="206" t="str">
        <f t="shared" si="31"/>
        <v/>
      </c>
      <c r="BE95" s="466"/>
    </row>
    <row r="96" ht="15.0" customHeight="1">
      <c r="A96" s="199"/>
      <c r="B96" s="213" t="s">
        <v>633</v>
      </c>
      <c r="C96" s="214"/>
      <c r="D96" s="215"/>
      <c r="E96" s="216"/>
      <c r="F96" s="215"/>
      <c r="G96" s="230"/>
      <c r="H96" s="215"/>
      <c r="I96" s="231"/>
      <c r="J96" s="215"/>
      <c r="K96" s="216"/>
      <c r="L96" s="216"/>
      <c r="M96" s="215"/>
      <c r="N96" s="230"/>
      <c r="O96" s="469" t="s">
        <v>794</v>
      </c>
      <c r="P96" s="231"/>
      <c r="Q96" s="233" t="s">
        <v>753</v>
      </c>
      <c r="R96" s="216"/>
      <c r="S96" s="216"/>
      <c r="T96" s="215"/>
      <c r="U96" s="230"/>
      <c r="V96" s="215"/>
      <c r="W96" s="231"/>
      <c r="X96" s="215"/>
      <c r="Y96" s="216"/>
      <c r="Z96" s="216"/>
      <c r="AA96" s="215"/>
      <c r="AB96" s="230"/>
      <c r="AC96" s="215"/>
      <c r="AD96" s="231"/>
      <c r="AE96" s="469" t="s">
        <v>852</v>
      </c>
      <c r="AF96" s="216"/>
      <c r="AG96" s="216"/>
      <c r="AH96" s="215"/>
      <c r="AI96" s="230"/>
      <c r="AJ96" s="233" t="s">
        <v>755</v>
      </c>
      <c r="AK96" s="231"/>
      <c r="AL96" s="565" t="s">
        <v>753</v>
      </c>
      <c r="AM96" s="216"/>
      <c r="AN96" s="216"/>
      <c r="AO96" s="215"/>
      <c r="AP96" s="230"/>
      <c r="AQ96" s="215"/>
      <c r="AR96" s="231"/>
      <c r="AS96" s="565" t="s">
        <v>753</v>
      </c>
      <c r="AT96" s="216"/>
      <c r="AU96" s="225">
        <f>counta(F96:AT96)*4</f>
        <v>24</v>
      </c>
      <c r="AW96" s="463" t="str">
        <f t="shared" ref="AW96:BD96" si="32">AW11</f>
        <v>#REF!</v>
      </c>
      <c r="AX96" s="206">
        <f t="shared" si="32"/>
        <v>5</v>
      </c>
      <c r="AY96" s="464">
        <f t="shared" si="32"/>
        <v>5</v>
      </c>
      <c r="AZ96" s="206">
        <f t="shared" si="32"/>
        <v>3</v>
      </c>
      <c r="BA96" s="206">
        <f t="shared" si="32"/>
        <v>1</v>
      </c>
      <c r="BB96" s="206">
        <f t="shared" si="32"/>
        <v>1</v>
      </c>
      <c r="BC96" s="465">
        <f t="shared" si="32"/>
        <v>120</v>
      </c>
      <c r="BD96" s="206" t="str">
        <f t="shared" si="32"/>
        <v/>
      </c>
      <c r="BE96" s="466"/>
    </row>
    <row r="97" ht="15.0" customHeight="1">
      <c r="A97" s="199"/>
      <c r="B97" s="213" t="s">
        <v>637</v>
      </c>
      <c r="C97" s="214"/>
      <c r="D97" s="215"/>
      <c r="E97" s="216"/>
      <c r="F97" s="215"/>
      <c r="G97" s="230"/>
      <c r="H97" s="215"/>
      <c r="I97" s="231"/>
      <c r="J97" s="215"/>
      <c r="K97" s="216"/>
      <c r="L97" s="216"/>
      <c r="M97" s="215"/>
      <c r="N97" s="230"/>
      <c r="O97" s="215"/>
      <c r="P97" s="231"/>
      <c r="Q97" s="563" t="s">
        <v>756</v>
      </c>
      <c r="R97" s="216"/>
      <c r="S97" s="216"/>
      <c r="T97" s="215"/>
      <c r="U97" s="230"/>
      <c r="V97" s="215"/>
      <c r="W97" s="231"/>
      <c r="X97" s="215"/>
      <c r="Y97" s="216"/>
      <c r="Z97" s="216"/>
      <c r="AA97" s="215"/>
      <c r="AB97" s="230"/>
      <c r="AC97" s="215"/>
      <c r="AD97" s="231"/>
      <c r="AE97" s="563" t="s">
        <v>756</v>
      </c>
      <c r="AF97" s="216"/>
      <c r="AG97" s="216"/>
      <c r="AH97" s="215"/>
      <c r="AI97" s="230"/>
      <c r="AJ97" s="215"/>
      <c r="AK97" s="231"/>
      <c r="AL97" s="215"/>
      <c r="AM97" s="216"/>
      <c r="AN97" s="216"/>
      <c r="AO97" s="215"/>
      <c r="AP97" s="230"/>
      <c r="AQ97" s="215"/>
      <c r="AR97" s="231"/>
      <c r="AS97" s="215"/>
      <c r="AT97" s="216"/>
      <c r="AU97" s="225">
        <f>sum(F97:AT97)</f>
        <v>0</v>
      </c>
      <c r="AW97" s="463" t="str">
        <f t="shared" ref="AW97:BD97" si="33">AW12</f>
        <v>#REF!</v>
      </c>
      <c r="AX97" s="206">
        <f t="shared" si="33"/>
        <v>5</v>
      </c>
      <c r="AY97" s="464">
        <f t="shared" si="33"/>
        <v>5</v>
      </c>
      <c r="AZ97" s="206">
        <f t="shared" si="33"/>
        <v>3</v>
      </c>
      <c r="BA97" s="206">
        <f t="shared" si="33"/>
        <v>1</v>
      </c>
      <c r="BB97" s="206">
        <f t="shared" si="33"/>
        <v>1</v>
      </c>
      <c r="BC97" s="465">
        <f t="shared" si="33"/>
        <v>120</v>
      </c>
      <c r="BD97" s="206" t="str">
        <f t="shared" si="33"/>
        <v/>
      </c>
      <c r="BE97" s="466"/>
    </row>
    <row r="98">
      <c r="A98" s="234"/>
      <c r="B98" s="235" t="s">
        <v>608</v>
      </c>
      <c r="C98" s="195" t="s">
        <v>609</v>
      </c>
      <c r="D98" s="236"/>
      <c r="E98" s="237"/>
      <c r="F98" s="238"/>
      <c r="G98" s="182"/>
      <c r="H98" s="238"/>
      <c r="I98" s="239"/>
      <c r="J98" s="238"/>
      <c r="K98" s="239"/>
      <c r="L98" s="237"/>
      <c r="M98" s="238"/>
      <c r="N98" s="182"/>
      <c r="O98" s="238"/>
      <c r="P98" s="239"/>
      <c r="Q98" s="238"/>
      <c r="R98" s="239"/>
      <c r="S98" s="237"/>
      <c r="T98" s="238"/>
      <c r="U98" s="182"/>
      <c r="V98" s="238"/>
      <c r="W98" s="239"/>
      <c r="X98" s="238"/>
      <c r="Y98" s="239"/>
      <c r="Z98" s="237"/>
      <c r="AA98" s="238"/>
      <c r="AB98" s="182"/>
      <c r="AC98" s="238"/>
      <c r="AD98" s="239"/>
      <c r="AE98" s="238"/>
      <c r="AF98" s="239"/>
      <c r="AG98" s="237"/>
      <c r="AH98" s="238"/>
      <c r="AI98" s="182"/>
      <c r="AJ98" s="238"/>
      <c r="AK98" s="239"/>
      <c r="AL98" s="238"/>
      <c r="AM98" s="239"/>
      <c r="AN98" s="237"/>
      <c r="AO98" s="238"/>
      <c r="AP98" s="182"/>
      <c r="AQ98" s="238"/>
      <c r="AR98" s="239"/>
      <c r="AS98" s="238"/>
      <c r="AT98" s="239"/>
      <c r="AU98" s="236"/>
      <c r="AV98" s="236"/>
      <c r="AW98" s="463" t="str">
        <f t="shared" ref="AW98:BD98" si="34">AW13</f>
        <v>#REF!</v>
      </c>
      <c r="AX98" s="206">
        <f t="shared" si="34"/>
        <v>5</v>
      </c>
      <c r="AY98" s="464">
        <f t="shared" si="34"/>
        <v>5</v>
      </c>
      <c r="AZ98" s="206">
        <f t="shared" si="34"/>
        <v>3</v>
      </c>
      <c r="BA98" s="206">
        <f t="shared" si="34"/>
        <v>1</v>
      </c>
      <c r="BB98" s="206">
        <f t="shared" si="34"/>
        <v>1</v>
      </c>
      <c r="BC98" s="465">
        <f t="shared" si="34"/>
        <v>120</v>
      </c>
      <c r="BD98" s="206" t="str">
        <f t="shared" si="34"/>
        <v/>
      </c>
      <c r="BE98" s="466"/>
    </row>
    <row r="99" ht="14.25" customHeight="1">
      <c r="A99" s="240"/>
      <c r="B99" s="241" t="s">
        <v>638</v>
      </c>
      <c r="C99" s="242" t="s">
        <v>639</v>
      </c>
      <c r="D99" s="243"/>
      <c r="E99" s="244"/>
      <c r="F99" s="247"/>
      <c r="G99" s="246"/>
      <c r="H99" s="247"/>
      <c r="I99" s="246"/>
      <c r="K99" s="246"/>
      <c r="L99" s="249"/>
      <c r="M99" s="250"/>
      <c r="N99" s="246"/>
      <c r="O99" s="247"/>
      <c r="P99" s="246"/>
      <c r="Q99" s="597" t="s">
        <v>419</v>
      </c>
      <c r="R99" s="246"/>
      <c r="S99" s="249"/>
      <c r="T99" s="312"/>
      <c r="U99" s="246"/>
      <c r="V99" s="282"/>
      <c r="W99" s="246"/>
      <c r="X99" s="265"/>
      <c r="Y99" s="246"/>
      <c r="Z99" s="249"/>
      <c r="AA99" s="250"/>
      <c r="AB99" s="246"/>
      <c r="AC99" s="282"/>
      <c r="AD99" s="246"/>
      <c r="AE99" s="274"/>
      <c r="AF99" s="246"/>
      <c r="AG99" s="249"/>
      <c r="AH99" s="247"/>
      <c r="AI99" s="246"/>
      <c r="AJ99" s="247"/>
      <c r="AK99" s="246"/>
      <c r="AL99" s="282"/>
      <c r="AM99" s="246"/>
      <c r="AN99" s="249"/>
      <c r="AO99" s="250"/>
      <c r="AP99" s="246"/>
      <c r="AQ99" s="252"/>
      <c r="AR99" s="246"/>
      <c r="AS99" s="252"/>
      <c r="AT99" s="254" t="str">
        <f>IF(COUNTIF($AO$85:$AT$87, #REF!) &gt; 0, "X", "")</f>
        <v/>
      </c>
      <c r="AU99" s="255"/>
      <c r="AV99" s="255"/>
      <c r="AW99" s="463" t="str">
        <f t="shared" ref="AW99:BD99" si="35">AW14</f>
        <v>#REF!</v>
      </c>
      <c r="AX99" s="206">
        <f t="shared" si="35"/>
        <v>5</v>
      </c>
      <c r="AY99" s="464">
        <f t="shared" si="35"/>
        <v>5</v>
      </c>
      <c r="AZ99" s="206">
        <f t="shared" si="35"/>
        <v>3</v>
      </c>
      <c r="BA99" s="206">
        <f t="shared" si="35"/>
        <v>1</v>
      </c>
      <c r="BB99" s="206">
        <f t="shared" si="35"/>
        <v>1</v>
      </c>
      <c r="BC99" s="465">
        <f t="shared" si="35"/>
        <v>120</v>
      </c>
      <c r="BD99" s="206" t="str">
        <f t="shared" si="35"/>
        <v/>
      </c>
      <c r="BE99" s="466"/>
    </row>
    <row r="100" ht="13.5" customHeight="1">
      <c r="A100" s="94"/>
      <c r="B100" s="256" t="s">
        <v>638</v>
      </c>
      <c r="C100" s="257" t="s">
        <v>639</v>
      </c>
      <c r="D100" s="258"/>
      <c r="E100" s="259"/>
      <c r="F100" s="264"/>
      <c r="G100" s="246"/>
      <c r="H100" s="274" t="s">
        <v>414</v>
      </c>
      <c r="I100" s="246"/>
      <c r="J100" s="274" t="s">
        <v>419</v>
      </c>
      <c r="K100" s="246"/>
      <c r="L100" s="261"/>
      <c r="M100" s="262"/>
      <c r="N100" s="246"/>
      <c r="O100" s="265"/>
      <c r="P100" s="246"/>
      <c r="Q100" s="287" t="s">
        <v>405</v>
      </c>
      <c r="R100" s="246"/>
      <c r="S100" s="261"/>
      <c r="T100" s="312"/>
      <c r="U100" s="246"/>
      <c r="V100" s="265"/>
      <c r="W100" s="246"/>
      <c r="X100" s="287" t="s">
        <v>405</v>
      </c>
      <c r="Y100" s="246"/>
      <c r="Z100" s="261"/>
      <c r="AA100" s="262"/>
      <c r="AB100" s="246"/>
      <c r="AC100" s="265"/>
      <c r="AD100" s="246"/>
      <c r="AF100" s="246"/>
      <c r="AG100" s="261"/>
      <c r="AH100" s="264"/>
      <c r="AI100" s="246"/>
      <c r="AJ100" s="265"/>
      <c r="AK100" s="246"/>
      <c r="AL100" s="340" t="s">
        <v>414</v>
      </c>
      <c r="AM100" s="246"/>
      <c r="AN100" s="261"/>
      <c r="AO100" s="262"/>
      <c r="AP100" s="246"/>
      <c r="AQ100" s="598"/>
      <c r="AR100" s="246"/>
      <c r="AS100" s="266"/>
      <c r="AT100" s="254" t="str">
        <f>IF(COUNTIF($AO$85:$AT$87, AS105) &gt; 0, "X", "")</f>
        <v/>
      </c>
      <c r="AU100" s="269"/>
      <c r="AV100" s="269"/>
      <c r="AW100" s="463" t="str">
        <f t="shared" ref="AW100:BD100" si="36">AW15</f>
        <v>#REF!</v>
      </c>
      <c r="AX100" s="206">
        <f t="shared" si="36"/>
        <v>5</v>
      </c>
      <c r="AY100" s="464">
        <f t="shared" si="36"/>
        <v>5</v>
      </c>
      <c r="AZ100" s="206">
        <f t="shared" si="36"/>
        <v>3</v>
      </c>
      <c r="BA100" s="206">
        <f t="shared" si="36"/>
        <v>1</v>
      </c>
      <c r="BB100" s="206">
        <f t="shared" si="36"/>
        <v>1</v>
      </c>
      <c r="BC100" s="465">
        <f t="shared" si="36"/>
        <v>120</v>
      </c>
      <c r="BD100" s="206" t="str">
        <f t="shared" si="36"/>
        <v/>
      </c>
      <c r="BE100" s="466"/>
    </row>
    <row r="101" ht="13.5" customHeight="1">
      <c r="A101" s="270"/>
      <c r="B101" s="271" t="s">
        <v>642</v>
      </c>
      <c r="C101" s="272" t="s">
        <v>639</v>
      </c>
      <c r="D101" s="258"/>
      <c r="E101" s="259"/>
      <c r="F101" s="275"/>
      <c r="G101" s="246"/>
      <c r="H101" s="275"/>
      <c r="I101" s="246"/>
      <c r="J101" s="282"/>
      <c r="K101" s="246"/>
      <c r="L101" s="261"/>
      <c r="M101" s="250"/>
      <c r="N101" s="246"/>
      <c r="O101" s="311" t="s">
        <v>432</v>
      </c>
      <c r="P101" s="246"/>
      <c r="R101" s="246"/>
      <c r="S101" s="261"/>
      <c r="T101" s="312"/>
      <c r="U101" s="246"/>
      <c r="V101" s="311" t="s">
        <v>432</v>
      </c>
      <c r="W101" s="246"/>
      <c r="X101" s="282"/>
      <c r="Y101" s="246"/>
      <c r="Z101" s="261"/>
      <c r="AA101" s="250"/>
      <c r="AB101" s="246"/>
      <c r="AD101" s="246"/>
      <c r="AF101" s="246"/>
      <c r="AG101" s="261"/>
      <c r="AH101" s="275"/>
      <c r="AI101" s="246"/>
      <c r="AK101" s="246"/>
      <c r="AL101" s="399"/>
      <c r="AM101" s="246"/>
      <c r="AN101" s="261"/>
      <c r="AO101" s="250"/>
      <c r="AP101" s="246"/>
      <c r="AQ101" s="276"/>
      <c r="AR101" s="246"/>
      <c r="AS101" s="276"/>
      <c r="AT101" s="254" t="str">
        <f>IF(COUNTIF($AO$85:$AT$87, #REF!) &gt; 0, "X", "")</f>
        <v/>
      </c>
      <c r="AU101" s="269"/>
      <c r="AV101" s="269"/>
      <c r="AW101" s="463" t="str">
        <f t="shared" ref="AW101:BD101" si="37">AW16</f>
        <v>#REF!</v>
      </c>
      <c r="AX101" s="206">
        <f t="shared" si="37"/>
        <v>5</v>
      </c>
      <c r="AY101" s="464">
        <f t="shared" si="37"/>
        <v>5</v>
      </c>
      <c r="AZ101" s="206">
        <f t="shared" si="37"/>
        <v>3</v>
      </c>
      <c r="BA101" s="206">
        <f t="shared" si="37"/>
        <v>1</v>
      </c>
      <c r="BB101" s="206">
        <f t="shared" si="37"/>
        <v>1</v>
      </c>
      <c r="BC101" s="465">
        <f t="shared" si="37"/>
        <v>120</v>
      </c>
      <c r="BD101" s="206" t="str">
        <f t="shared" si="37"/>
        <v/>
      </c>
      <c r="BE101" s="466"/>
    </row>
    <row r="102" ht="11.25" customHeight="1">
      <c r="A102" s="234"/>
      <c r="B102" s="277" t="s">
        <v>644</v>
      </c>
      <c r="C102" s="278" t="s">
        <v>645</v>
      </c>
      <c r="D102" s="243"/>
      <c r="E102" s="259"/>
      <c r="F102" s="281"/>
      <c r="G102" s="246"/>
      <c r="H102" s="280" t="s">
        <v>400</v>
      </c>
      <c r="I102" s="246"/>
      <c r="J102" s="282"/>
      <c r="K102" s="246"/>
      <c r="L102" s="261"/>
      <c r="M102" s="250"/>
      <c r="N102" s="246"/>
      <c r="O102" s="281"/>
      <c r="P102" s="246"/>
      <c r="Q102" s="282"/>
      <c r="R102" s="246"/>
      <c r="S102" s="261"/>
      <c r="T102" s="312"/>
      <c r="U102" s="246"/>
      <c r="V102" s="281"/>
      <c r="W102" s="246"/>
      <c r="X102" s="280" t="s">
        <v>400</v>
      </c>
      <c r="Y102" s="246"/>
      <c r="Z102" s="261"/>
      <c r="AA102" s="250"/>
      <c r="AB102" s="246"/>
      <c r="AC102" s="281"/>
      <c r="AD102" s="246"/>
      <c r="AE102" s="280" t="s">
        <v>400</v>
      </c>
      <c r="AF102" s="246"/>
      <c r="AG102" s="261"/>
      <c r="AH102" s="282"/>
      <c r="AI102" s="246"/>
      <c r="AJ102" s="280" t="s">
        <v>400</v>
      </c>
      <c r="AK102" s="246"/>
      <c r="AL102" s="281"/>
      <c r="AM102" s="246"/>
      <c r="AN102" s="261"/>
      <c r="AO102" s="250"/>
      <c r="AP102" s="246"/>
      <c r="AQ102" s="276"/>
      <c r="AR102" s="246"/>
      <c r="AS102" s="276"/>
      <c r="AT102" s="254" t="str">
        <f t="shared" ref="AT102:AT104" si="39">IF(COUNTIF($AO$85:$AT$87, AS102) &gt; 0, "X", "")</f>
        <v/>
      </c>
      <c r="AU102" s="269"/>
      <c r="AV102" s="269"/>
      <c r="AW102" s="463" t="str">
        <f t="shared" ref="AW102:BD102" si="38">AW17</f>
        <v>#REF!</v>
      </c>
      <c r="AX102" s="206">
        <f t="shared" si="38"/>
        <v>5</v>
      </c>
      <c r="AY102" s="464">
        <f t="shared" si="38"/>
        <v>5</v>
      </c>
      <c r="AZ102" s="206">
        <f t="shared" si="38"/>
        <v>3</v>
      </c>
      <c r="BA102" s="206">
        <f t="shared" si="38"/>
        <v>1</v>
      </c>
      <c r="BB102" s="206">
        <f t="shared" si="38"/>
        <v>1</v>
      </c>
      <c r="BC102" s="465">
        <f t="shared" si="38"/>
        <v>120</v>
      </c>
      <c r="BD102" s="206" t="str">
        <f t="shared" si="38"/>
        <v/>
      </c>
      <c r="BE102" s="466"/>
    </row>
    <row r="103">
      <c r="A103" s="94"/>
      <c r="B103" s="256" t="s">
        <v>757</v>
      </c>
      <c r="C103" s="257" t="s">
        <v>645</v>
      </c>
      <c r="D103" s="243"/>
      <c r="E103" s="259"/>
      <c r="F103" s="274"/>
      <c r="G103" s="246"/>
      <c r="H103" s="371"/>
      <c r="I103" s="246"/>
      <c r="J103" s="371"/>
      <c r="K103" s="246"/>
      <c r="L103" s="261"/>
      <c r="M103" s="324"/>
      <c r="N103" s="246"/>
      <c r="O103" s="280"/>
      <c r="P103" s="246"/>
      <c r="Q103" s="280" t="s">
        <v>400</v>
      </c>
      <c r="R103" s="246"/>
      <c r="S103" s="261"/>
      <c r="T103" s="312"/>
      <c r="U103" s="246"/>
      <c r="V103" s="371"/>
      <c r="W103" s="246"/>
      <c r="X103" s="274"/>
      <c r="Y103" s="246"/>
      <c r="Z103" s="261"/>
      <c r="AA103" s="324"/>
      <c r="AB103" s="246"/>
      <c r="AC103" s="282"/>
      <c r="AD103" s="246"/>
      <c r="AF103" s="246"/>
      <c r="AG103" s="261"/>
      <c r="AH103" s="371"/>
      <c r="AI103" s="246"/>
      <c r="AJ103" s="371"/>
      <c r="AK103" s="246"/>
      <c r="AL103" s="274"/>
      <c r="AM103" s="246"/>
      <c r="AN103" s="261"/>
      <c r="AO103" s="324"/>
      <c r="AP103" s="246"/>
      <c r="AQ103" s="252"/>
      <c r="AR103" s="246"/>
      <c r="AS103" s="252"/>
      <c r="AT103" s="254" t="str">
        <f t="shared" si="39"/>
        <v/>
      </c>
      <c r="AU103" s="269"/>
      <c r="AV103" s="269"/>
      <c r="AW103" s="463" t="str">
        <f t="shared" ref="AW103:BD103" si="40">AW18</f>
        <v>#REF!</v>
      </c>
      <c r="AX103" s="206">
        <f t="shared" si="40"/>
        <v>5</v>
      </c>
      <c r="AY103" s="464">
        <f t="shared" si="40"/>
        <v>5</v>
      </c>
      <c r="AZ103" s="206">
        <f t="shared" si="40"/>
        <v>3</v>
      </c>
      <c r="BA103" s="206">
        <f t="shared" si="40"/>
        <v>1</v>
      </c>
      <c r="BB103" s="206">
        <f t="shared" si="40"/>
        <v>1</v>
      </c>
      <c r="BC103" s="465">
        <f t="shared" si="40"/>
        <v>120</v>
      </c>
      <c r="BD103" s="206" t="str">
        <f t="shared" si="40"/>
        <v/>
      </c>
      <c r="BE103" s="466"/>
    </row>
    <row r="104">
      <c r="A104" s="94"/>
      <c r="B104" s="284" t="s">
        <v>646</v>
      </c>
      <c r="C104" s="285" t="s">
        <v>647</v>
      </c>
      <c r="D104" s="243"/>
      <c r="E104" s="259"/>
      <c r="F104" s="251" t="s">
        <v>427</v>
      </c>
      <c r="G104" s="246"/>
      <c r="H104" s="399"/>
      <c r="I104" s="246"/>
      <c r="J104" s="399"/>
      <c r="K104" s="246"/>
      <c r="L104" s="261"/>
      <c r="M104" s="250"/>
      <c r="N104" s="246"/>
      <c r="O104" s="399"/>
      <c r="P104" s="246"/>
      <c r="Q104" s="251" t="s">
        <v>427</v>
      </c>
      <c r="R104" s="246"/>
      <c r="S104" s="261"/>
      <c r="T104" s="312"/>
      <c r="U104" s="246"/>
      <c r="V104" s="251" t="s">
        <v>602</v>
      </c>
      <c r="W104" s="246"/>
      <c r="X104" s="251" t="s">
        <v>427</v>
      </c>
      <c r="Y104" s="246"/>
      <c r="Z104" s="261"/>
      <c r="AA104" s="250"/>
      <c r="AB104" s="246"/>
      <c r="AC104" s="282"/>
      <c r="AD104" s="246"/>
      <c r="AE104" s="251" t="s">
        <v>427</v>
      </c>
      <c r="AF104" s="246"/>
      <c r="AG104" s="261"/>
      <c r="AH104" s="251" t="s">
        <v>427</v>
      </c>
      <c r="AI104" s="246"/>
      <c r="AK104" s="246"/>
      <c r="AL104" s="282"/>
      <c r="AM104" s="246"/>
      <c r="AN104" s="261"/>
      <c r="AO104" s="250"/>
      <c r="AP104" s="246"/>
      <c r="AQ104" s="252"/>
      <c r="AR104" s="246"/>
      <c r="AS104" s="252"/>
      <c r="AT104" s="254" t="str">
        <f t="shared" si="39"/>
        <v/>
      </c>
      <c r="AU104" s="269"/>
      <c r="AV104" s="269"/>
      <c r="AW104" s="463" t="str">
        <f t="shared" ref="AW104:BD104" si="41">AW19</f>
        <v>#REF!</v>
      </c>
      <c r="AX104" s="206">
        <f t="shared" si="41"/>
        <v>5</v>
      </c>
      <c r="AY104" s="464">
        <f t="shared" si="41"/>
        <v>5</v>
      </c>
      <c r="AZ104" s="206">
        <f t="shared" si="41"/>
        <v>3</v>
      </c>
      <c r="BA104" s="206">
        <f t="shared" si="41"/>
        <v>1</v>
      </c>
      <c r="BB104" s="206">
        <f t="shared" si="41"/>
        <v>1</v>
      </c>
      <c r="BC104" s="465">
        <f t="shared" si="41"/>
        <v>120</v>
      </c>
      <c r="BD104" s="206" t="str">
        <f t="shared" si="41"/>
        <v/>
      </c>
      <c r="BE104" s="466"/>
    </row>
    <row r="105">
      <c r="A105" s="270"/>
      <c r="B105" s="291" t="s">
        <v>648</v>
      </c>
      <c r="C105" s="292" t="s">
        <v>649</v>
      </c>
      <c r="D105" s="243"/>
      <c r="E105" s="259"/>
      <c r="F105" s="294"/>
      <c r="G105" s="298"/>
      <c r="H105" s="294"/>
      <c r="I105" s="298"/>
      <c r="J105" s="294"/>
      <c r="K105" s="298"/>
      <c r="L105" s="261"/>
      <c r="M105" s="250"/>
      <c r="N105" s="298"/>
      <c r="O105" s="293" t="s">
        <v>418</v>
      </c>
      <c r="P105" s="298"/>
      <c r="Q105" s="294"/>
      <c r="R105" s="298"/>
      <c r="S105" s="261"/>
      <c r="T105" s="312"/>
      <c r="U105" s="298"/>
      <c r="V105" s="294"/>
      <c r="W105" s="298"/>
      <c r="X105" s="293" t="s">
        <v>418</v>
      </c>
      <c r="Y105" s="298"/>
      <c r="Z105" s="261"/>
      <c r="AA105" s="250"/>
      <c r="AB105" s="298"/>
      <c r="AC105" s="294"/>
      <c r="AD105" s="298"/>
      <c r="AE105" s="293" t="s">
        <v>418</v>
      </c>
      <c r="AF105" s="298"/>
      <c r="AG105" s="261"/>
      <c r="AH105" s="294"/>
      <c r="AI105" s="298"/>
      <c r="AJ105" s="293" t="s">
        <v>418</v>
      </c>
      <c r="AK105" s="298"/>
      <c r="AL105" s="294"/>
      <c r="AM105" s="298"/>
      <c r="AN105" s="261"/>
      <c r="AO105" s="250"/>
      <c r="AP105" s="298"/>
      <c r="AQ105" s="294"/>
      <c r="AR105" s="298"/>
      <c r="AS105" s="294"/>
      <c r="AT105" s="254" t="str">
        <f t="shared" ref="AT105:AT106" si="43">IF(COUNTIF($AO$85:$AT$87, #REF!) &gt; 0, "X", "")</f>
        <v/>
      </c>
      <c r="AU105" s="269"/>
      <c r="AV105" s="269"/>
      <c r="AW105" s="463" t="str">
        <f t="shared" ref="AW105:BD105" si="42">AW20</f>
        <v>#REF!</v>
      </c>
      <c r="AX105" s="206">
        <f t="shared" si="42"/>
        <v>5</v>
      </c>
      <c r="AY105" s="464">
        <f t="shared" si="42"/>
        <v>5</v>
      </c>
      <c r="AZ105" s="206">
        <f t="shared" si="42"/>
        <v>3</v>
      </c>
      <c r="BA105" s="206">
        <f t="shared" si="42"/>
        <v>1</v>
      </c>
      <c r="BB105" s="206">
        <f t="shared" si="42"/>
        <v>1</v>
      </c>
      <c r="BC105" s="465">
        <f t="shared" si="42"/>
        <v>120</v>
      </c>
      <c r="BD105" s="206" t="str">
        <f t="shared" si="42"/>
        <v/>
      </c>
      <c r="BE105" s="466"/>
    </row>
    <row r="106">
      <c r="A106" s="94"/>
      <c r="B106" s="296" t="s">
        <v>650</v>
      </c>
      <c r="C106" s="297" t="s">
        <v>649</v>
      </c>
      <c r="D106" s="243"/>
      <c r="E106" s="259"/>
      <c r="F106" s="299"/>
      <c r="G106" s="298"/>
      <c r="H106" s="299"/>
      <c r="I106" s="298"/>
      <c r="J106" s="299"/>
      <c r="K106" s="298"/>
      <c r="L106" s="261"/>
      <c r="M106" s="250"/>
      <c r="N106" s="298"/>
      <c r="O106" s="299"/>
      <c r="P106" s="298"/>
      <c r="Q106" s="299"/>
      <c r="R106" s="298"/>
      <c r="S106" s="261"/>
      <c r="T106" s="312"/>
      <c r="U106" s="298"/>
      <c r="V106" s="299"/>
      <c r="W106" s="298"/>
      <c r="X106" s="299"/>
      <c r="Y106" s="298"/>
      <c r="Z106" s="261"/>
      <c r="AA106" s="250"/>
      <c r="AB106" s="298"/>
      <c r="AC106" s="299"/>
      <c r="AD106" s="298"/>
      <c r="AE106" s="299"/>
      <c r="AF106" s="298"/>
      <c r="AG106" s="261"/>
      <c r="AH106" s="299"/>
      <c r="AI106" s="298"/>
      <c r="AJ106" s="299"/>
      <c r="AK106" s="298"/>
      <c r="AL106" s="299"/>
      <c r="AM106" s="298"/>
      <c r="AN106" s="261"/>
      <c r="AO106" s="250"/>
      <c r="AP106" s="298"/>
      <c r="AQ106" s="300"/>
      <c r="AR106" s="298"/>
      <c r="AS106" s="300"/>
      <c r="AT106" s="254" t="str">
        <f t="shared" si="43"/>
        <v/>
      </c>
      <c r="AU106" s="269"/>
      <c r="AV106" s="269"/>
      <c r="AW106" s="463" t="str">
        <f t="shared" ref="AW106:BD106" si="44">AW21</f>
        <v>#REF!</v>
      </c>
      <c r="AX106" s="206">
        <f t="shared" si="44"/>
        <v>5</v>
      </c>
      <c r="AY106" s="464">
        <f t="shared" si="44"/>
        <v>5</v>
      </c>
      <c r="AZ106" s="206">
        <f t="shared" si="44"/>
        <v>3</v>
      </c>
      <c r="BA106" s="206">
        <f t="shared" si="44"/>
        <v>1</v>
      </c>
      <c r="BB106" s="206">
        <f t="shared" si="44"/>
        <v>1</v>
      </c>
      <c r="BC106" s="465">
        <f t="shared" si="44"/>
        <v>120</v>
      </c>
      <c r="BD106" s="206" t="str">
        <f t="shared" si="44"/>
        <v/>
      </c>
      <c r="BE106" s="466"/>
    </row>
    <row r="107">
      <c r="A107" s="94"/>
      <c r="B107" s="301" t="s">
        <v>651</v>
      </c>
      <c r="C107" s="302" t="s">
        <v>652</v>
      </c>
      <c r="D107" s="243"/>
      <c r="E107" s="259"/>
      <c r="F107" s="303"/>
      <c r="G107" s="298"/>
      <c r="H107" s="303"/>
      <c r="I107" s="298"/>
      <c r="J107" s="303"/>
      <c r="K107" s="298"/>
      <c r="L107" s="261"/>
      <c r="M107" s="250"/>
      <c r="N107" s="298"/>
      <c r="O107" s="303"/>
      <c r="P107" s="298"/>
      <c r="Q107" s="303"/>
      <c r="R107" s="298"/>
      <c r="S107" s="261"/>
      <c r="T107" s="312"/>
      <c r="U107" s="298"/>
      <c r="V107" s="303"/>
      <c r="W107" s="298"/>
      <c r="X107" s="303"/>
      <c r="Y107" s="298"/>
      <c r="Z107" s="261"/>
      <c r="AA107" s="250"/>
      <c r="AB107" s="298"/>
      <c r="AC107" s="303"/>
      <c r="AD107" s="298"/>
      <c r="AE107" s="303"/>
      <c r="AF107" s="298"/>
      <c r="AG107" s="261"/>
      <c r="AH107" s="303"/>
      <c r="AI107" s="298"/>
      <c r="AJ107" s="303"/>
      <c r="AK107" s="298"/>
      <c r="AL107" s="303"/>
      <c r="AM107" s="298"/>
      <c r="AN107" s="261"/>
      <c r="AO107" s="250"/>
      <c r="AP107" s="298"/>
      <c r="AQ107" s="304"/>
      <c r="AR107" s="298"/>
      <c r="AS107" s="304"/>
      <c r="AT107" s="254" t="str">
        <f t="shared" ref="AT107:AT108" si="46">IF(COUNTIF($AO$85:$AT$87, AS107) &gt; 0, "X", "")</f>
        <v/>
      </c>
      <c r="AU107" s="269"/>
      <c r="AV107" s="269"/>
      <c r="AW107" s="463" t="str">
        <f t="shared" ref="AW107:BD107" si="45">AW22</f>
        <v>#REF!</v>
      </c>
      <c r="AX107" s="206">
        <f t="shared" si="45"/>
        <v>5</v>
      </c>
      <c r="AY107" s="464">
        <f t="shared" si="45"/>
        <v>5</v>
      </c>
      <c r="AZ107" s="206">
        <f t="shared" si="45"/>
        <v>3</v>
      </c>
      <c r="BA107" s="206">
        <f t="shared" si="45"/>
        <v>1</v>
      </c>
      <c r="BB107" s="206">
        <f t="shared" si="45"/>
        <v>1</v>
      </c>
      <c r="BC107" s="465">
        <f t="shared" si="45"/>
        <v>120</v>
      </c>
      <c r="BD107" s="206" t="str">
        <f t="shared" si="45"/>
        <v/>
      </c>
      <c r="BE107" s="466"/>
    </row>
    <row r="108">
      <c r="A108" s="94"/>
      <c r="B108" s="305" t="s">
        <v>653</v>
      </c>
      <c r="C108" s="306" t="s">
        <v>654</v>
      </c>
      <c r="D108" s="243"/>
      <c r="E108" s="259"/>
      <c r="F108" s="307"/>
      <c r="G108" s="246"/>
      <c r="H108" s="307"/>
      <c r="I108" s="246"/>
      <c r="J108" s="307"/>
      <c r="K108" s="246"/>
      <c r="L108" s="261"/>
      <c r="M108" s="250"/>
      <c r="N108" s="246"/>
      <c r="O108" s="307"/>
      <c r="P108" s="246"/>
      <c r="Q108" s="307"/>
      <c r="R108" s="246"/>
      <c r="S108" s="261"/>
      <c r="T108" s="312"/>
      <c r="U108" s="246"/>
      <c r="V108" s="307"/>
      <c r="W108" s="246"/>
      <c r="X108" s="307"/>
      <c r="Y108" s="246"/>
      <c r="Z108" s="261"/>
      <c r="AA108" s="250"/>
      <c r="AB108" s="246"/>
      <c r="AC108" s="307"/>
      <c r="AD108" s="246"/>
      <c r="AE108" s="309" t="s">
        <v>449</v>
      </c>
      <c r="AF108" s="246"/>
      <c r="AG108" s="261"/>
      <c r="AH108" s="307"/>
      <c r="AI108" s="246"/>
      <c r="AJ108" s="307"/>
      <c r="AK108" s="246"/>
      <c r="AL108" s="307"/>
      <c r="AM108" s="246"/>
      <c r="AN108" s="261"/>
      <c r="AO108" s="250"/>
      <c r="AP108" s="246"/>
      <c r="AQ108" s="307"/>
      <c r="AR108" s="246"/>
      <c r="AS108" s="307"/>
      <c r="AT108" s="254" t="str">
        <f t="shared" si="46"/>
        <v/>
      </c>
      <c r="AU108" s="269"/>
      <c r="AV108" s="269"/>
      <c r="AW108" s="463" t="str">
        <f t="shared" ref="AW108:BD108" si="47">AW23</f>
        <v>#REF!</v>
      </c>
      <c r="AX108" s="206">
        <f t="shared" si="47"/>
        <v>5</v>
      </c>
      <c r="AY108" s="464">
        <f t="shared" si="47"/>
        <v>5</v>
      </c>
      <c r="AZ108" s="206">
        <f t="shared" si="47"/>
        <v>3</v>
      </c>
      <c r="BA108" s="206">
        <f t="shared" si="47"/>
        <v>1</v>
      </c>
      <c r="BB108" s="206">
        <f t="shared" si="47"/>
        <v>1</v>
      </c>
      <c r="BC108" s="465">
        <f t="shared" si="47"/>
        <v>120</v>
      </c>
      <c r="BD108" s="206" t="str">
        <f t="shared" si="47"/>
        <v/>
      </c>
      <c r="BE108" s="466"/>
    </row>
    <row r="109">
      <c r="A109" s="94"/>
      <c r="B109" s="310" t="s">
        <v>656</v>
      </c>
      <c r="C109" s="278" t="s">
        <v>657</v>
      </c>
      <c r="D109" s="243"/>
      <c r="E109" s="259"/>
      <c r="F109" s="281"/>
      <c r="G109" s="246"/>
      <c r="H109" s="282"/>
      <c r="I109" s="246"/>
      <c r="J109" s="282"/>
      <c r="K109" s="246"/>
      <c r="L109" s="261"/>
      <c r="M109" s="250"/>
      <c r="N109" s="246"/>
      <c r="O109" s="274" t="s">
        <v>458</v>
      </c>
      <c r="P109" s="246"/>
      <c r="R109" s="246"/>
      <c r="S109" s="261"/>
      <c r="T109" s="312"/>
      <c r="U109" s="246"/>
      <c r="V109" s="282"/>
      <c r="W109" s="246"/>
      <c r="X109" s="282"/>
      <c r="Y109" s="246"/>
      <c r="Z109" s="261"/>
      <c r="AA109" s="250"/>
      <c r="AB109" s="246"/>
      <c r="AC109" s="282"/>
      <c r="AD109" s="246"/>
      <c r="AE109" s="274" t="s">
        <v>655</v>
      </c>
      <c r="AF109" s="246"/>
      <c r="AG109" s="261"/>
      <c r="AH109" s="282"/>
      <c r="AI109" s="246"/>
      <c r="AJ109" s="282"/>
      <c r="AK109" s="246"/>
      <c r="AL109" s="282"/>
      <c r="AM109" s="246"/>
      <c r="AN109" s="261"/>
      <c r="AO109" s="250"/>
      <c r="AP109" s="246"/>
      <c r="AQ109" s="276"/>
      <c r="AR109" s="246"/>
      <c r="AS109" s="276"/>
      <c r="AT109" s="254" t="str">
        <f t="shared" ref="AT109:AT111" si="49">IF(COUNTIF($AO$85:$AT$87, #REF!) &gt; 0, "X", "")</f>
        <v/>
      </c>
      <c r="AU109" s="269"/>
      <c r="AV109" s="269"/>
      <c r="AW109" s="463" t="str">
        <f t="shared" ref="AW109:BD109" si="48">AW24</f>
        <v>#REF!</v>
      </c>
      <c r="AX109" s="206">
        <f t="shared" si="48"/>
        <v>5</v>
      </c>
      <c r="AY109" s="464">
        <f t="shared" si="48"/>
        <v>5</v>
      </c>
      <c r="AZ109" s="206">
        <f t="shared" si="48"/>
        <v>3</v>
      </c>
      <c r="BA109" s="206">
        <f t="shared" si="48"/>
        <v>1</v>
      </c>
      <c r="BB109" s="206">
        <f t="shared" si="48"/>
        <v>1</v>
      </c>
      <c r="BC109" s="465">
        <f t="shared" si="48"/>
        <v>120</v>
      </c>
      <c r="BD109" s="206" t="str">
        <f t="shared" si="48"/>
        <v/>
      </c>
      <c r="BE109" s="466"/>
    </row>
    <row r="110">
      <c r="A110" s="94"/>
      <c r="B110" s="277" t="s">
        <v>658</v>
      </c>
      <c r="C110" s="278" t="s">
        <v>657</v>
      </c>
      <c r="D110" s="243"/>
      <c r="E110" s="259"/>
      <c r="F110" s="282"/>
      <c r="G110" s="246"/>
      <c r="H110" s="282"/>
      <c r="I110" s="246"/>
      <c r="K110" s="246"/>
      <c r="L110" s="261"/>
      <c r="M110" s="316"/>
      <c r="N110" s="246"/>
      <c r="O110" s="311" t="s">
        <v>459</v>
      </c>
      <c r="P110" s="246"/>
      <c r="R110" s="246"/>
      <c r="S110" s="261"/>
      <c r="T110" s="312"/>
      <c r="U110" s="246"/>
      <c r="V110" s="282"/>
      <c r="W110" s="246"/>
      <c r="Y110" s="246"/>
      <c r="Z110" s="261"/>
      <c r="AA110" s="316"/>
      <c r="AB110" s="246"/>
      <c r="AD110" s="246"/>
      <c r="AF110" s="246"/>
      <c r="AG110" s="261"/>
      <c r="AH110" s="282"/>
      <c r="AI110" s="246"/>
      <c r="AJ110" s="282"/>
      <c r="AK110" s="246"/>
      <c r="AM110" s="246"/>
      <c r="AN110" s="261"/>
      <c r="AO110" s="316"/>
      <c r="AP110" s="246"/>
      <c r="AQ110" s="276"/>
      <c r="AR110" s="246"/>
      <c r="AS110" s="282"/>
      <c r="AT110" s="254" t="str">
        <f t="shared" si="49"/>
        <v/>
      </c>
      <c r="AU110" s="269"/>
      <c r="AV110" s="269"/>
      <c r="AW110" s="463" t="str">
        <f t="shared" ref="AW110:BD110" si="50">AW25</f>
        <v>#REF!</v>
      </c>
      <c r="AX110" s="206">
        <f t="shared" si="50"/>
        <v>5</v>
      </c>
      <c r="AY110" s="464">
        <f t="shared" si="50"/>
        <v>5</v>
      </c>
      <c r="AZ110" s="206">
        <f t="shared" si="50"/>
        <v>3</v>
      </c>
      <c r="BA110" s="206">
        <f t="shared" si="50"/>
        <v>1</v>
      </c>
      <c r="BB110" s="206">
        <f t="shared" si="50"/>
        <v>1</v>
      </c>
      <c r="BC110" s="465">
        <f t="shared" si="50"/>
        <v>120</v>
      </c>
      <c r="BD110" s="206" t="str">
        <f t="shared" si="50"/>
        <v/>
      </c>
      <c r="BE110" s="466"/>
    </row>
    <row r="111">
      <c r="A111" s="94"/>
      <c r="B111" s="314" t="s">
        <v>660</v>
      </c>
      <c r="C111" s="315" t="s">
        <v>649</v>
      </c>
      <c r="D111" s="243"/>
      <c r="E111" s="259"/>
      <c r="F111" s="479"/>
      <c r="G111" s="298"/>
      <c r="H111" s="293" t="s">
        <v>418</v>
      </c>
      <c r="I111" s="298"/>
      <c r="J111" s="293" t="s">
        <v>424</v>
      </c>
      <c r="K111" s="298"/>
      <c r="L111" s="261"/>
      <c r="M111" s="250"/>
      <c r="N111" s="298"/>
      <c r="O111" s="253" t="s">
        <v>417</v>
      </c>
      <c r="P111" s="298"/>
      <c r="Q111" s="293" t="s">
        <v>421</v>
      </c>
      <c r="R111" s="298"/>
      <c r="S111" s="261"/>
      <c r="T111" s="312"/>
      <c r="U111" s="298"/>
      <c r="V111" s="293" t="s">
        <v>421</v>
      </c>
      <c r="W111" s="298"/>
      <c r="X111" s="293" t="s">
        <v>424</v>
      </c>
      <c r="Y111" s="298"/>
      <c r="Z111" s="261"/>
      <c r="AA111" s="250"/>
      <c r="AB111" s="298"/>
      <c r="AC111" s="253" t="s">
        <v>417</v>
      </c>
      <c r="AD111" s="298"/>
      <c r="AE111" s="293" t="s">
        <v>424</v>
      </c>
      <c r="AF111" s="298"/>
      <c r="AG111" s="261"/>
      <c r="AH111" s="317"/>
      <c r="AI111" s="298"/>
      <c r="AJ111" s="253" t="s">
        <v>417</v>
      </c>
      <c r="AK111" s="298"/>
      <c r="AL111" s="293" t="s">
        <v>424</v>
      </c>
      <c r="AM111" s="298"/>
      <c r="AN111" s="261"/>
      <c r="AO111" s="250"/>
      <c r="AP111" s="298"/>
      <c r="AQ111" s="253" t="s">
        <v>417</v>
      </c>
      <c r="AR111" s="298"/>
      <c r="AS111" s="356" t="s">
        <v>423</v>
      </c>
      <c r="AT111" s="254" t="str">
        <f t="shared" si="49"/>
        <v/>
      </c>
      <c r="AU111" s="269"/>
      <c r="AV111" s="269"/>
      <c r="AW111" s="463" t="str">
        <f t="shared" ref="AW111:BD111" si="51">AW26</f>
        <v>#REF!</v>
      </c>
      <c r="AX111" s="206">
        <f t="shared" si="51"/>
        <v>5</v>
      </c>
      <c r="AY111" s="464">
        <f t="shared" si="51"/>
        <v>5</v>
      </c>
      <c r="AZ111" s="206">
        <f t="shared" si="51"/>
        <v>3</v>
      </c>
      <c r="BA111" s="206">
        <f t="shared" si="51"/>
        <v>1</v>
      </c>
      <c r="BB111" s="206">
        <f t="shared" si="51"/>
        <v>1</v>
      </c>
      <c r="BC111" s="465">
        <f t="shared" si="51"/>
        <v>120</v>
      </c>
      <c r="BD111" s="206" t="str">
        <f t="shared" si="51"/>
        <v/>
      </c>
      <c r="BE111" s="466"/>
    </row>
    <row r="112">
      <c r="A112" s="94"/>
      <c r="B112" s="296" t="s">
        <v>650</v>
      </c>
      <c r="C112" s="297" t="s">
        <v>649</v>
      </c>
      <c r="D112" s="243"/>
      <c r="E112" s="259"/>
      <c r="F112" s="479"/>
      <c r="G112" s="298"/>
      <c r="H112" s="300"/>
      <c r="I112" s="298"/>
      <c r="K112" s="298"/>
      <c r="L112" s="261"/>
      <c r="M112" s="250"/>
      <c r="N112" s="298"/>
      <c r="O112" s="300"/>
      <c r="P112" s="298"/>
      <c r="Q112" s="300"/>
      <c r="R112" s="298"/>
      <c r="S112" s="261"/>
      <c r="T112" s="312"/>
      <c r="U112" s="298"/>
      <c r="V112" s="300"/>
      <c r="W112" s="298"/>
      <c r="X112" s="300"/>
      <c r="Y112" s="298"/>
      <c r="Z112" s="261"/>
      <c r="AA112" s="250"/>
      <c r="AB112" s="298"/>
      <c r="AC112" s="319"/>
      <c r="AD112" s="298"/>
      <c r="AE112" s="319"/>
      <c r="AF112" s="298"/>
      <c r="AG112" s="261"/>
      <c r="AH112" s="317"/>
      <c r="AI112" s="298"/>
      <c r="AJ112" s="300"/>
      <c r="AK112" s="298"/>
      <c r="AL112" s="300"/>
      <c r="AM112" s="298"/>
      <c r="AN112" s="261"/>
      <c r="AO112" s="250"/>
      <c r="AP112" s="298"/>
      <c r="AQ112" s="300"/>
      <c r="AR112" s="298"/>
      <c r="AS112" s="299"/>
      <c r="AT112" s="254" t="str">
        <f>IF(COUNTIF($AO$85:$AT$87, AS112) &gt; 0, "X", "")</f>
        <v/>
      </c>
      <c r="AU112" s="269"/>
      <c r="AV112" s="269"/>
      <c r="AW112" s="463" t="str">
        <f t="shared" ref="AW112:BD112" si="52">AW27</f>
        <v>#REF!</v>
      </c>
      <c r="AX112" s="206">
        <f t="shared" si="52"/>
        <v>5</v>
      </c>
      <c r="AY112" s="464">
        <f t="shared" si="52"/>
        <v>5</v>
      </c>
      <c r="AZ112" s="206">
        <f t="shared" si="52"/>
        <v>3</v>
      </c>
      <c r="BA112" s="206">
        <f t="shared" si="52"/>
        <v>1</v>
      </c>
      <c r="BB112" s="206">
        <f t="shared" si="52"/>
        <v>1</v>
      </c>
      <c r="BC112" s="465">
        <f t="shared" si="52"/>
        <v>120</v>
      </c>
      <c r="BD112" s="206" t="str">
        <f t="shared" si="52"/>
        <v/>
      </c>
      <c r="BE112" s="466"/>
    </row>
    <row r="113">
      <c r="A113" s="94"/>
      <c r="B113" s="301" t="s">
        <v>651</v>
      </c>
      <c r="C113" s="302" t="s">
        <v>652</v>
      </c>
      <c r="D113" s="323"/>
      <c r="E113" s="259"/>
      <c r="F113" s="320"/>
      <c r="G113" s="298"/>
      <c r="H113" s="303"/>
      <c r="I113" s="298"/>
      <c r="J113" s="321" t="s">
        <v>853</v>
      </c>
      <c r="K113" s="298"/>
      <c r="L113" s="261"/>
      <c r="M113" s="324"/>
      <c r="N113" s="298"/>
      <c r="O113" s="303"/>
      <c r="P113" s="298"/>
      <c r="Q113" s="599"/>
      <c r="R113" s="298"/>
      <c r="S113" s="261"/>
      <c r="T113" s="312"/>
      <c r="U113" s="298"/>
      <c r="V113" s="303"/>
      <c r="W113" s="298"/>
      <c r="X113" s="512" t="s">
        <v>854</v>
      </c>
      <c r="Y113" s="298"/>
      <c r="Z113" s="261"/>
      <c r="AA113" s="324"/>
      <c r="AB113" s="298"/>
      <c r="AC113" s="303"/>
      <c r="AD113" s="298"/>
      <c r="AE113" s="303"/>
      <c r="AF113" s="298"/>
      <c r="AG113" s="261"/>
      <c r="AH113" s="320"/>
      <c r="AI113" s="298"/>
      <c r="AJ113" s="303"/>
      <c r="AK113" s="298"/>
      <c r="AL113" s="511" t="s">
        <v>853</v>
      </c>
      <c r="AM113" s="298"/>
      <c r="AN113" s="261"/>
      <c r="AO113" s="324"/>
      <c r="AP113" s="298"/>
      <c r="AQ113" s="303"/>
      <c r="AR113" s="298"/>
      <c r="AS113" s="303"/>
      <c r="AT113" s="254" t="str">
        <f t="shared" ref="AT113:AT114" si="54">IF(COUNTIF($AO$85:$AT$87, #REF!) &gt; 0, "X", "")</f>
        <v/>
      </c>
      <c r="AU113" s="269"/>
      <c r="AV113" s="269"/>
      <c r="AW113" s="463" t="str">
        <f t="shared" ref="AW113:BD113" si="53">AW28</f>
        <v>#REF!</v>
      </c>
      <c r="AX113" s="206">
        <f t="shared" si="53"/>
        <v>5</v>
      </c>
      <c r="AY113" s="464">
        <f t="shared" si="53"/>
        <v>5</v>
      </c>
      <c r="AZ113" s="206">
        <f t="shared" si="53"/>
        <v>3</v>
      </c>
      <c r="BA113" s="206">
        <f t="shared" si="53"/>
        <v>1</v>
      </c>
      <c r="BB113" s="206">
        <f t="shared" si="53"/>
        <v>1</v>
      </c>
      <c r="BC113" s="465">
        <f t="shared" si="53"/>
        <v>120</v>
      </c>
      <c r="BD113" s="206" t="str">
        <f t="shared" si="53"/>
        <v/>
      </c>
      <c r="BE113" s="466"/>
    </row>
    <row r="114">
      <c r="A114" s="94"/>
      <c r="B114" s="322" t="s">
        <v>662</v>
      </c>
      <c r="C114" s="306" t="s">
        <v>663</v>
      </c>
      <c r="D114" s="330"/>
      <c r="E114" s="259"/>
      <c r="F114" s="317"/>
      <c r="G114" s="246"/>
      <c r="H114" s="307"/>
      <c r="I114" s="246"/>
      <c r="J114" s="307"/>
      <c r="K114" s="246"/>
      <c r="L114" s="261"/>
      <c r="M114" s="333"/>
      <c r="N114" s="246"/>
      <c r="O114" s="307"/>
      <c r="P114" s="246"/>
      <c r="Q114" s="307"/>
      <c r="R114" s="246"/>
      <c r="S114" s="261"/>
      <c r="T114" s="312"/>
      <c r="U114" s="246"/>
      <c r="V114" s="307"/>
      <c r="W114" s="246"/>
      <c r="X114" s="307"/>
      <c r="Y114" s="246"/>
      <c r="Z114" s="261"/>
      <c r="AA114" s="333"/>
      <c r="AB114" s="246"/>
      <c r="AC114" s="307"/>
      <c r="AD114" s="246"/>
      <c r="AE114" s="307"/>
      <c r="AF114" s="246"/>
      <c r="AG114" s="261"/>
      <c r="AH114" s="317"/>
      <c r="AI114" s="246"/>
      <c r="AJ114" s="307"/>
      <c r="AK114" s="246"/>
      <c r="AL114" s="327"/>
      <c r="AM114" s="246"/>
      <c r="AN114" s="261"/>
      <c r="AO114" s="333"/>
      <c r="AP114" s="246"/>
      <c r="AQ114" s="307"/>
      <c r="AR114" s="246"/>
      <c r="AS114" s="307"/>
      <c r="AT114" s="254" t="str">
        <f t="shared" si="54"/>
        <v/>
      </c>
      <c r="AU114" s="269"/>
      <c r="AV114" s="269"/>
      <c r="AW114" s="463" t="str">
        <f t="shared" ref="AW114:BD114" si="55">AW29</f>
        <v>#REF!</v>
      </c>
      <c r="AX114" s="206">
        <f t="shared" si="55"/>
        <v>5</v>
      </c>
      <c r="AY114" s="464">
        <f t="shared" si="55"/>
        <v>5</v>
      </c>
      <c r="AZ114" s="206">
        <f t="shared" si="55"/>
        <v>3</v>
      </c>
      <c r="BA114" s="206">
        <f t="shared" si="55"/>
        <v>1</v>
      </c>
      <c r="BB114" s="206">
        <f t="shared" si="55"/>
        <v>1</v>
      </c>
      <c r="BC114" s="465">
        <f t="shared" si="55"/>
        <v>120</v>
      </c>
      <c r="BD114" s="206" t="str">
        <f t="shared" si="55"/>
        <v/>
      </c>
      <c r="BE114" s="466"/>
    </row>
    <row r="115">
      <c r="A115" s="94"/>
      <c r="B115" s="328" t="s">
        <v>665</v>
      </c>
      <c r="C115" s="329" t="s">
        <v>654</v>
      </c>
      <c r="D115" s="330"/>
      <c r="E115" s="259"/>
      <c r="F115" s="479"/>
      <c r="G115" s="246"/>
      <c r="H115" s="274" t="s">
        <v>458</v>
      </c>
      <c r="I115" s="246"/>
      <c r="J115" s="274" t="s">
        <v>655</v>
      </c>
      <c r="K115" s="246"/>
      <c r="L115" s="261"/>
      <c r="M115" s="324"/>
      <c r="N115" s="246"/>
      <c r="O115" s="311" t="s">
        <v>439</v>
      </c>
      <c r="P115" s="246"/>
      <c r="Q115" s="274" t="s">
        <v>443</v>
      </c>
      <c r="R115" s="246"/>
      <c r="S115" s="261"/>
      <c r="T115" s="312"/>
      <c r="U115" s="246"/>
      <c r="V115" s="274" t="s">
        <v>458</v>
      </c>
      <c r="W115" s="246"/>
      <c r="X115" s="311" t="s">
        <v>434</v>
      </c>
      <c r="Y115" s="246"/>
      <c r="Z115" s="261"/>
      <c r="AA115" s="324"/>
      <c r="AB115" s="246"/>
      <c r="AC115" s="336" t="s">
        <v>450</v>
      </c>
      <c r="AD115" s="246"/>
      <c r="AE115" s="274" t="s">
        <v>443</v>
      </c>
      <c r="AF115" s="246"/>
      <c r="AG115" s="261"/>
      <c r="AH115" s="320"/>
      <c r="AI115" s="246"/>
      <c r="AJ115" s="274" t="s">
        <v>439</v>
      </c>
      <c r="AK115" s="246"/>
      <c r="AL115" s="311" t="s">
        <v>434</v>
      </c>
      <c r="AM115" s="246"/>
      <c r="AN115" s="261"/>
      <c r="AO115" s="324"/>
      <c r="AP115" s="246"/>
      <c r="AQ115" s="600" t="s">
        <v>855</v>
      </c>
      <c r="AR115" s="246"/>
      <c r="AS115" s="274" t="s">
        <v>449</v>
      </c>
      <c r="AT115" s="254" t="str">
        <f>IF(COUNTIF($AO$85:$AT$87, AH122) &gt; 0, "X", "")</f>
        <v/>
      </c>
      <c r="AU115" s="269"/>
      <c r="AV115" s="269"/>
      <c r="AW115" s="463" t="str">
        <f t="shared" ref="AW115:BD115" si="56">AW30</f>
        <v>#REF!</v>
      </c>
      <c r="AX115" s="206">
        <f t="shared" si="56"/>
        <v>5</v>
      </c>
      <c r="AY115" s="464">
        <f t="shared" si="56"/>
        <v>5</v>
      </c>
      <c r="AZ115" s="206">
        <f t="shared" si="56"/>
        <v>3</v>
      </c>
      <c r="BA115" s="206">
        <f t="shared" si="56"/>
        <v>1</v>
      </c>
      <c r="BB115" s="206">
        <f t="shared" si="56"/>
        <v>1</v>
      </c>
      <c r="BC115" s="465">
        <f t="shared" si="56"/>
        <v>120</v>
      </c>
      <c r="BD115" s="206" t="str">
        <f t="shared" si="56"/>
        <v/>
      </c>
      <c r="BE115" s="466"/>
    </row>
    <row r="116">
      <c r="A116" s="94"/>
      <c r="B116" s="337" t="s">
        <v>665</v>
      </c>
      <c r="C116" s="338" t="s">
        <v>657</v>
      </c>
      <c r="D116" s="330"/>
      <c r="E116" s="259"/>
      <c r="F116" s="479"/>
      <c r="G116" s="246"/>
      <c r="H116" s="336" t="s">
        <v>450</v>
      </c>
      <c r="I116" s="246"/>
      <c r="J116" s="311" t="s">
        <v>439</v>
      </c>
      <c r="K116" s="246"/>
      <c r="L116" s="261"/>
      <c r="M116" s="341"/>
      <c r="N116" s="246"/>
      <c r="O116" s="336" t="s">
        <v>450</v>
      </c>
      <c r="P116" s="246"/>
      <c r="Q116" s="311" t="s">
        <v>434</v>
      </c>
      <c r="R116" s="246"/>
      <c r="S116" s="261"/>
      <c r="T116" s="312"/>
      <c r="U116" s="246"/>
      <c r="V116" s="311" t="s">
        <v>459</v>
      </c>
      <c r="W116" s="246"/>
      <c r="X116" s="274" t="s">
        <v>443</v>
      </c>
      <c r="Y116" s="246"/>
      <c r="Z116" s="261"/>
      <c r="AA116" s="341"/>
      <c r="AB116" s="246"/>
      <c r="AC116" s="311" t="s">
        <v>459</v>
      </c>
      <c r="AD116" s="246"/>
      <c r="AE116" s="274" t="s">
        <v>448</v>
      </c>
      <c r="AF116" s="246"/>
      <c r="AG116" s="261"/>
      <c r="AH116" s="320"/>
      <c r="AI116" s="246"/>
      <c r="AJ116" s="311" t="s">
        <v>459</v>
      </c>
      <c r="AK116" s="246"/>
      <c r="AL116" s="274" t="s">
        <v>655</v>
      </c>
      <c r="AM116" s="246"/>
      <c r="AN116" s="261"/>
      <c r="AO116" s="341"/>
      <c r="AP116" s="246"/>
      <c r="AQ116" s="274" t="s">
        <v>655</v>
      </c>
      <c r="AR116" s="246"/>
      <c r="AS116" s="340" t="s">
        <v>409</v>
      </c>
      <c r="AT116" s="254" t="str">
        <f t="shared" ref="AT116:AT123" si="58">IF(COUNTIF($AO$85:$AT$87, #REF!) &gt; 0, "X", "")</f>
        <v/>
      </c>
      <c r="AU116" s="269"/>
      <c r="AV116" s="269"/>
      <c r="AW116" s="463" t="str">
        <f t="shared" ref="AW116:BD116" si="57">AW31</f>
        <v>#REF!</v>
      </c>
      <c r="AX116" s="206">
        <f t="shared" si="57"/>
        <v>5</v>
      </c>
      <c r="AY116" s="464">
        <f t="shared" si="57"/>
        <v>5</v>
      </c>
      <c r="AZ116" s="206">
        <f t="shared" si="57"/>
        <v>3</v>
      </c>
      <c r="BA116" s="206">
        <f t="shared" si="57"/>
        <v>1</v>
      </c>
      <c r="BB116" s="206">
        <f t="shared" si="57"/>
        <v>1</v>
      </c>
      <c r="BC116" s="465">
        <f t="shared" si="57"/>
        <v>120</v>
      </c>
      <c r="BD116" s="206" t="str">
        <f t="shared" si="57"/>
        <v/>
      </c>
      <c r="BE116" s="466"/>
    </row>
    <row r="117">
      <c r="A117" s="94"/>
      <c r="B117" s="256" t="s">
        <v>665</v>
      </c>
      <c r="C117" s="257" t="s">
        <v>663</v>
      </c>
      <c r="D117" s="330"/>
      <c r="E117" s="259"/>
      <c r="F117" s="317"/>
      <c r="G117" s="246"/>
      <c r="H117" s="274" t="s">
        <v>415</v>
      </c>
      <c r="I117" s="246"/>
      <c r="J117" s="280" t="s">
        <v>448</v>
      </c>
      <c r="K117" s="246"/>
      <c r="L117" s="261"/>
      <c r="M117" s="341"/>
      <c r="N117" s="246"/>
      <c r="O117" s="274" t="s">
        <v>448</v>
      </c>
      <c r="P117" s="246"/>
      <c r="Q117" s="274" t="s">
        <v>415</v>
      </c>
      <c r="R117" s="246"/>
      <c r="S117" s="261"/>
      <c r="T117" s="312"/>
      <c r="U117" s="246"/>
      <c r="W117" s="246"/>
      <c r="X117" s="274" t="s">
        <v>448</v>
      </c>
      <c r="Y117" s="246"/>
      <c r="Z117" s="261"/>
      <c r="AA117" s="341"/>
      <c r="AB117" s="246"/>
      <c r="AD117" s="246"/>
      <c r="AF117" s="246"/>
      <c r="AG117" s="261"/>
      <c r="AH117" s="320"/>
      <c r="AI117" s="246"/>
      <c r="AJ117" s="340" t="s">
        <v>409</v>
      </c>
      <c r="AK117" s="246"/>
      <c r="AM117" s="246"/>
      <c r="AN117" s="261"/>
      <c r="AO117" s="341"/>
      <c r="AP117" s="246"/>
      <c r="AQ117" s="282"/>
      <c r="AR117" s="246"/>
      <c r="AS117" s="282"/>
      <c r="AT117" s="254" t="str">
        <f t="shared" si="58"/>
        <v/>
      </c>
      <c r="AU117" s="269"/>
      <c r="AV117" s="269"/>
      <c r="AW117" s="463" t="str">
        <f t="shared" ref="AW117:BD117" si="59">AW32</f>
        <v>#REF!</v>
      </c>
      <c r="AX117" s="206">
        <f t="shared" si="59"/>
        <v>5</v>
      </c>
      <c r="AY117" s="464">
        <f t="shared" si="59"/>
        <v>5</v>
      </c>
      <c r="AZ117" s="206">
        <f t="shared" si="59"/>
        <v>3</v>
      </c>
      <c r="BA117" s="206">
        <f t="shared" si="59"/>
        <v>1</v>
      </c>
      <c r="BB117" s="206">
        <f t="shared" si="59"/>
        <v>1</v>
      </c>
      <c r="BC117" s="465">
        <f t="shared" si="59"/>
        <v>120</v>
      </c>
      <c r="BD117" s="206" t="str">
        <f t="shared" si="59"/>
        <v/>
      </c>
      <c r="BE117" s="466"/>
    </row>
    <row r="118">
      <c r="A118" s="94"/>
      <c r="B118" s="328" t="s">
        <v>665</v>
      </c>
      <c r="C118" s="329" t="s">
        <v>645</v>
      </c>
      <c r="D118" s="323"/>
      <c r="E118" s="261"/>
      <c r="G118" s="246"/>
      <c r="H118" s="311" t="s">
        <v>459</v>
      </c>
      <c r="I118" s="246"/>
      <c r="J118" s="340" t="s">
        <v>409</v>
      </c>
      <c r="K118" s="246"/>
      <c r="L118" s="261"/>
      <c r="M118" s="346"/>
      <c r="N118" s="246"/>
      <c r="O118" s="274" t="s">
        <v>655</v>
      </c>
      <c r="P118" s="246"/>
      <c r="Q118" s="340" t="s">
        <v>409</v>
      </c>
      <c r="R118" s="246"/>
      <c r="S118" s="261"/>
      <c r="T118" s="312"/>
      <c r="U118" s="246"/>
      <c r="V118" s="336" t="s">
        <v>450</v>
      </c>
      <c r="W118" s="246"/>
      <c r="X118" s="340" t="s">
        <v>409</v>
      </c>
      <c r="Y118" s="246"/>
      <c r="Z118" s="261"/>
      <c r="AA118" s="346"/>
      <c r="AB118" s="246"/>
      <c r="AC118" s="340" t="s">
        <v>414</v>
      </c>
      <c r="AD118" s="246"/>
      <c r="AE118" s="274" t="s">
        <v>415</v>
      </c>
      <c r="AF118" s="246"/>
      <c r="AG118" s="261"/>
      <c r="AH118" s="320"/>
      <c r="AI118" s="246"/>
      <c r="AJ118" s="336" t="s">
        <v>450</v>
      </c>
      <c r="AK118" s="246"/>
      <c r="AL118" s="274" t="s">
        <v>415</v>
      </c>
      <c r="AM118" s="246"/>
      <c r="AN118" s="261"/>
      <c r="AO118" s="346"/>
      <c r="AP118" s="246"/>
      <c r="AQ118" s="274" t="s">
        <v>415</v>
      </c>
      <c r="AR118" s="246"/>
      <c r="AS118" s="274" t="s">
        <v>448</v>
      </c>
      <c r="AT118" s="254" t="str">
        <f t="shared" si="58"/>
        <v/>
      </c>
      <c r="AU118" s="269"/>
      <c r="AV118" s="269"/>
      <c r="AW118" s="463" t="str">
        <f t="shared" ref="AW118:BD118" si="60">AW33</f>
        <v>#REF!</v>
      </c>
      <c r="AX118" s="206">
        <f t="shared" si="60"/>
        <v>5</v>
      </c>
      <c r="AY118" s="464">
        <f t="shared" si="60"/>
        <v>5</v>
      </c>
      <c r="AZ118" s="206">
        <f t="shared" si="60"/>
        <v>3</v>
      </c>
      <c r="BA118" s="206">
        <f t="shared" si="60"/>
        <v>1</v>
      </c>
      <c r="BB118" s="206">
        <f t="shared" si="60"/>
        <v>1</v>
      </c>
      <c r="BC118" s="465">
        <f t="shared" si="60"/>
        <v>120</v>
      </c>
      <c r="BD118" s="206" t="str">
        <f t="shared" si="60"/>
        <v/>
      </c>
      <c r="BE118" s="466"/>
    </row>
    <row r="119">
      <c r="A119" s="94"/>
      <c r="B119" s="342" t="s">
        <v>667</v>
      </c>
      <c r="C119" s="343" t="s">
        <v>657</v>
      </c>
      <c r="D119" s="351"/>
      <c r="E119" s="259"/>
      <c r="F119" s="572" t="s">
        <v>401</v>
      </c>
      <c r="G119" s="246"/>
      <c r="H119" s="265"/>
      <c r="I119" s="246"/>
      <c r="K119" s="246"/>
      <c r="L119" s="261"/>
      <c r="M119" s="354"/>
      <c r="N119" s="246"/>
      <c r="O119" s="572" t="s">
        <v>401</v>
      </c>
      <c r="P119" s="246"/>
      <c r="R119" s="246"/>
      <c r="S119" s="261"/>
      <c r="T119" s="312"/>
      <c r="U119" s="246"/>
      <c r="W119" s="246"/>
      <c r="X119" s="265"/>
      <c r="Y119" s="246"/>
      <c r="Z119" s="261"/>
      <c r="AA119" s="354"/>
      <c r="AB119" s="246"/>
      <c r="AC119" s="573" t="s">
        <v>401</v>
      </c>
      <c r="AD119" s="246"/>
      <c r="AE119" s="265"/>
      <c r="AF119" s="246"/>
      <c r="AG119" s="261"/>
      <c r="AH119" s="572" t="s">
        <v>401</v>
      </c>
      <c r="AI119" s="246"/>
      <c r="AJ119" s="265"/>
      <c r="AK119" s="246"/>
      <c r="AM119" s="246"/>
      <c r="AN119" s="261"/>
      <c r="AO119" s="354"/>
      <c r="AP119" s="246"/>
      <c r="AQ119" s="572" t="s">
        <v>401</v>
      </c>
      <c r="AR119" s="246"/>
      <c r="AS119" s="265"/>
      <c r="AT119" s="254" t="str">
        <f t="shared" si="58"/>
        <v/>
      </c>
      <c r="AU119" s="269"/>
      <c r="AV119" s="269"/>
      <c r="AW119" s="463" t="str">
        <f t="shared" ref="AW119:BD119" si="61">AW34</f>
        <v>#REF!</v>
      </c>
      <c r="AX119" s="206">
        <f t="shared" si="61"/>
        <v>5</v>
      </c>
      <c r="AY119" s="464">
        <f t="shared" si="61"/>
        <v>5</v>
      </c>
      <c r="AZ119" s="206">
        <f t="shared" si="61"/>
        <v>3</v>
      </c>
      <c r="BA119" s="206">
        <f t="shared" si="61"/>
        <v>1</v>
      </c>
      <c r="BB119" s="206">
        <f t="shared" si="61"/>
        <v>1</v>
      </c>
      <c r="BC119" s="465">
        <f t="shared" si="61"/>
        <v>120</v>
      </c>
      <c r="BD119" s="206" t="str">
        <f t="shared" si="61"/>
        <v/>
      </c>
      <c r="BE119" s="466"/>
    </row>
    <row r="120">
      <c r="A120" s="94"/>
      <c r="B120" s="349" t="s">
        <v>669</v>
      </c>
      <c r="C120" s="350" t="s">
        <v>649</v>
      </c>
      <c r="D120" s="323"/>
      <c r="E120" s="259"/>
      <c r="F120" s="293" t="s">
        <v>421</v>
      </c>
      <c r="G120" s="298"/>
      <c r="H120" s="355" t="s">
        <v>420</v>
      </c>
      <c r="I120" s="298"/>
      <c r="J120" s="356" t="s">
        <v>423</v>
      </c>
      <c r="K120" s="298"/>
      <c r="L120" s="261"/>
      <c r="M120" s="324"/>
      <c r="N120" s="298"/>
      <c r="O120" s="355" t="s">
        <v>420</v>
      </c>
      <c r="P120" s="298"/>
      <c r="Q120" s="293" t="s">
        <v>424</v>
      </c>
      <c r="R120" s="298"/>
      <c r="S120" s="261"/>
      <c r="T120" s="312"/>
      <c r="U120" s="298"/>
      <c r="V120" s="355" t="s">
        <v>420</v>
      </c>
      <c r="W120" s="298"/>
      <c r="X120" s="356" t="s">
        <v>423</v>
      </c>
      <c r="Y120" s="298"/>
      <c r="Z120" s="261"/>
      <c r="AA120" s="324"/>
      <c r="AB120" s="298"/>
      <c r="AC120" s="355" t="s">
        <v>420</v>
      </c>
      <c r="AD120" s="298"/>
      <c r="AE120" s="293" t="s">
        <v>421</v>
      </c>
      <c r="AF120" s="298"/>
      <c r="AG120" s="261"/>
      <c r="AH120" s="356" t="s">
        <v>423</v>
      </c>
      <c r="AI120" s="298"/>
      <c r="AJ120" s="293" t="s">
        <v>426</v>
      </c>
      <c r="AK120" s="298"/>
      <c r="AL120" s="293" t="s">
        <v>421</v>
      </c>
      <c r="AM120" s="298"/>
      <c r="AN120" s="261"/>
      <c r="AO120" s="324"/>
      <c r="AP120" s="298"/>
      <c r="AQ120" s="357" t="s">
        <v>420</v>
      </c>
      <c r="AR120" s="298"/>
      <c r="AS120" s="293" t="s">
        <v>426</v>
      </c>
      <c r="AT120" s="254" t="str">
        <f t="shared" si="58"/>
        <v/>
      </c>
      <c r="AU120" s="269"/>
      <c r="AV120" s="269"/>
      <c r="AW120" s="463" t="str">
        <f t="shared" ref="AW120:BD120" si="62">AW35</f>
        <v>#REF!</v>
      </c>
      <c r="AX120" s="206">
        <f t="shared" si="62"/>
        <v>5</v>
      </c>
      <c r="AY120" s="464">
        <f t="shared" si="62"/>
        <v>5</v>
      </c>
      <c r="AZ120" s="206">
        <f t="shared" si="62"/>
        <v>3</v>
      </c>
      <c r="BA120" s="206">
        <f t="shared" si="62"/>
        <v>1</v>
      </c>
      <c r="BB120" s="206">
        <f t="shared" si="62"/>
        <v>1</v>
      </c>
      <c r="BC120" s="465">
        <f t="shared" si="62"/>
        <v>120</v>
      </c>
      <c r="BD120" s="206" t="str">
        <f t="shared" si="62"/>
        <v/>
      </c>
      <c r="BE120" s="466"/>
    </row>
    <row r="121">
      <c r="A121" s="234"/>
      <c r="B121" s="296" t="s">
        <v>650</v>
      </c>
      <c r="C121" s="297" t="s">
        <v>649</v>
      </c>
      <c r="D121" s="330"/>
      <c r="E121" s="259"/>
      <c r="F121" s="293" t="s">
        <v>426</v>
      </c>
      <c r="G121" s="298"/>
      <c r="H121" s="358" t="s">
        <v>397</v>
      </c>
      <c r="I121" s="298"/>
      <c r="J121" s="299"/>
      <c r="K121" s="298"/>
      <c r="L121" s="261"/>
      <c r="M121" s="250"/>
      <c r="N121" s="298"/>
      <c r="O121" s="358" t="s">
        <v>397</v>
      </c>
      <c r="P121" s="298"/>
      <c r="Q121" s="319"/>
      <c r="R121" s="298"/>
      <c r="S121" s="261"/>
      <c r="T121" s="312"/>
      <c r="U121" s="298"/>
      <c r="V121" s="253" t="s">
        <v>417</v>
      </c>
      <c r="W121" s="298"/>
      <c r="X121" s="300"/>
      <c r="Y121" s="298"/>
      <c r="Z121" s="261"/>
      <c r="AA121" s="250"/>
      <c r="AB121" s="298"/>
      <c r="AC121" s="358" t="s">
        <v>397</v>
      </c>
      <c r="AD121" s="298"/>
      <c r="AE121" s="356" t="s">
        <v>423</v>
      </c>
      <c r="AF121" s="298"/>
      <c r="AG121" s="261"/>
      <c r="AH121" s="319"/>
      <c r="AI121" s="298"/>
      <c r="AJ121" s="358" t="s">
        <v>397</v>
      </c>
      <c r="AK121" s="298"/>
      <c r="AL121" s="319"/>
      <c r="AM121" s="298"/>
      <c r="AN121" s="261"/>
      <c r="AO121" s="250"/>
      <c r="AP121" s="298"/>
      <c r="AQ121" s="359"/>
      <c r="AR121" s="298"/>
      <c r="AS121" s="359"/>
      <c r="AT121" s="254" t="str">
        <f t="shared" si="58"/>
        <v/>
      </c>
      <c r="AU121" s="269"/>
      <c r="AV121" s="269"/>
      <c r="AW121" s="463" t="str">
        <f t="shared" ref="AW121:BD121" si="63">AW36</f>
        <v>#REF!</v>
      </c>
      <c r="AX121" s="206">
        <f t="shared" si="63"/>
        <v>5</v>
      </c>
      <c r="AY121" s="464">
        <f t="shared" si="63"/>
        <v>5</v>
      </c>
      <c r="AZ121" s="206">
        <f t="shared" si="63"/>
        <v>3</v>
      </c>
      <c r="BA121" s="206">
        <f t="shared" si="63"/>
        <v>1</v>
      </c>
      <c r="BB121" s="206">
        <f t="shared" si="63"/>
        <v>1</v>
      </c>
      <c r="BC121" s="465">
        <f t="shared" si="63"/>
        <v>120</v>
      </c>
      <c r="BD121" s="206" t="str">
        <f t="shared" si="63"/>
        <v/>
      </c>
      <c r="BE121" s="466"/>
    </row>
    <row r="122">
      <c r="A122" s="94"/>
      <c r="B122" s="301" t="s">
        <v>651</v>
      </c>
      <c r="C122" s="302" t="s">
        <v>652</v>
      </c>
      <c r="D122" s="363"/>
      <c r="E122" s="259"/>
      <c r="F122" s="303"/>
      <c r="G122" s="298"/>
      <c r="H122" s="360" t="s">
        <v>835</v>
      </c>
      <c r="I122" s="298"/>
      <c r="J122" s="511" t="s">
        <v>854</v>
      </c>
      <c r="K122" s="298"/>
      <c r="L122" s="261"/>
      <c r="M122" s="324"/>
      <c r="N122" s="298"/>
      <c r="O122" s="576"/>
      <c r="P122" s="298"/>
      <c r="Q122" s="303"/>
      <c r="R122" s="298"/>
      <c r="S122" s="261"/>
      <c r="T122" s="312"/>
      <c r="U122" s="298"/>
      <c r="V122" s="303"/>
      <c r="W122" s="298"/>
      <c r="X122" s="511" t="s">
        <v>853</v>
      </c>
      <c r="Y122" s="298"/>
      <c r="Z122" s="261"/>
      <c r="AA122" s="324"/>
      <c r="AB122" s="298"/>
      <c r="AC122" s="360" t="s">
        <v>835</v>
      </c>
      <c r="AD122" s="298"/>
      <c r="AE122" s="601"/>
      <c r="AF122" s="298"/>
      <c r="AG122" s="261"/>
      <c r="AH122" s="303"/>
      <c r="AI122" s="298"/>
      <c r="AJ122" s="360" t="s">
        <v>835</v>
      </c>
      <c r="AK122" s="298"/>
      <c r="AL122" s="512" t="s">
        <v>854</v>
      </c>
      <c r="AM122" s="298"/>
      <c r="AN122" s="261"/>
      <c r="AO122" s="324"/>
      <c r="AP122" s="298"/>
      <c r="AQ122" s="303"/>
      <c r="AR122" s="298"/>
      <c r="AS122" s="303"/>
      <c r="AT122" s="254" t="str">
        <f t="shared" si="58"/>
        <v/>
      </c>
      <c r="AU122" s="269"/>
      <c r="AV122" s="269"/>
      <c r="AW122" s="463" t="str">
        <f t="shared" ref="AW122:BD122" si="64">AW37</f>
        <v>#REF!</v>
      </c>
      <c r="AX122" s="206">
        <f t="shared" si="64"/>
        <v>5</v>
      </c>
      <c r="AY122" s="464">
        <f t="shared" si="64"/>
        <v>5</v>
      </c>
      <c r="AZ122" s="206">
        <f t="shared" si="64"/>
        <v>3</v>
      </c>
      <c r="BA122" s="206">
        <f t="shared" si="64"/>
        <v>1</v>
      </c>
      <c r="BB122" s="206">
        <f t="shared" si="64"/>
        <v>1</v>
      </c>
      <c r="BC122" s="465">
        <f t="shared" si="64"/>
        <v>120</v>
      </c>
      <c r="BD122" s="206" t="str">
        <f t="shared" si="64"/>
        <v/>
      </c>
      <c r="BE122" s="466"/>
    </row>
    <row r="123">
      <c r="A123" s="94"/>
      <c r="B123" s="361" t="s">
        <v>673</v>
      </c>
      <c r="C123" s="362" t="s">
        <v>674</v>
      </c>
      <c r="D123" s="369"/>
      <c r="E123" s="259"/>
      <c r="F123" s="251" t="s">
        <v>433</v>
      </c>
      <c r="G123" s="246"/>
      <c r="H123" s="336" t="s">
        <v>412</v>
      </c>
      <c r="I123" s="246"/>
      <c r="J123" s="336" t="s">
        <v>398</v>
      </c>
      <c r="K123" s="246"/>
      <c r="L123" s="261"/>
      <c r="M123" s="250"/>
      <c r="N123" s="246"/>
      <c r="O123" s="336" t="s">
        <v>412</v>
      </c>
      <c r="P123" s="246"/>
      <c r="Q123" s="365" t="s">
        <v>433</v>
      </c>
      <c r="R123" s="246"/>
      <c r="S123" s="261"/>
      <c r="T123" s="312"/>
      <c r="U123" s="246"/>
      <c r="V123" s="336" t="s">
        <v>412</v>
      </c>
      <c r="W123" s="246"/>
      <c r="X123" s="365" t="s">
        <v>433</v>
      </c>
      <c r="Y123" s="246"/>
      <c r="Z123" s="261"/>
      <c r="AA123" s="250"/>
      <c r="AB123" s="246"/>
      <c r="AC123" s="336" t="s">
        <v>398</v>
      </c>
      <c r="AD123" s="246"/>
      <c r="AE123" s="251" t="s">
        <v>457</v>
      </c>
      <c r="AF123" s="246"/>
      <c r="AG123" s="261"/>
      <c r="AH123" s="274" t="s">
        <v>443</v>
      </c>
      <c r="AI123" s="246"/>
      <c r="AJ123" s="336" t="s">
        <v>398</v>
      </c>
      <c r="AK123" s="246"/>
      <c r="AL123" s="365" t="s">
        <v>433</v>
      </c>
      <c r="AM123" s="246"/>
      <c r="AN123" s="261"/>
      <c r="AO123" s="250"/>
      <c r="AP123" s="246"/>
      <c r="AQ123" s="251" t="s">
        <v>457</v>
      </c>
      <c r="AR123" s="246"/>
      <c r="AS123" s="365" t="s">
        <v>433</v>
      </c>
      <c r="AT123" s="254" t="str">
        <f t="shared" si="58"/>
        <v/>
      </c>
      <c r="AU123" s="269"/>
      <c r="AV123" s="269"/>
      <c r="AW123" s="463" t="str">
        <f t="shared" ref="AW123:BD123" si="65">AW38</f>
        <v>#REF!</v>
      </c>
      <c r="AX123" s="206">
        <f t="shared" si="65"/>
        <v>5</v>
      </c>
      <c r="AY123" s="464">
        <f t="shared" si="65"/>
        <v>5</v>
      </c>
      <c r="AZ123" s="206">
        <f t="shared" si="65"/>
        <v>3</v>
      </c>
      <c r="BA123" s="206">
        <f t="shared" si="65"/>
        <v>1</v>
      </c>
      <c r="BB123" s="206">
        <f t="shared" si="65"/>
        <v>1</v>
      </c>
      <c r="BC123" s="465">
        <f t="shared" si="65"/>
        <v>120</v>
      </c>
      <c r="BD123" s="206" t="str">
        <f t="shared" si="65"/>
        <v/>
      </c>
      <c r="BE123" s="466"/>
    </row>
    <row r="124">
      <c r="A124" s="94"/>
      <c r="B124" s="367" t="s">
        <v>677</v>
      </c>
      <c r="C124" s="368" t="s">
        <v>674</v>
      </c>
      <c r="D124" s="330"/>
      <c r="E124" s="259"/>
      <c r="F124" s="282"/>
      <c r="G124" s="246"/>
      <c r="H124" s="282"/>
      <c r="I124" s="246"/>
      <c r="J124" s="282"/>
      <c r="K124" s="246"/>
      <c r="L124" s="261"/>
      <c r="M124" s="333"/>
      <c r="N124" s="246"/>
      <c r="P124" s="246"/>
      <c r="R124" s="246"/>
      <c r="S124" s="261"/>
      <c r="T124" s="312"/>
      <c r="U124" s="246"/>
      <c r="W124" s="246"/>
      <c r="X124" s="311" t="s">
        <v>410</v>
      </c>
      <c r="Y124" s="246"/>
      <c r="Z124" s="261"/>
      <c r="AA124" s="333"/>
      <c r="AB124" s="246"/>
      <c r="AC124" s="282"/>
      <c r="AD124" s="246"/>
      <c r="AE124" s="311" t="s">
        <v>410</v>
      </c>
      <c r="AF124" s="246"/>
      <c r="AG124" s="261"/>
      <c r="AH124" s="371"/>
      <c r="AI124" s="246"/>
      <c r="AK124" s="246"/>
      <c r="AL124" s="282"/>
      <c r="AM124" s="246"/>
      <c r="AN124" s="261"/>
      <c r="AO124" s="333"/>
      <c r="AP124" s="246"/>
      <c r="AQ124" s="282"/>
      <c r="AR124" s="246"/>
      <c r="AS124" s="282"/>
      <c r="AT124" s="254" t="str">
        <f>IF(COUNTIF($AO$85:$AT$87, AS123) &gt; 0, "X", "")</f>
        <v/>
      </c>
      <c r="AU124" s="269"/>
      <c r="AV124" s="269"/>
      <c r="AW124" s="463" t="str">
        <f t="shared" ref="AW124:BD124" si="66">AW39</f>
        <v>#REF!</v>
      </c>
      <c r="AX124" s="206">
        <f t="shared" si="66"/>
        <v>5</v>
      </c>
      <c r="AY124" s="464">
        <f t="shared" si="66"/>
        <v>5</v>
      </c>
      <c r="AZ124" s="206">
        <f t="shared" si="66"/>
        <v>3</v>
      </c>
      <c r="BA124" s="206">
        <f t="shared" si="66"/>
        <v>1</v>
      </c>
      <c r="BB124" s="206">
        <f t="shared" si="66"/>
        <v>1</v>
      </c>
      <c r="BC124" s="465">
        <f t="shared" si="66"/>
        <v>120</v>
      </c>
      <c r="BD124" s="206" t="str">
        <f t="shared" si="66"/>
        <v/>
      </c>
      <c r="BE124" s="466"/>
    </row>
    <row r="125">
      <c r="A125" s="94"/>
      <c r="B125" s="256" t="s">
        <v>679</v>
      </c>
      <c r="C125" s="257" t="s">
        <v>680</v>
      </c>
      <c r="D125" s="330"/>
      <c r="E125" s="259"/>
      <c r="F125" s="602" t="s">
        <v>453</v>
      </c>
      <c r="G125" s="246"/>
      <c r="H125" s="374" t="s">
        <v>436</v>
      </c>
      <c r="I125" s="246"/>
      <c r="J125" s="274" t="s">
        <v>437</v>
      </c>
      <c r="K125" s="246"/>
      <c r="L125" s="261"/>
      <c r="M125" s="346"/>
      <c r="N125" s="246"/>
      <c r="O125" s="374" t="s">
        <v>436</v>
      </c>
      <c r="P125" s="246"/>
      <c r="Q125" s="274" t="s">
        <v>449</v>
      </c>
      <c r="R125" s="246"/>
      <c r="S125" s="261"/>
      <c r="T125" s="312"/>
      <c r="U125" s="246"/>
      <c r="V125" s="311" t="s">
        <v>436</v>
      </c>
      <c r="W125" s="246"/>
      <c r="X125" s="274" t="s">
        <v>437</v>
      </c>
      <c r="Y125" s="246"/>
      <c r="Z125" s="261"/>
      <c r="AA125" s="346"/>
      <c r="AB125" s="246"/>
      <c r="AC125" s="274" t="s">
        <v>406</v>
      </c>
      <c r="AD125" s="246"/>
      <c r="AE125" s="274" t="s">
        <v>439</v>
      </c>
      <c r="AF125" s="246"/>
      <c r="AG125" s="261"/>
      <c r="AH125" s="274" t="s">
        <v>437</v>
      </c>
      <c r="AI125" s="246"/>
      <c r="AJ125" s="374" t="s">
        <v>436</v>
      </c>
      <c r="AK125" s="246"/>
      <c r="AL125" s="251" t="s">
        <v>457</v>
      </c>
      <c r="AM125" s="246"/>
      <c r="AN125" s="261"/>
      <c r="AO125" s="346"/>
      <c r="AP125" s="246"/>
      <c r="AQ125" s="251" t="s">
        <v>397</v>
      </c>
      <c r="AR125" s="246"/>
      <c r="AS125" s="274" t="s">
        <v>406</v>
      </c>
      <c r="AT125" s="254" t="str">
        <f t="shared" ref="AT125:AT129" si="68">IF(COUNTIF($AO$85:$AT$87, #REF!) &gt; 0, "X", "")</f>
        <v/>
      </c>
      <c r="AU125" s="269"/>
      <c r="AV125" s="269"/>
      <c r="AW125" s="463" t="str">
        <f t="shared" ref="AW125:BD125" si="67">AW40</f>
        <v>#REF!</v>
      </c>
      <c r="AX125" s="206">
        <f t="shared" si="67"/>
        <v>5</v>
      </c>
      <c r="AY125" s="464">
        <f t="shared" si="67"/>
        <v>5</v>
      </c>
      <c r="AZ125" s="206">
        <f t="shared" si="67"/>
        <v>3</v>
      </c>
      <c r="BA125" s="206">
        <f t="shared" si="67"/>
        <v>1</v>
      </c>
      <c r="BB125" s="206">
        <f t="shared" si="67"/>
        <v>1</v>
      </c>
      <c r="BC125" s="465">
        <f t="shared" si="67"/>
        <v>120</v>
      </c>
      <c r="BD125" s="206" t="str">
        <f t="shared" si="67"/>
        <v/>
      </c>
      <c r="BE125" s="466"/>
    </row>
    <row r="126">
      <c r="A126" s="372"/>
      <c r="B126" s="328" t="s">
        <v>679</v>
      </c>
      <c r="C126" s="329" t="s">
        <v>652</v>
      </c>
      <c r="D126" s="330"/>
      <c r="E126" s="259"/>
      <c r="F126" s="325" t="s">
        <v>784</v>
      </c>
      <c r="G126" s="246"/>
      <c r="I126" s="246"/>
      <c r="K126" s="246"/>
      <c r="L126" s="261"/>
      <c r="M126" s="341"/>
      <c r="N126" s="246"/>
      <c r="O126" s="311" t="s">
        <v>394</v>
      </c>
      <c r="P126" s="246"/>
      <c r="R126" s="246"/>
      <c r="S126" s="261"/>
      <c r="T126" s="312"/>
      <c r="U126" s="246"/>
      <c r="V126" s="274" t="s">
        <v>439</v>
      </c>
      <c r="W126" s="246"/>
      <c r="Y126" s="246"/>
      <c r="Z126" s="261"/>
      <c r="AA126" s="341"/>
      <c r="AB126" s="246"/>
      <c r="AD126" s="246"/>
      <c r="AE126" s="282"/>
      <c r="AF126" s="246"/>
      <c r="AG126" s="261"/>
      <c r="AH126" s="325" t="s">
        <v>784</v>
      </c>
      <c r="AI126" s="246"/>
      <c r="AK126" s="246"/>
      <c r="AM126" s="246"/>
      <c r="AN126" s="261"/>
      <c r="AO126" s="341"/>
      <c r="AP126" s="246"/>
      <c r="AR126" s="246"/>
      <c r="AS126" s="282"/>
      <c r="AT126" s="254" t="str">
        <f t="shared" si="68"/>
        <v/>
      </c>
      <c r="AU126" s="269"/>
      <c r="AV126" s="269"/>
      <c r="AW126" s="463" t="str">
        <f t="shared" ref="AW126:BD126" si="69">AW41</f>
        <v>#REF!</v>
      </c>
      <c r="AX126" s="206">
        <f t="shared" si="69"/>
        <v>5</v>
      </c>
      <c r="AY126" s="464">
        <f t="shared" si="69"/>
        <v>5</v>
      </c>
      <c r="AZ126" s="206">
        <f t="shared" si="69"/>
        <v>3</v>
      </c>
      <c r="BA126" s="206">
        <f t="shared" si="69"/>
        <v>1</v>
      </c>
      <c r="BB126" s="206">
        <f t="shared" si="69"/>
        <v>1</v>
      </c>
      <c r="BC126" s="465">
        <f t="shared" si="69"/>
        <v>120</v>
      </c>
      <c r="BD126" s="206" t="str">
        <f t="shared" si="69"/>
        <v/>
      </c>
      <c r="BE126" s="466"/>
    </row>
    <row r="127">
      <c r="A127" s="94"/>
      <c r="B127" s="328" t="s">
        <v>679</v>
      </c>
      <c r="C127" s="329" t="s">
        <v>683</v>
      </c>
      <c r="D127" s="379"/>
      <c r="E127" s="380"/>
      <c r="G127" s="246"/>
      <c r="H127" s="364" t="s">
        <v>836</v>
      </c>
      <c r="I127" s="246"/>
      <c r="K127" s="246"/>
      <c r="L127" s="381"/>
      <c r="M127" s="341"/>
      <c r="N127" s="246"/>
      <c r="P127" s="246"/>
      <c r="R127" s="246"/>
      <c r="S127" s="381"/>
      <c r="T127" s="312"/>
      <c r="U127" s="246"/>
      <c r="W127" s="246"/>
      <c r="X127" s="336" t="s">
        <v>398</v>
      </c>
      <c r="Y127" s="246"/>
      <c r="Z127" s="381"/>
      <c r="AA127" s="341"/>
      <c r="AB127" s="246"/>
      <c r="AD127" s="246"/>
      <c r="AF127" s="246"/>
      <c r="AG127" s="381"/>
      <c r="AH127" s="282"/>
      <c r="AI127" s="246"/>
      <c r="AJ127" s="251" t="s">
        <v>407</v>
      </c>
      <c r="AK127" s="246"/>
      <c r="AM127" s="246"/>
      <c r="AN127" s="381"/>
      <c r="AO127" s="341"/>
      <c r="AP127" s="246"/>
      <c r="AQ127" s="251" t="s">
        <v>407</v>
      </c>
      <c r="AR127" s="246"/>
      <c r="AS127" s="311" t="s">
        <v>436</v>
      </c>
      <c r="AT127" s="254" t="str">
        <f t="shared" si="68"/>
        <v/>
      </c>
      <c r="AU127" s="269"/>
      <c r="AV127" s="269"/>
      <c r="AW127" s="463" t="str">
        <f t="shared" ref="AW127:BD127" si="70">AW42</f>
        <v>#REF!</v>
      </c>
      <c r="AX127" s="206">
        <f t="shared" si="70"/>
        <v>5</v>
      </c>
      <c r="AY127" s="464">
        <f t="shared" si="70"/>
        <v>5</v>
      </c>
      <c r="AZ127" s="206">
        <f t="shared" si="70"/>
        <v>3</v>
      </c>
      <c r="BA127" s="206">
        <f t="shared" si="70"/>
        <v>1</v>
      </c>
      <c r="BB127" s="206">
        <f t="shared" si="70"/>
        <v>1</v>
      </c>
      <c r="BC127" s="465">
        <f t="shared" si="70"/>
        <v>120</v>
      </c>
      <c r="BD127" s="206" t="str">
        <f t="shared" si="70"/>
        <v/>
      </c>
      <c r="BE127" s="466"/>
    </row>
    <row r="128">
      <c r="A128" s="94"/>
      <c r="B128" s="377" t="s">
        <v>684</v>
      </c>
      <c r="C128" s="378" t="s">
        <v>685</v>
      </c>
      <c r="D128" s="363"/>
      <c r="E128" s="259"/>
      <c r="F128" s="287" t="s">
        <v>405</v>
      </c>
      <c r="G128" s="246"/>
      <c r="H128" s="274" t="s">
        <v>406</v>
      </c>
      <c r="I128" s="246"/>
      <c r="J128" s="311" t="s">
        <v>410</v>
      </c>
      <c r="K128" s="246"/>
      <c r="L128" s="261"/>
      <c r="M128" s="341"/>
      <c r="N128" s="246"/>
      <c r="O128" s="274" t="s">
        <v>406</v>
      </c>
      <c r="P128" s="246"/>
      <c r="Q128" s="311" t="s">
        <v>455</v>
      </c>
      <c r="R128" s="246"/>
      <c r="S128" s="261"/>
      <c r="T128" s="312"/>
      <c r="U128" s="246"/>
      <c r="V128" s="274" t="s">
        <v>406</v>
      </c>
      <c r="W128" s="246"/>
      <c r="Y128" s="246"/>
      <c r="Z128" s="261"/>
      <c r="AA128" s="341"/>
      <c r="AB128" s="246"/>
      <c r="AC128" s="282"/>
      <c r="AD128" s="246"/>
      <c r="AE128" s="290" t="s">
        <v>455</v>
      </c>
      <c r="AF128" s="246"/>
      <c r="AG128" s="261"/>
      <c r="AH128" s="311" t="s">
        <v>455</v>
      </c>
      <c r="AI128" s="246"/>
      <c r="AJ128" s="282"/>
      <c r="AK128" s="246"/>
      <c r="AM128" s="246"/>
      <c r="AN128" s="261"/>
      <c r="AO128" s="341"/>
      <c r="AP128" s="246"/>
      <c r="AR128" s="246"/>
      <c r="AS128" s="282"/>
      <c r="AT128" s="254" t="str">
        <f t="shared" si="68"/>
        <v/>
      </c>
      <c r="AU128" s="269"/>
      <c r="AV128" s="269"/>
      <c r="AW128" s="463" t="str">
        <f t="shared" ref="AW128:BD128" si="71">AW43</f>
        <v>#REF!</v>
      </c>
      <c r="AX128" s="206">
        <f t="shared" si="71"/>
        <v>5</v>
      </c>
      <c r="AY128" s="464">
        <f t="shared" si="71"/>
        <v>5</v>
      </c>
      <c r="AZ128" s="206">
        <f t="shared" si="71"/>
        <v>3</v>
      </c>
      <c r="BA128" s="206">
        <f t="shared" si="71"/>
        <v>1</v>
      </c>
      <c r="BB128" s="206">
        <f t="shared" si="71"/>
        <v>1</v>
      </c>
      <c r="BC128" s="465">
        <f t="shared" si="71"/>
        <v>120</v>
      </c>
      <c r="BD128" s="206" t="str">
        <f t="shared" si="71"/>
        <v/>
      </c>
      <c r="BE128" s="466"/>
    </row>
    <row r="129">
      <c r="A129" s="270"/>
      <c r="B129" s="382" t="s">
        <v>686</v>
      </c>
      <c r="C129" s="242" t="s">
        <v>652</v>
      </c>
      <c r="D129" s="330"/>
      <c r="E129" s="259"/>
      <c r="F129" s="376" t="s">
        <v>466</v>
      </c>
      <c r="G129" s="246"/>
      <c r="H129" s="251" t="s">
        <v>435</v>
      </c>
      <c r="I129" s="246"/>
      <c r="K129" s="246"/>
      <c r="L129" s="261"/>
      <c r="M129" s="250"/>
      <c r="N129" s="246"/>
      <c r="O129" s="385" t="s">
        <v>428</v>
      </c>
      <c r="P129" s="246"/>
      <c r="Q129" s="376" t="s">
        <v>466</v>
      </c>
      <c r="R129" s="246"/>
      <c r="S129" s="261"/>
      <c r="T129" s="312"/>
      <c r="U129" s="246"/>
      <c r="V129" s="581" t="s">
        <v>428</v>
      </c>
      <c r="W129" s="246"/>
      <c r="X129" s="376" t="s">
        <v>453</v>
      </c>
      <c r="Y129" s="246"/>
      <c r="Z129" s="261"/>
      <c r="AA129" s="250"/>
      <c r="AB129" s="246"/>
      <c r="AC129" s="251" t="s">
        <v>435</v>
      </c>
      <c r="AD129" s="246"/>
      <c r="AE129" s="251" t="s">
        <v>429</v>
      </c>
      <c r="AF129" s="246"/>
      <c r="AG129" s="261"/>
      <c r="AH129" s="376" t="s">
        <v>453</v>
      </c>
      <c r="AI129" s="246"/>
      <c r="AJ129" s="385" t="s">
        <v>428</v>
      </c>
      <c r="AK129" s="246"/>
      <c r="AL129" s="287" t="s">
        <v>429</v>
      </c>
      <c r="AM129" s="246"/>
      <c r="AN129" s="261"/>
      <c r="AO129" s="250"/>
      <c r="AP129" s="246"/>
      <c r="AQ129" s="385" t="s">
        <v>428</v>
      </c>
      <c r="AR129" s="246"/>
      <c r="AS129" s="287" t="s">
        <v>429</v>
      </c>
      <c r="AT129" s="254" t="str">
        <f t="shared" si="68"/>
        <v/>
      </c>
      <c r="AU129" s="269"/>
      <c r="AV129" s="269"/>
      <c r="AW129" s="463" t="str">
        <f t="shared" ref="AW129:BD129" si="72">AW44</f>
        <v>#REF!</v>
      </c>
      <c r="AX129" s="206">
        <f t="shared" si="72"/>
        <v>5</v>
      </c>
      <c r="AY129" s="464">
        <f t="shared" si="72"/>
        <v>5</v>
      </c>
      <c r="AZ129" s="206">
        <f t="shared" si="72"/>
        <v>3</v>
      </c>
      <c r="BA129" s="206">
        <f t="shared" si="72"/>
        <v>1</v>
      </c>
      <c r="BB129" s="206">
        <f t="shared" si="72"/>
        <v>1</v>
      </c>
      <c r="BC129" s="465">
        <f t="shared" si="72"/>
        <v>120</v>
      </c>
      <c r="BD129" s="206" t="str">
        <f t="shared" si="72"/>
        <v/>
      </c>
      <c r="BE129" s="466"/>
    </row>
    <row r="130">
      <c r="A130" s="234"/>
      <c r="B130" s="337" t="s">
        <v>686</v>
      </c>
      <c r="C130" s="338" t="s">
        <v>687</v>
      </c>
      <c r="D130" s="330"/>
      <c r="E130" s="259"/>
      <c r="F130" s="251" t="s">
        <v>429</v>
      </c>
      <c r="G130" s="246"/>
      <c r="H130" s="603" t="s">
        <v>428</v>
      </c>
      <c r="I130" s="246"/>
      <c r="J130" s="311" t="s">
        <v>455</v>
      </c>
      <c r="K130" s="246"/>
      <c r="L130" s="261"/>
      <c r="M130" s="262"/>
      <c r="N130" s="246"/>
      <c r="O130" s="287" t="s">
        <v>435</v>
      </c>
      <c r="P130" s="246"/>
      <c r="Q130" s="287" t="s">
        <v>429</v>
      </c>
      <c r="R130" s="246"/>
      <c r="S130" s="261"/>
      <c r="T130" s="312"/>
      <c r="U130" s="246"/>
      <c r="V130" s="290" t="s">
        <v>455</v>
      </c>
      <c r="W130" s="246"/>
      <c r="X130" s="376" t="s">
        <v>466</v>
      </c>
      <c r="Y130" s="246"/>
      <c r="Z130" s="261"/>
      <c r="AA130" s="262"/>
      <c r="AB130" s="246"/>
      <c r="AC130" s="604" t="s">
        <v>466</v>
      </c>
      <c r="AD130" s="246"/>
      <c r="AE130" s="604" t="s">
        <v>453</v>
      </c>
      <c r="AF130" s="246"/>
      <c r="AG130" s="261"/>
      <c r="AI130" s="246"/>
      <c r="AJ130" s="340" t="s">
        <v>435</v>
      </c>
      <c r="AK130" s="246"/>
      <c r="AM130" s="246"/>
      <c r="AN130" s="261"/>
      <c r="AO130" s="262"/>
      <c r="AP130" s="246"/>
      <c r="AQ130" s="251" t="s">
        <v>435</v>
      </c>
      <c r="AR130" s="246"/>
      <c r="AS130" s="604" t="s">
        <v>453</v>
      </c>
      <c r="AT130" s="254" t="str">
        <f>IF(COUNTIF($AO$85:$AT$87, AS128) &gt; 0, "X", "")</f>
        <v/>
      </c>
      <c r="AU130" s="269"/>
      <c r="AV130" s="269"/>
      <c r="AW130" s="463" t="str">
        <f t="shared" ref="AW130:BD130" si="73">AW45</f>
        <v>#REF!</v>
      </c>
      <c r="AX130" s="206">
        <f t="shared" si="73"/>
        <v>5</v>
      </c>
      <c r="AY130" s="464">
        <f t="shared" si="73"/>
        <v>5</v>
      </c>
      <c r="AZ130" s="206">
        <f t="shared" si="73"/>
        <v>3</v>
      </c>
      <c r="BA130" s="206">
        <f t="shared" si="73"/>
        <v>1</v>
      </c>
      <c r="BB130" s="206">
        <f t="shared" si="73"/>
        <v>1</v>
      </c>
      <c r="BC130" s="465">
        <f t="shared" si="73"/>
        <v>120</v>
      </c>
      <c r="BD130" s="206" t="str">
        <f t="shared" si="73"/>
        <v/>
      </c>
      <c r="BE130" s="466"/>
    </row>
    <row r="131">
      <c r="A131" s="94"/>
      <c r="B131" s="337" t="s">
        <v>688</v>
      </c>
      <c r="C131" s="285" t="s">
        <v>687</v>
      </c>
      <c r="D131" s="389"/>
      <c r="E131" s="259"/>
      <c r="G131" s="246"/>
      <c r="H131" s="282"/>
      <c r="I131" s="246"/>
      <c r="J131" s="282"/>
      <c r="K131" s="246"/>
      <c r="L131" s="261"/>
      <c r="M131" s="250"/>
      <c r="N131" s="246"/>
      <c r="O131" s="282"/>
      <c r="P131" s="246"/>
      <c r="Q131" s="282"/>
      <c r="R131" s="246"/>
      <c r="S131" s="261"/>
      <c r="T131" s="312"/>
      <c r="U131" s="246"/>
      <c r="V131" s="282"/>
      <c r="W131" s="246"/>
      <c r="Y131" s="246"/>
      <c r="Z131" s="261"/>
      <c r="AA131" s="250"/>
      <c r="AB131" s="246"/>
      <c r="AC131" s="282"/>
      <c r="AD131" s="246"/>
      <c r="AE131" s="282"/>
      <c r="AF131" s="246"/>
      <c r="AG131" s="261"/>
      <c r="AH131" s="282"/>
      <c r="AI131" s="246"/>
      <c r="AJ131" s="282"/>
      <c r="AK131" s="246"/>
      <c r="AL131" s="282"/>
      <c r="AM131" s="246"/>
      <c r="AN131" s="261"/>
      <c r="AO131" s="250"/>
      <c r="AP131" s="246"/>
      <c r="AQ131" s="282"/>
      <c r="AR131" s="246"/>
      <c r="AS131" s="282"/>
      <c r="AT131" s="254" t="str">
        <f>IF(COUNTIF($AO$85:$AT$87, #REF!) &gt; 0, "X", "")</f>
        <v/>
      </c>
      <c r="AU131" s="269"/>
      <c r="AV131" s="269"/>
      <c r="AW131" s="463" t="str">
        <f t="shared" ref="AW131:BD131" si="74">AW46</f>
        <v>#REF!</v>
      </c>
      <c r="AX131" s="206">
        <f t="shared" si="74"/>
        <v>5</v>
      </c>
      <c r="AY131" s="464">
        <f t="shared" si="74"/>
        <v>5</v>
      </c>
      <c r="AZ131" s="206">
        <f t="shared" si="74"/>
        <v>3</v>
      </c>
      <c r="BA131" s="206">
        <f t="shared" si="74"/>
        <v>1</v>
      </c>
      <c r="BB131" s="206">
        <f t="shared" si="74"/>
        <v>1</v>
      </c>
      <c r="BC131" s="465">
        <f t="shared" si="74"/>
        <v>120</v>
      </c>
      <c r="BD131" s="206" t="str">
        <f t="shared" si="74"/>
        <v/>
      </c>
      <c r="BE131" s="466"/>
    </row>
    <row r="132">
      <c r="A132" s="94"/>
      <c r="B132" s="387" t="s">
        <v>690</v>
      </c>
      <c r="C132" s="388" t="s">
        <v>649</v>
      </c>
      <c r="D132" s="323"/>
      <c r="E132" s="259"/>
      <c r="F132" s="390"/>
      <c r="G132" s="246"/>
      <c r="H132" s="390"/>
      <c r="I132" s="246"/>
      <c r="J132" s="390"/>
      <c r="K132" s="246"/>
      <c r="L132" s="261"/>
      <c r="M132" s="250"/>
      <c r="N132" s="246"/>
      <c r="O132" s="355" t="s">
        <v>670</v>
      </c>
      <c r="P132" s="246"/>
      <c r="Q132" s="390"/>
      <c r="R132" s="246"/>
      <c r="S132" s="261"/>
      <c r="T132" s="312"/>
      <c r="U132" s="246"/>
      <c r="V132" s="355" t="s">
        <v>670</v>
      </c>
      <c r="W132" s="246"/>
      <c r="X132" s="390"/>
      <c r="Y132" s="246"/>
      <c r="Z132" s="261"/>
      <c r="AA132" s="250"/>
      <c r="AB132" s="246"/>
      <c r="AC132" s="357"/>
      <c r="AD132" s="246"/>
      <c r="AE132" s="390"/>
      <c r="AF132" s="246"/>
      <c r="AG132" s="261"/>
      <c r="AH132" s="390"/>
      <c r="AI132" s="246"/>
      <c r="AJ132" s="390"/>
      <c r="AK132" s="246"/>
      <c r="AL132" s="390"/>
      <c r="AM132" s="246"/>
      <c r="AN132" s="261"/>
      <c r="AO132" s="250"/>
      <c r="AP132" s="246"/>
      <c r="AQ132" s="390"/>
      <c r="AR132" s="246"/>
      <c r="AS132" s="390"/>
      <c r="AT132" s="254" t="str">
        <f t="shared" ref="AT132:AT139" si="76">IF(COUNTIF($AO$85:$AT$87, AS132) &gt; 0, "X", "")</f>
        <v/>
      </c>
      <c r="AU132" s="269"/>
      <c r="AV132" s="269"/>
      <c r="AW132" s="463" t="str">
        <f t="shared" ref="AW132:BD132" si="75">AW47</f>
        <v>#REF!</v>
      </c>
      <c r="AX132" s="206">
        <f t="shared" si="75"/>
        <v>5</v>
      </c>
      <c r="AY132" s="464">
        <f t="shared" si="75"/>
        <v>5</v>
      </c>
      <c r="AZ132" s="206">
        <f t="shared" si="75"/>
        <v>3</v>
      </c>
      <c r="BA132" s="206">
        <f t="shared" si="75"/>
        <v>1</v>
      </c>
      <c r="BB132" s="206">
        <f t="shared" si="75"/>
        <v>1</v>
      </c>
      <c r="BC132" s="465">
        <f t="shared" si="75"/>
        <v>120</v>
      </c>
      <c r="BD132" s="206" t="str">
        <f t="shared" si="75"/>
        <v/>
      </c>
      <c r="BE132" s="466"/>
    </row>
    <row r="133">
      <c r="A133" s="94"/>
      <c r="B133" s="296" t="s">
        <v>650</v>
      </c>
      <c r="C133" s="297" t="s">
        <v>649</v>
      </c>
      <c r="D133" s="323"/>
      <c r="E133" s="261"/>
      <c r="F133" s="300"/>
      <c r="G133" s="246"/>
      <c r="H133" s="319"/>
      <c r="I133" s="246"/>
      <c r="J133" s="300"/>
      <c r="K133" s="246"/>
      <c r="L133" s="261"/>
      <c r="M133" s="250"/>
      <c r="N133" s="246"/>
      <c r="O133" s="300"/>
      <c r="P133" s="246"/>
      <c r="Q133" s="300"/>
      <c r="R133" s="246"/>
      <c r="S133" s="261"/>
      <c r="T133" s="312"/>
      <c r="U133" s="246"/>
      <c r="V133" s="300"/>
      <c r="W133" s="246"/>
      <c r="X133" s="300"/>
      <c r="Y133" s="246"/>
      <c r="Z133" s="261"/>
      <c r="AA133" s="250"/>
      <c r="AB133" s="246"/>
      <c r="AC133" s="300"/>
      <c r="AD133" s="246"/>
      <c r="AE133" s="300"/>
      <c r="AF133" s="246"/>
      <c r="AG133" s="261"/>
      <c r="AH133" s="300"/>
      <c r="AI133" s="246"/>
      <c r="AJ133" s="300"/>
      <c r="AK133" s="246"/>
      <c r="AL133" s="300"/>
      <c r="AM133" s="246"/>
      <c r="AN133" s="261"/>
      <c r="AO133" s="250"/>
      <c r="AP133" s="246"/>
      <c r="AQ133" s="300"/>
      <c r="AR133" s="246"/>
      <c r="AS133" s="300"/>
      <c r="AT133" s="254" t="str">
        <f t="shared" si="76"/>
        <v/>
      </c>
      <c r="AU133" s="269"/>
      <c r="AV133" s="269"/>
      <c r="AW133" s="463" t="str">
        <f t="shared" ref="AW133:BD133" si="77">AW48</f>
        <v>#REF!</v>
      </c>
      <c r="AX133" s="206">
        <f t="shared" si="77"/>
        <v>5</v>
      </c>
      <c r="AY133" s="464">
        <f t="shared" si="77"/>
        <v>5</v>
      </c>
      <c r="AZ133" s="206">
        <f t="shared" si="77"/>
        <v>3</v>
      </c>
      <c r="BA133" s="206">
        <f t="shared" si="77"/>
        <v>1</v>
      </c>
      <c r="BB133" s="206">
        <f t="shared" si="77"/>
        <v>1</v>
      </c>
      <c r="BC133" s="465">
        <f t="shared" si="77"/>
        <v>120</v>
      </c>
      <c r="BD133" s="206" t="str">
        <f t="shared" si="77"/>
        <v/>
      </c>
      <c r="BE133" s="466"/>
    </row>
    <row r="134">
      <c r="A134" s="94"/>
      <c r="B134" s="301" t="s">
        <v>651</v>
      </c>
      <c r="C134" s="391" t="s">
        <v>652</v>
      </c>
      <c r="D134" s="323"/>
      <c r="E134" s="259"/>
      <c r="F134" s="304"/>
      <c r="G134" s="246"/>
      <c r="H134" s="304"/>
      <c r="I134" s="246"/>
      <c r="J134" s="304"/>
      <c r="K134" s="246"/>
      <c r="L134" s="261"/>
      <c r="M134" s="250"/>
      <c r="N134" s="246"/>
      <c r="O134" s="360" t="s">
        <v>835</v>
      </c>
      <c r="P134" s="246"/>
      <c r="Q134" s="304"/>
      <c r="R134" s="246"/>
      <c r="S134" s="261"/>
      <c r="T134" s="312"/>
      <c r="U134" s="246"/>
      <c r="V134" s="360" t="s">
        <v>835</v>
      </c>
      <c r="W134" s="246"/>
      <c r="X134" s="304"/>
      <c r="Y134" s="246"/>
      <c r="Z134" s="261"/>
      <c r="AA134" s="250"/>
      <c r="AB134" s="246"/>
      <c r="AC134" s="576"/>
      <c r="AD134" s="246"/>
      <c r="AE134" s="304"/>
      <c r="AF134" s="246"/>
      <c r="AG134" s="261"/>
      <c r="AH134" s="304"/>
      <c r="AI134" s="246"/>
      <c r="AJ134" s="304"/>
      <c r="AK134" s="246"/>
      <c r="AL134" s="304"/>
      <c r="AM134" s="246"/>
      <c r="AN134" s="261"/>
      <c r="AO134" s="250"/>
      <c r="AP134" s="246"/>
      <c r="AQ134" s="304"/>
      <c r="AR134" s="246"/>
      <c r="AS134" s="304"/>
      <c r="AT134" s="254" t="str">
        <f t="shared" si="76"/>
        <v/>
      </c>
      <c r="AU134" s="269"/>
      <c r="AV134" s="269"/>
      <c r="AW134" s="463" t="str">
        <f t="shared" ref="AW134:BD134" si="78">AW49</f>
        <v>#REF!</v>
      </c>
      <c r="AX134" s="206">
        <f t="shared" si="78"/>
        <v>5</v>
      </c>
      <c r="AY134" s="464">
        <f t="shared" si="78"/>
        <v>5</v>
      </c>
      <c r="AZ134" s="206">
        <f t="shared" si="78"/>
        <v>3</v>
      </c>
      <c r="BA134" s="206">
        <f t="shared" si="78"/>
        <v>1</v>
      </c>
      <c r="BB134" s="206">
        <f t="shared" si="78"/>
        <v>1</v>
      </c>
      <c r="BC134" s="465">
        <f t="shared" si="78"/>
        <v>120</v>
      </c>
      <c r="BD134" s="206" t="str">
        <f t="shared" si="78"/>
        <v/>
      </c>
      <c r="BE134" s="466"/>
    </row>
    <row r="135">
      <c r="A135" s="94"/>
      <c r="B135" s="392" t="s">
        <v>691</v>
      </c>
      <c r="C135" s="393" t="s">
        <v>652</v>
      </c>
      <c r="D135" s="330"/>
      <c r="E135" s="259"/>
      <c r="F135" s="307"/>
      <c r="G135" s="246"/>
      <c r="H135" s="307"/>
      <c r="I135" s="246"/>
      <c r="J135" s="307"/>
      <c r="K135" s="246"/>
      <c r="L135" s="261"/>
      <c r="M135" s="250"/>
      <c r="N135" s="246"/>
      <c r="O135" s="395" t="s">
        <v>398</v>
      </c>
      <c r="P135" s="246"/>
      <c r="Q135" s="307"/>
      <c r="R135" s="246"/>
      <c r="S135" s="261"/>
      <c r="T135" s="312"/>
      <c r="U135" s="246"/>
      <c r="V135" s="394" t="s">
        <v>397</v>
      </c>
      <c r="W135" s="246"/>
      <c r="X135" s="307"/>
      <c r="Y135" s="246"/>
      <c r="Z135" s="261"/>
      <c r="AA135" s="250"/>
      <c r="AB135" s="246"/>
      <c r="AC135" s="307"/>
      <c r="AD135" s="246"/>
      <c r="AE135" s="307"/>
      <c r="AF135" s="246"/>
      <c r="AG135" s="261"/>
      <c r="AH135" s="307"/>
      <c r="AI135" s="246"/>
      <c r="AJ135" s="307"/>
      <c r="AK135" s="246"/>
      <c r="AL135" s="307"/>
      <c r="AM135" s="246"/>
      <c r="AN135" s="261"/>
      <c r="AO135" s="250"/>
      <c r="AP135" s="246"/>
      <c r="AQ135" s="307"/>
      <c r="AR135" s="246"/>
      <c r="AS135" s="307"/>
      <c r="AT135" s="254" t="str">
        <f t="shared" si="76"/>
        <v/>
      </c>
      <c r="AU135" s="269"/>
      <c r="AV135" s="269"/>
      <c r="AW135" s="463" t="str">
        <f t="shared" ref="AW135:BD135" si="79">AW50</f>
        <v>#REF!</v>
      </c>
      <c r="AX135" s="206">
        <f t="shared" si="79"/>
        <v>5</v>
      </c>
      <c r="AY135" s="464">
        <f t="shared" si="79"/>
        <v>5</v>
      </c>
      <c r="AZ135" s="206">
        <f t="shared" si="79"/>
        <v>3</v>
      </c>
      <c r="BA135" s="206">
        <f t="shared" si="79"/>
        <v>1</v>
      </c>
      <c r="BB135" s="206">
        <f t="shared" si="79"/>
        <v>1</v>
      </c>
      <c r="BC135" s="465">
        <f t="shared" si="79"/>
        <v>120</v>
      </c>
      <c r="BD135" s="206" t="str">
        <f t="shared" si="79"/>
        <v/>
      </c>
      <c r="BE135" s="466"/>
    </row>
    <row r="136">
      <c r="A136" s="94"/>
      <c r="B136" s="328" t="s">
        <v>692</v>
      </c>
      <c r="C136" s="329" t="s">
        <v>652</v>
      </c>
      <c r="D136" s="369"/>
      <c r="E136" s="259"/>
      <c r="F136" s="371"/>
      <c r="G136" s="246"/>
      <c r="H136" s="371"/>
      <c r="I136" s="246"/>
      <c r="J136" s="282"/>
      <c r="K136" s="246"/>
      <c r="L136" s="261"/>
      <c r="M136" s="250"/>
      <c r="N136" s="246"/>
      <c r="O136" s="371"/>
      <c r="P136" s="246"/>
      <c r="Q136" s="371"/>
      <c r="R136" s="246"/>
      <c r="S136" s="261"/>
      <c r="T136" s="312"/>
      <c r="U136" s="246"/>
      <c r="W136" s="246"/>
      <c r="X136" s="371"/>
      <c r="Y136" s="246"/>
      <c r="Z136" s="261"/>
      <c r="AA136" s="250"/>
      <c r="AB136" s="246"/>
      <c r="AC136" s="371"/>
      <c r="AD136" s="246"/>
      <c r="AE136" s="371"/>
      <c r="AF136" s="246"/>
      <c r="AG136" s="261"/>
      <c r="AH136" s="371"/>
      <c r="AI136" s="246"/>
      <c r="AJ136" s="371"/>
      <c r="AK136" s="246"/>
      <c r="AL136" s="371"/>
      <c r="AM136" s="246"/>
      <c r="AN136" s="261"/>
      <c r="AO136" s="250"/>
      <c r="AP136" s="246"/>
      <c r="AQ136" s="371"/>
      <c r="AR136" s="246"/>
      <c r="AS136" s="282"/>
      <c r="AT136" s="254" t="str">
        <f t="shared" si="76"/>
        <v/>
      </c>
      <c r="AU136" s="269"/>
      <c r="AV136" s="269"/>
      <c r="AW136" s="463" t="str">
        <f t="shared" ref="AW136:BD136" si="80">AW51</f>
        <v>#REF!</v>
      </c>
      <c r="AX136" s="206">
        <f t="shared" si="80"/>
        <v>5</v>
      </c>
      <c r="AY136" s="464">
        <f t="shared" si="80"/>
        <v>5</v>
      </c>
      <c r="AZ136" s="206">
        <f t="shared" si="80"/>
        <v>3</v>
      </c>
      <c r="BA136" s="206">
        <f t="shared" si="80"/>
        <v>1</v>
      </c>
      <c r="BB136" s="206">
        <f t="shared" si="80"/>
        <v>1</v>
      </c>
      <c r="BC136" s="465">
        <f t="shared" si="80"/>
        <v>120</v>
      </c>
      <c r="BD136" s="206" t="str">
        <f t="shared" si="80"/>
        <v/>
      </c>
      <c r="BE136" s="466"/>
    </row>
    <row r="137">
      <c r="A137" s="94"/>
      <c r="B137" s="397" t="s">
        <v>692</v>
      </c>
      <c r="C137" s="398" t="s">
        <v>687</v>
      </c>
      <c r="D137" s="389"/>
      <c r="E137" s="259"/>
      <c r="F137" s="399"/>
      <c r="G137" s="246"/>
      <c r="H137" s="399"/>
      <c r="I137" s="246"/>
      <c r="J137" s="399"/>
      <c r="K137" s="246"/>
      <c r="L137" s="261"/>
      <c r="M137" s="250"/>
      <c r="N137" s="246"/>
      <c r="O137" s="282"/>
      <c r="P137" s="246"/>
      <c r="Q137" s="282"/>
      <c r="R137" s="246"/>
      <c r="S137" s="261"/>
      <c r="T137" s="312"/>
      <c r="U137" s="246"/>
      <c r="V137" s="282"/>
      <c r="W137" s="246"/>
      <c r="X137" s="399"/>
      <c r="Y137" s="246"/>
      <c r="Z137" s="261"/>
      <c r="AA137" s="250"/>
      <c r="AB137" s="246"/>
      <c r="AC137" s="399"/>
      <c r="AD137" s="246"/>
      <c r="AE137" s="399"/>
      <c r="AF137" s="246"/>
      <c r="AG137" s="261"/>
      <c r="AH137" s="399"/>
      <c r="AI137" s="246"/>
      <c r="AJ137" s="399"/>
      <c r="AK137" s="246"/>
      <c r="AL137" s="399"/>
      <c r="AM137" s="246"/>
      <c r="AN137" s="261"/>
      <c r="AO137" s="250"/>
      <c r="AP137" s="246"/>
      <c r="AQ137" s="399"/>
      <c r="AR137" s="246"/>
      <c r="AS137" s="399"/>
      <c r="AT137" s="254" t="str">
        <f t="shared" si="76"/>
        <v/>
      </c>
      <c r="AU137" s="269"/>
      <c r="AV137" s="269"/>
      <c r="AW137" s="463" t="str">
        <f t="shared" ref="AW137:BD137" si="81">AW52</f>
        <v>#REF!</v>
      </c>
      <c r="AX137" s="206">
        <f t="shared" si="81"/>
        <v>5</v>
      </c>
      <c r="AY137" s="464">
        <f t="shared" si="81"/>
        <v>5</v>
      </c>
      <c r="AZ137" s="206">
        <f t="shared" si="81"/>
        <v>3</v>
      </c>
      <c r="BA137" s="206">
        <f t="shared" si="81"/>
        <v>1</v>
      </c>
      <c r="BB137" s="206">
        <f t="shared" si="81"/>
        <v>1</v>
      </c>
      <c r="BC137" s="465">
        <f t="shared" si="81"/>
        <v>120</v>
      </c>
      <c r="BD137" s="206" t="str">
        <f t="shared" si="81"/>
        <v/>
      </c>
      <c r="BE137" s="466"/>
    </row>
    <row r="138">
      <c r="A138" s="94"/>
      <c r="B138" s="387" t="s">
        <v>694</v>
      </c>
      <c r="C138" s="388" t="s">
        <v>649</v>
      </c>
      <c r="D138" s="323"/>
      <c r="E138" s="259"/>
      <c r="F138" s="390"/>
      <c r="G138" s="298"/>
      <c r="H138" s="390"/>
      <c r="I138" s="298"/>
      <c r="J138" s="390"/>
      <c r="K138" s="298"/>
      <c r="L138" s="261"/>
      <c r="M138" s="250"/>
      <c r="N138" s="298"/>
      <c r="O138" s="390"/>
      <c r="P138" s="298"/>
      <c r="Q138" s="357" t="s">
        <v>425</v>
      </c>
      <c r="R138" s="298"/>
      <c r="S138" s="261"/>
      <c r="T138" s="312"/>
      <c r="U138" s="298"/>
      <c r="V138" s="390"/>
      <c r="W138" s="298"/>
      <c r="X138" s="357"/>
      <c r="Y138" s="298"/>
      <c r="Z138" s="261"/>
      <c r="AA138" s="250"/>
      <c r="AB138" s="298"/>
      <c r="AC138" s="390"/>
      <c r="AD138" s="298"/>
      <c r="AE138" s="605" t="s">
        <v>856</v>
      </c>
      <c r="AF138" s="298"/>
      <c r="AG138" s="261"/>
      <c r="AH138" s="390"/>
      <c r="AI138" s="298"/>
      <c r="AJ138" s="390"/>
      <c r="AK138" s="298"/>
      <c r="AL138" s="357" t="s">
        <v>425</v>
      </c>
      <c r="AM138" s="298"/>
      <c r="AN138" s="261"/>
      <c r="AO138" s="250"/>
      <c r="AP138" s="298"/>
      <c r="AQ138" s="390"/>
      <c r="AR138" s="298"/>
      <c r="AS138" s="357" t="s">
        <v>425</v>
      </c>
      <c r="AT138" s="254" t="str">
        <f t="shared" si="76"/>
        <v/>
      </c>
      <c r="AU138" s="269"/>
      <c r="AV138" s="269"/>
      <c r="AW138" s="463" t="str">
        <f t="shared" ref="AW138:BD138" si="82">AW53</f>
        <v>#REF!</v>
      </c>
      <c r="AX138" s="206">
        <f t="shared" si="82"/>
        <v>5</v>
      </c>
      <c r="AY138" s="464">
        <f t="shared" si="82"/>
        <v>5</v>
      </c>
      <c r="AZ138" s="206">
        <f t="shared" si="82"/>
        <v>3</v>
      </c>
      <c r="BA138" s="206">
        <f t="shared" si="82"/>
        <v>1</v>
      </c>
      <c r="BB138" s="206">
        <f t="shared" si="82"/>
        <v>1</v>
      </c>
      <c r="BC138" s="465">
        <f t="shared" si="82"/>
        <v>120</v>
      </c>
      <c r="BD138" s="206" t="str">
        <f t="shared" si="82"/>
        <v/>
      </c>
      <c r="BE138" s="466"/>
    </row>
    <row r="139">
      <c r="A139" s="94"/>
      <c r="B139" s="296" t="s">
        <v>650</v>
      </c>
      <c r="C139" s="297" t="s">
        <v>649</v>
      </c>
      <c r="D139" s="323"/>
      <c r="E139" s="261"/>
      <c r="F139" s="300"/>
      <c r="G139" s="298"/>
      <c r="H139" s="300"/>
      <c r="I139" s="298"/>
      <c r="J139" s="300"/>
      <c r="K139" s="298"/>
      <c r="L139" s="261"/>
      <c r="M139" s="250"/>
      <c r="N139" s="298"/>
      <c r="O139" s="300"/>
      <c r="P139" s="298"/>
      <c r="Q139" s="319"/>
      <c r="R139" s="298"/>
      <c r="S139" s="261"/>
      <c r="T139" s="312"/>
      <c r="U139" s="298"/>
      <c r="V139" s="300"/>
      <c r="W139" s="298"/>
      <c r="X139" s="300"/>
      <c r="Y139" s="298"/>
      <c r="Z139" s="261"/>
      <c r="AA139" s="250"/>
      <c r="AB139" s="298"/>
      <c r="AC139" s="300"/>
      <c r="AD139" s="298"/>
      <c r="AE139" s="300"/>
      <c r="AF139" s="298"/>
      <c r="AG139" s="261"/>
      <c r="AH139" s="300"/>
      <c r="AI139" s="298"/>
      <c r="AJ139" s="300"/>
      <c r="AK139" s="298"/>
      <c r="AL139" s="300"/>
      <c r="AM139" s="298"/>
      <c r="AN139" s="261"/>
      <c r="AO139" s="250"/>
      <c r="AP139" s="298"/>
      <c r="AQ139" s="300"/>
      <c r="AR139" s="298"/>
      <c r="AS139" s="300"/>
      <c r="AT139" s="254" t="str">
        <f t="shared" si="76"/>
        <v/>
      </c>
      <c r="AU139" s="269"/>
      <c r="AV139" s="269"/>
      <c r="AW139" s="463" t="str">
        <f t="shared" ref="AW139:BD139" si="83">AW54</f>
        <v>#REF!</v>
      </c>
      <c r="AX139" s="206">
        <f t="shared" si="83"/>
        <v>5</v>
      </c>
      <c r="AY139" s="464">
        <f t="shared" si="83"/>
        <v>5</v>
      </c>
      <c r="AZ139" s="206">
        <f t="shared" si="83"/>
        <v>3</v>
      </c>
      <c r="BA139" s="206">
        <f t="shared" si="83"/>
        <v>1</v>
      </c>
      <c r="BB139" s="206">
        <f t="shared" si="83"/>
        <v>1</v>
      </c>
      <c r="BC139" s="465">
        <f t="shared" si="83"/>
        <v>120</v>
      </c>
      <c r="BD139" s="206" t="str">
        <f t="shared" si="83"/>
        <v/>
      </c>
      <c r="BE139" s="466"/>
    </row>
    <row r="140">
      <c r="A140" s="94"/>
      <c r="B140" s="301" t="s">
        <v>651</v>
      </c>
      <c r="C140" s="391" t="s">
        <v>652</v>
      </c>
      <c r="D140" s="323"/>
      <c r="E140" s="259"/>
      <c r="F140" s="304"/>
      <c r="G140" s="298"/>
      <c r="H140" s="304"/>
      <c r="I140" s="298"/>
      <c r="J140" s="304"/>
      <c r="K140" s="298"/>
      <c r="L140" s="261"/>
      <c r="M140" s="250"/>
      <c r="N140" s="298"/>
      <c r="O140" s="304"/>
      <c r="P140" s="298"/>
      <c r="Q140" s="583" t="s">
        <v>838</v>
      </c>
      <c r="R140" s="298"/>
      <c r="S140" s="261"/>
      <c r="T140" s="312"/>
      <c r="U140" s="298"/>
      <c r="V140" s="304"/>
      <c r="W140" s="298"/>
      <c r="X140" s="304"/>
      <c r="Y140" s="298"/>
      <c r="Z140" s="261"/>
      <c r="AA140" s="250"/>
      <c r="AB140" s="298"/>
      <c r="AC140" s="304"/>
      <c r="AD140" s="298"/>
      <c r="AE140" s="583" t="s">
        <v>838</v>
      </c>
      <c r="AF140" s="298"/>
      <c r="AG140" s="261"/>
      <c r="AH140" s="304"/>
      <c r="AI140" s="298"/>
      <c r="AJ140" s="304"/>
      <c r="AK140" s="298"/>
      <c r="AL140" s="583" t="s">
        <v>838</v>
      </c>
      <c r="AM140" s="298"/>
      <c r="AN140" s="261"/>
      <c r="AO140" s="250"/>
      <c r="AP140" s="298"/>
      <c r="AQ140" s="304"/>
      <c r="AR140" s="298"/>
      <c r="AS140" s="583" t="s">
        <v>838</v>
      </c>
      <c r="AT140" s="254" t="str">
        <f t="shared" ref="AT140:AT141" si="85">IF(COUNTIF($AO$85:$AT$87, #REF!) &gt; 0, "X", "")</f>
        <v/>
      </c>
      <c r="AU140" s="269"/>
      <c r="AV140" s="269"/>
      <c r="AW140" s="463" t="str">
        <f t="shared" ref="AW140:BD140" si="84">AW55</f>
        <v>#REF!</v>
      </c>
      <c r="AX140" s="206">
        <f t="shared" si="84"/>
        <v>5</v>
      </c>
      <c r="AY140" s="464">
        <f t="shared" si="84"/>
        <v>5</v>
      </c>
      <c r="AZ140" s="206">
        <f t="shared" si="84"/>
        <v>3</v>
      </c>
      <c r="BA140" s="206">
        <f t="shared" si="84"/>
        <v>1</v>
      </c>
      <c r="BB140" s="206">
        <f t="shared" si="84"/>
        <v>1</v>
      </c>
      <c r="BC140" s="465">
        <f t="shared" si="84"/>
        <v>120</v>
      </c>
      <c r="BD140" s="206" t="str">
        <f t="shared" si="84"/>
        <v/>
      </c>
      <c r="BE140" s="466"/>
    </row>
    <row r="141">
      <c r="A141" s="94"/>
      <c r="B141" s="392" t="s">
        <v>691</v>
      </c>
      <c r="C141" s="393" t="s">
        <v>652</v>
      </c>
      <c r="D141" s="330"/>
      <c r="E141" s="259"/>
      <c r="F141" s="307"/>
      <c r="G141" s="246"/>
      <c r="H141" s="307"/>
      <c r="I141" s="246"/>
      <c r="J141" s="307"/>
      <c r="K141" s="246"/>
      <c r="L141" s="261"/>
      <c r="M141" s="250"/>
      <c r="N141" s="246"/>
      <c r="O141" s="307"/>
      <c r="P141" s="246"/>
      <c r="Q141" s="309" t="s">
        <v>414</v>
      </c>
      <c r="R141" s="246"/>
      <c r="S141" s="261"/>
      <c r="T141" s="312"/>
      <c r="U141" s="246"/>
      <c r="V141" s="307"/>
      <c r="W141" s="246"/>
      <c r="X141" s="395"/>
      <c r="Y141" s="246"/>
      <c r="Z141" s="261"/>
      <c r="AA141" s="250"/>
      <c r="AB141" s="246"/>
      <c r="AC141" s="307"/>
      <c r="AD141" s="246"/>
      <c r="AE141" s="532" t="s">
        <v>839</v>
      </c>
      <c r="AF141" s="246"/>
      <c r="AG141" s="261"/>
      <c r="AH141" s="307"/>
      <c r="AI141" s="246"/>
      <c r="AJ141" s="307"/>
      <c r="AK141" s="246"/>
      <c r="AL141" s="308" t="s">
        <v>445</v>
      </c>
      <c r="AM141" s="246"/>
      <c r="AN141" s="261"/>
      <c r="AO141" s="250"/>
      <c r="AP141" s="246"/>
      <c r="AQ141" s="307"/>
      <c r="AR141" s="246"/>
      <c r="AS141" s="308" t="s">
        <v>445</v>
      </c>
      <c r="AT141" s="254" t="str">
        <f t="shared" si="85"/>
        <v/>
      </c>
      <c r="AU141" s="269"/>
      <c r="AV141" s="269"/>
      <c r="AW141" s="463" t="str">
        <f t="shared" ref="AW141:BD141" si="86">AW56</f>
        <v>#REF!</v>
      </c>
      <c r="AX141" s="206">
        <f t="shared" si="86"/>
        <v>5</v>
      </c>
      <c r="AY141" s="464">
        <f t="shared" si="86"/>
        <v>5</v>
      </c>
      <c r="AZ141" s="206">
        <f t="shared" si="86"/>
        <v>3</v>
      </c>
      <c r="BA141" s="206">
        <f t="shared" si="86"/>
        <v>1</v>
      </c>
      <c r="BB141" s="206">
        <f t="shared" si="86"/>
        <v>1</v>
      </c>
      <c r="BC141" s="465">
        <f t="shared" si="86"/>
        <v>120</v>
      </c>
      <c r="BD141" s="206" t="str">
        <f t="shared" si="86"/>
        <v/>
      </c>
      <c r="BE141" s="466"/>
    </row>
    <row r="142">
      <c r="A142" s="94"/>
      <c r="B142" s="328" t="s">
        <v>692</v>
      </c>
      <c r="C142" s="329" t="s">
        <v>652</v>
      </c>
      <c r="D142" s="369"/>
      <c r="E142" s="259"/>
      <c r="F142" s="371"/>
      <c r="G142" s="246"/>
      <c r="H142" s="371"/>
      <c r="I142" s="246"/>
      <c r="J142" s="371"/>
      <c r="K142" s="246"/>
      <c r="L142" s="261"/>
      <c r="M142" s="250"/>
      <c r="N142" s="246"/>
      <c r="O142" s="371"/>
      <c r="P142" s="246"/>
      <c r="Q142" s="371"/>
      <c r="R142" s="246"/>
      <c r="S142" s="261"/>
      <c r="T142" s="312"/>
      <c r="U142" s="246"/>
      <c r="V142" s="371"/>
      <c r="W142" s="246"/>
      <c r="X142" s="282"/>
      <c r="Y142" s="246"/>
      <c r="Z142" s="261"/>
      <c r="AA142" s="250"/>
      <c r="AB142" s="246"/>
      <c r="AC142" s="282"/>
      <c r="AD142" s="246"/>
      <c r="AE142" s="584"/>
      <c r="AF142" s="246"/>
      <c r="AG142" s="261"/>
      <c r="AH142" s="371"/>
      <c r="AI142" s="246"/>
      <c r="AJ142" s="371"/>
      <c r="AK142" s="246"/>
      <c r="AL142" s="282"/>
      <c r="AM142" s="246"/>
      <c r="AN142" s="261"/>
      <c r="AO142" s="250"/>
      <c r="AP142" s="246"/>
      <c r="AQ142" s="371"/>
      <c r="AR142" s="246"/>
      <c r="AS142" s="282"/>
      <c r="AT142" s="254" t="str">
        <f t="shared" ref="AT142:AT145" si="88">IF(COUNTIF($AO$85:$AT$87, AS142) &gt; 0, "X", "")</f>
        <v/>
      </c>
      <c r="AU142" s="269"/>
      <c r="AV142" s="269"/>
      <c r="AW142" s="463" t="str">
        <f t="shared" ref="AW142:BD142" si="87">AW57</f>
        <v>#REF!</v>
      </c>
      <c r="AX142" s="206">
        <f t="shared" si="87"/>
        <v>5</v>
      </c>
      <c r="AY142" s="464">
        <f t="shared" si="87"/>
        <v>5</v>
      </c>
      <c r="AZ142" s="206">
        <f t="shared" si="87"/>
        <v>3</v>
      </c>
      <c r="BA142" s="206">
        <f t="shared" si="87"/>
        <v>1</v>
      </c>
      <c r="BB142" s="206">
        <f t="shared" si="87"/>
        <v>1</v>
      </c>
      <c r="BC142" s="465">
        <f t="shared" si="87"/>
        <v>120</v>
      </c>
      <c r="BD142" s="206" t="str">
        <f t="shared" si="87"/>
        <v/>
      </c>
      <c r="BE142" s="466"/>
    </row>
    <row r="143">
      <c r="A143" s="94"/>
      <c r="B143" s="397" t="s">
        <v>692</v>
      </c>
      <c r="C143" s="398" t="s">
        <v>687</v>
      </c>
      <c r="D143" s="404"/>
      <c r="E143" s="259"/>
      <c r="F143" s="399"/>
      <c r="G143" s="246"/>
      <c r="H143" s="399"/>
      <c r="I143" s="246"/>
      <c r="J143" s="399"/>
      <c r="K143" s="246"/>
      <c r="L143" s="261"/>
      <c r="M143" s="250"/>
      <c r="N143" s="246"/>
      <c r="O143" s="399"/>
      <c r="P143" s="246"/>
      <c r="Q143" s="282"/>
      <c r="R143" s="246"/>
      <c r="S143" s="261"/>
      <c r="T143" s="312"/>
      <c r="U143" s="246"/>
      <c r="V143" s="399"/>
      <c r="W143" s="246"/>
      <c r="X143" s="399"/>
      <c r="Y143" s="246"/>
      <c r="Z143" s="261"/>
      <c r="AA143" s="250"/>
      <c r="AB143" s="246"/>
      <c r="AC143" s="282"/>
      <c r="AD143" s="246"/>
      <c r="AE143" s="399"/>
      <c r="AF143" s="246"/>
      <c r="AG143" s="261"/>
      <c r="AH143" s="399"/>
      <c r="AI143" s="246"/>
      <c r="AJ143" s="399"/>
      <c r="AK143" s="246"/>
      <c r="AL143" s="399"/>
      <c r="AM143" s="246"/>
      <c r="AN143" s="261"/>
      <c r="AO143" s="250"/>
      <c r="AP143" s="246"/>
      <c r="AQ143" s="399"/>
      <c r="AR143" s="246"/>
      <c r="AS143" s="399"/>
      <c r="AT143" s="254" t="str">
        <f t="shared" si="88"/>
        <v/>
      </c>
      <c r="AU143" s="269"/>
      <c r="AV143" s="269"/>
      <c r="AW143" s="463" t="str">
        <f t="shared" ref="AW143:BD143" si="89">AW58</f>
        <v>#REF!</v>
      </c>
      <c r="AX143" s="206">
        <f t="shared" si="89"/>
        <v>5</v>
      </c>
      <c r="AY143" s="464">
        <f t="shared" si="89"/>
        <v>5</v>
      </c>
      <c r="AZ143" s="206">
        <f t="shared" si="89"/>
        <v>3</v>
      </c>
      <c r="BA143" s="206">
        <f t="shared" si="89"/>
        <v>1</v>
      </c>
      <c r="BB143" s="206">
        <f t="shared" si="89"/>
        <v>1</v>
      </c>
      <c r="BC143" s="465">
        <f t="shared" si="89"/>
        <v>120</v>
      </c>
      <c r="BD143" s="206" t="str">
        <f t="shared" si="89"/>
        <v/>
      </c>
      <c r="BE143" s="466"/>
    </row>
    <row r="144">
      <c r="A144" s="270"/>
      <c r="B144" s="402" t="s">
        <v>699</v>
      </c>
      <c r="C144" s="403" t="s">
        <v>649</v>
      </c>
      <c r="D144" s="330"/>
      <c r="E144" s="259"/>
      <c r="F144" s="294"/>
      <c r="G144" s="246"/>
      <c r="H144" s="294"/>
      <c r="I144" s="246"/>
      <c r="J144" s="294"/>
      <c r="K144" s="246"/>
      <c r="L144" s="261"/>
      <c r="M144" s="250"/>
      <c r="N144" s="246"/>
      <c r="O144" s="294"/>
      <c r="P144" s="246"/>
      <c r="Q144" s="293" t="s">
        <v>426</v>
      </c>
      <c r="R144" s="246"/>
      <c r="S144" s="261"/>
      <c r="T144" s="312"/>
      <c r="U144" s="246"/>
      <c r="V144" s="294"/>
      <c r="W144" s="246"/>
      <c r="X144" s="294"/>
      <c r="Y144" s="246"/>
      <c r="Z144" s="261"/>
      <c r="AA144" s="250"/>
      <c r="AB144" s="246"/>
      <c r="AC144" s="294"/>
      <c r="AD144" s="246"/>
      <c r="AE144" s="293" t="s">
        <v>426</v>
      </c>
      <c r="AF144" s="246"/>
      <c r="AG144" s="261"/>
      <c r="AH144" s="294"/>
      <c r="AI144" s="246"/>
      <c r="AJ144" s="294"/>
      <c r="AK144" s="246"/>
      <c r="AL144" s="294"/>
      <c r="AM144" s="246"/>
      <c r="AN144" s="261"/>
      <c r="AO144" s="250"/>
      <c r="AP144" s="246"/>
      <c r="AQ144" s="294"/>
      <c r="AR144" s="246"/>
      <c r="AS144" s="294"/>
      <c r="AT144" s="254" t="str">
        <f t="shared" si="88"/>
        <v/>
      </c>
      <c r="AU144" s="269"/>
      <c r="AV144" s="269"/>
      <c r="AW144" s="463" t="str">
        <f t="shared" ref="AW144:BD144" si="90">AW59</f>
        <v>#REF!</v>
      </c>
      <c r="AX144" s="206">
        <f t="shared" si="90"/>
        <v>5</v>
      </c>
      <c r="AY144" s="464">
        <f t="shared" si="90"/>
        <v>5</v>
      </c>
      <c r="AZ144" s="206">
        <f t="shared" si="90"/>
        <v>3</v>
      </c>
      <c r="BA144" s="206">
        <f t="shared" si="90"/>
        <v>1</v>
      </c>
      <c r="BB144" s="206">
        <f t="shared" si="90"/>
        <v>1</v>
      </c>
      <c r="BC144" s="465">
        <f t="shared" si="90"/>
        <v>120</v>
      </c>
      <c r="BD144" s="206" t="str">
        <f t="shared" si="90"/>
        <v/>
      </c>
      <c r="BE144" s="466"/>
    </row>
    <row r="145">
      <c r="A145" s="94"/>
      <c r="B145" s="328" t="s">
        <v>700</v>
      </c>
      <c r="C145" s="329" t="s">
        <v>657</v>
      </c>
      <c r="D145" s="330"/>
      <c r="E145" s="259"/>
      <c r="F145" s="264"/>
      <c r="G145" s="246"/>
      <c r="H145" s="265"/>
      <c r="I145" s="246"/>
      <c r="J145" s="264"/>
      <c r="K145" s="246"/>
      <c r="L145" s="261"/>
      <c r="M145" s="262"/>
      <c r="N145" s="246"/>
      <c r="O145" s="264"/>
      <c r="P145" s="246"/>
      <c r="Q145" s="340" t="s">
        <v>437</v>
      </c>
      <c r="R145" s="246"/>
      <c r="S145" s="261"/>
      <c r="T145" s="312"/>
      <c r="U145" s="246"/>
      <c r="V145" s="264"/>
      <c r="W145" s="246"/>
      <c r="X145" s="264"/>
      <c r="Y145" s="246"/>
      <c r="Z145" s="261"/>
      <c r="AA145" s="262"/>
      <c r="AB145" s="246"/>
      <c r="AC145" s="264"/>
      <c r="AD145" s="246"/>
      <c r="AE145" s="573" t="s">
        <v>437</v>
      </c>
      <c r="AF145" s="246"/>
      <c r="AG145" s="261"/>
      <c r="AH145" s="264"/>
      <c r="AI145" s="246"/>
      <c r="AJ145" s="264"/>
      <c r="AK145" s="246"/>
      <c r="AL145" s="264"/>
      <c r="AM145" s="246"/>
      <c r="AN145" s="261"/>
      <c r="AO145" s="262"/>
      <c r="AP145" s="246"/>
      <c r="AQ145" s="265"/>
      <c r="AR145" s="246"/>
      <c r="AS145" s="264"/>
      <c r="AT145" s="254" t="str">
        <f t="shared" si="88"/>
        <v/>
      </c>
      <c r="AU145" s="269"/>
      <c r="AV145" s="269"/>
      <c r="AW145" s="463" t="str">
        <f t="shared" ref="AW145:BD145" si="91">AW60</f>
        <v>#REF!</v>
      </c>
      <c r="AX145" s="206">
        <f t="shared" si="91"/>
        <v>5</v>
      </c>
      <c r="AY145" s="464">
        <f t="shared" si="91"/>
        <v>5</v>
      </c>
      <c r="AZ145" s="206">
        <f t="shared" si="91"/>
        <v>3</v>
      </c>
      <c r="BA145" s="206">
        <f t="shared" si="91"/>
        <v>1</v>
      </c>
      <c r="BB145" s="206">
        <f t="shared" si="91"/>
        <v>1</v>
      </c>
      <c r="BC145" s="465">
        <f t="shared" si="91"/>
        <v>120</v>
      </c>
      <c r="BD145" s="206" t="str">
        <f t="shared" si="91"/>
        <v/>
      </c>
      <c r="BE145" s="466"/>
    </row>
    <row r="146">
      <c r="A146" s="94"/>
      <c r="B146" s="328" t="s">
        <v>700</v>
      </c>
      <c r="C146" s="329" t="s">
        <v>657</v>
      </c>
      <c r="D146" s="330"/>
      <c r="E146" s="259"/>
      <c r="F146" s="371"/>
      <c r="G146" s="246"/>
      <c r="H146" s="282"/>
      <c r="I146" s="246"/>
      <c r="J146" s="371"/>
      <c r="K146" s="246"/>
      <c r="L146" s="261"/>
      <c r="M146" s="250"/>
      <c r="N146" s="246"/>
      <c r="P146" s="246"/>
      <c r="Q146" s="522" t="s">
        <v>462</v>
      </c>
      <c r="R146" s="246"/>
      <c r="S146" s="261"/>
      <c r="T146" s="312"/>
      <c r="U146" s="246"/>
      <c r="V146" s="371"/>
      <c r="W146" s="246"/>
      <c r="X146" s="371"/>
      <c r="Y146" s="246"/>
      <c r="Z146" s="261"/>
      <c r="AA146" s="250"/>
      <c r="AB146" s="246"/>
      <c r="AC146" s="371"/>
      <c r="AD146" s="246"/>
      <c r="AE146" s="522" t="s">
        <v>462</v>
      </c>
      <c r="AF146" s="246"/>
      <c r="AG146" s="261"/>
      <c r="AH146" s="371"/>
      <c r="AI146" s="246"/>
      <c r="AJ146" s="371"/>
      <c r="AK146" s="246"/>
      <c r="AL146" s="371"/>
      <c r="AM146" s="246"/>
      <c r="AN146" s="261"/>
      <c r="AO146" s="250"/>
      <c r="AP146" s="246"/>
      <c r="AQ146" s="371"/>
      <c r="AR146" s="246"/>
      <c r="AS146" s="371"/>
      <c r="AT146" s="254" t="str">
        <f>IF(COUNTIF($AO$85:$AT$87, #REF!) &gt; 0, "X", "")</f>
        <v/>
      </c>
      <c r="AU146" s="269"/>
      <c r="AV146" s="269"/>
      <c r="AW146" s="463" t="str">
        <f t="shared" ref="AW146:BD146" si="92">AW61</f>
        <v>#REF!</v>
      </c>
      <c r="AX146" s="206">
        <f t="shared" si="92"/>
        <v>5</v>
      </c>
      <c r="AY146" s="464">
        <f t="shared" si="92"/>
        <v>5</v>
      </c>
      <c r="AZ146" s="206">
        <f t="shared" si="92"/>
        <v>3</v>
      </c>
      <c r="BA146" s="206">
        <f t="shared" si="92"/>
        <v>1</v>
      </c>
      <c r="BB146" s="206">
        <f t="shared" si="92"/>
        <v>1</v>
      </c>
      <c r="BC146" s="465">
        <f t="shared" si="92"/>
        <v>120</v>
      </c>
      <c r="BD146" s="206" t="str">
        <f t="shared" si="92"/>
        <v/>
      </c>
      <c r="BE146" s="466"/>
    </row>
    <row r="147">
      <c r="A147" s="94"/>
      <c r="B147" s="328" t="s">
        <v>700</v>
      </c>
      <c r="C147" s="329" t="s">
        <v>657</v>
      </c>
      <c r="D147" s="351"/>
      <c r="E147" s="259"/>
      <c r="F147" s="265"/>
      <c r="G147" s="246"/>
      <c r="H147" s="265"/>
      <c r="I147" s="246"/>
      <c r="K147" s="246"/>
      <c r="L147" s="261"/>
      <c r="M147" s="262"/>
      <c r="N147" s="246"/>
      <c r="P147" s="246"/>
      <c r="Q147" s="265"/>
      <c r="R147" s="246"/>
      <c r="S147" s="261"/>
      <c r="T147" s="312"/>
      <c r="U147" s="246"/>
      <c r="V147" s="265"/>
      <c r="W147" s="246"/>
      <c r="X147" s="265"/>
      <c r="Y147" s="246"/>
      <c r="Z147" s="261"/>
      <c r="AA147" s="262"/>
      <c r="AB147" s="246"/>
      <c r="AC147" s="265"/>
      <c r="AD147" s="246"/>
      <c r="AE147" s="265"/>
      <c r="AF147" s="246"/>
      <c r="AG147" s="261"/>
      <c r="AH147" s="264"/>
      <c r="AI147" s="246"/>
      <c r="AJ147" s="265"/>
      <c r="AK147" s="246"/>
      <c r="AL147" s="289"/>
      <c r="AM147" s="246"/>
      <c r="AN147" s="261"/>
      <c r="AO147" s="262"/>
      <c r="AP147" s="246"/>
      <c r="AQ147" s="264"/>
      <c r="AR147" s="246"/>
      <c r="AS147" s="265"/>
      <c r="AT147" s="254" t="str">
        <f t="shared" ref="AT147:AT148" si="94">IF(COUNTIF($AO$85:$AT$87, AS147) &gt; 0, "X", "")</f>
        <v/>
      </c>
      <c r="AU147" s="269"/>
      <c r="AV147" s="269"/>
      <c r="AW147" s="463" t="str">
        <f t="shared" ref="AW147:BD147" si="93">AW62</f>
        <v>#REF!</v>
      </c>
      <c r="AX147" s="206">
        <f t="shared" si="93"/>
        <v>5</v>
      </c>
      <c r="AY147" s="464">
        <f t="shared" si="93"/>
        <v>5</v>
      </c>
      <c r="AZ147" s="206">
        <f t="shared" si="93"/>
        <v>3</v>
      </c>
      <c r="BA147" s="206">
        <f t="shared" si="93"/>
        <v>1</v>
      </c>
      <c r="BB147" s="206">
        <f t="shared" si="93"/>
        <v>1</v>
      </c>
      <c r="BC147" s="465">
        <f t="shared" si="93"/>
        <v>120</v>
      </c>
      <c r="BD147" s="206" t="str">
        <f t="shared" si="93"/>
        <v/>
      </c>
      <c r="BE147" s="466"/>
    </row>
    <row r="148">
      <c r="A148" s="94"/>
      <c r="B148" s="408" t="s">
        <v>702</v>
      </c>
      <c r="C148" s="409" t="s">
        <v>652</v>
      </c>
      <c r="D148" s="323"/>
      <c r="E148" s="259"/>
      <c r="F148" s="411"/>
      <c r="G148" s="246"/>
      <c r="H148" s="411"/>
      <c r="I148" s="246"/>
      <c r="J148" s="411"/>
      <c r="K148" s="246"/>
      <c r="L148" s="261"/>
      <c r="M148" s="262"/>
      <c r="N148" s="246"/>
      <c r="O148" s="411"/>
      <c r="P148" s="246"/>
      <c r="Q148" s="411"/>
      <c r="R148" s="246"/>
      <c r="S148" s="261"/>
      <c r="T148" s="312"/>
      <c r="U148" s="246"/>
      <c r="V148" s="411"/>
      <c r="W148" s="246"/>
      <c r="X148" s="411"/>
      <c r="Y148" s="246"/>
      <c r="Z148" s="261"/>
      <c r="AA148" s="262"/>
      <c r="AB148" s="246"/>
      <c r="AC148" s="411"/>
      <c r="AD148" s="246"/>
      <c r="AE148" s="411"/>
      <c r="AF148" s="246"/>
      <c r="AG148" s="261"/>
      <c r="AH148" s="411"/>
      <c r="AI148" s="246"/>
      <c r="AJ148" s="411"/>
      <c r="AK148" s="246"/>
      <c r="AL148" s="411"/>
      <c r="AM148" s="246"/>
      <c r="AN148" s="261"/>
      <c r="AO148" s="262"/>
      <c r="AP148" s="246"/>
      <c r="AQ148" s="411"/>
      <c r="AR148" s="246"/>
      <c r="AS148" s="411"/>
      <c r="AT148" s="254" t="str">
        <f t="shared" si="94"/>
        <v/>
      </c>
      <c r="AU148" s="269"/>
      <c r="AV148" s="269"/>
      <c r="AW148" s="463" t="str">
        <f t="shared" ref="AW148:BD148" si="95">AW63</f>
        <v>#REF!</v>
      </c>
      <c r="AX148" s="206">
        <f t="shared" si="95"/>
        <v>5</v>
      </c>
      <c r="AY148" s="464">
        <f t="shared" si="95"/>
        <v>5</v>
      </c>
      <c r="AZ148" s="206">
        <f t="shared" si="95"/>
        <v>3</v>
      </c>
      <c r="BA148" s="206">
        <f t="shared" si="95"/>
        <v>1</v>
      </c>
      <c r="BB148" s="206">
        <f t="shared" si="95"/>
        <v>1</v>
      </c>
      <c r="BC148" s="465">
        <f t="shared" si="95"/>
        <v>120</v>
      </c>
      <c r="BD148" s="206" t="str">
        <f t="shared" si="95"/>
        <v/>
      </c>
      <c r="BE148" s="466"/>
    </row>
    <row r="149">
      <c r="A149" s="234"/>
      <c r="B149" s="401" t="s">
        <v>703</v>
      </c>
      <c r="C149" s="412" t="s">
        <v>704</v>
      </c>
      <c r="D149" s="330"/>
      <c r="E149" s="259"/>
      <c r="F149" s="307"/>
      <c r="G149" s="246"/>
      <c r="H149" s="307"/>
      <c r="I149" s="246"/>
      <c r="J149" s="307"/>
      <c r="K149" s="246"/>
      <c r="L149" s="261"/>
      <c r="M149" s="341"/>
      <c r="N149" s="246"/>
      <c r="O149" s="307"/>
      <c r="P149" s="246"/>
      <c r="Q149" s="307"/>
      <c r="R149" s="246"/>
      <c r="S149" s="261"/>
      <c r="T149" s="312"/>
      <c r="U149" s="246"/>
      <c r="V149" s="307"/>
      <c r="W149" s="246"/>
      <c r="X149" s="307"/>
      <c r="Y149" s="246"/>
      <c r="Z149" s="261"/>
      <c r="AA149" s="341"/>
      <c r="AB149" s="246"/>
      <c r="AC149" s="307"/>
      <c r="AD149" s="246"/>
      <c r="AE149" s="307"/>
      <c r="AF149" s="246"/>
      <c r="AG149" s="261"/>
      <c r="AH149" s="307"/>
      <c r="AI149" s="246"/>
      <c r="AJ149" s="307"/>
      <c r="AK149" s="246"/>
      <c r="AL149" s="307"/>
      <c r="AM149" s="246"/>
      <c r="AN149" s="261"/>
      <c r="AO149" s="341"/>
      <c r="AP149" s="246"/>
      <c r="AQ149" s="307"/>
      <c r="AR149" s="246"/>
      <c r="AS149" s="307"/>
      <c r="AT149" s="254" t="str">
        <f t="shared" ref="AT149:AT151" si="97">IF(COUNTIF($AO$85:$AT$87, #REF!) &gt; 0, "X", "")</f>
        <v/>
      </c>
      <c r="AU149" s="269"/>
      <c r="AV149" s="269"/>
      <c r="AW149" s="463" t="str">
        <f t="shared" ref="AW149:BD149" si="96">AW64</f>
        <v>#REF!</v>
      </c>
      <c r="AX149" s="206">
        <f t="shared" si="96"/>
        <v>5</v>
      </c>
      <c r="AY149" s="464">
        <f t="shared" si="96"/>
        <v>5</v>
      </c>
      <c r="AZ149" s="206">
        <f t="shared" si="96"/>
        <v>3</v>
      </c>
      <c r="BA149" s="206">
        <f t="shared" si="96"/>
        <v>1</v>
      </c>
      <c r="BB149" s="206">
        <f t="shared" si="96"/>
        <v>1</v>
      </c>
      <c r="BC149" s="465">
        <f t="shared" si="96"/>
        <v>120</v>
      </c>
      <c r="BD149" s="206" t="str">
        <f t="shared" si="96"/>
        <v/>
      </c>
      <c r="BE149" s="466"/>
    </row>
    <row r="150">
      <c r="A150" s="234"/>
      <c r="B150" s="414" t="s">
        <v>705</v>
      </c>
      <c r="C150" s="415" t="s">
        <v>704</v>
      </c>
      <c r="D150" s="330"/>
      <c r="E150" s="259"/>
      <c r="G150" s="246"/>
      <c r="H150" s="311" t="s">
        <v>394</v>
      </c>
      <c r="I150" s="246"/>
      <c r="J150" s="586" t="s">
        <v>452</v>
      </c>
      <c r="K150" s="246"/>
      <c r="L150" s="261"/>
      <c r="M150" s="341"/>
      <c r="N150" s="246"/>
      <c r="O150" s="311" t="s">
        <v>438</v>
      </c>
      <c r="P150" s="246"/>
      <c r="Q150" s="311" t="s">
        <v>410</v>
      </c>
      <c r="R150" s="246"/>
      <c r="S150" s="261"/>
      <c r="T150" s="312"/>
      <c r="U150" s="246"/>
      <c r="V150" s="311" t="s">
        <v>394</v>
      </c>
      <c r="W150" s="246"/>
      <c r="X150" s="586" t="s">
        <v>452</v>
      </c>
      <c r="Y150" s="246"/>
      <c r="Z150" s="261"/>
      <c r="AA150" s="341"/>
      <c r="AB150" s="246"/>
      <c r="AC150" s="251" t="s">
        <v>407</v>
      </c>
      <c r="AD150" s="246"/>
      <c r="AE150" s="311" t="s">
        <v>432</v>
      </c>
      <c r="AF150" s="246"/>
      <c r="AG150" s="261"/>
      <c r="AH150" s="282"/>
      <c r="AI150" s="246"/>
      <c r="AJ150" s="274" t="s">
        <v>406</v>
      </c>
      <c r="AK150" s="246"/>
      <c r="AL150" s="586" t="s">
        <v>452</v>
      </c>
      <c r="AM150" s="246"/>
      <c r="AN150" s="261"/>
      <c r="AO150" s="341"/>
      <c r="AP150" s="246"/>
      <c r="AQ150" s="311" t="s">
        <v>394</v>
      </c>
      <c r="AR150" s="246"/>
      <c r="AS150" s="374" t="s">
        <v>410</v>
      </c>
      <c r="AT150" s="254" t="str">
        <f t="shared" si="97"/>
        <v/>
      </c>
      <c r="AU150" s="269"/>
      <c r="AV150" s="269"/>
      <c r="AW150" s="463" t="str">
        <f t="shared" ref="AW150:BD150" si="98">AW65</f>
        <v>#REF!</v>
      </c>
      <c r="AX150" s="206">
        <f t="shared" si="98"/>
        <v>5</v>
      </c>
      <c r="AY150" s="464">
        <f t="shared" si="98"/>
        <v>5</v>
      </c>
      <c r="AZ150" s="206">
        <f t="shared" si="98"/>
        <v>3</v>
      </c>
      <c r="BA150" s="206">
        <f t="shared" si="98"/>
        <v>1</v>
      </c>
      <c r="BB150" s="206">
        <f t="shared" si="98"/>
        <v>1</v>
      </c>
      <c r="BC150" s="465">
        <f t="shared" si="98"/>
        <v>120</v>
      </c>
      <c r="BD150" s="206" t="str">
        <f t="shared" si="98"/>
        <v/>
      </c>
      <c r="BE150" s="466"/>
    </row>
    <row r="151">
      <c r="A151" s="94"/>
      <c r="B151" s="328" t="s">
        <v>705</v>
      </c>
      <c r="C151" s="257" t="s">
        <v>657</v>
      </c>
      <c r="D151" s="330"/>
      <c r="E151" s="259"/>
      <c r="F151" s="251" t="s">
        <v>706</v>
      </c>
      <c r="G151" s="246"/>
      <c r="H151" s="311" t="s">
        <v>438</v>
      </c>
      <c r="I151" s="246"/>
      <c r="J151" s="251" t="s">
        <v>432</v>
      </c>
      <c r="K151" s="246"/>
      <c r="L151" s="261"/>
      <c r="M151" s="341"/>
      <c r="N151" s="246"/>
      <c r="O151" s="251" t="s">
        <v>407</v>
      </c>
      <c r="P151" s="246"/>
      <c r="Q151" s="251" t="s">
        <v>706</v>
      </c>
      <c r="R151" s="246"/>
      <c r="S151" s="261"/>
      <c r="T151" s="312"/>
      <c r="U151" s="246"/>
      <c r="V151" s="251" t="s">
        <v>440</v>
      </c>
      <c r="W151" s="246"/>
      <c r="X151" s="251" t="s">
        <v>706</v>
      </c>
      <c r="Y151" s="246"/>
      <c r="Z151" s="261"/>
      <c r="AA151" s="341"/>
      <c r="AB151" s="246"/>
      <c r="AC151" s="251" t="s">
        <v>440</v>
      </c>
      <c r="AD151" s="246"/>
      <c r="AE151" s="251" t="s">
        <v>706</v>
      </c>
      <c r="AF151" s="246"/>
      <c r="AG151" s="261"/>
      <c r="AH151" s="251" t="s">
        <v>706</v>
      </c>
      <c r="AI151" s="246"/>
      <c r="AJ151" s="311" t="s">
        <v>394</v>
      </c>
      <c r="AK151" s="246"/>
      <c r="AL151" s="251" t="s">
        <v>432</v>
      </c>
      <c r="AM151" s="246"/>
      <c r="AN151" s="261"/>
      <c r="AO151" s="341"/>
      <c r="AP151" s="246"/>
      <c r="AQ151" s="606" t="s">
        <v>470</v>
      </c>
      <c r="AR151" s="246"/>
      <c r="AT151" s="254" t="str">
        <f t="shared" si="97"/>
        <v/>
      </c>
      <c r="AU151" s="269"/>
      <c r="AV151" s="269"/>
      <c r="AW151" s="463" t="str">
        <f t="shared" ref="AW151:BD151" si="99">AW66</f>
        <v>#REF!</v>
      </c>
      <c r="AX151" s="206">
        <f t="shared" si="99"/>
        <v>5</v>
      </c>
      <c r="AY151" s="464">
        <f t="shared" si="99"/>
        <v>5</v>
      </c>
      <c r="AZ151" s="206">
        <f t="shared" si="99"/>
        <v>3</v>
      </c>
      <c r="BA151" s="206">
        <f t="shared" si="99"/>
        <v>1</v>
      </c>
      <c r="BB151" s="206">
        <f t="shared" si="99"/>
        <v>1</v>
      </c>
      <c r="BC151" s="465">
        <f t="shared" si="99"/>
        <v>120</v>
      </c>
      <c r="BD151" s="206" t="str">
        <f t="shared" si="99"/>
        <v/>
      </c>
      <c r="BE151" s="466"/>
    </row>
    <row r="152">
      <c r="A152" s="94"/>
      <c r="B152" s="277" t="s">
        <v>705</v>
      </c>
      <c r="C152" s="329" t="s">
        <v>685</v>
      </c>
      <c r="D152" s="369"/>
      <c r="E152" s="259"/>
      <c r="F152" s="311" t="s">
        <v>470</v>
      </c>
      <c r="G152" s="246"/>
      <c r="H152" s="251" t="s">
        <v>440</v>
      </c>
      <c r="I152" s="246"/>
      <c r="J152" s="311" t="s">
        <v>467</v>
      </c>
      <c r="K152" s="246"/>
      <c r="L152" s="261"/>
      <c r="M152" s="341"/>
      <c r="N152" s="246"/>
      <c r="O152" s="251" t="s">
        <v>440</v>
      </c>
      <c r="P152" s="246"/>
      <c r="Q152" s="311" t="s">
        <v>470</v>
      </c>
      <c r="R152" s="246"/>
      <c r="S152" s="261"/>
      <c r="T152" s="312"/>
      <c r="U152" s="246"/>
      <c r="V152" s="251" t="s">
        <v>407</v>
      </c>
      <c r="W152" s="246"/>
      <c r="X152" s="311" t="s">
        <v>467</v>
      </c>
      <c r="Y152" s="246"/>
      <c r="Z152" s="261"/>
      <c r="AA152" s="341"/>
      <c r="AB152" s="246"/>
      <c r="AC152" s="325" t="s">
        <v>857</v>
      </c>
      <c r="AD152" s="246"/>
      <c r="AE152" s="311" t="s">
        <v>467</v>
      </c>
      <c r="AF152" s="246"/>
      <c r="AG152" s="261"/>
      <c r="AH152" s="311" t="s">
        <v>470</v>
      </c>
      <c r="AI152" s="246"/>
      <c r="AJ152" s="251" t="s">
        <v>440</v>
      </c>
      <c r="AK152" s="246"/>
      <c r="AL152" s="311" t="s">
        <v>467</v>
      </c>
      <c r="AM152" s="246"/>
      <c r="AN152" s="261"/>
      <c r="AO152" s="341"/>
      <c r="AP152" s="246"/>
      <c r="AR152" s="246"/>
      <c r="AT152" s="254" t="str">
        <f>IF(COUNTIF($AO$85:$AT$87, AO151) &gt; 0, "X", "")</f>
        <v/>
      </c>
      <c r="AU152" s="269"/>
      <c r="AV152" s="269"/>
      <c r="AW152" s="463" t="str">
        <f t="shared" ref="AW152:BD152" si="100">AW67</f>
        <v>#REF!</v>
      </c>
      <c r="AX152" s="206">
        <f t="shared" si="100"/>
        <v>5</v>
      </c>
      <c r="AY152" s="464">
        <f t="shared" si="100"/>
        <v>5</v>
      </c>
      <c r="AZ152" s="206">
        <f t="shared" si="100"/>
        <v>3</v>
      </c>
      <c r="BA152" s="206">
        <f t="shared" si="100"/>
        <v>1</v>
      </c>
      <c r="BB152" s="206">
        <f t="shared" si="100"/>
        <v>1</v>
      </c>
      <c r="BC152" s="465">
        <f t="shared" si="100"/>
        <v>120</v>
      </c>
      <c r="BD152" s="206" t="str">
        <f t="shared" si="100"/>
        <v/>
      </c>
      <c r="BE152" s="466"/>
    </row>
    <row r="153">
      <c r="A153" s="94"/>
      <c r="B153" s="271" t="s">
        <v>705</v>
      </c>
      <c r="C153" s="272" t="s">
        <v>687</v>
      </c>
      <c r="D153" s="330"/>
      <c r="E153" s="259"/>
      <c r="F153" s="282"/>
      <c r="G153" s="246"/>
      <c r="H153" s="282"/>
      <c r="I153" s="246"/>
      <c r="J153" s="282"/>
      <c r="K153" s="246"/>
      <c r="L153" s="261"/>
      <c r="M153" s="341"/>
      <c r="N153" s="246"/>
      <c r="P153" s="246"/>
      <c r="R153" s="246"/>
      <c r="S153" s="261"/>
      <c r="T153" s="312"/>
      <c r="U153" s="246"/>
      <c r="W153" s="246"/>
      <c r="Y153" s="246"/>
      <c r="Z153" s="261"/>
      <c r="AA153" s="341"/>
      <c r="AB153" s="246"/>
      <c r="AC153" s="325" t="s">
        <v>841</v>
      </c>
      <c r="AD153" s="246"/>
      <c r="AF153" s="246"/>
      <c r="AG153" s="261"/>
      <c r="AH153" s="282"/>
      <c r="AI153" s="246"/>
      <c r="AJ153" s="325" t="s">
        <v>841</v>
      </c>
      <c r="AK153" s="246"/>
      <c r="AM153" s="246"/>
      <c r="AN153" s="261"/>
      <c r="AO153" s="341"/>
      <c r="AP153" s="246"/>
      <c r="AQ153" s="325" t="s">
        <v>841</v>
      </c>
      <c r="AR153" s="246"/>
      <c r="AS153" s="586" t="s">
        <v>452</v>
      </c>
      <c r="AT153" s="254" t="str">
        <f t="shared" ref="AT153:AT154" si="102">IF(COUNTIF($AO$85:$AT$87, #REF!) &gt; 0, "X", "")</f>
        <v/>
      </c>
      <c r="AU153" s="269"/>
      <c r="AV153" s="269"/>
      <c r="AW153" s="463" t="str">
        <f t="shared" ref="AW153:BD153" si="101">AW68</f>
        <v>#REF!</v>
      </c>
      <c r="AX153" s="206">
        <f t="shared" si="101"/>
        <v>5</v>
      </c>
      <c r="AY153" s="464">
        <f t="shared" si="101"/>
        <v>5</v>
      </c>
      <c r="AZ153" s="206">
        <f t="shared" si="101"/>
        <v>3</v>
      </c>
      <c r="BA153" s="206">
        <f t="shared" si="101"/>
        <v>1</v>
      </c>
      <c r="BB153" s="206">
        <f t="shared" si="101"/>
        <v>1</v>
      </c>
      <c r="BC153" s="465">
        <f t="shared" si="101"/>
        <v>120</v>
      </c>
      <c r="BD153" s="206" t="str">
        <f t="shared" si="101"/>
        <v/>
      </c>
      <c r="BE153" s="466"/>
    </row>
    <row r="154">
      <c r="A154" s="270"/>
      <c r="B154" s="397" t="s">
        <v>708</v>
      </c>
      <c r="C154" s="398" t="s">
        <v>654</v>
      </c>
      <c r="D154" s="330"/>
      <c r="E154" s="259"/>
      <c r="F154" s="275"/>
      <c r="G154" s="246"/>
      <c r="I154" s="246"/>
      <c r="J154" s="374" t="s">
        <v>446</v>
      </c>
      <c r="K154" s="246"/>
      <c r="L154" s="261"/>
      <c r="M154" s="286"/>
      <c r="N154" s="246"/>
      <c r="O154" s="384" t="s">
        <v>441</v>
      </c>
      <c r="P154" s="246"/>
      <c r="Q154" s="374" t="s">
        <v>446</v>
      </c>
      <c r="R154" s="246"/>
      <c r="S154" s="261"/>
      <c r="T154" s="312"/>
      <c r="U154" s="246"/>
      <c r="V154" s="365" t="s">
        <v>469</v>
      </c>
      <c r="W154" s="246"/>
      <c r="X154" s="384" t="s">
        <v>441</v>
      </c>
      <c r="Y154" s="246"/>
      <c r="Z154" s="261"/>
      <c r="AA154" s="286"/>
      <c r="AB154" s="246"/>
      <c r="AC154" s="384" t="s">
        <v>441</v>
      </c>
      <c r="AD154" s="246"/>
      <c r="AE154" s="311" t="s">
        <v>446</v>
      </c>
      <c r="AF154" s="246"/>
      <c r="AG154" s="261"/>
      <c r="AH154" s="374" t="s">
        <v>446</v>
      </c>
      <c r="AI154" s="246"/>
      <c r="AJ154" s="384" t="s">
        <v>441</v>
      </c>
      <c r="AK154" s="246"/>
      <c r="AM154" s="246"/>
      <c r="AN154" s="261"/>
      <c r="AO154" s="286"/>
      <c r="AP154" s="246"/>
      <c r="AQ154" s="365" t="s">
        <v>469</v>
      </c>
      <c r="AR154" s="246"/>
      <c r="AS154" s="374" t="s">
        <v>446</v>
      </c>
      <c r="AT154" s="254" t="str">
        <f t="shared" si="102"/>
        <v/>
      </c>
      <c r="AU154" s="269"/>
      <c r="AV154" s="269"/>
      <c r="AW154" s="463" t="str">
        <f t="shared" ref="AW154:BD154" si="103">AW69</f>
        <v>#REF!</v>
      </c>
      <c r="AX154" s="206">
        <f t="shared" si="103"/>
        <v>5</v>
      </c>
      <c r="AY154" s="464">
        <f t="shared" si="103"/>
        <v>5</v>
      </c>
      <c r="AZ154" s="206">
        <f t="shared" si="103"/>
        <v>3</v>
      </c>
      <c r="BA154" s="206">
        <f t="shared" si="103"/>
        <v>1</v>
      </c>
      <c r="BB154" s="206">
        <f t="shared" si="103"/>
        <v>1</v>
      </c>
      <c r="BC154" s="465">
        <f t="shared" si="103"/>
        <v>120</v>
      </c>
      <c r="BD154" s="206" t="str">
        <f t="shared" si="103"/>
        <v/>
      </c>
      <c r="BE154" s="466"/>
    </row>
    <row r="155">
      <c r="A155" s="94"/>
      <c r="B155" s="277" t="s">
        <v>709</v>
      </c>
      <c r="C155" s="278" t="s">
        <v>710</v>
      </c>
      <c r="D155" s="323"/>
      <c r="E155" s="259"/>
      <c r="F155" s="281"/>
      <c r="G155" s="246"/>
      <c r="H155" s="282"/>
      <c r="I155" s="246"/>
      <c r="J155" s="384" t="s">
        <v>441</v>
      </c>
      <c r="K155" s="246"/>
      <c r="L155" s="261"/>
      <c r="M155" s="341"/>
      <c r="N155" s="246"/>
      <c r="O155" s="281"/>
      <c r="P155" s="246"/>
      <c r="R155" s="246"/>
      <c r="S155" s="261"/>
      <c r="T155" s="312"/>
      <c r="U155" s="246"/>
      <c r="V155" s="282"/>
      <c r="W155" s="246"/>
      <c r="X155" s="282"/>
      <c r="Y155" s="246"/>
      <c r="Z155" s="261"/>
      <c r="AA155" s="341"/>
      <c r="AB155" s="246"/>
      <c r="AC155" s="282"/>
      <c r="AD155" s="246"/>
      <c r="AE155" s="282"/>
      <c r="AF155" s="246"/>
      <c r="AG155" s="261"/>
      <c r="AH155" s="281"/>
      <c r="AI155" s="246"/>
      <c r="AJ155" s="281"/>
      <c r="AK155" s="246"/>
      <c r="AL155" s="282"/>
      <c r="AM155" s="246"/>
      <c r="AN155" s="261"/>
      <c r="AO155" s="250"/>
      <c r="AP155" s="246"/>
      <c r="AQ155" s="281"/>
      <c r="AR155" s="246"/>
      <c r="AS155" s="281"/>
      <c r="AT155" s="254" t="str">
        <f>IF(COUNTIF($AO$85:$AT$87, AS155) &gt; 0, "X", "")</f>
        <v/>
      </c>
      <c r="AU155" s="269"/>
      <c r="AV155" s="269"/>
      <c r="AW155" s="463" t="str">
        <f t="shared" ref="AW155:BD155" si="104">AW70</f>
        <v>#REF!</v>
      </c>
      <c r="AX155" s="206">
        <f t="shared" si="104"/>
        <v>5</v>
      </c>
      <c r="AY155" s="464">
        <f t="shared" si="104"/>
        <v>5</v>
      </c>
      <c r="AZ155" s="206">
        <f t="shared" si="104"/>
        <v>3</v>
      </c>
      <c r="BA155" s="206">
        <f t="shared" si="104"/>
        <v>1</v>
      </c>
      <c r="BB155" s="206">
        <f t="shared" si="104"/>
        <v>1</v>
      </c>
      <c r="BC155" s="465">
        <f t="shared" si="104"/>
        <v>120</v>
      </c>
      <c r="BD155" s="206" t="str">
        <f t="shared" si="104"/>
        <v/>
      </c>
      <c r="BE155" s="466"/>
    </row>
    <row r="156">
      <c r="A156" s="94"/>
      <c r="B156" s="271" t="s">
        <v>712</v>
      </c>
      <c r="C156" s="272" t="s">
        <v>710</v>
      </c>
      <c r="D156" s="323"/>
      <c r="E156" s="259"/>
      <c r="G156" s="607"/>
      <c r="I156" s="607"/>
      <c r="K156" s="432"/>
      <c r="L156" s="462"/>
      <c r="M156" s="341"/>
      <c r="N156" s="607"/>
      <c r="P156" s="607"/>
      <c r="R156" s="432"/>
      <c r="S156" s="462"/>
      <c r="T156" s="312"/>
      <c r="U156" s="607"/>
      <c r="W156" s="607"/>
      <c r="Y156" s="432"/>
      <c r="Z156" s="462"/>
      <c r="AA156" s="341"/>
      <c r="AB156" s="607"/>
      <c r="AD156" s="607"/>
      <c r="AF156" s="432"/>
      <c r="AG156" s="462"/>
      <c r="AI156" s="607"/>
      <c r="AK156" s="607"/>
      <c r="AM156" s="432"/>
      <c r="AN156" s="462"/>
      <c r="AO156" s="250"/>
      <c r="AP156" s="607"/>
      <c r="AR156" s="607"/>
      <c r="AT156" s="430"/>
      <c r="AU156" s="269"/>
      <c r="AV156" s="269"/>
      <c r="AW156" s="463" t="str">
        <f t="shared" ref="AW156:BD156" si="105">AW71</f>
        <v>#REF!</v>
      </c>
      <c r="AX156" s="206">
        <f t="shared" si="105"/>
        <v>5</v>
      </c>
      <c r="AY156" s="464">
        <f t="shared" si="105"/>
        <v>5</v>
      </c>
      <c r="AZ156" s="206">
        <f t="shared" si="105"/>
        <v>3</v>
      </c>
      <c r="BA156" s="206">
        <f t="shared" si="105"/>
        <v>1</v>
      </c>
      <c r="BB156" s="206">
        <f t="shared" si="105"/>
        <v>1</v>
      </c>
      <c r="BC156" s="465">
        <f t="shared" si="105"/>
        <v>120</v>
      </c>
      <c r="BD156" s="206" t="str">
        <f t="shared" si="105"/>
        <v/>
      </c>
      <c r="BE156" s="466"/>
    </row>
    <row r="157">
      <c r="A157" s="94"/>
      <c r="B157" s="429" t="s">
        <v>714</v>
      </c>
      <c r="C157" s="430"/>
      <c r="D157" s="323"/>
      <c r="E157" s="259"/>
      <c r="F157" s="5"/>
      <c r="G157" s="432"/>
      <c r="H157" s="5"/>
      <c r="I157" s="432"/>
      <c r="J157" s="589"/>
      <c r="K157" s="246"/>
      <c r="L157" s="261"/>
      <c r="M157" s="432"/>
      <c r="N157" s="433"/>
      <c r="O157" s="5"/>
      <c r="P157" s="432"/>
      <c r="Q157" s="5"/>
      <c r="R157" s="246"/>
      <c r="S157" s="261"/>
      <c r="T157" s="5"/>
      <c r="U157" s="433"/>
      <c r="V157" s="591"/>
      <c r="W157" s="432"/>
      <c r="X157" s="5"/>
      <c r="Y157" s="246"/>
      <c r="Z157" s="261"/>
      <c r="AA157" s="432"/>
      <c r="AB157" s="433"/>
      <c r="AC157" s="5"/>
      <c r="AD157" s="432"/>
      <c r="AE157" s="5"/>
      <c r="AF157" s="246"/>
      <c r="AG157" s="261"/>
      <c r="AH157" s="5"/>
      <c r="AI157" s="433"/>
      <c r="AJ157" s="591"/>
      <c r="AK157" s="432"/>
      <c r="AL157" s="589"/>
      <c r="AM157" s="246"/>
      <c r="AN157" s="261"/>
      <c r="AO157" s="432"/>
      <c r="AP157" s="433"/>
      <c r="AQ157" s="589"/>
      <c r="AR157" s="432"/>
      <c r="AS157" s="5"/>
      <c r="AT157" s="254" t="str">
        <f>IF(COUNTIF($AO$85:$AT$87, #REF!) &gt; 0, "X", "")</f>
        <v/>
      </c>
      <c r="AU157" s="269"/>
      <c r="AV157" s="269"/>
      <c r="AW157" s="463" t="str">
        <f t="shared" ref="AW157:BD157" si="106">AW72</f>
        <v>#REF!</v>
      </c>
      <c r="AX157" s="206">
        <f t="shared" si="106"/>
        <v>5</v>
      </c>
      <c r="AY157" s="464">
        <f t="shared" si="106"/>
        <v>5</v>
      </c>
      <c r="AZ157" s="206">
        <f t="shared" si="106"/>
        <v>3</v>
      </c>
      <c r="BA157" s="206">
        <f t="shared" si="106"/>
        <v>1</v>
      </c>
      <c r="BB157" s="206">
        <f t="shared" si="106"/>
        <v>1</v>
      </c>
      <c r="BC157" s="465">
        <f t="shared" si="106"/>
        <v>120</v>
      </c>
      <c r="BD157" s="206" t="str">
        <f t="shared" si="106"/>
        <v/>
      </c>
      <c r="BE157" s="466"/>
    </row>
    <row r="158">
      <c r="A158" s="94"/>
      <c r="B158" s="401" t="s">
        <v>715</v>
      </c>
      <c r="C158" s="412" t="s">
        <v>716</v>
      </c>
      <c r="D158" s="323"/>
      <c r="E158" s="259"/>
      <c r="F158" s="434"/>
      <c r="G158" s="246"/>
      <c r="H158" s="434" t="s">
        <v>403</v>
      </c>
      <c r="I158" s="246"/>
      <c r="J158" s="434"/>
      <c r="K158" s="246"/>
      <c r="L158" s="261"/>
      <c r="M158" s="434"/>
      <c r="N158" s="246"/>
      <c r="O158" s="434" t="s">
        <v>403</v>
      </c>
      <c r="P158" s="246"/>
      <c r="Q158" s="434"/>
      <c r="R158" s="246"/>
      <c r="S158" s="261"/>
      <c r="T158" s="434"/>
      <c r="U158" s="246"/>
      <c r="V158" s="434" t="s">
        <v>403</v>
      </c>
      <c r="W158" s="246"/>
      <c r="X158" s="434" t="s">
        <v>858</v>
      </c>
      <c r="Y158" s="246"/>
      <c r="Z158" s="261"/>
      <c r="AA158" s="434"/>
      <c r="AB158" s="246"/>
      <c r="AC158" s="434" t="s">
        <v>403</v>
      </c>
      <c r="AD158" s="246"/>
      <c r="AE158" s="502" t="s">
        <v>858</v>
      </c>
      <c r="AF158" s="246"/>
      <c r="AG158" s="261"/>
      <c r="AH158" s="434"/>
      <c r="AI158" s="246"/>
      <c r="AJ158" s="434" t="str">
        <f>TEAM!B71</f>
        <v>#REF!</v>
      </c>
      <c r="AK158" s="246"/>
      <c r="AL158" s="434"/>
      <c r="AM158" s="246"/>
      <c r="AN158" s="261"/>
      <c r="AO158" s="434"/>
      <c r="AP158" s="246"/>
      <c r="AQ158" s="434" t="str">
        <f>TEAM!B71</f>
        <v>#REF!</v>
      </c>
      <c r="AR158" s="246"/>
      <c r="AS158" s="434"/>
      <c r="AT158" s="254" t="str">
        <f t="shared" ref="AT158:AT169" si="108">IF(COUNTIF($AO$85:$AT$87, AS158) &gt; 0, "X", "")</f>
        <v/>
      </c>
      <c r="AU158" s="269"/>
      <c r="AV158" s="269"/>
      <c r="AW158" s="463" t="str">
        <f t="shared" ref="AW158:BD158" si="107">AW73</f>
        <v>#REF!</v>
      </c>
      <c r="AX158" s="206">
        <f t="shared" si="107"/>
        <v>5</v>
      </c>
      <c r="AY158" s="464">
        <f t="shared" si="107"/>
        <v>5</v>
      </c>
      <c r="AZ158" s="206">
        <f t="shared" si="107"/>
        <v>3</v>
      </c>
      <c r="BA158" s="206">
        <f t="shared" si="107"/>
        <v>1</v>
      </c>
      <c r="BB158" s="206">
        <f t="shared" si="107"/>
        <v>1</v>
      </c>
      <c r="BC158" s="465">
        <f t="shared" si="107"/>
        <v>120</v>
      </c>
      <c r="BD158" s="206" t="str">
        <f t="shared" si="107"/>
        <v/>
      </c>
      <c r="BE158" s="466"/>
    </row>
    <row r="159">
      <c r="A159" s="94"/>
      <c r="B159" s="401" t="s">
        <v>843</v>
      </c>
      <c r="C159" s="412" t="s">
        <v>716</v>
      </c>
      <c r="D159" s="363"/>
      <c r="E159" s="259"/>
      <c r="G159" s="246"/>
      <c r="H159" s="434" t="str">
        <f>TEAM!B71</f>
        <v>#REF!</v>
      </c>
      <c r="I159" s="246"/>
      <c r="J159" s="406"/>
      <c r="K159" s="246"/>
      <c r="L159" s="261"/>
      <c r="M159" s="406"/>
      <c r="N159" s="246"/>
      <c r="O159" s="434" t="str">
        <f>TEAM!B71</f>
        <v>#REF!</v>
      </c>
      <c r="P159" s="246"/>
      <c r="R159" s="246"/>
      <c r="S159" s="261"/>
      <c r="T159" s="406"/>
      <c r="U159" s="246"/>
      <c r="W159" s="246"/>
      <c r="X159" s="406"/>
      <c r="Y159" s="246"/>
      <c r="Z159" s="261"/>
      <c r="AB159" s="246"/>
      <c r="AC159" s="434" t="str">
        <f>TEAM!B71</f>
        <v>#REF!</v>
      </c>
      <c r="AD159" s="246"/>
      <c r="AE159" s="406"/>
      <c r="AF159" s="246"/>
      <c r="AG159" s="261"/>
      <c r="AH159" s="406"/>
      <c r="AI159" s="246"/>
      <c r="AJ159" s="434"/>
      <c r="AK159" s="246"/>
      <c r="AL159" s="406"/>
      <c r="AM159" s="246"/>
      <c r="AN159" s="261"/>
      <c r="AO159" s="406"/>
      <c r="AP159" s="246"/>
      <c r="AQ159" s="434"/>
      <c r="AR159" s="246"/>
      <c r="AS159" s="406"/>
      <c r="AT159" s="254" t="str">
        <f t="shared" si="108"/>
        <v/>
      </c>
      <c r="AU159" s="269"/>
      <c r="AV159" s="269"/>
      <c r="AW159" s="463" t="str">
        <f t="shared" ref="AW159:BD159" si="109">AW74</f>
        <v>#REF!</v>
      </c>
      <c r="AX159" s="206">
        <f t="shared" si="109"/>
        <v>5</v>
      </c>
      <c r="AY159" s="464">
        <f t="shared" si="109"/>
        <v>5</v>
      </c>
      <c r="AZ159" s="206">
        <f t="shared" si="109"/>
        <v>3</v>
      </c>
      <c r="BA159" s="206">
        <f t="shared" si="109"/>
        <v>1</v>
      </c>
      <c r="BB159" s="206">
        <f t="shared" si="109"/>
        <v>1</v>
      </c>
      <c r="BC159" s="465">
        <f t="shared" si="109"/>
        <v>120</v>
      </c>
      <c r="BD159" s="206" t="str">
        <f t="shared" si="109"/>
        <v/>
      </c>
      <c r="BE159" s="466"/>
    </row>
    <row r="160">
      <c r="A160" s="94"/>
      <c r="B160" s="435" t="s">
        <v>717</v>
      </c>
      <c r="C160" s="415" t="s">
        <v>718</v>
      </c>
      <c r="D160" s="330"/>
      <c r="E160" s="259"/>
      <c r="F160" s="406"/>
      <c r="G160" s="246"/>
      <c r="H160" s="406" t="s">
        <v>442</v>
      </c>
      <c r="I160" s="246"/>
      <c r="J160" s="406"/>
      <c r="K160" s="246"/>
      <c r="L160" s="261"/>
      <c r="M160" s="406"/>
      <c r="N160" s="246"/>
      <c r="O160" s="406" t="s">
        <v>442</v>
      </c>
      <c r="P160" s="246"/>
      <c r="Q160" s="406"/>
      <c r="R160" s="246"/>
      <c r="S160" s="261"/>
      <c r="T160" s="406"/>
      <c r="U160" s="246"/>
      <c r="V160" s="406" t="s">
        <v>442</v>
      </c>
      <c r="W160" s="246"/>
      <c r="X160" s="406"/>
      <c r="Y160" s="246"/>
      <c r="Z160" s="261"/>
      <c r="AA160" s="406"/>
      <c r="AB160" s="246"/>
      <c r="AC160" s="406" t="s">
        <v>442</v>
      </c>
      <c r="AD160" s="246"/>
      <c r="AE160" s="406"/>
      <c r="AF160" s="246"/>
      <c r="AG160" s="261"/>
      <c r="AH160" s="406"/>
      <c r="AI160" s="246"/>
      <c r="AJ160" s="406" t="s">
        <v>442</v>
      </c>
      <c r="AK160" s="246"/>
      <c r="AL160" s="406"/>
      <c r="AM160" s="246"/>
      <c r="AN160" s="261"/>
      <c r="AO160" s="406"/>
      <c r="AP160" s="246"/>
      <c r="AQ160" s="406" t="s">
        <v>454</v>
      </c>
      <c r="AR160" s="246"/>
      <c r="AS160" s="406"/>
      <c r="AT160" s="254" t="str">
        <f t="shared" si="108"/>
        <v/>
      </c>
      <c r="AU160" s="269"/>
      <c r="AV160" s="269"/>
      <c r="AW160" s="463" t="str">
        <f t="shared" ref="AW160:BD160" si="110">AW75</f>
        <v>#REF!</v>
      </c>
      <c r="AX160" s="206">
        <f t="shared" si="110"/>
        <v>5</v>
      </c>
      <c r="AY160" s="464">
        <f t="shared" si="110"/>
        <v>5</v>
      </c>
      <c r="AZ160" s="206">
        <f t="shared" si="110"/>
        <v>3</v>
      </c>
      <c r="BA160" s="206">
        <f t="shared" si="110"/>
        <v>1</v>
      </c>
      <c r="BB160" s="206">
        <f t="shared" si="110"/>
        <v>1</v>
      </c>
      <c r="BC160" s="465">
        <f t="shared" si="110"/>
        <v>120</v>
      </c>
      <c r="BD160" s="206" t="str">
        <f t="shared" si="110"/>
        <v/>
      </c>
      <c r="BE160" s="466"/>
    </row>
    <row r="161">
      <c r="A161" s="94"/>
      <c r="B161" s="436" t="s">
        <v>719</v>
      </c>
      <c r="C161" s="437" t="s">
        <v>720</v>
      </c>
      <c r="D161" s="330"/>
      <c r="E161" s="259"/>
      <c r="F161" s="406"/>
      <c r="G161" s="246"/>
      <c r="H161" s="406" t="s">
        <v>463</v>
      </c>
      <c r="I161" s="246"/>
      <c r="J161" s="406"/>
      <c r="K161" s="246"/>
      <c r="L161" s="261"/>
      <c r="M161" s="406"/>
      <c r="N161" s="246"/>
      <c r="O161" s="406" t="s">
        <v>463</v>
      </c>
      <c r="P161" s="246"/>
      <c r="Q161" s="406"/>
      <c r="R161" s="246"/>
      <c r="S161" s="261"/>
      <c r="T161" s="406"/>
      <c r="U161" s="246"/>
      <c r="V161" s="406" t="s">
        <v>463</v>
      </c>
      <c r="W161" s="246"/>
      <c r="X161" s="406"/>
      <c r="Y161" s="246"/>
      <c r="Z161" s="261"/>
      <c r="AA161" s="406"/>
      <c r="AB161" s="246"/>
      <c r="AC161" s="406" t="s">
        <v>454</v>
      </c>
      <c r="AD161" s="246"/>
      <c r="AE161" s="502"/>
      <c r="AF161" s="246"/>
      <c r="AG161" s="261"/>
      <c r="AH161" s="406"/>
      <c r="AI161" s="246"/>
      <c r="AJ161" s="406" t="s">
        <v>454</v>
      </c>
      <c r="AK161" s="246"/>
      <c r="AL161" s="406"/>
      <c r="AM161" s="246"/>
      <c r="AN161" s="261"/>
      <c r="AO161" s="406"/>
      <c r="AP161" s="246"/>
      <c r="AQ161" s="406" t="s">
        <v>463</v>
      </c>
      <c r="AR161" s="246"/>
      <c r="AS161" s="406"/>
      <c r="AT161" s="254" t="str">
        <f t="shared" si="108"/>
        <v/>
      </c>
      <c r="AU161" s="269"/>
      <c r="AV161" s="269"/>
      <c r="AW161" s="463" t="str">
        <f t="shared" ref="AW161:BD161" si="111">AW76</f>
        <v>#REF!</v>
      </c>
      <c r="AX161" s="206">
        <f t="shared" si="111"/>
        <v>5</v>
      </c>
      <c r="AY161" s="464">
        <f t="shared" si="111"/>
        <v>5</v>
      </c>
      <c r="AZ161" s="206">
        <f t="shared" si="111"/>
        <v>3</v>
      </c>
      <c r="BA161" s="206">
        <f t="shared" si="111"/>
        <v>1</v>
      </c>
      <c r="BB161" s="206">
        <f t="shared" si="111"/>
        <v>1</v>
      </c>
      <c r="BC161" s="465">
        <f t="shared" si="111"/>
        <v>120</v>
      </c>
      <c r="BD161" s="206" t="str">
        <f t="shared" si="111"/>
        <v/>
      </c>
      <c r="BE161" s="466"/>
    </row>
    <row r="162">
      <c r="A162" s="94"/>
      <c r="B162" s="439" t="s">
        <v>721</v>
      </c>
      <c r="C162" s="440" t="s">
        <v>722</v>
      </c>
      <c r="D162" s="330"/>
      <c r="E162" s="259"/>
      <c r="F162" s="406" t="s">
        <v>859</v>
      </c>
      <c r="G162" s="246"/>
      <c r="H162" s="608" t="s">
        <v>860</v>
      </c>
      <c r="I162" s="246"/>
      <c r="J162" s="406" t="s">
        <v>858</v>
      </c>
      <c r="K162" s="246"/>
      <c r="L162" s="261"/>
      <c r="M162" s="441"/>
      <c r="N162" s="246"/>
      <c r="O162" s="206" t="s">
        <v>844</v>
      </c>
      <c r="P162" s="246"/>
      <c r="Q162" s="441"/>
      <c r="R162" s="246"/>
      <c r="S162" s="261"/>
      <c r="T162" s="441"/>
      <c r="U162" s="246"/>
      <c r="V162" s="406" t="s">
        <v>454</v>
      </c>
      <c r="W162" s="246"/>
      <c r="X162" s="441"/>
      <c r="Y162" s="246"/>
      <c r="Z162" s="261"/>
      <c r="AA162" s="441"/>
      <c r="AB162" s="246"/>
      <c r="AC162" s="206" t="s">
        <v>844</v>
      </c>
      <c r="AD162" s="246"/>
      <c r="AE162" s="441"/>
      <c r="AF162" s="246"/>
      <c r="AG162" s="261"/>
      <c r="AH162" s="441"/>
      <c r="AI162" s="246"/>
      <c r="AJ162" s="206" t="s">
        <v>844</v>
      </c>
      <c r="AK162" s="246"/>
      <c r="AL162" s="406" t="s">
        <v>858</v>
      </c>
      <c r="AM162" s="246"/>
      <c r="AN162" s="261"/>
      <c r="AO162" s="441"/>
      <c r="AP162" s="246"/>
      <c r="AQ162" s="406"/>
      <c r="AR162" s="246"/>
      <c r="AS162" s="441"/>
      <c r="AT162" s="254" t="str">
        <f t="shared" si="108"/>
        <v/>
      </c>
      <c r="AU162" s="269"/>
      <c r="AV162" s="269"/>
      <c r="AW162" s="463" t="str">
        <f t="shared" ref="AW162:BD162" si="112">AW77</f>
        <v>#REF!</v>
      </c>
      <c r="AX162" s="206">
        <f t="shared" si="112"/>
        <v>5</v>
      </c>
      <c r="AY162" s="464">
        <f t="shared" si="112"/>
        <v>5</v>
      </c>
      <c r="AZ162" s="206">
        <f t="shared" si="112"/>
        <v>3</v>
      </c>
      <c r="BA162" s="206">
        <f t="shared" si="112"/>
        <v>1</v>
      </c>
      <c r="BB162" s="206">
        <f t="shared" si="112"/>
        <v>1</v>
      </c>
      <c r="BC162" s="465">
        <f t="shared" si="112"/>
        <v>120</v>
      </c>
      <c r="BD162" s="206" t="str">
        <f t="shared" si="112"/>
        <v/>
      </c>
      <c r="BE162" s="466"/>
    </row>
    <row r="163">
      <c r="A163" s="94"/>
      <c r="B163" s="439" t="s">
        <v>723</v>
      </c>
      <c r="C163" s="440" t="s">
        <v>724</v>
      </c>
      <c r="D163" s="330"/>
      <c r="E163" s="259"/>
      <c r="F163" s="441"/>
      <c r="G163" s="246"/>
      <c r="H163" s="406" t="s">
        <v>460</v>
      </c>
      <c r="I163" s="246"/>
      <c r="J163" s="441"/>
      <c r="K163" s="246"/>
      <c r="L163" s="261"/>
      <c r="M163" s="441"/>
      <c r="N163" s="246"/>
      <c r="O163" s="406" t="s">
        <v>454</v>
      </c>
      <c r="P163" s="246"/>
      <c r="Q163" s="441"/>
      <c r="R163" s="246"/>
      <c r="S163" s="261"/>
      <c r="T163" s="406" t="s">
        <v>847</v>
      </c>
      <c r="U163" s="246"/>
      <c r="V163" s="609" t="s">
        <v>861</v>
      </c>
      <c r="W163" s="246"/>
      <c r="X163" s="441"/>
      <c r="Y163" s="246"/>
      <c r="Z163" s="261"/>
      <c r="AA163" s="441"/>
      <c r="AB163" s="246"/>
      <c r="AC163" s="406" t="s">
        <v>460</v>
      </c>
      <c r="AD163" s="246"/>
      <c r="AE163" s="441"/>
      <c r="AF163" s="246"/>
      <c r="AG163" s="261"/>
      <c r="AH163" s="441"/>
      <c r="AI163" s="246"/>
      <c r="AJ163" s="406" t="s">
        <v>463</v>
      </c>
      <c r="AK163" s="246"/>
      <c r="AL163" s="441"/>
      <c r="AM163" s="246"/>
      <c r="AN163" s="261"/>
      <c r="AO163" s="441"/>
      <c r="AP163" s="246"/>
      <c r="AQ163" s="441"/>
      <c r="AR163" s="246"/>
      <c r="AS163" s="441"/>
      <c r="AT163" s="254" t="str">
        <f t="shared" si="108"/>
        <v/>
      </c>
      <c r="AU163" s="269"/>
      <c r="AV163" s="269"/>
      <c r="AW163" s="463" t="str">
        <f t="shared" ref="AW163:BD163" si="113">AW78</f>
        <v>#REF!</v>
      </c>
      <c r="AX163" s="206">
        <f t="shared" si="113"/>
        <v>5</v>
      </c>
      <c r="AY163" s="464">
        <f t="shared" si="113"/>
        <v>5</v>
      </c>
      <c r="AZ163" s="206">
        <f t="shared" si="113"/>
        <v>3</v>
      </c>
      <c r="BA163" s="206">
        <f t="shared" si="113"/>
        <v>1</v>
      </c>
      <c r="BB163" s="206">
        <f t="shared" si="113"/>
        <v>1</v>
      </c>
      <c r="BC163" s="465">
        <f t="shared" si="113"/>
        <v>120</v>
      </c>
      <c r="BD163" s="206" t="str">
        <f t="shared" si="113"/>
        <v/>
      </c>
      <c r="BE163" s="466"/>
    </row>
    <row r="164">
      <c r="A164" s="94"/>
      <c r="B164" s="439" t="s">
        <v>725</v>
      </c>
      <c r="C164" s="442" t="s">
        <v>726</v>
      </c>
      <c r="D164" s="330"/>
      <c r="E164" s="259"/>
      <c r="F164" s="441"/>
      <c r="G164" s="246"/>
      <c r="H164" s="406" t="s">
        <v>845</v>
      </c>
      <c r="I164" s="246"/>
      <c r="J164" s="441"/>
      <c r="K164" s="246"/>
      <c r="L164" s="261"/>
      <c r="M164" s="441"/>
      <c r="N164" s="246"/>
      <c r="O164" s="406" t="s">
        <v>845</v>
      </c>
      <c r="P164" s="246"/>
      <c r="Q164" s="441"/>
      <c r="R164" s="246"/>
      <c r="S164" s="261"/>
      <c r="T164" s="406" t="s">
        <v>845</v>
      </c>
      <c r="U164" s="246"/>
      <c r="V164" s="610" t="s">
        <v>862</v>
      </c>
      <c r="W164" s="246"/>
      <c r="X164" s="441"/>
      <c r="Y164" s="246"/>
      <c r="Z164" s="261"/>
      <c r="AA164" s="441"/>
      <c r="AB164" s="246"/>
      <c r="AC164" s="406" t="s">
        <v>845</v>
      </c>
      <c r="AD164" s="246"/>
      <c r="AE164" s="441"/>
      <c r="AF164" s="246"/>
      <c r="AG164" s="261"/>
      <c r="AH164" s="441"/>
      <c r="AI164" s="246"/>
      <c r="AJ164" s="406" t="s">
        <v>845</v>
      </c>
      <c r="AK164" s="246"/>
      <c r="AL164" s="441"/>
      <c r="AM164" s="246"/>
      <c r="AN164" s="261"/>
      <c r="AO164" s="441"/>
      <c r="AP164" s="246"/>
      <c r="AQ164" s="206" t="s">
        <v>844</v>
      </c>
      <c r="AR164" s="246"/>
      <c r="AS164" s="441"/>
      <c r="AT164" s="254" t="str">
        <f t="shared" si="108"/>
        <v/>
      </c>
      <c r="AU164" s="269"/>
      <c r="AV164" s="269"/>
      <c r="AW164" s="463" t="str">
        <f t="shared" ref="AW164:BD164" si="114">AW79</f>
        <v>#REF!</v>
      </c>
      <c r="AX164" s="206">
        <f t="shared" si="114"/>
        <v>5</v>
      </c>
      <c r="AY164" s="464">
        <f t="shared" si="114"/>
        <v>5</v>
      </c>
      <c r="AZ164" s="206">
        <f t="shared" si="114"/>
        <v>3</v>
      </c>
      <c r="BA164" s="206">
        <f t="shared" si="114"/>
        <v>1</v>
      </c>
      <c r="BB164" s="206">
        <f t="shared" si="114"/>
        <v>1</v>
      </c>
      <c r="BC164" s="465">
        <f t="shared" si="114"/>
        <v>120</v>
      </c>
      <c r="BD164" s="206" t="str">
        <f t="shared" si="114"/>
        <v/>
      </c>
      <c r="BE164" s="466"/>
    </row>
    <row r="165">
      <c r="A165" s="94"/>
      <c r="B165" s="447" t="s">
        <v>729</v>
      </c>
      <c r="C165" s="448" t="s">
        <v>730</v>
      </c>
      <c r="D165" s="363"/>
      <c r="E165" s="259"/>
      <c r="F165" s="206"/>
      <c r="G165" s="246"/>
      <c r="H165" s="441"/>
      <c r="I165" s="246"/>
      <c r="J165" s="206"/>
      <c r="K165" s="246"/>
      <c r="L165" s="261"/>
      <c r="M165" s="206"/>
      <c r="N165" s="246"/>
      <c r="O165" s="441"/>
      <c r="P165" s="246"/>
      <c r="Q165" s="206"/>
      <c r="R165" s="246"/>
      <c r="S165" s="261"/>
      <c r="T165" s="206"/>
      <c r="U165" s="246"/>
      <c r="V165" s="441"/>
      <c r="W165" s="246"/>
      <c r="X165" s="206"/>
      <c r="Y165" s="246"/>
      <c r="Z165" s="261"/>
      <c r="AA165" s="206"/>
      <c r="AB165" s="246"/>
      <c r="AC165" s="441"/>
      <c r="AD165" s="246"/>
      <c r="AE165" s="206"/>
      <c r="AF165" s="246"/>
      <c r="AG165" s="261"/>
      <c r="AH165" s="206"/>
      <c r="AI165" s="246"/>
      <c r="AJ165" s="441"/>
      <c r="AK165" s="246"/>
      <c r="AL165" s="206"/>
      <c r="AM165" s="246"/>
      <c r="AN165" s="261"/>
      <c r="AO165" s="206"/>
      <c r="AP165" s="246"/>
      <c r="AQ165" s="441"/>
      <c r="AR165" s="246"/>
      <c r="AS165" s="206"/>
      <c r="AT165" s="254" t="str">
        <f t="shared" si="108"/>
        <v/>
      </c>
      <c r="AU165" s="269"/>
      <c r="AV165" s="269"/>
      <c r="AW165" s="463" t="str">
        <f t="shared" ref="AW165:BD165" si="115">AW80</f>
        <v>#REF!</v>
      </c>
      <c r="AX165" s="206">
        <f t="shared" si="115"/>
        <v>5</v>
      </c>
      <c r="AY165" s="464">
        <f t="shared" si="115"/>
        <v>5</v>
      </c>
      <c r="AZ165" s="206">
        <f t="shared" si="115"/>
        <v>3</v>
      </c>
      <c r="BA165" s="206">
        <f t="shared" si="115"/>
        <v>1</v>
      </c>
      <c r="BB165" s="206">
        <f t="shared" si="115"/>
        <v>1</v>
      </c>
      <c r="BC165" s="465">
        <f t="shared" si="115"/>
        <v>120</v>
      </c>
      <c r="BD165" s="206" t="str">
        <f t="shared" si="115"/>
        <v/>
      </c>
      <c r="BE165" s="466"/>
    </row>
    <row r="166">
      <c r="A166" s="94"/>
      <c r="B166" s="450" t="s">
        <v>731</v>
      </c>
      <c r="C166" s="451" t="s">
        <v>732</v>
      </c>
      <c r="D166" s="363"/>
      <c r="E166" s="259"/>
      <c r="F166" s="74"/>
      <c r="G166" s="246"/>
      <c r="H166" s="593" t="s">
        <v>847</v>
      </c>
      <c r="I166" s="246"/>
      <c r="J166" s="74"/>
      <c r="K166" s="246"/>
      <c r="L166" s="261"/>
      <c r="M166" s="74"/>
      <c r="N166" s="246"/>
      <c r="O166" s="593" t="s">
        <v>847</v>
      </c>
      <c r="P166" s="246"/>
      <c r="Q166" s="74"/>
      <c r="R166" s="246"/>
      <c r="S166" s="261"/>
      <c r="T166" s="74"/>
      <c r="U166" s="246"/>
      <c r="V166" s="406" t="s">
        <v>460</v>
      </c>
      <c r="W166" s="246"/>
      <c r="X166" s="74"/>
      <c r="Y166" s="246"/>
      <c r="Z166" s="261"/>
      <c r="AA166" s="74"/>
      <c r="AB166" s="246"/>
      <c r="AC166" s="593" t="s">
        <v>847</v>
      </c>
      <c r="AD166" s="246"/>
      <c r="AE166" s="74"/>
      <c r="AF166" s="246"/>
      <c r="AG166" s="261"/>
      <c r="AH166" s="74"/>
      <c r="AI166" s="246"/>
      <c r="AJ166" s="406" t="s">
        <v>460</v>
      </c>
      <c r="AK166" s="246"/>
      <c r="AL166" s="74"/>
      <c r="AM166" s="246"/>
      <c r="AN166" s="261"/>
      <c r="AO166" s="74"/>
      <c r="AP166" s="246"/>
      <c r="AQ166" s="206"/>
      <c r="AR166" s="246"/>
      <c r="AS166" s="74"/>
      <c r="AT166" s="254" t="str">
        <f t="shared" si="108"/>
        <v/>
      </c>
      <c r="AU166" s="269"/>
      <c r="AV166" s="269"/>
      <c r="AW166" s="463" t="str">
        <f t="shared" ref="AW166:BD166" si="116">AW81</f>
        <v>#REF!</v>
      </c>
      <c r="AX166" s="206">
        <f t="shared" si="116"/>
        <v>5</v>
      </c>
      <c r="AY166" s="464">
        <f t="shared" si="116"/>
        <v>5</v>
      </c>
      <c r="AZ166" s="206">
        <f t="shared" si="116"/>
        <v>3</v>
      </c>
      <c r="BA166" s="206">
        <f t="shared" si="116"/>
        <v>1</v>
      </c>
      <c r="BB166" s="206">
        <f t="shared" si="116"/>
        <v>1</v>
      </c>
      <c r="BC166" s="465">
        <f t="shared" si="116"/>
        <v>120</v>
      </c>
      <c r="BD166" s="206" t="str">
        <f t="shared" si="116"/>
        <v/>
      </c>
      <c r="BE166" s="466"/>
    </row>
    <row r="167">
      <c r="A167" s="94"/>
      <c r="B167" s="452" t="s">
        <v>733</v>
      </c>
      <c r="C167" s="453" t="s">
        <v>734</v>
      </c>
      <c r="D167" s="363"/>
      <c r="E167" s="259"/>
      <c r="F167" s="441"/>
      <c r="G167" s="246"/>
      <c r="H167" s="594" t="s">
        <v>395</v>
      </c>
      <c r="I167" s="246"/>
      <c r="J167" s="522" t="s">
        <v>462</v>
      </c>
      <c r="K167" s="246"/>
      <c r="L167" s="261"/>
      <c r="M167" s="441"/>
      <c r="N167" s="246"/>
      <c r="O167" s="611" t="s">
        <v>863</v>
      </c>
      <c r="P167" s="246"/>
      <c r="Q167" s="441"/>
      <c r="R167" s="246"/>
      <c r="S167" s="261"/>
      <c r="T167" s="441"/>
      <c r="U167" s="246"/>
      <c r="V167" s="594" t="s">
        <v>395</v>
      </c>
      <c r="W167" s="246"/>
      <c r="X167" s="522" t="s">
        <v>462</v>
      </c>
      <c r="Y167" s="246"/>
      <c r="Z167" s="261"/>
      <c r="AA167" s="441"/>
      <c r="AB167" s="246"/>
      <c r="AC167" s="594" t="s">
        <v>395</v>
      </c>
      <c r="AD167" s="246"/>
      <c r="AE167" s="441"/>
      <c r="AF167" s="246"/>
      <c r="AG167" s="261"/>
      <c r="AH167" s="441"/>
      <c r="AI167" s="246"/>
      <c r="AJ167" s="594" t="s">
        <v>395</v>
      </c>
      <c r="AK167" s="246"/>
      <c r="AL167" s="522" t="s">
        <v>462</v>
      </c>
      <c r="AM167" s="246"/>
      <c r="AN167" s="261"/>
      <c r="AO167" s="441"/>
      <c r="AP167" s="246"/>
      <c r="AQ167" s="434" t="s">
        <v>403</v>
      </c>
      <c r="AR167" s="246"/>
      <c r="AS167" s="502" t="s">
        <v>858</v>
      </c>
      <c r="AT167" s="254" t="str">
        <f t="shared" si="108"/>
        <v/>
      </c>
      <c r="AU167" s="269"/>
      <c r="AV167" s="269"/>
      <c r="AW167" s="463" t="str">
        <f t="shared" ref="AW167:BD167" si="117">AW82</f>
        <v>#REF!</v>
      </c>
      <c r="AX167" s="206">
        <f t="shared" si="117"/>
        <v>5</v>
      </c>
      <c r="AY167" s="464">
        <f t="shared" si="117"/>
        <v>5</v>
      </c>
      <c r="AZ167" s="206">
        <f t="shared" si="117"/>
        <v>3</v>
      </c>
      <c r="BA167" s="206">
        <f t="shared" si="117"/>
        <v>1</v>
      </c>
      <c r="BB167" s="206">
        <f t="shared" si="117"/>
        <v>1</v>
      </c>
      <c r="BC167" s="465">
        <f t="shared" si="117"/>
        <v>120</v>
      </c>
      <c r="BD167" s="206" t="str">
        <f t="shared" si="117"/>
        <v/>
      </c>
      <c r="BE167" s="466"/>
    </row>
    <row r="168">
      <c r="A168" s="94"/>
      <c r="B168" s="454" t="s">
        <v>735</v>
      </c>
      <c r="C168" s="455" t="s">
        <v>736</v>
      </c>
      <c r="D168" s="363"/>
      <c r="E168" s="259"/>
      <c r="F168" s="456"/>
      <c r="G168" s="246"/>
      <c r="H168" s="456"/>
      <c r="I168" s="246"/>
      <c r="J168" s="456"/>
      <c r="K168" s="246"/>
      <c r="L168" s="261"/>
      <c r="M168" s="456"/>
      <c r="N168" s="246"/>
      <c r="O168" s="456"/>
      <c r="P168" s="246"/>
      <c r="Q168" s="456"/>
      <c r="R168" s="246"/>
      <c r="S168" s="261"/>
      <c r="T168" s="456"/>
      <c r="U168" s="246"/>
      <c r="V168" s="456"/>
      <c r="W168" s="246"/>
      <c r="Y168" s="246"/>
      <c r="Z168" s="261"/>
      <c r="AA168" s="456"/>
      <c r="AB168" s="246"/>
      <c r="AC168" s="456"/>
      <c r="AD168" s="246"/>
      <c r="AE168" s="456"/>
      <c r="AF168" s="246"/>
      <c r="AG168" s="261"/>
      <c r="AH168" s="456"/>
      <c r="AI168" s="246"/>
      <c r="AJ168" s="456"/>
      <c r="AK168" s="246"/>
      <c r="AL168" s="456"/>
      <c r="AM168" s="246"/>
      <c r="AN168" s="261"/>
      <c r="AO168" s="456"/>
      <c r="AP168" s="246"/>
      <c r="AQ168" s="456"/>
      <c r="AR168" s="246"/>
      <c r="AS168" s="456"/>
      <c r="AT168" s="254" t="str">
        <f t="shared" si="108"/>
        <v/>
      </c>
      <c r="AU168" s="269"/>
      <c r="AV168" s="269"/>
      <c r="AW168" s="463" t="str">
        <f t="shared" ref="AW168:BD168" si="118">AW83</f>
        <v>#REF!</v>
      </c>
      <c r="AX168" s="206">
        <f t="shared" si="118"/>
        <v>5</v>
      </c>
      <c r="AY168" s="464">
        <f t="shared" si="118"/>
        <v>5</v>
      </c>
      <c r="AZ168" s="206">
        <f t="shared" si="118"/>
        <v>3</v>
      </c>
      <c r="BA168" s="206">
        <f t="shared" si="118"/>
        <v>1</v>
      </c>
      <c r="BB168" s="206">
        <f t="shared" si="118"/>
        <v>1</v>
      </c>
      <c r="BC168" s="465">
        <f t="shared" si="118"/>
        <v>120</v>
      </c>
      <c r="BD168" s="206" t="str">
        <f t="shared" si="118"/>
        <v/>
      </c>
      <c r="BE168" s="466"/>
    </row>
    <row r="169">
      <c r="A169" s="94"/>
      <c r="B169" s="454" t="s">
        <v>735</v>
      </c>
      <c r="C169" s="442" t="s">
        <v>736</v>
      </c>
      <c r="D169" s="363"/>
      <c r="E169" s="259"/>
      <c r="F169" s="406"/>
      <c r="G169" s="246"/>
      <c r="H169" s="406"/>
      <c r="I169" s="246"/>
      <c r="J169" s="406"/>
      <c r="K169" s="246"/>
      <c r="L169" s="261"/>
      <c r="M169" s="406"/>
      <c r="N169" s="246"/>
      <c r="O169" s="406"/>
      <c r="P169" s="246"/>
      <c r="Q169" s="406"/>
      <c r="R169" s="246"/>
      <c r="S169" s="261"/>
      <c r="T169" s="406"/>
      <c r="U169" s="246"/>
      <c r="V169" s="406"/>
      <c r="W169" s="246"/>
      <c r="X169" s="406"/>
      <c r="Y169" s="246"/>
      <c r="Z169" s="261"/>
      <c r="AA169" s="406"/>
      <c r="AB169" s="246"/>
      <c r="AC169" s="406"/>
      <c r="AD169" s="246"/>
      <c r="AE169" s="406"/>
      <c r="AF169" s="246"/>
      <c r="AG169" s="261"/>
      <c r="AH169" s="406"/>
      <c r="AI169" s="246"/>
      <c r="AJ169" s="406"/>
      <c r="AK169" s="246"/>
      <c r="AL169" s="406"/>
      <c r="AM169" s="246"/>
      <c r="AN169" s="261"/>
      <c r="AO169" s="406"/>
      <c r="AP169" s="246"/>
      <c r="AQ169" s="406"/>
      <c r="AR169" s="246"/>
      <c r="AS169" s="406"/>
      <c r="AT169" s="254" t="str">
        <f t="shared" si="108"/>
        <v/>
      </c>
      <c r="AU169" s="269"/>
      <c r="AV169" s="269"/>
      <c r="AW169" s="463" t="str">
        <f t="shared" ref="AW169:BD169" si="119">AW84</f>
        <v>#REF!</v>
      </c>
      <c r="AX169" s="206">
        <f t="shared" si="119"/>
        <v>5</v>
      </c>
      <c r="AY169" s="464">
        <f t="shared" si="119"/>
        <v>5</v>
      </c>
      <c r="AZ169" s="206">
        <f t="shared" si="119"/>
        <v>3</v>
      </c>
      <c r="BA169" s="206">
        <f t="shared" si="119"/>
        <v>1</v>
      </c>
      <c r="BB169" s="206">
        <f t="shared" si="119"/>
        <v>1</v>
      </c>
      <c r="BC169" s="465">
        <f t="shared" si="119"/>
        <v>120</v>
      </c>
      <c r="BD169" s="206" t="str">
        <f t="shared" si="119"/>
        <v/>
      </c>
      <c r="BE169" s="466"/>
    </row>
    <row r="170">
      <c r="A170" s="94"/>
      <c r="B170" s="459"/>
      <c r="C170" s="460" t="s">
        <v>738</v>
      </c>
      <c r="D170" s="612" t="s">
        <v>506</v>
      </c>
      <c r="E170" s="259"/>
      <c r="F170" s="461" t="s">
        <v>864</v>
      </c>
      <c r="G170" s="246"/>
      <c r="H170" s="132"/>
      <c r="I170" s="246"/>
      <c r="J170" s="132"/>
      <c r="K170" s="246"/>
      <c r="L170" s="462"/>
      <c r="M170" s="461" t="s">
        <v>865</v>
      </c>
      <c r="N170" s="246"/>
      <c r="O170" s="132"/>
      <c r="P170" s="246"/>
      <c r="Q170" s="132"/>
      <c r="R170" s="246"/>
      <c r="S170" s="462"/>
      <c r="T170" s="461" t="s">
        <v>866</v>
      </c>
      <c r="U170" s="246"/>
      <c r="V170" s="132"/>
      <c r="W170" s="246"/>
      <c r="X170" s="132"/>
      <c r="Y170" s="246"/>
      <c r="Z170" s="462"/>
      <c r="AA170" s="461" t="s">
        <v>867</v>
      </c>
      <c r="AB170" s="246"/>
      <c r="AC170" s="132"/>
      <c r="AD170" s="246"/>
      <c r="AE170" s="132"/>
      <c r="AF170" s="246"/>
      <c r="AG170" s="462"/>
      <c r="AH170" s="461" t="s">
        <v>868</v>
      </c>
      <c r="AI170" s="246"/>
      <c r="AJ170" s="132"/>
      <c r="AK170" s="246"/>
      <c r="AL170" s="132"/>
      <c r="AM170" s="246"/>
      <c r="AN170" s="462"/>
      <c r="AO170" s="461" t="s">
        <v>869</v>
      </c>
      <c r="AP170" s="246"/>
      <c r="AQ170" s="132"/>
      <c r="AR170" s="246"/>
      <c r="AS170" s="132"/>
      <c r="AT170" s="460"/>
      <c r="AU170" s="269"/>
      <c r="AV170" s="269"/>
      <c r="AW170" s="463" t="str">
        <f t="shared" ref="AW170:BD170" si="120">AW85</f>
        <v>#REF!</v>
      </c>
      <c r="AX170" s="206">
        <f t="shared" si="120"/>
        <v>5</v>
      </c>
      <c r="AY170" s="464">
        <f t="shared" si="120"/>
        <v>5</v>
      </c>
      <c r="AZ170" s="206">
        <f t="shared" si="120"/>
        <v>3</v>
      </c>
      <c r="BA170" s="206">
        <f t="shared" si="120"/>
        <v>1</v>
      </c>
      <c r="BB170" s="206">
        <f t="shared" si="120"/>
        <v>1</v>
      </c>
      <c r="BC170" s="465">
        <f t="shared" si="120"/>
        <v>120</v>
      </c>
      <c r="BD170" s="206" t="str">
        <f t="shared" si="120"/>
        <v/>
      </c>
      <c r="BE170" s="466"/>
    </row>
    <row r="171">
      <c r="A171" s="270"/>
      <c r="B171" s="459"/>
      <c r="C171" s="460" t="s">
        <v>738</v>
      </c>
      <c r="D171" s="363"/>
      <c r="E171" s="259"/>
      <c r="F171" s="461"/>
      <c r="G171" s="246"/>
      <c r="H171" s="132"/>
      <c r="I171" s="246"/>
      <c r="J171" s="132"/>
      <c r="K171" s="246"/>
      <c r="L171" s="462"/>
      <c r="M171" s="461"/>
      <c r="N171" s="246"/>
      <c r="O171" s="132"/>
      <c r="P171" s="246"/>
      <c r="Q171" s="132"/>
      <c r="R171" s="246"/>
      <c r="S171" s="462"/>
      <c r="T171" s="461"/>
      <c r="U171" s="246"/>
      <c r="V171" s="132"/>
      <c r="W171" s="246"/>
      <c r="X171" s="132"/>
      <c r="Y171" s="246"/>
      <c r="Z171" s="462"/>
      <c r="AA171" s="461"/>
      <c r="AB171" s="246"/>
      <c r="AC171" s="132"/>
      <c r="AD171" s="246"/>
      <c r="AE171" s="132"/>
      <c r="AF171" s="246"/>
      <c r="AG171" s="462"/>
      <c r="AH171" s="461"/>
      <c r="AI171" s="246"/>
      <c r="AJ171" s="132"/>
      <c r="AK171" s="246"/>
      <c r="AL171" s="132"/>
      <c r="AM171" s="246"/>
      <c r="AN171" s="462"/>
      <c r="AO171" s="461" t="s">
        <v>870</v>
      </c>
      <c r="AP171" s="246"/>
      <c r="AQ171" s="132"/>
      <c r="AR171" s="246"/>
      <c r="AS171" s="132"/>
      <c r="AT171" s="460"/>
      <c r="AU171" s="236"/>
      <c r="AV171" s="236"/>
      <c r="AW171" s="463" t="str">
        <f t="shared" ref="AW171:BD171" si="121">AW86</f>
        <v>#REF!</v>
      </c>
      <c r="AX171" s="206">
        <f t="shared" si="121"/>
        <v>5</v>
      </c>
      <c r="AY171" s="464">
        <f t="shared" si="121"/>
        <v>5</v>
      </c>
      <c r="AZ171" s="206">
        <f t="shared" si="121"/>
        <v>3</v>
      </c>
      <c r="BA171" s="206">
        <f t="shared" si="121"/>
        <v>1</v>
      </c>
      <c r="BB171" s="206">
        <f t="shared" si="121"/>
        <v>1</v>
      </c>
      <c r="BC171" s="465">
        <f t="shared" si="121"/>
        <v>120</v>
      </c>
      <c r="BD171" s="206" t="str">
        <f t="shared" si="121"/>
        <v/>
      </c>
      <c r="BE171" s="466"/>
    </row>
    <row r="172">
      <c r="A172" s="236"/>
      <c r="B172" s="459"/>
      <c r="C172" s="460" t="s">
        <v>738</v>
      </c>
      <c r="D172" s="363"/>
      <c r="E172" s="259"/>
      <c r="F172" s="132"/>
      <c r="G172" s="246"/>
      <c r="H172" s="132"/>
      <c r="I172" s="246"/>
      <c r="J172" s="132"/>
      <c r="K172" s="246"/>
      <c r="L172" s="462"/>
      <c r="M172" s="132"/>
      <c r="N172" s="246"/>
      <c r="O172" s="132"/>
      <c r="P172" s="246"/>
      <c r="Q172" s="132"/>
      <c r="R172" s="246"/>
      <c r="S172" s="462"/>
      <c r="T172" s="132"/>
      <c r="U172" s="246"/>
      <c r="V172" s="132"/>
      <c r="W172" s="246"/>
      <c r="X172" s="132"/>
      <c r="Y172" s="246"/>
      <c r="Z172" s="462"/>
      <c r="AA172" s="132"/>
      <c r="AB172" s="246"/>
      <c r="AC172" s="132"/>
      <c r="AD172" s="246"/>
      <c r="AE172" s="132"/>
      <c r="AF172" s="246"/>
      <c r="AG172" s="462"/>
      <c r="AH172" s="132"/>
      <c r="AI172" s="246"/>
      <c r="AJ172" s="132"/>
      <c r="AK172" s="246"/>
      <c r="AL172" s="132"/>
      <c r="AM172" s="246"/>
      <c r="AN172" s="462"/>
      <c r="AO172" s="461"/>
      <c r="AP172" s="246"/>
      <c r="AQ172" s="132"/>
      <c r="AR172" s="246"/>
      <c r="AS172" s="132"/>
      <c r="AT172" s="460"/>
      <c r="AU172" s="236"/>
      <c r="AV172" s="236"/>
      <c r="AW172" s="463" t="str">
        <f t="shared" ref="AW172:BD172" si="122">AW87</f>
        <v>#REF!</v>
      </c>
      <c r="AX172" s="206">
        <f t="shared" si="122"/>
        <v>5</v>
      </c>
      <c r="AY172" s="464">
        <f t="shared" si="122"/>
        <v>5</v>
      </c>
      <c r="AZ172" s="206">
        <f t="shared" si="122"/>
        <v>3</v>
      </c>
      <c r="BA172" s="206">
        <f t="shared" si="122"/>
        <v>1</v>
      </c>
      <c r="BB172" s="206">
        <f t="shared" si="122"/>
        <v>1</v>
      </c>
      <c r="BC172" s="465">
        <f t="shared" si="122"/>
        <v>120</v>
      </c>
      <c r="BD172" s="206" t="str">
        <f t="shared" si="122"/>
        <v/>
      </c>
      <c r="BE172" s="466"/>
    </row>
    <row r="173">
      <c r="A173" s="182"/>
      <c r="B173" s="183" t="s">
        <v>778</v>
      </c>
      <c r="C173" s="184" t="s">
        <v>605</v>
      </c>
      <c r="D173" s="185" t="s">
        <v>486</v>
      </c>
      <c r="E173" s="186"/>
      <c r="F173" s="185" t="s">
        <v>487</v>
      </c>
      <c r="M173" s="185" t="s">
        <v>488</v>
      </c>
      <c r="T173" s="185" t="s">
        <v>489</v>
      </c>
      <c r="AA173" s="185" t="s">
        <v>490</v>
      </c>
      <c r="AH173" s="185" t="s">
        <v>491</v>
      </c>
      <c r="AO173" s="185" t="s">
        <v>492</v>
      </c>
      <c r="AU173" s="182"/>
      <c r="AV173" s="182"/>
      <c r="AW173" s="182"/>
      <c r="AX173" s="182"/>
      <c r="AY173" s="182"/>
      <c r="AZ173" s="182"/>
      <c r="BA173" s="182"/>
      <c r="BB173" s="182"/>
      <c r="BC173" s="182"/>
      <c r="BD173" s="182"/>
      <c r="BE173" s="182"/>
    </row>
    <row r="174">
      <c r="A174" s="182"/>
      <c r="B174" s="187"/>
      <c r="C174" s="187"/>
      <c r="D174" s="188">
        <f>AO89+1</f>
        <v>15</v>
      </c>
      <c r="E174" s="189"/>
      <c r="F174" s="188">
        <f>D174+1</f>
        <v>16</v>
      </c>
      <c r="M174" s="188">
        <f>F174+1</f>
        <v>17</v>
      </c>
      <c r="T174" s="188">
        <f>M174+1</f>
        <v>18</v>
      </c>
      <c r="AA174" s="188">
        <f>T174+1</f>
        <v>19</v>
      </c>
      <c r="AH174" s="188">
        <f>AA174+1</f>
        <v>20</v>
      </c>
      <c r="AO174" s="188">
        <f>AH174+1</f>
        <v>21</v>
      </c>
      <c r="AU174" s="182"/>
      <c r="AV174" s="182"/>
      <c r="AW174" s="190" t="s">
        <v>606</v>
      </c>
      <c r="BB174" s="190"/>
      <c r="BC174" s="191" t="s">
        <v>607</v>
      </c>
      <c r="BD174" s="191"/>
      <c r="BE174" s="192"/>
    </row>
    <row r="175">
      <c r="A175" s="182"/>
      <c r="B175" s="193" t="s">
        <v>608</v>
      </c>
      <c r="C175" s="193" t="s">
        <v>609</v>
      </c>
      <c r="D175" s="187"/>
      <c r="E175" s="189"/>
      <c r="F175" s="194" t="s">
        <v>610</v>
      </c>
      <c r="G175" s="195"/>
      <c r="H175" s="193" t="s">
        <v>611</v>
      </c>
      <c r="J175" s="194" t="s">
        <v>612</v>
      </c>
      <c r="M175" s="194" t="s">
        <v>610</v>
      </c>
      <c r="N175" s="195"/>
      <c r="O175" s="193" t="s">
        <v>611</v>
      </c>
      <c r="P175" s="195"/>
      <c r="Q175" s="194" t="s">
        <v>612</v>
      </c>
      <c r="S175" s="193"/>
      <c r="T175" s="194" t="s">
        <v>610</v>
      </c>
      <c r="U175" s="195"/>
      <c r="V175" s="193" t="s">
        <v>611</v>
      </c>
      <c r="W175" s="195"/>
      <c r="X175" s="194" t="s">
        <v>612</v>
      </c>
      <c r="Z175" s="193"/>
      <c r="AA175" s="194" t="s">
        <v>610</v>
      </c>
      <c r="AB175" s="195"/>
      <c r="AC175" s="193" t="s">
        <v>611</v>
      </c>
      <c r="AD175" s="195"/>
      <c r="AE175" s="194" t="s">
        <v>612</v>
      </c>
      <c r="AG175" s="193"/>
      <c r="AH175" s="194" t="s">
        <v>610</v>
      </c>
      <c r="AI175" s="195"/>
      <c r="AJ175" s="193" t="s">
        <v>611</v>
      </c>
      <c r="AK175" s="195"/>
      <c r="AL175" s="194" t="s">
        <v>612</v>
      </c>
      <c r="AN175" s="193"/>
      <c r="AO175" s="194" t="s">
        <v>610</v>
      </c>
      <c r="AP175" s="195"/>
      <c r="AQ175" s="193" t="s">
        <v>611</v>
      </c>
      <c r="AR175" s="195"/>
      <c r="AS175" s="194" t="s">
        <v>612</v>
      </c>
      <c r="AU175" s="182"/>
      <c r="AV175" s="182"/>
      <c r="AW175" s="196" t="s">
        <v>613</v>
      </c>
      <c r="AX175" s="197" t="s">
        <v>614</v>
      </c>
      <c r="AY175" s="197" t="s">
        <v>615</v>
      </c>
      <c r="AZ175" s="197" t="s">
        <v>616</v>
      </c>
      <c r="BA175" s="197" t="s">
        <v>617</v>
      </c>
      <c r="BB175" s="197" t="s">
        <v>618</v>
      </c>
      <c r="BC175" s="197" t="s">
        <v>619</v>
      </c>
      <c r="BD175" s="197"/>
      <c r="BE175" s="198"/>
    </row>
    <row r="176">
      <c r="A176" s="199"/>
      <c r="B176" s="200" t="s">
        <v>620</v>
      </c>
      <c r="C176" s="201"/>
      <c r="D176" s="201"/>
      <c r="E176" s="202"/>
      <c r="F176" s="203"/>
      <c r="G176" s="204"/>
      <c r="H176" s="203"/>
      <c r="I176" s="204"/>
      <c r="J176" s="203"/>
      <c r="K176" s="204"/>
      <c r="L176" s="205"/>
      <c r="M176" s="203"/>
      <c r="N176" s="204"/>
      <c r="O176" s="203"/>
      <c r="P176" s="204"/>
      <c r="Q176" s="203"/>
      <c r="R176" s="204"/>
      <c r="S176" s="205"/>
      <c r="T176" s="203"/>
      <c r="U176" s="204"/>
      <c r="V176" s="203"/>
      <c r="W176" s="204"/>
      <c r="X176" s="203"/>
      <c r="Y176" s="204"/>
      <c r="Z176" s="205"/>
      <c r="AA176" s="203"/>
      <c r="AB176" s="204"/>
      <c r="AC176" s="203"/>
      <c r="AD176" s="204"/>
      <c r="AE176" s="203"/>
      <c r="AF176" s="204"/>
      <c r="AG176" s="205"/>
      <c r="AH176" s="203"/>
      <c r="AI176" s="204"/>
      <c r="AJ176" s="203" t="s">
        <v>827</v>
      </c>
      <c r="AK176" s="204"/>
      <c r="AL176" s="203"/>
      <c r="AM176" s="204"/>
      <c r="AN176" s="205"/>
      <c r="AO176" s="203"/>
      <c r="AP176" s="204"/>
      <c r="AQ176" s="203"/>
      <c r="AR176" s="204"/>
      <c r="AS176" s="203"/>
      <c r="AT176" s="204"/>
      <c r="AU176" s="199"/>
      <c r="AV176" s="199"/>
      <c r="AW176" s="206" t="str">
        <f t="shared" ref="AW176:BC176" si="123">AW6</f>
        <v>#REF!</v>
      </c>
      <c r="AX176" s="206">
        <f t="shared" si="123"/>
        <v>5</v>
      </c>
      <c r="AY176" s="206">
        <f t="shared" si="123"/>
        <v>5</v>
      </c>
      <c r="AZ176" s="464">
        <f t="shared" si="123"/>
        <v>3</v>
      </c>
      <c r="BA176" s="206">
        <f t="shared" si="123"/>
        <v>1</v>
      </c>
      <c r="BB176" s="206">
        <f t="shared" si="123"/>
        <v>1</v>
      </c>
      <c r="BC176" s="465">
        <f t="shared" si="123"/>
        <v>120</v>
      </c>
      <c r="BD176" s="206"/>
      <c r="BE176" s="466"/>
    </row>
    <row r="177">
      <c r="A177" s="199"/>
      <c r="B177" s="213" t="s">
        <v>623</v>
      </c>
      <c r="C177" s="214"/>
      <c r="D177" s="215"/>
      <c r="E177" s="216"/>
      <c r="F177" s="219" t="s">
        <v>627</v>
      </c>
      <c r="G177" s="218"/>
      <c r="H177" s="223" t="s">
        <v>628</v>
      </c>
      <c r="I177" s="220"/>
      <c r="J177" s="219" t="s">
        <v>871</v>
      </c>
      <c r="K177" s="221"/>
      <c r="L177" s="216"/>
      <c r="M177" s="217"/>
      <c r="N177" s="218"/>
      <c r="O177" s="222" t="s">
        <v>625</v>
      </c>
      <c r="P177" s="220"/>
      <c r="Q177" s="219" t="s">
        <v>626</v>
      </c>
      <c r="R177" s="221"/>
      <c r="S177" s="216"/>
      <c r="T177" s="217"/>
      <c r="U177" s="218"/>
      <c r="V177" s="223" t="s">
        <v>628</v>
      </c>
      <c r="W177" s="220"/>
      <c r="X177" s="219" t="s">
        <v>626</v>
      </c>
      <c r="Y177" s="221"/>
      <c r="Z177" s="216"/>
      <c r="AA177" s="561"/>
      <c r="AB177" s="218"/>
      <c r="AC177" s="222" t="s">
        <v>625</v>
      </c>
      <c r="AD177" s="220"/>
      <c r="AE177" s="219" t="s">
        <v>626</v>
      </c>
      <c r="AF177" s="221"/>
      <c r="AG177" s="216"/>
      <c r="AH177" s="219" t="s">
        <v>627</v>
      </c>
      <c r="AI177" s="218"/>
      <c r="AJ177" s="223" t="s">
        <v>628</v>
      </c>
      <c r="AK177" s="220"/>
      <c r="AL177" s="219" t="s">
        <v>626</v>
      </c>
      <c r="AM177" s="221"/>
      <c r="AN177" s="216"/>
      <c r="AO177" s="217"/>
      <c r="AP177" s="218"/>
      <c r="AQ177" s="222" t="s">
        <v>625</v>
      </c>
      <c r="AR177" s="220"/>
      <c r="AS177" s="219" t="s">
        <v>626</v>
      </c>
      <c r="AT177" s="221"/>
      <c r="AU177" s="225">
        <f>counta(F177:AT177)*20</f>
        <v>280</v>
      </c>
      <c r="AW177" s="206" t="str">
        <f t="shared" ref="AW177:BC177" si="124">AW7</f>
        <v>#REF!</v>
      </c>
      <c r="AX177" s="206">
        <f t="shared" si="124"/>
        <v>5</v>
      </c>
      <c r="AY177" s="206">
        <f t="shared" si="124"/>
        <v>5</v>
      </c>
      <c r="AZ177" s="464">
        <f t="shared" si="124"/>
        <v>3</v>
      </c>
      <c r="BA177" s="206">
        <f t="shared" si="124"/>
        <v>1</v>
      </c>
      <c r="BB177" s="206">
        <f t="shared" si="124"/>
        <v>1</v>
      </c>
      <c r="BC177" s="465">
        <f t="shared" si="124"/>
        <v>120</v>
      </c>
      <c r="BD177" s="206"/>
      <c r="BE177" s="466"/>
    </row>
    <row r="178">
      <c r="A178" s="199"/>
      <c r="B178" s="226" t="s">
        <v>629</v>
      </c>
      <c r="C178" s="214"/>
      <c r="D178" s="215"/>
      <c r="E178" s="216"/>
      <c r="F178" s="227">
        <v>0.0</v>
      </c>
      <c r="G178" s="218"/>
      <c r="H178" s="227">
        <v>4.0</v>
      </c>
      <c r="I178" s="220"/>
      <c r="J178" s="227">
        <v>4.0</v>
      </c>
      <c r="K178" s="221"/>
      <c r="L178" s="216"/>
      <c r="M178" s="227"/>
      <c r="N178" s="218"/>
      <c r="O178" s="227">
        <v>4.0</v>
      </c>
      <c r="P178" s="220"/>
      <c r="Q178" s="227">
        <v>6.0</v>
      </c>
      <c r="R178" s="221"/>
      <c r="S178" s="216"/>
      <c r="T178" s="227"/>
      <c r="U178" s="218"/>
      <c r="V178" s="227">
        <v>4.0</v>
      </c>
      <c r="W178" s="220"/>
      <c r="X178" s="227">
        <v>8.0</v>
      </c>
      <c r="Y178" s="221"/>
      <c r="Z178" s="216"/>
      <c r="AA178" s="563"/>
      <c r="AB178" s="218"/>
      <c r="AC178" s="563">
        <v>4.0</v>
      </c>
      <c r="AD178" s="220"/>
      <c r="AE178" s="227">
        <v>6.0</v>
      </c>
      <c r="AF178" s="221"/>
      <c r="AG178" s="216"/>
      <c r="AH178" s="563">
        <v>0.0</v>
      </c>
      <c r="AI178" s="218"/>
      <c r="AJ178" s="227">
        <v>4.0</v>
      </c>
      <c r="AK178" s="220"/>
      <c r="AL178" s="227">
        <v>6.0</v>
      </c>
      <c r="AM178" s="221"/>
      <c r="AN178" s="216"/>
      <c r="AO178" s="227"/>
      <c r="AP178" s="218"/>
      <c r="AQ178" s="227">
        <v>4.0</v>
      </c>
      <c r="AR178" s="220"/>
      <c r="AS178" s="227">
        <v>4.0</v>
      </c>
      <c r="AT178" s="221"/>
      <c r="AU178" s="225">
        <f>sum(F178:AK178)</f>
        <v>44</v>
      </c>
      <c r="AW178" s="206" t="str">
        <f t="shared" ref="AW178:BC178" si="125">AW8</f>
        <v>#REF!</v>
      </c>
      <c r="AX178" s="206">
        <f t="shared" si="125"/>
        <v>5</v>
      </c>
      <c r="AY178" s="206">
        <f t="shared" si="125"/>
        <v>5</v>
      </c>
      <c r="AZ178" s="464">
        <f t="shared" si="125"/>
        <v>3</v>
      </c>
      <c r="BA178" s="206">
        <f t="shared" si="125"/>
        <v>1</v>
      </c>
      <c r="BB178" s="206">
        <f t="shared" si="125"/>
        <v>1</v>
      </c>
      <c r="BC178" s="465">
        <f t="shared" si="125"/>
        <v>120</v>
      </c>
      <c r="BD178" s="206"/>
      <c r="BE178" s="466"/>
    </row>
    <row r="179">
      <c r="A179" s="199"/>
      <c r="B179" s="213" t="s">
        <v>630</v>
      </c>
      <c r="C179" s="214"/>
      <c r="D179" s="215"/>
      <c r="E179" s="216"/>
      <c r="F179" s="215"/>
      <c r="G179" s="218"/>
      <c r="H179" s="215"/>
      <c r="I179" s="220"/>
      <c r="J179" s="215"/>
      <c r="K179" s="221"/>
      <c r="L179" s="216"/>
      <c r="M179" s="215"/>
      <c r="N179" s="218"/>
      <c r="O179" s="228" t="s">
        <v>631</v>
      </c>
      <c r="P179" s="220"/>
      <c r="Q179" s="215"/>
      <c r="R179" s="221"/>
      <c r="S179" s="216"/>
      <c r="T179" s="215"/>
      <c r="U179" s="218"/>
      <c r="V179" s="228" t="s">
        <v>631</v>
      </c>
      <c r="W179" s="220"/>
      <c r="X179" s="215"/>
      <c r="Y179" s="221"/>
      <c r="Z179" s="216"/>
      <c r="AA179" s="215"/>
      <c r="AB179" s="218"/>
      <c r="AC179" s="215"/>
      <c r="AD179" s="220"/>
      <c r="AE179" s="215"/>
      <c r="AF179" s="221"/>
      <c r="AG179" s="216"/>
      <c r="AH179" s="215"/>
      <c r="AI179" s="218"/>
      <c r="AJ179" s="215"/>
      <c r="AK179" s="220"/>
      <c r="AL179" s="215"/>
      <c r="AM179" s="221"/>
      <c r="AN179" s="216"/>
      <c r="AO179" s="215"/>
      <c r="AP179" s="218"/>
      <c r="AQ179" s="215"/>
      <c r="AR179" s="220"/>
      <c r="AS179" s="215"/>
      <c r="AT179" s="221"/>
      <c r="AU179" s="225">
        <f>countA(F179:AJ179)*5</f>
        <v>10</v>
      </c>
      <c r="AW179" s="206" t="str">
        <f t="shared" ref="AW179:BC179" si="126">AW9</f>
        <v>#REF!</v>
      </c>
      <c r="AX179" s="206">
        <f t="shared" si="126"/>
        <v>5</v>
      </c>
      <c r="AY179" s="206">
        <f t="shared" si="126"/>
        <v>5</v>
      </c>
      <c r="AZ179" s="464">
        <f t="shared" si="126"/>
        <v>3</v>
      </c>
      <c r="BA179" s="206">
        <f t="shared" si="126"/>
        <v>1</v>
      </c>
      <c r="BB179" s="206">
        <f t="shared" si="126"/>
        <v>1</v>
      </c>
      <c r="BC179" s="465">
        <f t="shared" si="126"/>
        <v>120</v>
      </c>
      <c r="BD179" s="206"/>
      <c r="BE179" s="466"/>
    </row>
    <row r="180">
      <c r="A180" s="199"/>
      <c r="B180" s="229" t="s">
        <v>632</v>
      </c>
      <c r="C180" s="214"/>
      <c r="D180" s="215"/>
      <c r="E180" s="216"/>
      <c r="F180" s="215"/>
      <c r="G180" s="221"/>
      <c r="H180" s="215"/>
      <c r="I180" s="220"/>
      <c r="J180" s="233" t="s">
        <v>872</v>
      </c>
      <c r="K180" s="221"/>
      <c r="L180" s="216"/>
      <c r="M180" s="215"/>
      <c r="N180" s="221"/>
      <c r="O180" s="215"/>
      <c r="P180" s="220"/>
      <c r="Q180" s="215"/>
      <c r="R180" s="221"/>
      <c r="S180" s="216"/>
      <c r="T180" s="215"/>
      <c r="U180" s="221"/>
      <c r="V180" s="215"/>
      <c r="W180" s="220"/>
      <c r="X180" s="215"/>
      <c r="Y180" s="221"/>
      <c r="Z180" s="216"/>
      <c r="AA180" s="215"/>
      <c r="AB180" s="221"/>
      <c r="AC180" s="215"/>
      <c r="AD180" s="220"/>
      <c r="AE180" s="215"/>
      <c r="AF180" s="221"/>
      <c r="AG180" s="216"/>
      <c r="AH180" s="215"/>
      <c r="AI180" s="221"/>
      <c r="AJ180" s="215"/>
      <c r="AK180" s="220"/>
      <c r="AL180" s="228" t="s">
        <v>631</v>
      </c>
      <c r="AM180" s="221"/>
      <c r="AN180" s="216"/>
      <c r="AO180" s="215"/>
      <c r="AP180" s="221"/>
      <c r="AQ180" s="215"/>
      <c r="AR180" s="220"/>
      <c r="AS180" s="215"/>
      <c r="AT180" s="221"/>
      <c r="AU180" s="225">
        <f>countA(F180:AK180)*12</f>
        <v>12</v>
      </c>
      <c r="AW180" s="206" t="str">
        <f t="shared" ref="AW180:BC180" si="127">AW10</f>
        <v>#REF!</v>
      </c>
      <c r="AX180" s="206">
        <f t="shared" si="127"/>
        <v>5</v>
      </c>
      <c r="AY180" s="206">
        <f t="shared" si="127"/>
        <v>5</v>
      </c>
      <c r="AZ180" s="464">
        <f t="shared" si="127"/>
        <v>3</v>
      </c>
      <c r="BA180" s="206">
        <f t="shared" si="127"/>
        <v>1</v>
      </c>
      <c r="BB180" s="206">
        <f t="shared" si="127"/>
        <v>1</v>
      </c>
      <c r="BC180" s="465">
        <f t="shared" si="127"/>
        <v>120</v>
      </c>
      <c r="BD180" s="206"/>
      <c r="BE180" s="466"/>
    </row>
    <row r="181">
      <c r="A181" s="199"/>
      <c r="B181" s="213" t="s">
        <v>633</v>
      </c>
      <c r="C181" s="214"/>
      <c r="D181" s="215"/>
      <c r="E181" s="216"/>
      <c r="F181" s="215"/>
      <c r="G181" s="230"/>
      <c r="H181" s="215"/>
      <c r="I181" s="231"/>
      <c r="J181" s="215"/>
      <c r="K181" s="216"/>
      <c r="L181" s="216"/>
      <c r="M181" s="215"/>
      <c r="N181" s="230"/>
      <c r="O181" s="564" t="s">
        <v>634</v>
      </c>
      <c r="P181" s="231"/>
      <c r="Q181" s="565" t="s">
        <v>753</v>
      </c>
      <c r="R181" s="216"/>
      <c r="S181" s="216"/>
      <c r="T181" s="215"/>
      <c r="U181" s="230"/>
      <c r="V181" s="215"/>
      <c r="W181" s="231"/>
      <c r="X181" s="565" t="s">
        <v>753</v>
      </c>
      <c r="Y181" s="216"/>
      <c r="Z181" s="216"/>
      <c r="AA181" s="215"/>
      <c r="AB181" s="230"/>
      <c r="AC181" s="215"/>
      <c r="AD181" s="231"/>
      <c r="AE181" s="564" t="s">
        <v>873</v>
      </c>
      <c r="AF181" s="216"/>
      <c r="AG181" s="216"/>
      <c r="AH181" s="215"/>
      <c r="AI181" s="230"/>
      <c r="AJ181" s="215"/>
      <c r="AK181" s="231"/>
      <c r="AL181" s="565" t="s">
        <v>753</v>
      </c>
      <c r="AM181" s="216"/>
      <c r="AN181" s="216"/>
      <c r="AO181" s="215"/>
      <c r="AP181" s="230"/>
      <c r="AQ181" s="215"/>
      <c r="AR181" s="231"/>
      <c r="AS181" s="565" t="s">
        <v>753</v>
      </c>
      <c r="AT181" s="216"/>
      <c r="AU181" s="225">
        <f>counta(F181:AT181)*4</f>
        <v>24</v>
      </c>
      <c r="AW181" s="206" t="str">
        <f t="shared" ref="AW181:BC181" si="128">AW11</f>
        <v>#REF!</v>
      </c>
      <c r="AX181" s="206">
        <f t="shared" si="128"/>
        <v>5</v>
      </c>
      <c r="AY181" s="206">
        <f t="shared" si="128"/>
        <v>5</v>
      </c>
      <c r="AZ181" s="464">
        <f t="shared" si="128"/>
        <v>3</v>
      </c>
      <c r="BA181" s="206">
        <f t="shared" si="128"/>
        <v>1</v>
      </c>
      <c r="BB181" s="206">
        <f t="shared" si="128"/>
        <v>1</v>
      </c>
      <c r="BC181" s="465">
        <f t="shared" si="128"/>
        <v>120</v>
      </c>
      <c r="BD181" s="206"/>
      <c r="BE181" s="466"/>
    </row>
    <row r="182">
      <c r="A182" s="199"/>
      <c r="B182" s="213" t="s">
        <v>637</v>
      </c>
      <c r="C182" s="214"/>
      <c r="D182" s="215"/>
      <c r="E182" s="216"/>
      <c r="F182" s="215"/>
      <c r="G182" s="230"/>
      <c r="H182" s="215"/>
      <c r="I182" s="231"/>
      <c r="J182" s="215"/>
      <c r="K182" s="216"/>
      <c r="L182" s="216"/>
      <c r="M182" s="215"/>
      <c r="N182" s="230"/>
      <c r="O182" s="215"/>
      <c r="P182" s="231"/>
      <c r="Q182" s="232" t="s">
        <v>756</v>
      </c>
      <c r="R182" s="216"/>
      <c r="S182" s="216"/>
      <c r="T182" s="215"/>
      <c r="U182" s="230"/>
      <c r="V182" s="215"/>
      <c r="W182" s="231"/>
      <c r="X182" s="215"/>
      <c r="Y182" s="216"/>
      <c r="Z182" s="216"/>
      <c r="AA182" s="215"/>
      <c r="AB182" s="230"/>
      <c r="AC182" s="215"/>
      <c r="AD182" s="231"/>
      <c r="AE182" s="232" t="s">
        <v>756</v>
      </c>
      <c r="AF182" s="216"/>
      <c r="AG182" s="216"/>
      <c r="AH182" s="215"/>
      <c r="AI182" s="230"/>
      <c r="AJ182" s="215"/>
      <c r="AK182" s="231"/>
      <c r="AL182" s="215"/>
      <c r="AM182" s="216"/>
      <c r="AN182" s="216"/>
      <c r="AO182" s="215"/>
      <c r="AP182" s="230"/>
      <c r="AQ182" s="215"/>
      <c r="AR182" s="231"/>
      <c r="AS182" s="215"/>
      <c r="AT182" s="216"/>
      <c r="AU182" s="225">
        <f>sum(F182:AT182)</f>
        <v>0</v>
      </c>
      <c r="AW182" s="206" t="str">
        <f t="shared" ref="AW182:BC182" si="129">AW12</f>
        <v>#REF!</v>
      </c>
      <c r="AX182" s="206">
        <f t="shared" si="129"/>
        <v>5</v>
      </c>
      <c r="AY182" s="206">
        <f t="shared" si="129"/>
        <v>5</v>
      </c>
      <c r="AZ182" s="464">
        <f t="shared" si="129"/>
        <v>3</v>
      </c>
      <c r="BA182" s="206">
        <f t="shared" si="129"/>
        <v>1</v>
      </c>
      <c r="BB182" s="206">
        <f t="shared" si="129"/>
        <v>1</v>
      </c>
      <c r="BC182" s="465">
        <f t="shared" si="129"/>
        <v>120</v>
      </c>
      <c r="BD182" s="206"/>
      <c r="BE182" s="466"/>
    </row>
    <row r="183">
      <c r="A183" s="234"/>
      <c r="B183" s="235" t="s">
        <v>608</v>
      </c>
      <c r="C183" s="195" t="s">
        <v>609</v>
      </c>
      <c r="D183" s="236"/>
      <c r="E183" s="237"/>
      <c r="F183" s="238"/>
      <c r="G183" s="182"/>
      <c r="H183" s="238"/>
      <c r="I183" s="239"/>
      <c r="J183" s="238"/>
      <c r="K183" s="239"/>
      <c r="L183" s="237"/>
      <c r="M183" s="238"/>
      <c r="N183" s="182"/>
      <c r="O183" s="238"/>
      <c r="P183" s="239"/>
      <c r="Q183" s="238"/>
      <c r="R183" s="239"/>
      <c r="S183" s="237"/>
      <c r="T183" s="238"/>
      <c r="U183" s="182"/>
      <c r="V183" s="238"/>
      <c r="W183" s="239"/>
      <c r="X183" s="238"/>
      <c r="Y183" s="239"/>
      <c r="Z183" s="237"/>
      <c r="AA183" s="238"/>
      <c r="AB183" s="182"/>
      <c r="AC183" s="238"/>
      <c r="AD183" s="239"/>
      <c r="AE183" s="238"/>
      <c r="AF183" s="239"/>
      <c r="AG183" s="237"/>
      <c r="AH183" s="238"/>
      <c r="AI183" s="182"/>
      <c r="AJ183" s="238"/>
      <c r="AK183" s="239"/>
      <c r="AL183" s="238"/>
      <c r="AM183" s="239"/>
      <c r="AN183" s="237"/>
      <c r="AO183" s="238"/>
      <c r="AP183" s="182"/>
      <c r="AQ183" s="238"/>
      <c r="AR183" s="239"/>
      <c r="AS183" s="238"/>
      <c r="AT183" s="239"/>
      <c r="AU183" s="236"/>
      <c r="AV183" s="236"/>
      <c r="AW183" s="206" t="str">
        <f t="shared" ref="AW183:BC183" si="130">AW13</f>
        <v>#REF!</v>
      </c>
      <c r="AX183" s="206">
        <f t="shared" si="130"/>
        <v>5</v>
      </c>
      <c r="AY183" s="206">
        <f t="shared" si="130"/>
        <v>5</v>
      </c>
      <c r="AZ183" s="464">
        <f t="shared" si="130"/>
        <v>3</v>
      </c>
      <c r="BA183" s="206">
        <f t="shared" si="130"/>
        <v>1</v>
      </c>
      <c r="BB183" s="206">
        <f t="shared" si="130"/>
        <v>1</v>
      </c>
      <c r="BC183" s="465">
        <f t="shared" si="130"/>
        <v>120</v>
      </c>
      <c r="BD183" s="206"/>
      <c r="BE183" s="466"/>
    </row>
    <row r="184">
      <c r="A184" s="240"/>
      <c r="B184" s="241" t="s">
        <v>638</v>
      </c>
      <c r="C184" s="242" t="s">
        <v>639</v>
      </c>
      <c r="D184" s="243"/>
      <c r="E184" s="244"/>
      <c r="F184" s="247"/>
      <c r="G184" s="246"/>
      <c r="H184" s="247"/>
      <c r="I184" s="246"/>
      <c r="J184" s="274"/>
      <c r="K184" s="246"/>
      <c r="L184" s="249"/>
      <c r="M184" s="250"/>
      <c r="N184" s="246"/>
      <c r="O184" s="282"/>
      <c r="P184" s="246"/>
      <c r="R184" s="246"/>
      <c r="S184" s="249"/>
      <c r="T184" s="312"/>
      <c r="U184" s="246"/>
      <c r="V184" s="247"/>
      <c r="W184" s="246"/>
      <c r="X184" s="247"/>
      <c r="Y184" s="246"/>
      <c r="Z184" s="249"/>
      <c r="AA184" s="250"/>
      <c r="AB184" s="246"/>
      <c r="AC184" s="247"/>
      <c r="AD184" s="246"/>
      <c r="AE184" s="248" t="s">
        <v>760</v>
      </c>
      <c r="AF184" s="246"/>
      <c r="AG184" s="249"/>
      <c r="AH184" s="247"/>
      <c r="AI184" s="246"/>
      <c r="AJ184" s="247"/>
      <c r="AK184" s="246"/>
      <c r="AM184" s="246"/>
      <c r="AN184" s="249"/>
      <c r="AO184" s="250"/>
      <c r="AP184" s="246"/>
      <c r="AQ184" s="247"/>
      <c r="AR184" s="246"/>
      <c r="AS184" s="247"/>
      <c r="AT184" s="254" t="str">
        <f>IF(COUNTIF($AO$85:$AT$87, #REF!) &gt; 0, "X", "")</f>
        <v/>
      </c>
      <c r="AU184" s="255"/>
      <c r="AV184" s="255"/>
      <c r="AW184" s="206" t="str">
        <f t="shared" ref="AW184:BC184" si="131">AW14</f>
        <v>#REF!</v>
      </c>
      <c r="AX184" s="206">
        <f t="shared" si="131"/>
        <v>5</v>
      </c>
      <c r="AY184" s="206">
        <f t="shared" si="131"/>
        <v>5</v>
      </c>
      <c r="AZ184" s="464">
        <f t="shared" si="131"/>
        <v>3</v>
      </c>
      <c r="BA184" s="206">
        <f t="shared" si="131"/>
        <v>1</v>
      </c>
      <c r="BB184" s="206">
        <f t="shared" si="131"/>
        <v>1</v>
      </c>
      <c r="BC184" s="465">
        <f t="shared" si="131"/>
        <v>120</v>
      </c>
      <c r="BD184" s="206"/>
      <c r="BE184" s="466"/>
    </row>
    <row r="185">
      <c r="A185" s="94"/>
      <c r="B185" s="256" t="s">
        <v>638</v>
      </c>
      <c r="C185" s="257" t="s">
        <v>639</v>
      </c>
      <c r="D185" s="258"/>
      <c r="E185" s="259"/>
      <c r="F185" s="264"/>
      <c r="G185" s="246"/>
      <c r="H185" s="265"/>
      <c r="I185" s="246"/>
      <c r="K185" s="246"/>
      <c r="L185" s="261"/>
      <c r="M185" s="262"/>
      <c r="N185" s="246"/>
      <c r="O185" s="265"/>
      <c r="P185" s="246"/>
      <c r="Q185" s="336" t="s">
        <v>414</v>
      </c>
      <c r="R185" s="246"/>
      <c r="S185" s="261"/>
      <c r="T185" s="312"/>
      <c r="U185" s="246"/>
      <c r="V185" s="265"/>
      <c r="W185" s="246"/>
      <c r="Y185" s="246"/>
      <c r="Z185" s="261"/>
      <c r="AA185" s="262"/>
      <c r="AB185" s="246"/>
      <c r="AD185" s="246"/>
      <c r="AE185" s="287" t="s">
        <v>405</v>
      </c>
      <c r="AF185" s="246"/>
      <c r="AG185" s="261"/>
      <c r="AH185" s="264"/>
      <c r="AI185" s="246"/>
      <c r="AK185" s="246"/>
      <c r="AM185" s="246"/>
      <c r="AN185" s="261"/>
      <c r="AO185" s="262"/>
      <c r="AP185" s="246"/>
      <c r="AQ185" s="266"/>
      <c r="AR185" s="246"/>
      <c r="AT185" s="254" t="str">
        <f>IF(COUNTIF($AO$85:$AT$87, AS190) &gt; 0, "X", "")</f>
        <v/>
      </c>
      <c r="AU185" s="269"/>
      <c r="AV185" s="269"/>
      <c r="AW185" s="206" t="str">
        <f t="shared" ref="AW185:BC185" si="132">AW15</f>
        <v>#REF!</v>
      </c>
      <c r="AX185" s="206">
        <f t="shared" si="132"/>
        <v>5</v>
      </c>
      <c r="AY185" s="206">
        <f t="shared" si="132"/>
        <v>5</v>
      </c>
      <c r="AZ185" s="464">
        <f t="shared" si="132"/>
        <v>3</v>
      </c>
      <c r="BA185" s="206">
        <f t="shared" si="132"/>
        <v>1</v>
      </c>
      <c r="BB185" s="206">
        <f t="shared" si="132"/>
        <v>1</v>
      </c>
      <c r="BC185" s="465">
        <f t="shared" si="132"/>
        <v>120</v>
      </c>
      <c r="BD185" s="206"/>
      <c r="BE185" s="466"/>
    </row>
    <row r="186">
      <c r="A186" s="270"/>
      <c r="B186" s="271" t="s">
        <v>642</v>
      </c>
      <c r="C186" s="272" t="s">
        <v>639</v>
      </c>
      <c r="D186" s="258"/>
      <c r="E186" s="259"/>
      <c r="F186" s="275"/>
      <c r="G186" s="246"/>
      <c r="H186" s="275"/>
      <c r="I186" s="246"/>
      <c r="J186" s="282"/>
      <c r="K186" s="246"/>
      <c r="L186" s="261"/>
      <c r="M186" s="250"/>
      <c r="N186" s="246"/>
      <c r="P186" s="246"/>
      <c r="R186" s="246"/>
      <c r="S186" s="261"/>
      <c r="T186" s="312"/>
      <c r="U186" s="246"/>
      <c r="W186" s="246"/>
      <c r="X186" s="251" t="s">
        <v>427</v>
      </c>
      <c r="Y186" s="246"/>
      <c r="Z186" s="261"/>
      <c r="AA186" s="250"/>
      <c r="AB186" s="246"/>
      <c r="AC186" s="274" t="s">
        <v>406</v>
      </c>
      <c r="AD186" s="246"/>
      <c r="AE186" s="336" t="s">
        <v>414</v>
      </c>
      <c r="AF186" s="246"/>
      <c r="AG186" s="261"/>
      <c r="AH186" s="275"/>
      <c r="AI186" s="246"/>
      <c r="AJ186" s="275"/>
      <c r="AK186" s="246"/>
      <c r="AM186" s="246"/>
      <c r="AN186" s="261"/>
      <c r="AO186" s="250"/>
      <c r="AP186" s="246"/>
      <c r="AQ186" s="275"/>
      <c r="AR186" s="246"/>
      <c r="AS186" s="275"/>
      <c r="AT186" s="254" t="str">
        <f>IF(COUNTIF($AO$85:$AT$87, #REF!) &gt; 0, "X", "")</f>
        <v/>
      </c>
      <c r="AU186" s="269"/>
      <c r="AV186" s="269"/>
      <c r="AW186" s="206" t="str">
        <f t="shared" ref="AW186:BC186" si="133">AW16</f>
        <v>#REF!</v>
      </c>
      <c r="AX186" s="206">
        <f t="shared" si="133"/>
        <v>5</v>
      </c>
      <c r="AY186" s="206">
        <f t="shared" si="133"/>
        <v>5</v>
      </c>
      <c r="AZ186" s="464">
        <f t="shared" si="133"/>
        <v>3</v>
      </c>
      <c r="BA186" s="206">
        <f t="shared" si="133"/>
        <v>1</v>
      </c>
      <c r="BB186" s="206">
        <f t="shared" si="133"/>
        <v>1</v>
      </c>
      <c r="BC186" s="465">
        <f t="shared" si="133"/>
        <v>120</v>
      </c>
      <c r="BD186" s="206"/>
      <c r="BE186" s="466"/>
    </row>
    <row r="187">
      <c r="A187" s="234"/>
      <c r="B187" s="277" t="s">
        <v>644</v>
      </c>
      <c r="C187" s="278" t="s">
        <v>645</v>
      </c>
      <c r="D187" s="243"/>
      <c r="E187" s="259"/>
      <c r="F187" s="281"/>
      <c r="G187" s="246"/>
      <c r="H187" s="280" t="s">
        <v>400</v>
      </c>
      <c r="I187" s="246"/>
      <c r="J187" s="282"/>
      <c r="K187" s="246"/>
      <c r="L187" s="261"/>
      <c r="M187" s="250"/>
      <c r="N187" s="246"/>
      <c r="O187" s="280" t="s">
        <v>400</v>
      </c>
      <c r="P187" s="246"/>
      <c r="R187" s="246"/>
      <c r="S187" s="261"/>
      <c r="T187" s="312"/>
      <c r="U187" s="246"/>
      <c r="V187" s="281"/>
      <c r="W187" s="246"/>
      <c r="X187" s="280" t="s">
        <v>400</v>
      </c>
      <c r="Y187" s="246"/>
      <c r="Z187" s="261"/>
      <c r="AA187" s="250"/>
      <c r="AB187" s="246"/>
      <c r="AC187" s="280" t="s">
        <v>400</v>
      </c>
      <c r="AD187" s="246"/>
      <c r="AF187" s="246"/>
      <c r="AG187" s="261"/>
      <c r="AH187" s="281"/>
      <c r="AI187" s="246"/>
      <c r="AJ187" s="280" t="s">
        <v>400</v>
      </c>
      <c r="AK187" s="246"/>
      <c r="AL187" s="281"/>
      <c r="AM187" s="246"/>
      <c r="AN187" s="261"/>
      <c r="AO187" s="250"/>
      <c r="AP187" s="246"/>
      <c r="AQ187" s="281"/>
      <c r="AR187" s="246"/>
      <c r="AS187" s="281"/>
      <c r="AT187" s="254" t="str">
        <f t="shared" ref="AT187:AT189" si="135">IF(COUNTIF($AO$85:$AT$87, AS187) &gt; 0, "X", "")</f>
        <v/>
      </c>
      <c r="AU187" s="269"/>
      <c r="AV187" s="269"/>
      <c r="AW187" s="206" t="str">
        <f t="shared" ref="AW187:BC187" si="134">AW17</f>
        <v>#REF!</v>
      </c>
      <c r="AX187" s="206">
        <f t="shared" si="134"/>
        <v>5</v>
      </c>
      <c r="AY187" s="206">
        <f t="shared" si="134"/>
        <v>5</v>
      </c>
      <c r="AZ187" s="464">
        <f t="shared" si="134"/>
        <v>3</v>
      </c>
      <c r="BA187" s="206">
        <f t="shared" si="134"/>
        <v>1</v>
      </c>
      <c r="BB187" s="206">
        <f t="shared" si="134"/>
        <v>1</v>
      </c>
      <c r="BC187" s="465">
        <f t="shared" si="134"/>
        <v>120</v>
      </c>
      <c r="BD187" s="206"/>
      <c r="BE187" s="466"/>
    </row>
    <row r="188">
      <c r="A188" s="94"/>
      <c r="B188" s="256" t="s">
        <v>757</v>
      </c>
      <c r="C188" s="257" t="s">
        <v>645</v>
      </c>
      <c r="D188" s="243"/>
      <c r="E188" s="259"/>
      <c r="F188" s="274" t="s">
        <v>402</v>
      </c>
      <c r="G188" s="246"/>
      <c r="H188" s="371"/>
      <c r="I188" s="246"/>
      <c r="J188" s="371"/>
      <c r="K188" s="246"/>
      <c r="L188" s="261"/>
      <c r="M188" s="324"/>
      <c r="N188" s="246"/>
      <c r="O188" s="371"/>
      <c r="P188" s="246"/>
      <c r="Q188" s="280" t="s">
        <v>402</v>
      </c>
      <c r="R188" s="246"/>
      <c r="S188" s="261"/>
      <c r="T188" s="312"/>
      <c r="U188" s="246"/>
      <c r="W188" s="246"/>
      <c r="X188" s="274" t="s">
        <v>402</v>
      </c>
      <c r="Y188" s="246"/>
      <c r="Z188" s="261"/>
      <c r="AA188" s="324"/>
      <c r="AB188" s="246"/>
      <c r="AC188" s="371"/>
      <c r="AD188" s="246"/>
      <c r="AF188" s="246"/>
      <c r="AG188" s="261"/>
      <c r="AH188" s="371"/>
      <c r="AI188" s="246"/>
      <c r="AJ188" s="371"/>
      <c r="AK188" s="246"/>
      <c r="AL188" s="274" t="s">
        <v>402</v>
      </c>
      <c r="AM188" s="246"/>
      <c r="AN188" s="261"/>
      <c r="AO188" s="324"/>
      <c r="AP188" s="246"/>
      <c r="AQ188" s="274" t="s">
        <v>402</v>
      </c>
      <c r="AR188" s="246"/>
      <c r="AS188" s="371"/>
      <c r="AT188" s="254" t="str">
        <f t="shared" si="135"/>
        <v/>
      </c>
      <c r="AU188" s="269"/>
      <c r="AV188" s="269"/>
      <c r="AW188" s="206" t="str">
        <f t="shared" ref="AW188:BC188" si="136">AW18</f>
        <v>#REF!</v>
      </c>
      <c r="AX188" s="206">
        <f t="shared" si="136"/>
        <v>5</v>
      </c>
      <c r="AY188" s="206">
        <f t="shared" si="136"/>
        <v>5</v>
      </c>
      <c r="AZ188" s="464">
        <f t="shared" si="136"/>
        <v>3</v>
      </c>
      <c r="BA188" s="206">
        <f t="shared" si="136"/>
        <v>1</v>
      </c>
      <c r="BB188" s="206">
        <f t="shared" si="136"/>
        <v>1</v>
      </c>
      <c r="BC188" s="465">
        <f t="shared" si="136"/>
        <v>120</v>
      </c>
      <c r="BD188" s="206"/>
      <c r="BE188" s="466"/>
    </row>
    <row r="189">
      <c r="A189" s="94"/>
      <c r="B189" s="284" t="s">
        <v>646</v>
      </c>
      <c r="C189" s="285" t="s">
        <v>647</v>
      </c>
      <c r="D189" s="243"/>
      <c r="E189" s="259"/>
      <c r="F189" s="251" t="s">
        <v>427</v>
      </c>
      <c r="G189" s="246"/>
      <c r="H189" s="399"/>
      <c r="I189" s="246"/>
      <c r="J189" s="399"/>
      <c r="K189" s="246"/>
      <c r="L189" s="261"/>
      <c r="M189" s="250"/>
      <c r="N189" s="246"/>
      <c r="O189" s="282"/>
      <c r="P189" s="246"/>
      <c r="Q189" s="251" t="s">
        <v>427</v>
      </c>
      <c r="R189" s="246"/>
      <c r="S189" s="261"/>
      <c r="T189" s="312"/>
      <c r="U189" s="246"/>
      <c r="W189" s="246"/>
      <c r="Y189" s="246"/>
      <c r="Z189" s="261"/>
      <c r="AA189" s="250"/>
      <c r="AB189" s="246"/>
      <c r="AC189" s="613" t="s">
        <v>432</v>
      </c>
      <c r="AD189" s="246"/>
      <c r="AE189" s="251" t="s">
        <v>427</v>
      </c>
      <c r="AF189" s="246"/>
      <c r="AG189" s="261"/>
      <c r="AH189" s="251" t="s">
        <v>427</v>
      </c>
      <c r="AI189" s="246"/>
      <c r="AJ189" s="399"/>
      <c r="AK189" s="246"/>
      <c r="AL189" s="282"/>
      <c r="AM189" s="246"/>
      <c r="AN189" s="261"/>
      <c r="AO189" s="250"/>
      <c r="AP189" s="246"/>
      <c r="AQ189" s="399"/>
      <c r="AR189" s="246"/>
      <c r="AS189" s="399"/>
      <c r="AT189" s="254" t="str">
        <f t="shared" si="135"/>
        <v/>
      </c>
      <c r="AU189" s="269"/>
      <c r="AV189" s="269"/>
      <c r="AW189" s="206" t="str">
        <f t="shared" ref="AW189:BC189" si="137">AW19</f>
        <v>#REF!</v>
      </c>
      <c r="AX189" s="206">
        <f t="shared" si="137"/>
        <v>5</v>
      </c>
      <c r="AY189" s="206">
        <f t="shared" si="137"/>
        <v>5</v>
      </c>
      <c r="AZ189" s="464">
        <f t="shared" si="137"/>
        <v>3</v>
      </c>
      <c r="BA189" s="206">
        <f t="shared" si="137"/>
        <v>1</v>
      </c>
      <c r="BB189" s="206">
        <f t="shared" si="137"/>
        <v>1</v>
      </c>
      <c r="BC189" s="465">
        <f t="shared" si="137"/>
        <v>120</v>
      </c>
      <c r="BD189" s="206"/>
      <c r="BE189" s="466"/>
    </row>
    <row r="190">
      <c r="A190" s="270"/>
      <c r="B190" s="291" t="s">
        <v>648</v>
      </c>
      <c r="C190" s="292" t="s">
        <v>649</v>
      </c>
      <c r="D190" s="473" t="s">
        <v>758</v>
      </c>
      <c r="E190" s="259"/>
      <c r="F190" s="294"/>
      <c r="G190" s="298"/>
      <c r="H190" s="294"/>
      <c r="I190" s="298"/>
      <c r="J190" s="294"/>
      <c r="K190" s="298"/>
      <c r="L190" s="261"/>
      <c r="M190" s="250"/>
      <c r="N190" s="298"/>
      <c r="O190" s="293" t="s">
        <v>418</v>
      </c>
      <c r="P190" s="298"/>
      <c r="Q190" s="294"/>
      <c r="R190" s="298"/>
      <c r="S190" s="261"/>
      <c r="T190" s="312"/>
      <c r="U190" s="298"/>
      <c r="W190" s="298"/>
      <c r="X190" s="294"/>
      <c r="Y190" s="298"/>
      <c r="Z190" s="261"/>
      <c r="AA190" s="250"/>
      <c r="AB190" s="298"/>
      <c r="AC190" s="294"/>
      <c r="AD190" s="298"/>
      <c r="AE190" s="293" t="s">
        <v>418</v>
      </c>
      <c r="AF190" s="298"/>
      <c r="AG190" s="261"/>
      <c r="AH190" s="294"/>
      <c r="AI190" s="298"/>
      <c r="AJ190" s="293" t="s">
        <v>418</v>
      </c>
      <c r="AK190" s="298"/>
      <c r="AL190" s="294"/>
      <c r="AM190" s="298"/>
      <c r="AN190" s="261"/>
      <c r="AO190" s="250"/>
      <c r="AP190" s="298"/>
      <c r="AQ190" s="294"/>
      <c r="AR190" s="298"/>
      <c r="AS190" s="294"/>
      <c r="AT190" s="254" t="str">
        <f t="shared" ref="AT190:AT191" si="139">IF(COUNTIF($AO$85:$AT$87, #REF!) &gt; 0, "X", "")</f>
        <v/>
      </c>
      <c r="AU190" s="269"/>
      <c r="AV190" s="269"/>
      <c r="AW190" s="206" t="str">
        <f t="shared" ref="AW190:BC190" si="138">AW20</f>
        <v>#REF!</v>
      </c>
      <c r="AX190" s="206">
        <f t="shared" si="138"/>
        <v>5</v>
      </c>
      <c r="AY190" s="206">
        <f t="shared" si="138"/>
        <v>5</v>
      </c>
      <c r="AZ190" s="464">
        <f t="shared" si="138"/>
        <v>3</v>
      </c>
      <c r="BA190" s="206">
        <f t="shared" si="138"/>
        <v>1</v>
      </c>
      <c r="BB190" s="206">
        <f t="shared" si="138"/>
        <v>1</v>
      </c>
      <c r="BC190" s="465">
        <f t="shared" si="138"/>
        <v>120</v>
      </c>
      <c r="BD190" s="206"/>
      <c r="BE190" s="466"/>
    </row>
    <row r="191">
      <c r="A191" s="94"/>
      <c r="B191" s="296" t="s">
        <v>650</v>
      </c>
      <c r="C191" s="297" t="s">
        <v>649</v>
      </c>
      <c r="D191" s="474" t="s">
        <v>426</v>
      </c>
      <c r="E191" s="259"/>
      <c r="F191" s="299"/>
      <c r="G191" s="298"/>
      <c r="H191" s="299"/>
      <c r="I191" s="298"/>
      <c r="J191" s="299"/>
      <c r="K191" s="298"/>
      <c r="L191" s="261"/>
      <c r="M191" s="250"/>
      <c r="N191" s="298"/>
      <c r="O191" s="299"/>
      <c r="P191" s="298"/>
      <c r="Q191" s="299"/>
      <c r="R191" s="298"/>
      <c r="S191" s="261"/>
      <c r="T191" s="312"/>
      <c r="U191" s="298"/>
      <c r="V191" s="299"/>
      <c r="W191" s="298"/>
      <c r="X191" s="299"/>
      <c r="Y191" s="298"/>
      <c r="Z191" s="261"/>
      <c r="AA191" s="250"/>
      <c r="AB191" s="298"/>
      <c r="AC191" s="299"/>
      <c r="AD191" s="298"/>
      <c r="AE191" s="299"/>
      <c r="AF191" s="298"/>
      <c r="AG191" s="261"/>
      <c r="AH191" s="299"/>
      <c r="AI191" s="298"/>
      <c r="AJ191" s="299"/>
      <c r="AK191" s="298"/>
      <c r="AL191" s="299"/>
      <c r="AM191" s="298"/>
      <c r="AN191" s="261"/>
      <c r="AO191" s="250"/>
      <c r="AP191" s="298"/>
      <c r="AQ191" s="299"/>
      <c r="AR191" s="298"/>
      <c r="AS191" s="299"/>
      <c r="AT191" s="254" t="str">
        <f t="shared" si="139"/>
        <v/>
      </c>
      <c r="AU191" s="269"/>
      <c r="AV191" s="269"/>
      <c r="AW191" s="206" t="str">
        <f t="shared" ref="AW191:BC191" si="140">AW21</f>
        <v>#REF!</v>
      </c>
      <c r="AX191" s="206">
        <f t="shared" si="140"/>
        <v>5</v>
      </c>
      <c r="AY191" s="206">
        <f t="shared" si="140"/>
        <v>5</v>
      </c>
      <c r="AZ191" s="464">
        <f t="shared" si="140"/>
        <v>3</v>
      </c>
      <c r="BA191" s="206">
        <f t="shared" si="140"/>
        <v>1</v>
      </c>
      <c r="BB191" s="206">
        <f t="shared" si="140"/>
        <v>1</v>
      </c>
      <c r="BC191" s="465">
        <f t="shared" si="140"/>
        <v>120</v>
      </c>
      <c r="BD191" s="206"/>
      <c r="BE191" s="466"/>
    </row>
    <row r="192">
      <c r="A192" s="94"/>
      <c r="B192" s="301" t="s">
        <v>651</v>
      </c>
      <c r="C192" s="302" t="s">
        <v>652</v>
      </c>
      <c r="D192" s="251" t="s">
        <v>407</v>
      </c>
      <c r="E192" s="259"/>
      <c r="F192" s="303"/>
      <c r="G192" s="298"/>
      <c r="H192" s="303"/>
      <c r="I192" s="298"/>
      <c r="J192" s="303"/>
      <c r="K192" s="298"/>
      <c r="L192" s="261"/>
      <c r="M192" s="250"/>
      <c r="N192" s="298"/>
      <c r="O192" s="303"/>
      <c r="P192" s="298"/>
      <c r="Q192" s="303"/>
      <c r="R192" s="298"/>
      <c r="S192" s="261"/>
      <c r="T192" s="312"/>
      <c r="U192" s="298"/>
      <c r="V192" s="303"/>
      <c r="W192" s="298"/>
      <c r="X192" s="303"/>
      <c r="Y192" s="298"/>
      <c r="Z192" s="261"/>
      <c r="AA192" s="250"/>
      <c r="AB192" s="298"/>
      <c r="AC192" s="303"/>
      <c r="AD192" s="298"/>
      <c r="AE192" s="303"/>
      <c r="AF192" s="298"/>
      <c r="AG192" s="261"/>
      <c r="AH192" s="303"/>
      <c r="AI192" s="298"/>
      <c r="AJ192" s="303"/>
      <c r="AK192" s="298"/>
      <c r="AL192" s="303"/>
      <c r="AM192" s="298"/>
      <c r="AN192" s="261"/>
      <c r="AO192" s="250"/>
      <c r="AP192" s="298"/>
      <c r="AQ192" s="303"/>
      <c r="AR192" s="298"/>
      <c r="AS192" s="303"/>
      <c r="AT192" s="254" t="str">
        <f t="shared" ref="AT192:AT193" si="142">IF(COUNTIF($AO$85:$AT$87, AS192) &gt; 0, "X", "")</f>
        <v/>
      </c>
      <c r="AU192" s="269"/>
      <c r="AV192" s="269"/>
      <c r="AW192" s="206" t="str">
        <f t="shared" ref="AW192:BC192" si="141">AW22</f>
        <v>#REF!</v>
      </c>
      <c r="AX192" s="206">
        <f t="shared" si="141"/>
        <v>5</v>
      </c>
      <c r="AY192" s="206">
        <f t="shared" si="141"/>
        <v>5</v>
      </c>
      <c r="AZ192" s="464">
        <f t="shared" si="141"/>
        <v>3</v>
      </c>
      <c r="BA192" s="206">
        <f t="shared" si="141"/>
        <v>1</v>
      </c>
      <c r="BB192" s="206">
        <f t="shared" si="141"/>
        <v>1</v>
      </c>
      <c r="BC192" s="465">
        <f t="shared" si="141"/>
        <v>120</v>
      </c>
      <c r="BD192" s="206"/>
      <c r="BE192" s="466"/>
    </row>
    <row r="193">
      <c r="A193" s="94"/>
      <c r="B193" s="305" t="s">
        <v>653</v>
      </c>
      <c r="C193" s="306" t="s">
        <v>654</v>
      </c>
      <c r="D193" s="274" t="s">
        <v>397</v>
      </c>
      <c r="E193" s="259"/>
      <c r="F193" s="307"/>
      <c r="G193" s="246"/>
      <c r="H193" s="307"/>
      <c r="I193" s="246"/>
      <c r="J193" s="307"/>
      <c r="K193" s="246"/>
      <c r="L193" s="261"/>
      <c r="M193" s="250"/>
      <c r="N193" s="246"/>
      <c r="O193" s="308" t="s">
        <v>459</v>
      </c>
      <c r="P193" s="246"/>
      <c r="Q193" s="307"/>
      <c r="R193" s="246"/>
      <c r="S193" s="261"/>
      <c r="T193" s="312"/>
      <c r="U193" s="246"/>
      <c r="V193" s="307"/>
      <c r="W193" s="246"/>
      <c r="X193" s="307"/>
      <c r="Y193" s="246"/>
      <c r="Z193" s="261"/>
      <c r="AA193" s="250"/>
      <c r="AB193" s="246"/>
      <c r="AC193" s="307"/>
      <c r="AD193" s="246"/>
      <c r="AE193" s="309" t="s">
        <v>449</v>
      </c>
      <c r="AF193" s="246"/>
      <c r="AG193" s="261"/>
      <c r="AH193" s="307"/>
      <c r="AI193" s="246"/>
      <c r="AJ193" s="307"/>
      <c r="AK193" s="246"/>
      <c r="AL193" s="307"/>
      <c r="AM193" s="246"/>
      <c r="AN193" s="261"/>
      <c r="AO193" s="250"/>
      <c r="AP193" s="246"/>
      <c r="AQ193" s="307"/>
      <c r="AR193" s="246"/>
      <c r="AS193" s="307"/>
      <c r="AT193" s="254" t="str">
        <f t="shared" si="142"/>
        <v/>
      </c>
      <c r="AU193" s="269"/>
      <c r="AV193" s="269"/>
      <c r="AW193" s="206" t="str">
        <f t="shared" ref="AW193:BC193" si="143">AW23</f>
        <v>#REF!</v>
      </c>
      <c r="AX193" s="206">
        <f t="shared" si="143"/>
        <v>5</v>
      </c>
      <c r="AY193" s="206">
        <f t="shared" si="143"/>
        <v>5</v>
      </c>
      <c r="AZ193" s="464">
        <f t="shared" si="143"/>
        <v>3</v>
      </c>
      <c r="BA193" s="206">
        <f t="shared" si="143"/>
        <v>1</v>
      </c>
      <c r="BB193" s="206">
        <f t="shared" si="143"/>
        <v>1</v>
      </c>
      <c r="BC193" s="465">
        <f t="shared" si="143"/>
        <v>120</v>
      </c>
      <c r="BD193" s="206"/>
      <c r="BE193" s="466"/>
    </row>
    <row r="194">
      <c r="A194" s="94"/>
      <c r="B194" s="310" t="s">
        <v>656</v>
      </c>
      <c r="C194" s="278" t="s">
        <v>657</v>
      </c>
      <c r="D194" s="243"/>
      <c r="E194" s="259"/>
      <c r="F194" s="281"/>
      <c r="G194" s="246"/>
      <c r="H194" s="282"/>
      <c r="I194" s="246"/>
      <c r="K194" s="246"/>
      <c r="L194" s="261"/>
      <c r="M194" s="250"/>
      <c r="N194" s="246"/>
      <c r="O194" s="274" t="s">
        <v>458</v>
      </c>
      <c r="P194" s="246"/>
      <c r="R194" s="246"/>
      <c r="S194" s="261"/>
      <c r="T194" s="312"/>
      <c r="U194" s="246"/>
      <c r="W194" s="246"/>
      <c r="X194" s="282"/>
      <c r="Y194" s="246"/>
      <c r="Z194" s="261"/>
      <c r="AA194" s="250"/>
      <c r="AB194" s="246"/>
      <c r="AD194" s="246"/>
      <c r="AE194" s="311" t="s">
        <v>434</v>
      </c>
      <c r="AF194" s="246"/>
      <c r="AG194" s="261"/>
      <c r="AH194" s="282"/>
      <c r="AI194" s="246"/>
      <c r="AJ194" s="282"/>
      <c r="AK194" s="246"/>
      <c r="AL194" s="282"/>
      <c r="AM194" s="246"/>
      <c r="AN194" s="261"/>
      <c r="AO194" s="250"/>
      <c r="AP194" s="246"/>
      <c r="AQ194" s="371"/>
      <c r="AR194" s="246"/>
      <c r="AS194" s="281"/>
      <c r="AT194" s="254" t="str">
        <f t="shared" ref="AT194:AT196" si="145">IF(COUNTIF($AO$85:$AT$87, #REF!) &gt; 0, "X", "")</f>
        <v/>
      </c>
      <c r="AU194" s="269"/>
      <c r="AV194" s="269"/>
      <c r="AW194" s="206" t="str">
        <f t="shared" ref="AW194:BC194" si="144">AW24</f>
        <v>#REF!</v>
      </c>
      <c r="AX194" s="206">
        <f t="shared" si="144"/>
        <v>5</v>
      </c>
      <c r="AY194" s="206">
        <f t="shared" si="144"/>
        <v>5</v>
      </c>
      <c r="AZ194" s="464">
        <f t="shared" si="144"/>
        <v>3</v>
      </c>
      <c r="BA194" s="206">
        <f t="shared" si="144"/>
        <v>1</v>
      </c>
      <c r="BB194" s="206">
        <f t="shared" si="144"/>
        <v>1</v>
      </c>
      <c r="BC194" s="465">
        <f t="shared" si="144"/>
        <v>120</v>
      </c>
      <c r="BD194" s="206"/>
      <c r="BE194" s="466"/>
    </row>
    <row r="195">
      <c r="A195" s="94"/>
      <c r="B195" s="277" t="s">
        <v>658</v>
      </c>
      <c r="C195" s="278" t="s">
        <v>657</v>
      </c>
      <c r="D195" s="243"/>
      <c r="E195" s="259"/>
      <c r="F195" s="282"/>
      <c r="G195" s="246"/>
      <c r="H195" s="282"/>
      <c r="I195" s="246"/>
      <c r="J195" s="281"/>
      <c r="K195" s="246"/>
      <c r="L195" s="261"/>
      <c r="M195" s="316"/>
      <c r="N195" s="246"/>
      <c r="P195" s="246"/>
      <c r="R195" s="246"/>
      <c r="S195" s="261"/>
      <c r="T195" s="312"/>
      <c r="U195" s="246"/>
      <c r="W195" s="246"/>
      <c r="Y195" s="246"/>
      <c r="Z195" s="261"/>
      <c r="AA195" s="316"/>
      <c r="AB195" s="246"/>
      <c r="AC195" s="282"/>
      <c r="AD195" s="246"/>
      <c r="AE195" s="282"/>
      <c r="AF195" s="246"/>
      <c r="AG195" s="261"/>
      <c r="AH195" s="282"/>
      <c r="AI195" s="246"/>
      <c r="AJ195" s="282"/>
      <c r="AK195" s="246"/>
      <c r="AL195" s="282"/>
      <c r="AM195" s="246"/>
      <c r="AN195" s="261"/>
      <c r="AO195" s="316"/>
      <c r="AP195" s="246"/>
      <c r="AQ195" s="282"/>
      <c r="AR195" s="246"/>
      <c r="AT195" s="254" t="str">
        <f t="shared" si="145"/>
        <v/>
      </c>
      <c r="AU195" s="269"/>
      <c r="AV195" s="269"/>
      <c r="AW195" s="206" t="str">
        <f t="shared" ref="AW195:BC195" si="146">AW25</f>
        <v>#REF!</v>
      </c>
      <c r="AX195" s="206">
        <f t="shared" si="146"/>
        <v>5</v>
      </c>
      <c r="AY195" s="206">
        <f t="shared" si="146"/>
        <v>5</v>
      </c>
      <c r="AZ195" s="464">
        <f t="shared" si="146"/>
        <v>3</v>
      </c>
      <c r="BA195" s="206">
        <f t="shared" si="146"/>
        <v>1</v>
      </c>
      <c r="BB195" s="206">
        <f t="shared" si="146"/>
        <v>1</v>
      </c>
      <c r="BC195" s="465">
        <f t="shared" si="146"/>
        <v>120</v>
      </c>
      <c r="BD195" s="206"/>
      <c r="BE195" s="466"/>
    </row>
    <row r="196">
      <c r="A196" s="94"/>
      <c r="B196" s="314" t="s">
        <v>660</v>
      </c>
      <c r="C196" s="315" t="s">
        <v>649</v>
      </c>
      <c r="D196" s="243"/>
      <c r="E196" s="259"/>
      <c r="F196" s="506"/>
      <c r="G196" s="298"/>
      <c r="H196" s="293" t="s">
        <v>418</v>
      </c>
      <c r="I196" s="298"/>
      <c r="J196" s="356" t="s">
        <v>423</v>
      </c>
      <c r="K196" s="298"/>
      <c r="L196" s="261"/>
      <c r="M196" s="250"/>
      <c r="N196" s="298"/>
      <c r="O196" s="253" t="s">
        <v>417</v>
      </c>
      <c r="P196" s="298"/>
      <c r="Q196" s="293" t="s">
        <v>421</v>
      </c>
      <c r="R196" s="298"/>
      <c r="S196" s="261"/>
      <c r="T196" s="312"/>
      <c r="U196" s="298"/>
      <c r="V196" s="253" t="s">
        <v>417</v>
      </c>
      <c r="W196" s="298"/>
      <c r="X196" s="293" t="s">
        <v>424</v>
      </c>
      <c r="Y196" s="298"/>
      <c r="Z196" s="261"/>
      <c r="AA196" s="316"/>
      <c r="AB196" s="298"/>
      <c r="AC196" s="253" t="s">
        <v>417</v>
      </c>
      <c r="AD196" s="298"/>
      <c r="AE196" s="356" t="s">
        <v>423</v>
      </c>
      <c r="AF196" s="298"/>
      <c r="AG196" s="261"/>
      <c r="AH196" s="479"/>
      <c r="AI196" s="298"/>
      <c r="AJ196" s="293" t="s">
        <v>416</v>
      </c>
      <c r="AK196" s="298"/>
      <c r="AL196" s="293" t="s">
        <v>421</v>
      </c>
      <c r="AM196" s="298"/>
      <c r="AN196" s="261"/>
      <c r="AO196" s="250"/>
      <c r="AP196" s="298"/>
      <c r="AQ196" s="293" t="s">
        <v>416</v>
      </c>
      <c r="AR196" s="298"/>
      <c r="AS196" s="293" t="s">
        <v>424</v>
      </c>
      <c r="AT196" s="254" t="str">
        <f t="shared" si="145"/>
        <v/>
      </c>
      <c r="AU196" s="269"/>
      <c r="AV196" s="269"/>
      <c r="AW196" s="206" t="str">
        <f t="shared" ref="AW196:BC196" si="147">AW26</f>
        <v>#REF!</v>
      </c>
      <c r="AX196" s="206">
        <f t="shared" si="147"/>
        <v>5</v>
      </c>
      <c r="AY196" s="206">
        <f t="shared" si="147"/>
        <v>5</v>
      </c>
      <c r="AZ196" s="464">
        <f t="shared" si="147"/>
        <v>3</v>
      </c>
      <c r="BA196" s="206">
        <f t="shared" si="147"/>
        <v>1</v>
      </c>
      <c r="BB196" s="206">
        <f t="shared" si="147"/>
        <v>1</v>
      </c>
      <c r="BC196" s="465">
        <f t="shared" si="147"/>
        <v>120</v>
      </c>
      <c r="BD196" s="206"/>
      <c r="BE196" s="466"/>
    </row>
    <row r="197">
      <c r="A197" s="94"/>
      <c r="B197" s="296" t="s">
        <v>650</v>
      </c>
      <c r="C197" s="297" t="s">
        <v>649</v>
      </c>
      <c r="D197" s="243"/>
      <c r="E197" s="259"/>
      <c r="F197" s="509"/>
      <c r="G197" s="298"/>
      <c r="H197" s="299"/>
      <c r="I197" s="298"/>
      <c r="J197" s="299"/>
      <c r="K197" s="298"/>
      <c r="L197" s="261"/>
      <c r="M197" s="250"/>
      <c r="N197" s="298"/>
      <c r="O197" s="299"/>
      <c r="P197" s="298"/>
      <c r="Q197" s="356" t="s">
        <v>423</v>
      </c>
      <c r="R197" s="298"/>
      <c r="S197" s="261"/>
      <c r="T197" s="312"/>
      <c r="U197" s="298"/>
      <c r="V197" s="299"/>
      <c r="W197" s="298"/>
      <c r="X197" s="293" t="s">
        <v>421</v>
      </c>
      <c r="Y197" s="298"/>
      <c r="Z197" s="261"/>
      <c r="AA197" s="316"/>
      <c r="AB197" s="298"/>
      <c r="AC197" s="300"/>
      <c r="AD197" s="298"/>
      <c r="AE197" s="300"/>
      <c r="AF197" s="298"/>
      <c r="AG197" s="261"/>
      <c r="AH197" s="317"/>
      <c r="AI197" s="298"/>
      <c r="AJ197" s="300"/>
      <c r="AK197" s="298"/>
      <c r="AL197" s="356" t="s">
        <v>423</v>
      </c>
      <c r="AM197" s="298"/>
      <c r="AN197" s="261"/>
      <c r="AO197" s="250"/>
      <c r="AP197" s="298"/>
      <c r="AQ197" s="299"/>
      <c r="AR197" s="298"/>
      <c r="AS197" s="299"/>
      <c r="AT197" s="254" t="str">
        <f>IF(COUNTIF($AO$85:$AT$87, AS197) &gt; 0, "X", "")</f>
        <v/>
      </c>
      <c r="AU197" s="269"/>
      <c r="AV197" s="269"/>
      <c r="AW197" s="206" t="str">
        <f t="shared" ref="AW197:BC197" si="148">AW27</f>
        <v>#REF!</v>
      </c>
      <c r="AX197" s="206">
        <f t="shared" si="148"/>
        <v>5</v>
      </c>
      <c r="AY197" s="206">
        <f t="shared" si="148"/>
        <v>5</v>
      </c>
      <c r="AZ197" s="464">
        <f t="shared" si="148"/>
        <v>3</v>
      </c>
      <c r="BA197" s="206">
        <f t="shared" si="148"/>
        <v>1</v>
      </c>
      <c r="BB197" s="206">
        <f t="shared" si="148"/>
        <v>1</v>
      </c>
      <c r="BC197" s="465">
        <f t="shared" si="148"/>
        <v>120</v>
      </c>
      <c r="BD197" s="206"/>
      <c r="BE197" s="466"/>
    </row>
    <row r="198">
      <c r="A198" s="94"/>
      <c r="B198" s="301" t="s">
        <v>651</v>
      </c>
      <c r="C198" s="302" t="s">
        <v>652</v>
      </c>
      <c r="D198" s="323"/>
      <c r="E198" s="259"/>
      <c r="F198" s="320"/>
      <c r="G198" s="298"/>
      <c r="H198" s="303"/>
      <c r="I198" s="298"/>
      <c r="J198" s="511" t="s">
        <v>853</v>
      </c>
      <c r="K198" s="298"/>
      <c r="L198" s="261"/>
      <c r="M198" s="324"/>
      <c r="N198" s="298"/>
      <c r="O198" s="303"/>
      <c r="P198" s="298"/>
      <c r="Q198" s="321"/>
      <c r="R198" s="298"/>
      <c r="S198" s="261"/>
      <c r="T198" s="312"/>
      <c r="U198" s="298"/>
      <c r="V198" s="303"/>
      <c r="W198" s="298"/>
      <c r="X198" s="511" t="s">
        <v>854</v>
      </c>
      <c r="Y198" s="298"/>
      <c r="Z198" s="261"/>
      <c r="AA198" s="316"/>
      <c r="AB198" s="298"/>
      <c r="AC198" s="303"/>
      <c r="AD198" s="298"/>
      <c r="AE198" s="321"/>
      <c r="AF198" s="298"/>
      <c r="AG198" s="261"/>
      <c r="AH198" s="320"/>
      <c r="AI198" s="298"/>
      <c r="AJ198" s="303"/>
      <c r="AK198" s="298"/>
      <c r="AL198" s="321" t="s">
        <v>854</v>
      </c>
      <c r="AM198" s="298"/>
      <c r="AN198" s="261"/>
      <c r="AO198" s="324"/>
      <c r="AP198" s="298"/>
      <c r="AQ198" s="303"/>
      <c r="AR198" s="298"/>
      <c r="AS198" s="303"/>
      <c r="AT198" s="254" t="str">
        <f t="shared" ref="AT198:AT199" si="150">IF(COUNTIF($AO$85:$AT$87, #REF!) &gt; 0, "X", "")</f>
        <v/>
      </c>
      <c r="AU198" s="269"/>
      <c r="AV198" s="269"/>
      <c r="AW198" s="206" t="str">
        <f t="shared" ref="AW198:BC198" si="149">AW28</f>
        <v>#REF!</v>
      </c>
      <c r="AX198" s="206">
        <f t="shared" si="149"/>
        <v>5</v>
      </c>
      <c r="AY198" s="206">
        <f t="shared" si="149"/>
        <v>5</v>
      </c>
      <c r="AZ198" s="464">
        <f t="shared" si="149"/>
        <v>3</v>
      </c>
      <c r="BA198" s="206">
        <f t="shared" si="149"/>
        <v>1</v>
      </c>
      <c r="BB198" s="206">
        <f t="shared" si="149"/>
        <v>1</v>
      </c>
      <c r="BC198" s="465">
        <f t="shared" si="149"/>
        <v>120</v>
      </c>
      <c r="BD198" s="206"/>
      <c r="BE198" s="466"/>
    </row>
    <row r="199">
      <c r="A199" s="94"/>
      <c r="B199" s="322" t="s">
        <v>662</v>
      </c>
      <c r="C199" s="306" t="s">
        <v>663</v>
      </c>
      <c r="D199" s="330"/>
      <c r="E199" s="259"/>
      <c r="F199" s="317"/>
      <c r="G199" s="246"/>
      <c r="H199" s="307"/>
      <c r="I199" s="246"/>
      <c r="J199" s="307"/>
      <c r="K199" s="246"/>
      <c r="L199" s="261"/>
      <c r="M199" s="333"/>
      <c r="N199" s="246"/>
      <c r="O199" s="308" t="s">
        <v>434</v>
      </c>
      <c r="P199" s="246"/>
      <c r="Q199" s="307"/>
      <c r="R199" s="246"/>
      <c r="S199" s="261"/>
      <c r="T199" s="312"/>
      <c r="U199" s="246"/>
      <c r="V199" s="307"/>
      <c r="W199" s="246"/>
      <c r="X199" s="614"/>
      <c r="Y199" s="246"/>
      <c r="Z199" s="261"/>
      <c r="AA199" s="316"/>
      <c r="AB199" s="246"/>
      <c r="AC199" s="307"/>
      <c r="AD199" s="246"/>
      <c r="AE199" s="307"/>
      <c r="AF199" s="246"/>
      <c r="AG199" s="261"/>
      <c r="AH199" s="317"/>
      <c r="AI199" s="246"/>
      <c r="AJ199" s="307"/>
      <c r="AK199" s="246"/>
      <c r="AL199" s="307"/>
      <c r="AM199" s="246"/>
      <c r="AN199" s="261"/>
      <c r="AO199" s="333"/>
      <c r="AP199" s="246"/>
      <c r="AQ199" s="307"/>
      <c r="AR199" s="246"/>
      <c r="AS199" s="307"/>
      <c r="AT199" s="254" t="str">
        <f t="shared" si="150"/>
        <v/>
      </c>
      <c r="AU199" s="269"/>
      <c r="AV199" s="269"/>
      <c r="AW199" s="206" t="str">
        <f t="shared" ref="AW199:BC199" si="151">AW29</f>
        <v>#REF!</v>
      </c>
      <c r="AX199" s="206">
        <f t="shared" si="151"/>
        <v>5</v>
      </c>
      <c r="AY199" s="206">
        <f t="shared" si="151"/>
        <v>5</v>
      </c>
      <c r="AZ199" s="464">
        <f t="shared" si="151"/>
        <v>3</v>
      </c>
      <c r="BA199" s="206">
        <f t="shared" si="151"/>
        <v>1</v>
      </c>
      <c r="BB199" s="206">
        <f t="shared" si="151"/>
        <v>1</v>
      </c>
      <c r="BC199" s="465">
        <f t="shared" si="151"/>
        <v>120</v>
      </c>
      <c r="BD199" s="206"/>
      <c r="BE199" s="466"/>
    </row>
    <row r="200">
      <c r="A200" s="94"/>
      <c r="B200" s="328" t="s">
        <v>665</v>
      </c>
      <c r="C200" s="329" t="s">
        <v>654</v>
      </c>
      <c r="D200" s="330"/>
      <c r="E200" s="259"/>
      <c r="F200" s="506"/>
      <c r="G200" s="246"/>
      <c r="H200" s="274" t="s">
        <v>458</v>
      </c>
      <c r="I200" s="246"/>
      <c r="J200" s="311" t="s">
        <v>434</v>
      </c>
      <c r="K200" s="246"/>
      <c r="L200" s="261"/>
      <c r="M200" s="324"/>
      <c r="N200" s="246"/>
      <c r="O200" s="274" t="s">
        <v>439</v>
      </c>
      <c r="P200" s="246"/>
      <c r="Q200" s="274" t="s">
        <v>449</v>
      </c>
      <c r="R200" s="246"/>
      <c r="S200" s="261"/>
      <c r="T200" s="312"/>
      <c r="U200" s="246"/>
      <c r="V200" s="274" t="s">
        <v>458</v>
      </c>
      <c r="W200" s="246"/>
      <c r="X200" s="311" t="s">
        <v>434</v>
      </c>
      <c r="Y200" s="246"/>
      <c r="Z200" s="261"/>
      <c r="AA200" s="316"/>
      <c r="AB200" s="246"/>
      <c r="AC200" s="274" t="s">
        <v>439</v>
      </c>
      <c r="AD200" s="246"/>
      <c r="AE200" s="274" t="s">
        <v>443</v>
      </c>
      <c r="AF200" s="246"/>
      <c r="AG200" s="261"/>
      <c r="AH200" s="479"/>
      <c r="AI200" s="246"/>
      <c r="AJ200" s="274" t="s">
        <v>439</v>
      </c>
      <c r="AK200" s="246"/>
      <c r="AL200" s="311" t="s">
        <v>434</v>
      </c>
      <c r="AM200" s="246"/>
      <c r="AN200" s="261"/>
      <c r="AO200" s="324"/>
      <c r="AP200" s="246"/>
      <c r="AQ200" s="274" t="s">
        <v>458</v>
      </c>
      <c r="AR200" s="246"/>
      <c r="AS200" s="274" t="s">
        <v>449</v>
      </c>
      <c r="AT200" s="254" t="str">
        <f>IF(COUNTIF($AO$85:$AT$87, AH207) &gt; 0, "X", "")</f>
        <v/>
      </c>
      <c r="AU200" s="269"/>
      <c r="AV200" s="269"/>
      <c r="AW200" s="206" t="str">
        <f t="shared" ref="AW200:BC200" si="152">AW30</f>
        <v>#REF!</v>
      </c>
      <c r="AX200" s="206">
        <f t="shared" si="152"/>
        <v>5</v>
      </c>
      <c r="AY200" s="206">
        <f t="shared" si="152"/>
        <v>5</v>
      </c>
      <c r="AZ200" s="464">
        <f t="shared" si="152"/>
        <v>3</v>
      </c>
      <c r="BA200" s="206">
        <f t="shared" si="152"/>
        <v>1</v>
      </c>
      <c r="BB200" s="206">
        <f t="shared" si="152"/>
        <v>1</v>
      </c>
      <c r="BC200" s="465">
        <f t="shared" si="152"/>
        <v>120</v>
      </c>
      <c r="BD200" s="206"/>
      <c r="BE200" s="466"/>
    </row>
    <row r="201">
      <c r="A201" s="94"/>
      <c r="B201" s="337" t="s">
        <v>665</v>
      </c>
      <c r="C201" s="338" t="s">
        <v>657</v>
      </c>
      <c r="D201" s="330"/>
      <c r="E201" s="259"/>
      <c r="F201" s="506"/>
      <c r="G201" s="246"/>
      <c r="H201" s="283" t="s">
        <v>450</v>
      </c>
      <c r="I201" s="246"/>
      <c r="J201" s="274" t="s">
        <v>448</v>
      </c>
      <c r="K201" s="246"/>
      <c r="L201" s="261"/>
      <c r="M201" s="341"/>
      <c r="N201" s="246"/>
      <c r="O201" s="283" t="s">
        <v>450</v>
      </c>
      <c r="P201" s="246"/>
      <c r="Q201" s="274" t="s">
        <v>655</v>
      </c>
      <c r="R201" s="246"/>
      <c r="S201" s="261"/>
      <c r="T201" s="312"/>
      <c r="U201" s="246"/>
      <c r="V201" s="311" t="s">
        <v>459</v>
      </c>
      <c r="W201" s="246"/>
      <c r="X201" s="274" t="s">
        <v>655</v>
      </c>
      <c r="Y201" s="246"/>
      <c r="Z201" s="261"/>
      <c r="AA201" s="316"/>
      <c r="AB201" s="246"/>
      <c r="AC201" s="283" t="s">
        <v>450</v>
      </c>
      <c r="AD201" s="246"/>
      <c r="AE201" s="615" t="s">
        <v>409</v>
      </c>
      <c r="AF201" s="246"/>
      <c r="AG201" s="261"/>
      <c r="AH201" s="479"/>
      <c r="AI201" s="246"/>
      <c r="AJ201" s="283" t="s">
        <v>450</v>
      </c>
      <c r="AK201" s="246"/>
      <c r="AL201" s="274" t="s">
        <v>443</v>
      </c>
      <c r="AM201" s="246"/>
      <c r="AN201" s="261"/>
      <c r="AO201" s="341"/>
      <c r="AP201" s="246"/>
      <c r="AQ201" s="311" t="s">
        <v>459</v>
      </c>
      <c r="AR201" s="246"/>
      <c r="AS201" s="274" t="s">
        <v>443</v>
      </c>
      <c r="AT201" s="254" t="str">
        <f t="shared" ref="AT201:AT205" si="154">IF(COUNTIF($AO$85:$AT$87, #REF!) &gt; 0, "X", "")</f>
        <v/>
      </c>
      <c r="AU201" s="269"/>
      <c r="AV201" s="269"/>
      <c r="AW201" s="206" t="str">
        <f t="shared" ref="AW201:BC201" si="153">AW31</f>
        <v>#REF!</v>
      </c>
      <c r="AX201" s="206">
        <f t="shared" si="153"/>
        <v>5</v>
      </c>
      <c r="AY201" s="206">
        <f t="shared" si="153"/>
        <v>5</v>
      </c>
      <c r="AZ201" s="464">
        <f t="shared" si="153"/>
        <v>3</v>
      </c>
      <c r="BA201" s="206">
        <f t="shared" si="153"/>
        <v>1</v>
      </c>
      <c r="BB201" s="206">
        <f t="shared" si="153"/>
        <v>1</v>
      </c>
      <c r="BC201" s="465">
        <f t="shared" si="153"/>
        <v>120</v>
      </c>
      <c r="BD201" s="206"/>
      <c r="BE201" s="466"/>
    </row>
    <row r="202">
      <c r="A202" s="94"/>
      <c r="B202" s="256" t="s">
        <v>665</v>
      </c>
      <c r="C202" s="257" t="s">
        <v>663</v>
      </c>
      <c r="D202" s="330"/>
      <c r="E202" s="259"/>
      <c r="F202" s="506"/>
      <c r="G202" s="246"/>
      <c r="H202" s="340" t="s">
        <v>409</v>
      </c>
      <c r="I202" s="246"/>
      <c r="K202" s="246"/>
      <c r="L202" s="261"/>
      <c r="M202" s="341"/>
      <c r="N202" s="246"/>
      <c r="P202" s="246"/>
      <c r="Q202" s="340" t="s">
        <v>409</v>
      </c>
      <c r="R202" s="246"/>
      <c r="S202" s="261"/>
      <c r="T202" s="312"/>
      <c r="U202" s="246"/>
      <c r="V202" s="336" t="s">
        <v>450</v>
      </c>
      <c r="W202" s="246"/>
      <c r="X202" s="274" t="s">
        <v>448</v>
      </c>
      <c r="Y202" s="246"/>
      <c r="Z202" s="261"/>
      <c r="AA202" s="316"/>
      <c r="AB202" s="246"/>
      <c r="AC202" s="274" t="s">
        <v>415</v>
      </c>
      <c r="AD202" s="246"/>
      <c r="AE202" s="274" t="s">
        <v>655</v>
      </c>
      <c r="AF202" s="246"/>
      <c r="AG202" s="261"/>
      <c r="AH202" s="506"/>
      <c r="AI202" s="246"/>
      <c r="AK202" s="246"/>
      <c r="AL202" s="274" t="s">
        <v>448</v>
      </c>
      <c r="AM202" s="246"/>
      <c r="AN202" s="261"/>
      <c r="AO202" s="341"/>
      <c r="AP202" s="246"/>
      <c r="AR202" s="246"/>
      <c r="AT202" s="254" t="str">
        <f t="shared" si="154"/>
        <v/>
      </c>
      <c r="AU202" s="269"/>
      <c r="AV202" s="269"/>
      <c r="AW202" s="206" t="str">
        <f t="shared" ref="AW202:BC202" si="155">AW32</f>
        <v>#REF!</v>
      </c>
      <c r="AX202" s="206">
        <f t="shared" si="155"/>
        <v>5</v>
      </c>
      <c r="AY202" s="206">
        <f t="shared" si="155"/>
        <v>5</v>
      </c>
      <c r="AZ202" s="464">
        <f t="shared" si="155"/>
        <v>3</v>
      </c>
      <c r="BA202" s="206">
        <f t="shared" si="155"/>
        <v>1</v>
      </c>
      <c r="BB202" s="206">
        <f t="shared" si="155"/>
        <v>1</v>
      </c>
      <c r="BC202" s="465">
        <f t="shared" si="155"/>
        <v>120</v>
      </c>
      <c r="BD202" s="206"/>
      <c r="BE202" s="466"/>
    </row>
    <row r="203">
      <c r="A203" s="94"/>
      <c r="B203" s="328" t="s">
        <v>665</v>
      </c>
      <c r="C203" s="329" t="s">
        <v>645</v>
      </c>
      <c r="D203" s="323"/>
      <c r="E203" s="261"/>
      <c r="F203" s="506"/>
      <c r="G203" s="246"/>
      <c r="H203" s="311" t="s">
        <v>459</v>
      </c>
      <c r="I203" s="246"/>
      <c r="J203" s="336" t="s">
        <v>414</v>
      </c>
      <c r="K203" s="246"/>
      <c r="L203" s="261"/>
      <c r="M203" s="346"/>
      <c r="N203" s="246"/>
      <c r="O203" s="274" t="s">
        <v>448</v>
      </c>
      <c r="P203" s="246"/>
      <c r="Q203" s="274" t="s">
        <v>415</v>
      </c>
      <c r="R203" s="246"/>
      <c r="S203" s="261"/>
      <c r="T203" s="312"/>
      <c r="U203" s="246"/>
      <c r="V203" s="274" t="s">
        <v>415</v>
      </c>
      <c r="W203" s="246"/>
      <c r="X203" s="274" t="s">
        <v>443</v>
      </c>
      <c r="Y203" s="246"/>
      <c r="Z203" s="261"/>
      <c r="AA203" s="316"/>
      <c r="AB203" s="246"/>
      <c r="AC203" s="311" t="s">
        <v>459</v>
      </c>
      <c r="AD203" s="246"/>
      <c r="AE203" s="274" t="s">
        <v>448</v>
      </c>
      <c r="AF203" s="246"/>
      <c r="AG203" s="261"/>
      <c r="AI203" s="246"/>
      <c r="AJ203" s="348" t="s">
        <v>668</v>
      </c>
      <c r="AK203" s="246"/>
      <c r="AL203" s="274" t="s">
        <v>415</v>
      </c>
      <c r="AM203" s="246"/>
      <c r="AN203" s="261"/>
      <c r="AO203" s="346"/>
      <c r="AP203" s="246"/>
      <c r="AQ203" s="336" t="s">
        <v>414</v>
      </c>
      <c r="AR203" s="246"/>
      <c r="AS203" s="340" t="s">
        <v>409</v>
      </c>
      <c r="AT203" s="254" t="str">
        <f t="shared" si="154"/>
        <v/>
      </c>
      <c r="AU203" s="269"/>
      <c r="AV203" s="269"/>
      <c r="AW203" s="206" t="str">
        <f t="shared" ref="AW203:BC203" si="156">AW33</f>
        <v>#REF!</v>
      </c>
      <c r="AX203" s="206">
        <f t="shared" si="156"/>
        <v>5</v>
      </c>
      <c r="AY203" s="206">
        <f t="shared" si="156"/>
        <v>5</v>
      </c>
      <c r="AZ203" s="464">
        <f t="shared" si="156"/>
        <v>3</v>
      </c>
      <c r="BA203" s="206">
        <f t="shared" si="156"/>
        <v>1</v>
      </c>
      <c r="BB203" s="206">
        <f t="shared" si="156"/>
        <v>1</v>
      </c>
      <c r="BC203" s="465">
        <f t="shared" si="156"/>
        <v>120</v>
      </c>
      <c r="BD203" s="206"/>
      <c r="BE203" s="466"/>
    </row>
    <row r="204">
      <c r="A204" s="94"/>
      <c r="B204" s="342" t="s">
        <v>667</v>
      </c>
      <c r="C204" s="343" t="s">
        <v>657</v>
      </c>
      <c r="D204" s="351"/>
      <c r="E204" s="259"/>
      <c r="F204" s="572" t="s">
        <v>401</v>
      </c>
      <c r="G204" s="246"/>
      <c r="H204" s="265"/>
      <c r="I204" s="246"/>
      <c r="J204" s="265"/>
      <c r="K204" s="246"/>
      <c r="L204" s="261"/>
      <c r="M204" s="354"/>
      <c r="N204" s="246"/>
      <c r="O204" s="572" t="s">
        <v>401</v>
      </c>
      <c r="P204" s="246"/>
      <c r="R204" s="246"/>
      <c r="S204" s="261"/>
      <c r="T204" s="573" t="s">
        <v>401</v>
      </c>
      <c r="U204" s="246"/>
      <c r="V204" s="293" t="s">
        <v>418</v>
      </c>
      <c r="W204" s="246"/>
      <c r="X204" s="340" t="s">
        <v>409</v>
      </c>
      <c r="Y204" s="246"/>
      <c r="Z204" s="261"/>
      <c r="AA204" s="354"/>
      <c r="AB204" s="246"/>
      <c r="AC204" s="573" t="s">
        <v>401</v>
      </c>
      <c r="AD204" s="246"/>
      <c r="AF204" s="246"/>
      <c r="AG204" s="261"/>
      <c r="AH204" s="573" t="s">
        <v>401</v>
      </c>
      <c r="AI204" s="246"/>
      <c r="AJ204" s="265"/>
      <c r="AK204" s="246"/>
      <c r="AM204" s="246"/>
      <c r="AN204" s="261"/>
      <c r="AO204" s="354"/>
      <c r="AP204" s="246"/>
      <c r="AQ204" s="616" t="s">
        <v>874</v>
      </c>
      <c r="AR204" s="246"/>
      <c r="AT204" s="254" t="str">
        <f t="shared" si="154"/>
        <v/>
      </c>
      <c r="AU204" s="269"/>
      <c r="AV204" s="269"/>
      <c r="AW204" s="206" t="str">
        <f t="shared" ref="AW204:BC204" si="157">AW34</f>
        <v>#REF!</v>
      </c>
      <c r="AX204" s="206">
        <f t="shared" si="157"/>
        <v>5</v>
      </c>
      <c r="AY204" s="206">
        <f t="shared" si="157"/>
        <v>5</v>
      </c>
      <c r="AZ204" s="464">
        <f t="shared" si="157"/>
        <v>3</v>
      </c>
      <c r="BA204" s="206">
        <f t="shared" si="157"/>
        <v>1</v>
      </c>
      <c r="BB204" s="206">
        <f t="shared" si="157"/>
        <v>1</v>
      </c>
      <c r="BC204" s="465">
        <f t="shared" si="157"/>
        <v>120</v>
      </c>
      <c r="BD204" s="206"/>
      <c r="BE204" s="466"/>
    </row>
    <row r="205">
      <c r="A205" s="94"/>
      <c r="B205" s="349" t="s">
        <v>669</v>
      </c>
      <c r="C205" s="350" t="s">
        <v>649</v>
      </c>
      <c r="D205" s="323"/>
      <c r="E205" s="259"/>
      <c r="F205" s="293" t="s">
        <v>426</v>
      </c>
      <c r="G205" s="298"/>
      <c r="H205" s="357" t="s">
        <v>420</v>
      </c>
      <c r="I205" s="298"/>
      <c r="J205" s="293" t="s">
        <v>421</v>
      </c>
      <c r="K205" s="298"/>
      <c r="L205" s="261"/>
      <c r="M205" s="324"/>
      <c r="N205" s="298"/>
      <c r="O205" s="355" t="s">
        <v>670</v>
      </c>
      <c r="P205" s="298"/>
      <c r="Q205" s="293" t="s">
        <v>424</v>
      </c>
      <c r="R205" s="298"/>
      <c r="S205" s="261"/>
      <c r="T205" s="312"/>
      <c r="U205" s="298"/>
      <c r="V205" s="355" t="s">
        <v>670</v>
      </c>
      <c r="W205" s="298"/>
      <c r="X205" s="356" t="s">
        <v>423</v>
      </c>
      <c r="Y205" s="298"/>
      <c r="Z205" s="261"/>
      <c r="AA205" s="324"/>
      <c r="AB205" s="298"/>
      <c r="AC205" s="357" t="s">
        <v>420</v>
      </c>
      <c r="AD205" s="298"/>
      <c r="AE205" s="293" t="s">
        <v>424</v>
      </c>
      <c r="AF205" s="298"/>
      <c r="AG205" s="261"/>
      <c r="AH205" s="293" t="s">
        <v>424</v>
      </c>
      <c r="AI205" s="298"/>
      <c r="AJ205" s="253" t="s">
        <v>417</v>
      </c>
      <c r="AK205" s="298"/>
      <c r="AL205" s="355" t="s">
        <v>670</v>
      </c>
      <c r="AM205" s="298"/>
      <c r="AN205" s="261"/>
      <c r="AO205" s="324"/>
      <c r="AP205" s="298"/>
      <c r="AQ205" s="253" t="s">
        <v>417</v>
      </c>
      <c r="AR205" s="298"/>
      <c r="AS205" s="293" t="s">
        <v>421</v>
      </c>
      <c r="AT205" s="254" t="str">
        <f t="shared" si="154"/>
        <v/>
      </c>
      <c r="AU205" s="269"/>
      <c r="AV205" s="269"/>
      <c r="AW205" s="206" t="str">
        <f t="shared" ref="AW205:BC205" si="158">AW35</f>
        <v>#REF!</v>
      </c>
      <c r="AX205" s="206">
        <f t="shared" si="158"/>
        <v>5</v>
      </c>
      <c r="AY205" s="206">
        <f t="shared" si="158"/>
        <v>5</v>
      </c>
      <c r="AZ205" s="464">
        <f t="shared" si="158"/>
        <v>3</v>
      </c>
      <c r="BA205" s="206">
        <f t="shared" si="158"/>
        <v>1</v>
      </c>
      <c r="BB205" s="206">
        <f t="shared" si="158"/>
        <v>1</v>
      </c>
      <c r="BC205" s="465">
        <f t="shared" si="158"/>
        <v>120</v>
      </c>
      <c r="BD205" s="206"/>
      <c r="BE205" s="466"/>
    </row>
    <row r="206">
      <c r="A206" s="234"/>
      <c r="B206" s="296" t="s">
        <v>650</v>
      </c>
      <c r="C206" s="297" t="s">
        <v>649</v>
      </c>
      <c r="D206" s="330"/>
      <c r="E206" s="259"/>
      <c r="F206" s="299"/>
      <c r="G206" s="298"/>
      <c r="H206" s="299"/>
      <c r="I206" s="298"/>
      <c r="J206" s="299"/>
      <c r="K206" s="298"/>
      <c r="L206" s="261"/>
      <c r="M206" s="250"/>
      <c r="N206" s="298"/>
      <c r="O206" s="617" t="s">
        <v>397</v>
      </c>
      <c r="P206" s="298"/>
      <c r="Q206" s="319"/>
      <c r="R206" s="298"/>
      <c r="S206" s="261"/>
      <c r="T206" s="312"/>
      <c r="U206" s="298"/>
      <c r="V206" s="517" t="s">
        <v>397</v>
      </c>
      <c r="W206" s="298"/>
      <c r="X206" s="319"/>
      <c r="Y206" s="298"/>
      <c r="Z206" s="261"/>
      <c r="AA206" s="250"/>
      <c r="AB206" s="298"/>
      <c r="AC206" s="617" t="s">
        <v>397</v>
      </c>
      <c r="AD206" s="298"/>
      <c r="AE206" s="300"/>
      <c r="AF206" s="298"/>
      <c r="AG206" s="261"/>
      <c r="AH206" s="300"/>
      <c r="AI206" s="298"/>
      <c r="AJ206" s="300"/>
      <c r="AK206" s="298"/>
      <c r="AL206" s="300"/>
      <c r="AM206" s="298"/>
      <c r="AN206" s="261"/>
      <c r="AO206" s="250"/>
      <c r="AP206" s="298"/>
      <c r="AQ206" s="299"/>
      <c r="AR206" s="298"/>
      <c r="AS206" s="293" t="s">
        <v>426</v>
      </c>
      <c r="AT206" s="254" t="str">
        <f>IF(COUNTIF($AO$85:$AT$87, AS205) &gt; 0, "X", "")</f>
        <v/>
      </c>
      <c r="AU206" s="269"/>
      <c r="AV206" s="269"/>
      <c r="AW206" s="206" t="str">
        <f t="shared" ref="AW206:BC206" si="159">AW36</f>
        <v>#REF!</v>
      </c>
      <c r="AX206" s="206">
        <f t="shared" si="159"/>
        <v>5</v>
      </c>
      <c r="AY206" s="206">
        <f t="shared" si="159"/>
        <v>5</v>
      </c>
      <c r="AZ206" s="464">
        <f t="shared" si="159"/>
        <v>3</v>
      </c>
      <c r="BA206" s="206">
        <f t="shared" si="159"/>
        <v>1</v>
      </c>
      <c r="BB206" s="206">
        <f t="shared" si="159"/>
        <v>1</v>
      </c>
      <c r="BC206" s="465">
        <f t="shared" si="159"/>
        <v>120</v>
      </c>
      <c r="BD206" s="206"/>
      <c r="BE206" s="466"/>
    </row>
    <row r="207">
      <c r="A207" s="94"/>
      <c r="B207" s="301" t="s">
        <v>651</v>
      </c>
      <c r="C207" s="302" t="s">
        <v>652</v>
      </c>
      <c r="D207" s="363"/>
      <c r="E207" s="259"/>
      <c r="F207" s="303"/>
      <c r="G207" s="298"/>
      <c r="H207" s="360" t="s">
        <v>835</v>
      </c>
      <c r="I207" s="298"/>
      <c r="J207" s="512" t="s">
        <v>854</v>
      </c>
      <c r="K207" s="298"/>
      <c r="L207" s="261"/>
      <c r="M207" s="324"/>
      <c r="N207" s="298"/>
      <c r="O207" s="303"/>
      <c r="P207" s="298"/>
      <c r="Q207" s="321"/>
      <c r="R207" s="298"/>
      <c r="S207" s="261"/>
      <c r="T207" s="312"/>
      <c r="U207" s="298"/>
      <c r="V207" s="321"/>
      <c r="W207" s="298"/>
      <c r="X207" s="512" t="s">
        <v>853</v>
      </c>
      <c r="Y207" s="298"/>
      <c r="Z207" s="261"/>
      <c r="AA207" s="324"/>
      <c r="AB207" s="298"/>
      <c r="AC207" s="360" t="s">
        <v>835</v>
      </c>
      <c r="AD207" s="298"/>
      <c r="AE207" s="321"/>
      <c r="AF207" s="298"/>
      <c r="AG207" s="261"/>
      <c r="AH207" s="304"/>
      <c r="AI207" s="298"/>
      <c r="AJ207" s="569"/>
      <c r="AK207" s="298"/>
      <c r="AL207" s="511" t="s">
        <v>853</v>
      </c>
      <c r="AM207" s="298"/>
      <c r="AN207" s="261"/>
      <c r="AO207" s="324"/>
      <c r="AP207" s="298"/>
      <c r="AQ207" s="303"/>
      <c r="AR207" s="298"/>
      <c r="AS207" s="303"/>
      <c r="AT207" s="254" t="str">
        <f t="shared" ref="AT207:AT208" si="161">IF(COUNTIF($AO$85:$AT$87, #REF!) &gt; 0, "X", "")</f>
        <v/>
      </c>
      <c r="AU207" s="269"/>
      <c r="AV207" s="269"/>
      <c r="AW207" s="206" t="str">
        <f t="shared" ref="AW207:BC207" si="160">AW37</f>
        <v>#REF!</v>
      </c>
      <c r="AX207" s="206">
        <f t="shared" si="160"/>
        <v>5</v>
      </c>
      <c r="AY207" s="206">
        <f t="shared" si="160"/>
        <v>5</v>
      </c>
      <c r="AZ207" s="464">
        <f t="shared" si="160"/>
        <v>3</v>
      </c>
      <c r="BA207" s="206">
        <f t="shared" si="160"/>
        <v>1</v>
      </c>
      <c r="BB207" s="206">
        <f t="shared" si="160"/>
        <v>1</v>
      </c>
      <c r="BC207" s="465">
        <f t="shared" si="160"/>
        <v>120</v>
      </c>
      <c r="BD207" s="206"/>
      <c r="BE207" s="466"/>
    </row>
    <row r="208">
      <c r="A208" s="94"/>
      <c r="B208" s="361" t="s">
        <v>673</v>
      </c>
      <c r="C208" s="362" t="s">
        <v>674</v>
      </c>
      <c r="D208" s="369"/>
      <c r="E208" s="259"/>
      <c r="F208" s="280" t="s">
        <v>433</v>
      </c>
      <c r="G208" s="246"/>
      <c r="H208" s="311" t="s">
        <v>765</v>
      </c>
      <c r="I208" s="246"/>
      <c r="J208" s="311" t="s">
        <v>410</v>
      </c>
      <c r="K208" s="246"/>
      <c r="L208" s="261"/>
      <c r="M208" s="250"/>
      <c r="N208" s="246"/>
      <c r="O208" s="336" t="s">
        <v>412</v>
      </c>
      <c r="P208" s="246"/>
      <c r="Q208" s="280" t="s">
        <v>433</v>
      </c>
      <c r="R208" s="246"/>
      <c r="S208" s="261"/>
      <c r="T208" s="312"/>
      <c r="U208" s="246"/>
      <c r="V208" s="251" t="s">
        <v>412</v>
      </c>
      <c r="W208" s="246"/>
      <c r="X208" s="251" t="s">
        <v>457</v>
      </c>
      <c r="Y208" s="246"/>
      <c r="Z208" s="261"/>
      <c r="AA208" s="250"/>
      <c r="AB208" s="246"/>
      <c r="AC208" s="365" t="s">
        <v>412</v>
      </c>
      <c r="AD208" s="246"/>
      <c r="AE208" s="251" t="s">
        <v>457</v>
      </c>
      <c r="AF208" s="246"/>
      <c r="AG208" s="261"/>
      <c r="AH208" s="251" t="s">
        <v>457</v>
      </c>
      <c r="AI208" s="246"/>
      <c r="AJ208" s="251" t="s">
        <v>412</v>
      </c>
      <c r="AK208" s="246"/>
      <c r="AL208" s="274" t="s">
        <v>433</v>
      </c>
      <c r="AM208" s="246"/>
      <c r="AN208" s="261"/>
      <c r="AO208" s="250"/>
      <c r="AP208" s="246"/>
      <c r="AQ208" s="311" t="s">
        <v>765</v>
      </c>
      <c r="AR208" s="246"/>
      <c r="AS208" s="251" t="s">
        <v>457</v>
      </c>
      <c r="AT208" s="254" t="str">
        <f t="shared" si="161"/>
        <v/>
      </c>
      <c r="AU208" s="269"/>
      <c r="AV208" s="269"/>
      <c r="AW208" s="206" t="str">
        <f t="shared" ref="AW208:BC208" si="162">AW38</f>
        <v>#REF!</v>
      </c>
      <c r="AX208" s="206">
        <f t="shared" si="162"/>
        <v>5</v>
      </c>
      <c r="AY208" s="206">
        <f t="shared" si="162"/>
        <v>5</v>
      </c>
      <c r="AZ208" s="464">
        <f t="shared" si="162"/>
        <v>3</v>
      </c>
      <c r="BA208" s="206">
        <f t="shared" si="162"/>
        <v>1</v>
      </c>
      <c r="BB208" s="206">
        <f t="shared" si="162"/>
        <v>1</v>
      </c>
      <c r="BC208" s="465">
        <f t="shared" si="162"/>
        <v>120</v>
      </c>
      <c r="BD208" s="206"/>
      <c r="BE208" s="466"/>
    </row>
    <row r="209">
      <c r="A209" s="94"/>
      <c r="B209" s="367" t="s">
        <v>677</v>
      </c>
      <c r="C209" s="368" t="s">
        <v>674</v>
      </c>
      <c r="D209" s="330"/>
      <c r="E209" s="259"/>
      <c r="F209" s="282"/>
      <c r="G209" s="246"/>
      <c r="I209" s="246"/>
      <c r="J209" s="282"/>
      <c r="K209" s="246"/>
      <c r="L209" s="261"/>
      <c r="M209" s="333"/>
      <c r="N209" s="246"/>
      <c r="O209" s="282"/>
      <c r="P209" s="246"/>
      <c r="Q209" s="282"/>
      <c r="R209" s="246"/>
      <c r="S209" s="261"/>
      <c r="T209" s="312"/>
      <c r="U209" s="246"/>
      <c r="W209" s="246"/>
      <c r="Y209" s="246"/>
      <c r="Z209" s="261"/>
      <c r="AA209" s="333"/>
      <c r="AB209" s="246"/>
      <c r="AD209" s="246"/>
      <c r="AF209" s="246"/>
      <c r="AG209" s="261"/>
      <c r="AH209" s="282"/>
      <c r="AI209" s="246"/>
      <c r="AJ209" s="282"/>
      <c r="AK209" s="246"/>
      <c r="AM209" s="246"/>
      <c r="AN209" s="261"/>
      <c r="AO209" s="333"/>
      <c r="AP209" s="246"/>
      <c r="AR209" s="246"/>
      <c r="AT209" s="254" t="str">
        <f>IF(COUNTIF($AO$85:$AT$87, AL208) &gt; 0, "X", "")</f>
        <v/>
      </c>
      <c r="AU209" s="269"/>
      <c r="AV209" s="269"/>
      <c r="AW209" s="206" t="str">
        <f t="shared" ref="AW209:BC209" si="163">AW39</f>
        <v>#REF!</v>
      </c>
      <c r="AX209" s="206">
        <f t="shared" si="163"/>
        <v>5</v>
      </c>
      <c r="AY209" s="206">
        <f t="shared" si="163"/>
        <v>5</v>
      </c>
      <c r="AZ209" s="464">
        <f t="shared" si="163"/>
        <v>3</v>
      </c>
      <c r="BA209" s="206">
        <f t="shared" si="163"/>
        <v>1</v>
      </c>
      <c r="BB209" s="206">
        <f t="shared" si="163"/>
        <v>1</v>
      </c>
      <c r="BC209" s="465">
        <f t="shared" si="163"/>
        <v>120</v>
      </c>
      <c r="BD209" s="206"/>
      <c r="BE209" s="466"/>
    </row>
    <row r="210">
      <c r="A210" s="94"/>
      <c r="B210" s="256" t="s">
        <v>679</v>
      </c>
      <c r="C210" s="257" t="s">
        <v>680</v>
      </c>
      <c r="D210" s="330"/>
      <c r="E210" s="259"/>
      <c r="F210" s="311" t="s">
        <v>393</v>
      </c>
      <c r="G210" s="246"/>
      <c r="H210" s="374" t="s">
        <v>436</v>
      </c>
      <c r="I210" s="246"/>
      <c r="J210" s="376" t="s">
        <v>453</v>
      </c>
      <c r="K210" s="246"/>
      <c r="L210" s="261"/>
      <c r="M210" s="346"/>
      <c r="N210" s="246"/>
      <c r="O210" s="374" t="s">
        <v>436</v>
      </c>
      <c r="P210" s="246"/>
      <c r="Q210" s="274" t="s">
        <v>443</v>
      </c>
      <c r="R210" s="246"/>
      <c r="S210" s="261"/>
      <c r="T210" s="312"/>
      <c r="U210" s="246"/>
      <c r="V210" s="374" t="s">
        <v>436</v>
      </c>
      <c r="W210" s="246"/>
      <c r="X210" s="280" t="s">
        <v>433</v>
      </c>
      <c r="Y210" s="246"/>
      <c r="Z210" s="261"/>
      <c r="AA210" s="346"/>
      <c r="AB210" s="246"/>
      <c r="AC210" s="374" t="s">
        <v>436</v>
      </c>
      <c r="AD210" s="246"/>
      <c r="AE210" s="280" t="s">
        <v>433</v>
      </c>
      <c r="AF210" s="246"/>
      <c r="AG210" s="261"/>
      <c r="AH210" s="311" t="s">
        <v>393</v>
      </c>
      <c r="AI210" s="246"/>
      <c r="AJ210" s="374" t="s">
        <v>436</v>
      </c>
      <c r="AK210" s="246"/>
      <c r="AL210" s="274" t="s">
        <v>437</v>
      </c>
      <c r="AM210" s="246"/>
      <c r="AN210" s="261"/>
      <c r="AO210" s="346"/>
      <c r="AP210" s="246"/>
      <c r="AQ210" s="274" t="s">
        <v>397</v>
      </c>
      <c r="AR210" s="246"/>
      <c r="AS210" s="274" t="s">
        <v>437</v>
      </c>
      <c r="AT210" s="254" t="str">
        <f t="shared" ref="AT210:AT214" si="165">IF(COUNTIF($AO$85:$AT$87, #REF!) &gt; 0, "X", "")</f>
        <v/>
      </c>
      <c r="AU210" s="269"/>
      <c r="AV210" s="269"/>
      <c r="AW210" s="206" t="str">
        <f t="shared" ref="AW210:BC210" si="164">AW40</f>
        <v>#REF!</v>
      </c>
      <c r="AX210" s="206">
        <f t="shared" si="164"/>
        <v>5</v>
      </c>
      <c r="AY210" s="206">
        <f t="shared" si="164"/>
        <v>5</v>
      </c>
      <c r="AZ210" s="464">
        <f t="shared" si="164"/>
        <v>3</v>
      </c>
      <c r="BA210" s="206">
        <f t="shared" si="164"/>
        <v>1</v>
      </c>
      <c r="BB210" s="206">
        <f t="shared" si="164"/>
        <v>1</v>
      </c>
      <c r="BC210" s="465">
        <f t="shared" si="164"/>
        <v>120</v>
      </c>
      <c r="BD210" s="206"/>
      <c r="BE210" s="466"/>
    </row>
    <row r="211">
      <c r="A211" s="372"/>
      <c r="B211" s="328" t="s">
        <v>679</v>
      </c>
      <c r="C211" s="329" t="s">
        <v>652</v>
      </c>
      <c r="D211" s="330"/>
      <c r="E211" s="259"/>
      <c r="F211" s="282"/>
      <c r="G211" s="246"/>
      <c r="I211" s="246"/>
      <c r="K211" s="246"/>
      <c r="L211" s="261"/>
      <c r="M211" s="341"/>
      <c r="N211" s="246"/>
      <c r="P211" s="246"/>
      <c r="R211" s="246"/>
      <c r="S211" s="261"/>
      <c r="T211" s="312"/>
      <c r="U211" s="246"/>
      <c r="W211" s="246"/>
      <c r="Y211" s="246"/>
      <c r="Z211" s="261"/>
      <c r="AA211" s="341"/>
      <c r="AB211" s="246"/>
      <c r="AD211" s="246"/>
      <c r="AF211" s="246"/>
      <c r="AG211" s="261"/>
      <c r="AH211" s="282"/>
      <c r="AI211" s="246"/>
      <c r="AJ211" s="311" t="s">
        <v>407</v>
      </c>
      <c r="AK211" s="246"/>
      <c r="AL211" s="274" t="s">
        <v>406</v>
      </c>
      <c r="AM211" s="246"/>
      <c r="AN211" s="261"/>
      <c r="AO211" s="341"/>
      <c r="AP211" s="246"/>
      <c r="AR211" s="246"/>
      <c r="AT211" s="254" t="str">
        <f t="shared" si="165"/>
        <v/>
      </c>
      <c r="AU211" s="269"/>
      <c r="AV211" s="269"/>
      <c r="AW211" s="206" t="str">
        <f t="shared" ref="AW211:BC211" si="166">AW41</f>
        <v>#REF!</v>
      </c>
      <c r="AX211" s="206">
        <f t="shared" si="166"/>
        <v>5</v>
      </c>
      <c r="AY211" s="206">
        <f t="shared" si="166"/>
        <v>5</v>
      </c>
      <c r="AZ211" s="464">
        <f t="shared" si="166"/>
        <v>3</v>
      </c>
      <c r="BA211" s="206">
        <f t="shared" si="166"/>
        <v>1</v>
      </c>
      <c r="BB211" s="206">
        <f t="shared" si="166"/>
        <v>1</v>
      </c>
      <c r="BC211" s="465">
        <f t="shared" si="166"/>
        <v>120</v>
      </c>
      <c r="BD211" s="206"/>
      <c r="BE211" s="466"/>
    </row>
    <row r="212">
      <c r="A212" s="94"/>
      <c r="B212" s="328" t="s">
        <v>679</v>
      </c>
      <c r="C212" s="329" t="s">
        <v>683</v>
      </c>
      <c r="D212" s="379"/>
      <c r="E212" s="380"/>
      <c r="F212" s="274" t="s">
        <v>437</v>
      </c>
      <c r="G212" s="246"/>
      <c r="H212" s="274" t="s">
        <v>406</v>
      </c>
      <c r="I212" s="246"/>
      <c r="J212" s="274" t="s">
        <v>415</v>
      </c>
      <c r="K212" s="246"/>
      <c r="L212" s="381"/>
      <c r="M212" s="341"/>
      <c r="N212" s="246"/>
      <c r="O212" s="374" t="s">
        <v>407</v>
      </c>
      <c r="P212" s="246"/>
      <c r="Q212" s="348" t="s">
        <v>711</v>
      </c>
      <c r="R212" s="246"/>
      <c r="S212" s="381"/>
      <c r="T212" s="312"/>
      <c r="U212" s="246"/>
      <c r="V212" s="311" t="s">
        <v>394</v>
      </c>
      <c r="W212" s="246"/>
      <c r="X212" s="274" t="s">
        <v>439</v>
      </c>
      <c r="Y212" s="246"/>
      <c r="Z212" s="381"/>
      <c r="AA212" s="341"/>
      <c r="AB212" s="246"/>
      <c r="AC212" s="251" t="s">
        <v>398</v>
      </c>
      <c r="AD212" s="246"/>
      <c r="AE212" s="376" t="s">
        <v>453</v>
      </c>
      <c r="AF212" s="246"/>
      <c r="AG212" s="381"/>
      <c r="AI212" s="246"/>
      <c r="AJ212" s="251" t="s">
        <v>398</v>
      </c>
      <c r="AK212" s="246"/>
      <c r="AM212" s="246"/>
      <c r="AN212" s="381"/>
      <c r="AO212" s="341"/>
      <c r="AP212" s="246"/>
      <c r="AQ212" s="274" t="s">
        <v>655</v>
      </c>
      <c r="AR212" s="246"/>
      <c r="AS212" s="340" t="s">
        <v>455</v>
      </c>
      <c r="AT212" s="254" t="str">
        <f t="shared" si="165"/>
        <v/>
      </c>
      <c r="AU212" s="269"/>
      <c r="AV212" s="269"/>
      <c r="AW212" s="206" t="str">
        <f t="shared" ref="AW212:BC212" si="167">AW42</f>
        <v>#REF!</v>
      </c>
      <c r="AX212" s="206">
        <f t="shared" si="167"/>
        <v>5</v>
      </c>
      <c r="AY212" s="206">
        <f t="shared" si="167"/>
        <v>5</v>
      </c>
      <c r="AZ212" s="464">
        <f t="shared" si="167"/>
        <v>3</v>
      </c>
      <c r="BA212" s="206">
        <f t="shared" si="167"/>
        <v>1</v>
      </c>
      <c r="BB212" s="206">
        <f t="shared" si="167"/>
        <v>1</v>
      </c>
      <c r="BC212" s="465">
        <f t="shared" si="167"/>
        <v>120</v>
      </c>
      <c r="BD212" s="206"/>
      <c r="BE212" s="466"/>
    </row>
    <row r="213">
      <c r="A213" s="94"/>
      <c r="B213" s="377" t="s">
        <v>684</v>
      </c>
      <c r="C213" s="378" t="s">
        <v>685</v>
      </c>
      <c r="D213" s="363"/>
      <c r="E213" s="259"/>
      <c r="F213" s="282"/>
      <c r="G213" s="246"/>
      <c r="I213" s="246"/>
      <c r="K213" s="246"/>
      <c r="L213" s="261"/>
      <c r="M213" s="341"/>
      <c r="N213" s="246"/>
      <c r="P213" s="246"/>
      <c r="R213" s="246"/>
      <c r="S213" s="261"/>
      <c r="T213" s="312"/>
      <c r="U213" s="246"/>
      <c r="V213" s="274" t="s">
        <v>406</v>
      </c>
      <c r="W213" s="246"/>
      <c r="Y213" s="246"/>
      <c r="Z213" s="261"/>
      <c r="AA213" s="341"/>
      <c r="AB213" s="246"/>
      <c r="AC213" s="282"/>
      <c r="AD213" s="246"/>
      <c r="AF213" s="246"/>
      <c r="AG213" s="261"/>
      <c r="AH213" s="376" t="s">
        <v>453</v>
      </c>
      <c r="AI213" s="246"/>
      <c r="AK213" s="246"/>
      <c r="AL213" s="579" t="s">
        <v>837</v>
      </c>
      <c r="AM213" s="246"/>
      <c r="AN213" s="261"/>
      <c r="AO213" s="341"/>
      <c r="AP213" s="246"/>
      <c r="AQ213" s="287" t="s">
        <v>405</v>
      </c>
      <c r="AR213" s="246"/>
      <c r="AT213" s="254" t="str">
        <f t="shared" si="165"/>
        <v/>
      </c>
      <c r="AU213" s="269"/>
      <c r="AV213" s="269"/>
      <c r="AW213" s="206" t="str">
        <f t="shared" ref="AW213:BC213" si="168">AW43</f>
        <v>#REF!</v>
      </c>
      <c r="AX213" s="206">
        <f t="shared" si="168"/>
        <v>5</v>
      </c>
      <c r="AY213" s="206">
        <f t="shared" si="168"/>
        <v>5</v>
      </c>
      <c r="AZ213" s="464">
        <f t="shared" si="168"/>
        <v>3</v>
      </c>
      <c r="BA213" s="206">
        <f t="shared" si="168"/>
        <v>1</v>
      </c>
      <c r="BB213" s="206">
        <f t="shared" si="168"/>
        <v>1</v>
      </c>
      <c r="BC213" s="465">
        <f t="shared" si="168"/>
        <v>120</v>
      </c>
      <c r="BD213" s="206"/>
      <c r="BE213" s="466"/>
    </row>
    <row r="214">
      <c r="A214" s="270"/>
      <c r="B214" s="382" t="s">
        <v>686</v>
      </c>
      <c r="C214" s="242" t="s">
        <v>652</v>
      </c>
      <c r="D214" s="330"/>
      <c r="E214" s="259"/>
      <c r="F214" s="290" t="s">
        <v>455</v>
      </c>
      <c r="G214" s="246"/>
      <c r="H214" s="280" t="s">
        <v>435</v>
      </c>
      <c r="I214" s="246"/>
      <c r="J214" s="376" t="s">
        <v>466</v>
      </c>
      <c r="K214" s="246"/>
      <c r="L214" s="261"/>
      <c r="M214" s="250"/>
      <c r="N214" s="246"/>
      <c r="O214" s="365" t="s">
        <v>435</v>
      </c>
      <c r="P214" s="246"/>
      <c r="Q214" s="251" t="s">
        <v>429</v>
      </c>
      <c r="R214" s="246"/>
      <c r="S214" s="261"/>
      <c r="T214" s="312"/>
      <c r="U214" s="246"/>
      <c r="V214" s="251" t="s">
        <v>435</v>
      </c>
      <c r="W214" s="246"/>
      <c r="X214" s="376" t="s">
        <v>453</v>
      </c>
      <c r="Y214" s="246"/>
      <c r="Z214" s="261"/>
      <c r="AA214" s="250"/>
      <c r="AB214" s="246"/>
      <c r="AC214" s="383" t="s">
        <v>428</v>
      </c>
      <c r="AD214" s="246"/>
      <c r="AE214" s="376" t="s">
        <v>466</v>
      </c>
      <c r="AF214" s="246"/>
      <c r="AG214" s="261"/>
      <c r="AH214" s="251" t="s">
        <v>429</v>
      </c>
      <c r="AI214" s="246"/>
      <c r="AJ214" s="280" t="s">
        <v>435</v>
      </c>
      <c r="AK214" s="246"/>
      <c r="AL214" s="340" t="s">
        <v>455</v>
      </c>
      <c r="AM214" s="246"/>
      <c r="AN214" s="261"/>
      <c r="AO214" s="250"/>
      <c r="AP214" s="246"/>
      <c r="AQ214" s="340" t="s">
        <v>435</v>
      </c>
      <c r="AR214" s="246"/>
      <c r="AS214" s="385" t="s">
        <v>428</v>
      </c>
      <c r="AT214" s="254" t="str">
        <f t="shared" si="165"/>
        <v/>
      </c>
      <c r="AU214" s="269"/>
      <c r="AV214" s="269"/>
      <c r="AW214" s="206" t="str">
        <f t="shared" ref="AW214:BC214" si="169">AW44</f>
        <v>#REF!</v>
      </c>
      <c r="AX214" s="206">
        <f t="shared" si="169"/>
        <v>5</v>
      </c>
      <c r="AY214" s="206">
        <f t="shared" si="169"/>
        <v>5</v>
      </c>
      <c r="AZ214" s="464">
        <f t="shared" si="169"/>
        <v>3</v>
      </c>
      <c r="BA214" s="206">
        <f t="shared" si="169"/>
        <v>1</v>
      </c>
      <c r="BB214" s="206">
        <f t="shared" si="169"/>
        <v>1</v>
      </c>
      <c r="BC214" s="465">
        <f t="shared" si="169"/>
        <v>120</v>
      </c>
      <c r="BD214" s="206"/>
      <c r="BE214" s="466"/>
    </row>
    <row r="215">
      <c r="A215" s="234"/>
      <c r="B215" s="337" t="s">
        <v>686</v>
      </c>
      <c r="C215" s="338" t="s">
        <v>687</v>
      </c>
      <c r="D215" s="330"/>
      <c r="E215" s="259"/>
      <c r="G215" s="246"/>
      <c r="H215" s="581" t="s">
        <v>428</v>
      </c>
      <c r="I215" s="246"/>
      <c r="K215" s="246"/>
      <c r="L215" s="261"/>
      <c r="M215" s="262"/>
      <c r="N215" s="246"/>
      <c r="O215" s="290" t="s">
        <v>466</v>
      </c>
      <c r="P215" s="246"/>
      <c r="Q215" s="376" t="s">
        <v>453</v>
      </c>
      <c r="R215" s="246"/>
      <c r="S215" s="261"/>
      <c r="T215" s="312"/>
      <c r="U215" s="246"/>
      <c r="V215" s="581" t="s">
        <v>428</v>
      </c>
      <c r="W215" s="246"/>
      <c r="X215" s="251" t="s">
        <v>429</v>
      </c>
      <c r="Y215" s="246"/>
      <c r="Z215" s="261"/>
      <c r="AA215" s="262"/>
      <c r="AB215" s="246"/>
      <c r="AC215" s="340" t="s">
        <v>455</v>
      </c>
      <c r="AD215" s="246"/>
      <c r="AE215" s="251" t="s">
        <v>429</v>
      </c>
      <c r="AF215" s="246"/>
      <c r="AG215" s="261"/>
      <c r="AI215" s="246"/>
      <c r="AJ215" s="581" t="s">
        <v>428</v>
      </c>
      <c r="AK215" s="246"/>
      <c r="AM215" s="246"/>
      <c r="AN215" s="261"/>
      <c r="AO215" s="262"/>
      <c r="AP215" s="246"/>
      <c r="AQ215" s="290" t="s">
        <v>466</v>
      </c>
      <c r="AR215" s="246"/>
      <c r="AS215" s="251" t="s">
        <v>429</v>
      </c>
      <c r="AT215" s="254" t="str">
        <f>IF(COUNTIF($AO$85:$AT$87, AS235) &gt; 0, "X", "")</f>
        <v/>
      </c>
      <c r="AU215" s="269"/>
      <c r="AV215" s="269"/>
      <c r="AW215" s="206" t="str">
        <f t="shared" ref="AW215:BC215" si="170">AW45</f>
        <v>#REF!</v>
      </c>
      <c r="AX215" s="206">
        <f t="shared" si="170"/>
        <v>5</v>
      </c>
      <c r="AY215" s="206">
        <f t="shared" si="170"/>
        <v>5</v>
      </c>
      <c r="AZ215" s="464">
        <f t="shared" si="170"/>
        <v>3</v>
      </c>
      <c r="BA215" s="206">
        <f t="shared" si="170"/>
        <v>1</v>
      </c>
      <c r="BB215" s="206">
        <f t="shared" si="170"/>
        <v>1</v>
      </c>
      <c r="BC215" s="465">
        <f t="shared" si="170"/>
        <v>120</v>
      </c>
      <c r="BD215" s="206"/>
      <c r="BE215" s="466"/>
    </row>
    <row r="216">
      <c r="A216" s="94"/>
      <c r="B216" s="337" t="s">
        <v>688</v>
      </c>
      <c r="C216" s="285" t="s">
        <v>687</v>
      </c>
      <c r="D216" s="389"/>
      <c r="E216" s="259"/>
      <c r="F216" s="282"/>
      <c r="G216" s="246"/>
      <c r="H216" s="282"/>
      <c r="I216" s="246"/>
      <c r="J216" s="282"/>
      <c r="K216" s="246"/>
      <c r="L216" s="261"/>
      <c r="M216" s="250"/>
      <c r="N216" s="246"/>
      <c r="O216" s="282"/>
      <c r="P216" s="246"/>
      <c r="Q216" s="282"/>
      <c r="R216" s="246"/>
      <c r="S216" s="261"/>
      <c r="T216" s="312"/>
      <c r="U216" s="246"/>
      <c r="V216" s="282"/>
      <c r="W216" s="246"/>
      <c r="X216" s="282"/>
      <c r="Y216" s="246"/>
      <c r="Z216" s="261"/>
      <c r="AA216" s="250"/>
      <c r="AB216" s="246"/>
      <c r="AC216" s="477" t="s">
        <v>693</v>
      </c>
      <c r="AD216" s="246"/>
      <c r="AE216" s="282"/>
      <c r="AF216" s="246"/>
      <c r="AG216" s="261"/>
      <c r="AH216" s="282"/>
      <c r="AI216" s="246"/>
      <c r="AJ216" s="282"/>
      <c r="AK216" s="246"/>
      <c r="AL216" s="282"/>
      <c r="AM216" s="246"/>
      <c r="AN216" s="261"/>
      <c r="AO216" s="250"/>
      <c r="AP216" s="246"/>
      <c r="AQ216" s="282"/>
      <c r="AR216" s="246"/>
      <c r="AT216" s="254" t="str">
        <f>IF(COUNTIF($AO$85:$AT$87, #REF!) &gt; 0, "X", "")</f>
        <v/>
      </c>
      <c r="AU216" s="269"/>
      <c r="AV216" s="269"/>
      <c r="AW216" s="206" t="str">
        <f t="shared" ref="AW216:BC216" si="171">AW46</f>
        <v>#REF!</v>
      </c>
      <c r="AX216" s="206">
        <f t="shared" si="171"/>
        <v>5</v>
      </c>
      <c r="AY216" s="206">
        <f t="shared" si="171"/>
        <v>5</v>
      </c>
      <c r="AZ216" s="464">
        <f t="shared" si="171"/>
        <v>3</v>
      </c>
      <c r="BA216" s="206">
        <f t="shared" si="171"/>
        <v>1</v>
      </c>
      <c r="BB216" s="206">
        <f t="shared" si="171"/>
        <v>1</v>
      </c>
      <c r="BC216" s="465">
        <f t="shared" si="171"/>
        <v>120</v>
      </c>
      <c r="BD216" s="206"/>
      <c r="BE216" s="466"/>
    </row>
    <row r="217">
      <c r="A217" s="94"/>
      <c r="B217" s="387" t="s">
        <v>690</v>
      </c>
      <c r="C217" s="388" t="s">
        <v>649</v>
      </c>
      <c r="D217" s="323"/>
      <c r="E217" s="259"/>
      <c r="F217" s="390"/>
      <c r="G217" s="246"/>
      <c r="H217" s="390"/>
      <c r="I217" s="246"/>
      <c r="J217" s="390"/>
      <c r="K217" s="246"/>
      <c r="L217" s="261"/>
      <c r="M217" s="250"/>
      <c r="N217" s="246"/>
      <c r="O217" s="357" t="s">
        <v>420</v>
      </c>
      <c r="P217" s="246"/>
      <c r="Q217" s="390"/>
      <c r="R217" s="246"/>
      <c r="S217" s="261"/>
      <c r="T217" s="312"/>
      <c r="U217" s="246"/>
      <c r="V217" s="357" t="s">
        <v>420</v>
      </c>
      <c r="W217" s="246"/>
      <c r="X217" s="390"/>
      <c r="Y217" s="246"/>
      <c r="Z217" s="261"/>
      <c r="AA217" s="250"/>
      <c r="AB217" s="246"/>
      <c r="AC217" s="355"/>
      <c r="AD217" s="246"/>
      <c r="AE217" s="390"/>
      <c r="AF217" s="246"/>
      <c r="AG217" s="261"/>
      <c r="AH217" s="390"/>
      <c r="AI217" s="246"/>
      <c r="AJ217" s="390"/>
      <c r="AK217" s="246"/>
      <c r="AL217" s="357" t="s">
        <v>420</v>
      </c>
      <c r="AM217" s="246"/>
      <c r="AN217" s="261"/>
      <c r="AO217" s="250"/>
      <c r="AP217" s="246"/>
      <c r="AQ217" s="390"/>
      <c r="AR217" s="246"/>
      <c r="AS217" s="390"/>
      <c r="AT217" s="254" t="str">
        <f t="shared" ref="AT217:AT224" si="173">IF(COUNTIF($AO$85:$AT$87, AS217) &gt; 0, "X", "")</f>
        <v/>
      </c>
      <c r="AU217" s="269"/>
      <c r="AV217" s="269"/>
      <c r="AW217" s="206" t="str">
        <f t="shared" ref="AW217:BC217" si="172">AW47</f>
        <v>#REF!</v>
      </c>
      <c r="AX217" s="206">
        <f t="shared" si="172"/>
        <v>5</v>
      </c>
      <c r="AY217" s="206">
        <f t="shared" si="172"/>
        <v>5</v>
      </c>
      <c r="AZ217" s="464">
        <f t="shared" si="172"/>
        <v>3</v>
      </c>
      <c r="BA217" s="206">
        <f t="shared" si="172"/>
        <v>1</v>
      </c>
      <c r="BB217" s="206">
        <f t="shared" si="172"/>
        <v>1</v>
      </c>
      <c r="BC217" s="465">
        <f t="shared" si="172"/>
        <v>120</v>
      </c>
      <c r="BD217" s="206"/>
      <c r="BE217" s="466"/>
    </row>
    <row r="218">
      <c r="A218" s="94"/>
      <c r="B218" s="296" t="s">
        <v>650</v>
      </c>
      <c r="C218" s="297" t="s">
        <v>649</v>
      </c>
      <c r="D218" s="323"/>
      <c r="E218" s="261"/>
      <c r="F218" s="300"/>
      <c r="G218" s="246"/>
      <c r="H218" s="319"/>
      <c r="I218" s="246"/>
      <c r="J218" s="300"/>
      <c r="K218" s="246"/>
      <c r="L218" s="261"/>
      <c r="M218" s="250"/>
      <c r="N218" s="246"/>
      <c r="O218" s="300"/>
      <c r="P218" s="246"/>
      <c r="Q218" s="300"/>
      <c r="R218" s="246"/>
      <c r="S218" s="261"/>
      <c r="T218" s="312"/>
      <c r="U218" s="246"/>
      <c r="V218" s="319"/>
      <c r="W218" s="246"/>
      <c r="X218" s="300"/>
      <c r="Y218" s="246"/>
      <c r="Z218" s="261"/>
      <c r="AA218" s="250"/>
      <c r="AB218" s="246"/>
      <c r="AC218" s="521"/>
      <c r="AD218" s="246"/>
      <c r="AE218" s="300"/>
      <c r="AF218" s="246"/>
      <c r="AG218" s="261"/>
      <c r="AH218" s="300"/>
      <c r="AI218" s="246"/>
      <c r="AJ218" s="300"/>
      <c r="AK218" s="246"/>
      <c r="AL218" s="300"/>
      <c r="AM218" s="246"/>
      <c r="AN218" s="261"/>
      <c r="AO218" s="250"/>
      <c r="AP218" s="246"/>
      <c r="AQ218" s="300"/>
      <c r="AR218" s="246"/>
      <c r="AS218" s="300"/>
      <c r="AT218" s="254" t="str">
        <f t="shared" si="173"/>
        <v/>
      </c>
      <c r="AU218" s="269"/>
      <c r="AV218" s="269"/>
      <c r="AW218" s="206" t="str">
        <f t="shared" ref="AW218:BC218" si="174">AW48</f>
        <v>#REF!</v>
      </c>
      <c r="AX218" s="206">
        <f t="shared" si="174"/>
        <v>5</v>
      </c>
      <c r="AY218" s="206">
        <f t="shared" si="174"/>
        <v>5</v>
      </c>
      <c r="AZ218" s="464">
        <f t="shared" si="174"/>
        <v>3</v>
      </c>
      <c r="BA218" s="206">
        <f t="shared" si="174"/>
        <v>1</v>
      </c>
      <c r="BB218" s="206">
        <f t="shared" si="174"/>
        <v>1</v>
      </c>
      <c r="BC218" s="465">
        <f t="shared" si="174"/>
        <v>120</v>
      </c>
      <c r="BD218" s="206"/>
      <c r="BE218" s="466"/>
    </row>
    <row r="219">
      <c r="A219" s="94"/>
      <c r="B219" s="301" t="s">
        <v>651</v>
      </c>
      <c r="C219" s="391" t="s">
        <v>652</v>
      </c>
      <c r="D219" s="323"/>
      <c r="E219" s="259"/>
      <c r="F219" s="304"/>
      <c r="G219" s="246"/>
      <c r="H219" s="304"/>
      <c r="I219" s="246"/>
      <c r="J219" s="304"/>
      <c r="K219" s="246"/>
      <c r="L219" s="261"/>
      <c r="M219" s="250"/>
      <c r="N219" s="246"/>
      <c r="O219" s="360" t="s">
        <v>835</v>
      </c>
      <c r="P219" s="246"/>
      <c r="Q219" s="304"/>
      <c r="R219" s="246"/>
      <c r="S219" s="261"/>
      <c r="T219" s="312"/>
      <c r="U219" s="246"/>
      <c r="V219" s="360" t="s">
        <v>835</v>
      </c>
      <c r="W219" s="246"/>
      <c r="X219" s="304"/>
      <c r="Y219" s="246"/>
      <c r="Z219" s="261"/>
      <c r="AA219" s="250"/>
      <c r="AB219" s="246"/>
      <c r="AC219" s="576"/>
      <c r="AD219" s="246"/>
      <c r="AE219" s="304"/>
      <c r="AF219" s="246"/>
      <c r="AG219" s="261"/>
      <c r="AH219" s="304"/>
      <c r="AI219" s="246"/>
      <c r="AJ219" s="576"/>
      <c r="AK219" s="246"/>
      <c r="AL219" s="360" t="s">
        <v>835</v>
      </c>
      <c r="AM219" s="246"/>
      <c r="AN219" s="261"/>
      <c r="AO219" s="250"/>
      <c r="AP219" s="246"/>
      <c r="AQ219" s="304"/>
      <c r="AR219" s="246"/>
      <c r="AS219" s="304"/>
      <c r="AT219" s="254" t="str">
        <f t="shared" si="173"/>
        <v/>
      </c>
      <c r="AU219" s="269"/>
      <c r="AV219" s="269"/>
      <c r="AW219" s="206" t="str">
        <f t="shared" ref="AW219:BC219" si="175">AW49</f>
        <v>#REF!</v>
      </c>
      <c r="AX219" s="206">
        <f t="shared" si="175"/>
        <v>5</v>
      </c>
      <c r="AY219" s="206">
        <f t="shared" si="175"/>
        <v>5</v>
      </c>
      <c r="AZ219" s="464">
        <f t="shared" si="175"/>
        <v>3</v>
      </c>
      <c r="BA219" s="206">
        <f t="shared" si="175"/>
        <v>1</v>
      </c>
      <c r="BB219" s="206">
        <f t="shared" si="175"/>
        <v>1</v>
      </c>
      <c r="BC219" s="465">
        <f t="shared" si="175"/>
        <v>120</v>
      </c>
      <c r="BD219" s="206"/>
      <c r="BE219" s="466"/>
    </row>
    <row r="220">
      <c r="A220" s="94"/>
      <c r="B220" s="392" t="s">
        <v>691</v>
      </c>
      <c r="C220" s="393" t="s">
        <v>652</v>
      </c>
      <c r="D220" s="330"/>
      <c r="E220" s="259"/>
      <c r="F220" s="307"/>
      <c r="G220" s="246"/>
      <c r="H220" s="307"/>
      <c r="I220" s="246"/>
      <c r="J220" s="307"/>
      <c r="K220" s="246"/>
      <c r="L220" s="261"/>
      <c r="M220" s="250"/>
      <c r="N220" s="246"/>
      <c r="O220" s="395" t="s">
        <v>398</v>
      </c>
      <c r="P220" s="246"/>
      <c r="Q220" s="307"/>
      <c r="R220" s="246"/>
      <c r="S220" s="261"/>
      <c r="T220" s="312"/>
      <c r="U220" s="246"/>
      <c r="V220" s="395" t="s">
        <v>398</v>
      </c>
      <c r="W220" s="246"/>
      <c r="X220" s="307"/>
      <c r="Y220" s="246"/>
      <c r="Z220" s="261"/>
      <c r="AA220" s="250"/>
      <c r="AB220" s="246"/>
      <c r="AC220" s="307"/>
      <c r="AD220" s="246"/>
      <c r="AE220" s="307"/>
      <c r="AF220" s="246"/>
      <c r="AG220" s="261"/>
      <c r="AH220" s="307"/>
      <c r="AI220" s="246"/>
      <c r="AJ220" s="307"/>
      <c r="AK220" s="246"/>
      <c r="AL220" s="309" t="s">
        <v>397</v>
      </c>
      <c r="AM220" s="246"/>
      <c r="AN220" s="261"/>
      <c r="AO220" s="250"/>
      <c r="AP220" s="246"/>
      <c r="AQ220" s="307"/>
      <c r="AR220" s="246"/>
      <c r="AS220" s="307"/>
      <c r="AT220" s="254" t="str">
        <f t="shared" si="173"/>
        <v/>
      </c>
      <c r="AU220" s="269"/>
      <c r="AV220" s="269"/>
      <c r="AW220" s="206" t="str">
        <f t="shared" ref="AW220:BC220" si="176">AW50</f>
        <v>#REF!</v>
      </c>
      <c r="AX220" s="206">
        <f t="shared" si="176"/>
        <v>5</v>
      </c>
      <c r="AY220" s="206">
        <f t="shared" si="176"/>
        <v>5</v>
      </c>
      <c r="AZ220" s="464">
        <f t="shared" si="176"/>
        <v>3</v>
      </c>
      <c r="BA220" s="206">
        <f t="shared" si="176"/>
        <v>1</v>
      </c>
      <c r="BB220" s="206">
        <f t="shared" si="176"/>
        <v>1</v>
      </c>
      <c r="BC220" s="465">
        <f t="shared" si="176"/>
        <v>120</v>
      </c>
      <c r="BD220" s="206"/>
      <c r="BE220" s="466"/>
    </row>
    <row r="221">
      <c r="A221" s="94"/>
      <c r="B221" s="328" t="s">
        <v>692</v>
      </c>
      <c r="C221" s="329" t="s">
        <v>652</v>
      </c>
      <c r="D221" s="369"/>
      <c r="E221" s="259"/>
      <c r="F221" s="282"/>
      <c r="G221" s="246"/>
      <c r="H221" s="371"/>
      <c r="I221" s="246"/>
      <c r="J221" s="371"/>
      <c r="K221" s="246"/>
      <c r="L221" s="261"/>
      <c r="M221" s="250"/>
      <c r="N221" s="246"/>
      <c r="O221" s="371"/>
      <c r="P221" s="246"/>
      <c r="Q221" s="371"/>
      <c r="R221" s="246"/>
      <c r="S221" s="261"/>
      <c r="T221" s="312"/>
      <c r="U221" s="246"/>
      <c r="V221" s="371"/>
      <c r="W221" s="246"/>
      <c r="Y221" s="246"/>
      <c r="Z221" s="261"/>
      <c r="AA221" s="250"/>
      <c r="AB221" s="246"/>
      <c r="AC221" s="371"/>
      <c r="AD221" s="246"/>
      <c r="AE221" s="371"/>
      <c r="AF221" s="246"/>
      <c r="AG221" s="261"/>
      <c r="AH221" s="371"/>
      <c r="AI221" s="246"/>
      <c r="AJ221" s="371"/>
      <c r="AK221" s="246"/>
      <c r="AL221" s="371"/>
      <c r="AM221" s="246"/>
      <c r="AN221" s="261"/>
      <c r="AO221" s="250"/>
      <c r="AP221" s="246"/>
      <c r="AQ221" s="371"/>
      <c r="AR221" s="246"/>
      <c r="AS221" s="371"/>
      <c r="AT221" s="254" t="str">
        <f t="shared" si="173"/>
        <v/>
      </c>
      <c r="AU221" s="269"/>
      <c r="AV221" s="269"/>
      <c r="AW221" s="206" t="str">
        <f t="shared" ref="AW221:BC221" si="177">AW51</f>
        <v>#REF!</v>
      </c>
      <c r="AX221" s="206">
        <f t="shared" si="177"/>
        <v>5</v>
      </c>
      <c r="AY221" s="206">
        <f t="shared" si="177"/>
        <v>5</v>
      </c>
      <c r="AZ221" s="464">
        <f t="shared" si="177"/>
        <v>3</v>
      </c>
      <c r="BA221" s="206">
        <f t="shared" si="177"/>
        <v>1</v>
      </c>
      <c r="BB221" s="206">
        <f t="shared" si="177"/>
        <v>1</v>
      </c>
      <c r="BC221" s="465">
        <f t="shared" si="177"/>
        <v>120</v>
      </c>
      <c r="BD221" s="206"/>
      <c r="BE221" s="466"/>
    </row>
    <row r="222">
      <c r="A222" s="94"/>
      <c r="B222" s="397" t="s">
        <v>692</v>
      </c>
      <c r="C222" s="398" t="s">
        <v>687</v>
      </c>
      <c r="D222" s="389"/>
      <c r="E222" s="259"/>
      <c r="F222" s="399"/>
      <c r="G222" s="246"/>
      <c r="H222" s="399"/>
      <c r="I222" s="246"/>
      <c r="J222" s="399"/>
      <c r="K222" s="246"/>
      <c r="L222" s="261"/>
      <c r="M222" s="250"/>
      <c r="N222" s="246"/>
      <c r="O222" s="282"/>
      <c r="P222" s="246"/>
      <c r="Q222" s="399"/>
      <c r="R222" s="246"/>
      <c r="S222" s="261"/>
      <c r="T222" s="312"/>
      <c r="U222" s="246"/>
      <c r="V222" s="282"/>
      <c r="W222" s="246"/>
      <c r="X222" s="282"/>
      <c r="Y222" s="246"/>
      <c r="Z222" s="261"/>
      <c r="AA222" s="250"/>
      <c r="AB222" s="246"/>
      <c r="AC222" s="399"/>
      <c r="AD222" s="246"/>
      <c r="AE222" s="399"/>
      <c r="AF222" s="246"/>
      <c r="AG222" s="261"/>
      <c r="AH222" s="399"/>
      <c r="AI222" s="246"/>
      <c r="AJ222" s="399"/>
      <c r="AK222" s="246"/>
      <c r="AL222" s="399"/>
      <c r="AM222" s="246"/>
      <c r="AN222" s="261"/>
      <c r="AO222" s="250"/>
      <c r="AP222" s="246"/>
      <c r="AQ222" s="399"/>
      <c r="AR222" s="246"/>
      <c r="AS222" s="399"/>
      <c r="AT222" s="254" t="str">
        <f t="shared" si="173"/>
        <v/>
      </c>
      <c r="AU222" s="269"/>
      <c r="AV222" s="269"/>
      <c r="AW222" s="206" t="str">
        <f t="shared" ref="AW222:BC222" si="178">AW52</f>
        <v>#REF!</v>
      </c>
      <c r="AX222" s="206">
        <f t="shared" si="178"/>
        <v>5</v>
      </c>
      <c r="AY222" s="206">
        <f t="shared" si="178"/>
        <v>5</v>
      </c>
      <c r="AZ222" s="464">
        <f t="shared" si="178"/>
        <v>3</v>
      </c>
      <c r="BA222" s="206">
        <f t="shared" si="178"/>
        <v>1</v>
      </c>
      <c r="BB222" s="206">
        <f t="shared" si="178"/>
        <v>1</v>
      </c>
      <c r="BC222" s="465">
        <f t="shared" si="178"/>
        <v>120</v>
      </c>
      <c r="BD222" s="206"/>
      <c r="BE222" s="466"/>
    </row>
    <row r="223">
      <c r="A223" s="94"/>
      <c r="B223" s="387" t="s">
        <v>694</v>
      </c>
      <c r="C223" s="388" t="s">
        <v>649</v>
      </c>
      <c r="D223" s="323"/>
      <c r="E223" s="259"/>
      <c r="F223" s="390"/>
      <c r="G223" s="298"/>
      <c r="H223" s="390"/>
      <c r="I223" s="298"/>
      <c r="J223" s="390"/>
      <c r="K223" s="298"/>
      <c r="L223" s="261"/>
      <c r="M223" s="250"/>
      <c r="N223" s="298"/>
      <c r="O223" s="390"/>
      <c r="P223" s="298"/>
      <c r="Q223" s="357" t="s">
        <v>425</v>
      </c>
      <c r="R223" s="298"/>
      <c r="S223" s="261"/>
      <c r="T223" s="312"/>
      <c r="U223" s="298"/>
      <c r="V223" s="390"/>
      <c r="W223" s="298"/>
      <c r="X223" s="357" t="s">
        <v>425</v>
      </c>
      <c r="Y223" s="298"/>
      <c r="Z223" s="261"/>
      <c r="AA223" s="250"/>
      <c r="AB223" s="298"/>
      <c r="AC223" s="390"/>
      <c r="AD223" s="298"/>
      <c r="AE223" s="357" t="s">
        <v>425</v>
      </c>
      <c r="AF223" s="298"/>
      <c r="AG223" s="261"/>
      <c r="AH223" s="390"/>
      <c r="AI223" s="298"/>
      <c r="AJ223" s="390"/>
      <c r="AK223" s="298"/>
      <c r="AL223" s="357" t="s">
        <v>425</v>
      </c>
      <c r="AM223" s="298"/>
      <c r="AN223" s="261"/>
      <c r="AO223" s="250"/>
      <c r="AP223" s="298"/>
      <c r="AQ223" s="390"/>
      <c r="AR223" s="298"/>
      <c r="AS223" s="357" t="s">
        <v>425</v>
      </c>
      <c r="AT223" s="254" t="str">
        <f t="shared" si="173"/>
        <v/>
      </c>
      <c r="AU223" s="269"/>
      <c r="AV223" s="269"/>
      <c r="AW223" s="206" t="str">
        <f t="shared" ref="AW223:BC223" si="179">AW53</f>
        <v>#REF!</v>
      </c>
      <c r="AX223" s="206">
        <f t="shared" si="179"/>
        <v>5</v>
      </c>
      <c r="AY223" s="206">
        <f t="shared" si="179"/>
        <v>5</v>
      </c>
      <c r="AZ223" s="464">
        <f t="shared" si="179"/>
        <v>3</v>
      </c>
      <c r="BA223" s="206">
        <f t="shared" si="179"/>
        <v>1</v>
      </c>
      <c r="BB223" s="206">
        <f t="shared" si="179"/>
        <v>1</v>
      </c>
      <c r="BC223" s="465">
        <f t="shared" si="179"/>
        <v>120</v>
      </c>
      <c r="BD223" s="206"/>
      <c r="BE223" s="466"/>
    </row>
    <row r="224">
      <c r="A224" s="94"/>
      <c r="B224" s="296" t="s">
        <v>650</v>
      </c>
      <c r="C224" s="297" t="s">
        <v>649</v>
      </c>
      <c r="D224" s="323"/>
      <c r="E224" s="261"/>
      <c r="F224" s="300"/>
      <c r="G224" s="298"/>
      <c r="H224" s="300"/>
      <c r="I224" s="298"/>
      <c r="J224" s="300"/>
      <c r="K224" s="298"/>
      <c r="L224" s="261"/>
      <c r="M224" s="250"/>
      <c r="N224" s="298"/>
      <c r="O224" s="300"/>
      <c r="P224" s="298"/>
      <c r="Q224" s="319"/>
      <c r="R224" s="298"/>
      <c r="S224" s="261"/>
      <c r="T224" s="312"/>
      <c r="U224" s="298"/>
      <c r="V224" s="300"/>
      <c r="W224" s="298"/>
      <c r="X224" s="300"/>
      <c r="Y224" s="298"/>
      <c r="Z224" s="261"/>
      <c r="AA224" s="250"/>
      <c r="AB224" s="298"/>
      <c r="AC224" s="300"/>
      <c r="AD224" s="298"/>
      <c r="AE224" s="300"/>
      <c r="AF224" s="298"/>
      <c r="AG224" s="261"/>
      <c r="AH224" s="300"/>
      <c r="AI224" s="298"/>
      <c r="AJ224" s="300"/>
      <c r="AK224" s="298"/>
      <c r="AL224" s="300"/>
      <c r="AM224" s="298"/>
      <c r="AN224" s="261"/>
      <c r="AO224" s="250"/>
      <c r="AP224" s="298"/>
      <c r="AQ224" s="300"/>
      <c r="AR224" s="298"/>
      <c r="AS224" s="299"/>
      <c r="AT224" s="254" t="str">
        <f t="shared" si="173"/>
        <v/>
      </c>
      <c r="AU224" s="269"/>
      <c r="AV224" s="269"/>
      <c r="AW224" s="206" t="str">
        <f t="shared" ref="AW224:BC224" si="180">AW54</f>
        <v>#REF!</v>
      </c>
      <c r="AX224" s="206">
        <f t="shared" si="180"/>
        <v>5</v>
      </c>
      <c r="AY224" s="206">
        <f t="shared" si="180"/>
        <v>5</v>
      </c>
      <c r="AZ224" s="464">
        <f t="shared" si="180"/>
        <v>3</v>
      </c>
      <c r="BA224" s="206">
        <f t="shared" si="180"/>
        <v>1</v>
      </c>
      <c r="BB224" s="206">
        <f t="shared" si="180"/>
        <v>1</v>
      </c>
      <c r="BC224" s="465">
        <f t="shared" si="180"/>
        <v>120</v>
      </c>
      <c r="BD224" s="206"/>
      <c r="BE224" s="466"/>
    </row>
    <row r="225">
      <c r="A225" s="94"/>
      <c r="B225" s="301" t="s">
        <v>651</v>
      </c>
      <c r="C225" s="391" t="s">
        <v>652</v>
      </c>
      <c r="D225" s="323"/>
      <c r="E225" s="259"/>
      <c r="F225" s="304"/>
      <c r="G225" s="298"/>
      <c r="H225" s="304"/>
      <c r="I225" s="298"/>
      <c r="J225" s="304"/>
      <c r="K225" s="298"/>
      <c r="L225" s="261"/>
      <c r="M225" s="250"/>
      <c r="N225" s="298"/>
      <c r="O225" s="304"/>
      <c r="P225" s="298"/>
      <c r="Q225" s="304"/>
      <c r="R225" s="298"/>
      <c r="S225" s="261"/>
      <c r="T225" s="312"/>
      <c r="U225" s="298"/>
      <c r="V225" s="304"/>
      <c r="W225" s="298"/>
      <c r="X225" s="583" t="s">
        <v>838</v>
      </c>
      <c r="Y225" s="298"/>
      <c r="Z225" s="261"/>
      <c r="AA225" s="250"/>
      <c r="AB225" s="298"/>
      <c r="AC225" s="304"/>
      <c r="AD225" s="298"/>
      <c r="AE225" s="583" t="s">
        <v>838</v>
      </c>
      <c r="AF225" s="298"/>
      <c r="AG225" s="261"/>
      <c r="AH225" s="304"/>
      <c r="AI225" s="298"/>
      <c r="AJ225" s="304"/>
      <c r="AK225" s="298"/>
      <c r="AL225" s="583" t="s">
        <v>838</v>
      </c>
      <c r="AM225" s="298"/>
      <c r="AN225" s="261"/>
      <c r="AO225" s="250"/>
      <c r="AP225" s="298"/>
      <c r="AQ225" s="304"/>
      <c r="AR225" s="298"/>
      <c r="AS225" s="583" t="s">
        <v>838</v>
      </c>
      <c r="AT225" s="254" t="str">
        <f t="shared" ref="AT225:AT226" si="182">IF(COUNTIF($AO$85:$AT$87, #REF!) &gt; 0, "X", "")</f>
        <v/>
      </c>
      <c r="AU225" s="269"/>
      <c r="AV225" s="269"/>
      <c r="AW225" s="206" t="str">
        <f t="shared" ref="AW225:BC225" si="181">AW55</f>
        <v>#REF!</v>
      </c>
      <c r="AX225" s="206">
        <f t="shared" si="181"/>
        <v>5</v>
      </c>
      <c r="AY225" s="206">
        <f t="shared" si="181"/>
        <v>5</v>
      </c>
      <c r="AZ225" s="464">
        <f t="shared" si="181"/>
        <v>3</v>
      </c>
      <c r="BA225" s="206">
        <f t="shared" si="181"/>
        <v>1</v>
      </c>
      <c r="BB225" s="206">
        <f t="shared" si="181"/>
        <v>1</v>
      </c>
      <c r="BC225" s="465">
        <f t="shared" si="181"/>
        <v>120</v>
      </c>
      <c r="BD225" s="206"/>
      <c r="BE225" s="466"/>
    </row>
    <row r="226">
      <c r="A226" s="94"/>
      <c r="B226" s="392" t="s">
        <v>691</v>
      </c>
      <c r="C226" s="393" t="s">
        <v>652</v>
      </c>
      <c r="D226" s="330"/>
      <c r="E226" s="259"/>
      <c r="F226" s="307"/>
      <c r="G226" s="246"/>
      <c r="H226" s="307"/>
      <c r="I226" s="246"/>
      <c r="J226" s="307"/>
      <c r="K226" s="246"/>
      <c r="L226" s="261"/>
      <c r="M226" s="250"/>
      <c r="N226" s="246"/>
      <c r="O226" s="307"/>
      <c r="P226" s="246"/>
      <c r="Q226" s="309" t="s">
        <v>406</v>
      </c>
      <c r="R226" s="246"/>
      <c r="S226" s="261"/>
      <c r="T226" s="312"/>
      <c r="U226" s="246"/>
      <c r="V226" s="307"/>
      <c r="W226" s="246"/>
      <c r="X226" s="618" t="s">
        <v>430</v>
      </c>
      <c r="Y226" s="246"/>
      <c r="Z226" s="261"/>
      <c r="AA226" s="250"/>
      <c r="AB226" s="246"/>
      <c r="AC226" s="307"/>
      <c r="AD226" s="246"/>
      <c r="AE226" s="492" t="s">
        <v>430</v>
      </c>
      <c r="AF226" s="246"/>
      <c r="AG226" s="261"/>
      <c r="AH226" s="307"/>
      <c r="AI226" s="246"/>
      <c r="AJ226" s="307"/>
      <c r="AK226" s="246"/>
      <c r="AL226" s="308" t="s">
        <v>445</v>
      </c>
      <c r="AM226" s="246"/>
      <c r="AN226" s="261"/>
      <c r="AO226" s="250"/>
      <c r="AP226" s="246"/>
      <c r="AQ226" s="307"/>
      <c r="AR226" s="246"/>
      <c r="AS226" s="308" t="s">
        <v>445</v>
      </c>
      <c r="AT226" s="254" t="str">
        <f t="shared" si="182"/>
        <v/>
      </c>
      <c r="AU226" s="269"/>
      <c r="AV226" s="269"/>
      <c r="AW226" s="206" t="str">
        <f t="shared" ref="AW226:BC226" si="183">AW56</f>
        <v>#REF!</v>
      </c>
      <c r="AX226" s="206">
        <f t="shared" si="183"/>
        <v>5</v>
      </c>
      <c r="AY226" s="206">
        <f t="shared" si="183"/>
        <v>5</v>
      </c>
      <c r="AZ226" s="464">
        <f t="shared" si="183"/>
        <v>3</v>
      </c>
      <c r="BA226" s="206">
        <f t="shared" si="183"/>
        <v>1</v>
      </c>
      <c r="BB226" s="206">
        <f t="shared" si="183"/>
        <v>1</v>
      </c>
      <c r="BC226" s="465">
        <f t="shared" si="183"/>
        <v>120</v>
      </c>
      <c r="BD226" s="206"/>
      <c r="BE226" s="466"/>
    </row>
    <row r="227">
      <c r="A227" s="94"/>
      <c r="B227" s="328" t="s">
        <v>692</v>
      </c>
      <c r="C227" s="329" t="s">
        <v>652</v>
      </c>
      <c r="D227" s="369"/>
      <c r="E227" s="259"/>
      <c r="F227" s="371"/>
      <c r="G227" s="246"/>
      <c r="H227" s="371"/>
      <c r="I227" s="246"/>
      <c r="J227" s="282"/>
      <c r="K227" s="246"/>
      <c r="L227" s="261"/>
      <c r="M227" s="250"/>
      <c r="N227" s="246"/>
      <c r="O227" s="371"/>
      <c r="P227" s="246"/>
      <c r="Q227" s="282"/>
      <c r="R227" s="246"/>
      <c r="S227" s="261"/>
      <c r="T227" s="312"/>
      <c r="U227" s="246"/>
      <c r="V227" s="371"/>
      <c r="W227" s="246"/>
      <c r="Y227" s="246"/>
      <c r="Z227" s="261"/>
      <c r="AA227" s="250"/>
      <c r="AB227" s="246"/>
      <c r="AC227" s="282"/>
      <c r="AD227" s="246"/>
      <c r="AF227" s="246"/>
      <c r="AG227" s="261"/>
      <c r="AH227" s="371"/>
      <c r="AI227" s="246"/>
      <c r="AJ227" s="371"/>
      <c r="AK227" s="246"/>
      <c r="AL227" s="282"/>
      <c r="AM227" s="246"/>
      <c r="AN227" s="261"/>
      <c r="AO227" s="250"/>
      <c r="AP227" s="246"/>
      <c r="AQ227" s="371"/>
      <c r="AR227" s="246"/>
      <c r="AS227" s="282"/>
      <c r="AT227" s="254" t="str">
        <f t="shared" ref="AT227:AT230" si="185">IF(COUNTIF($AO$85:$AT$87, AS227) &gt; 0, "X", "")</f>
        <v/>
      </c>
      <c r="AU227" s="269"/>
      <c r="AV227" s="269"/>
      <c r="AW227" s="206" t="str">
        <f t="shared" ref="AW227:BC227" si="184">AW57</f>
        <v>#REF!</v>
      </c>
      <c r="AX227" s="206">
        <f t="shared" si="184"/>
        <v>5</v>
      </c>
      <c r="AY227" s="206">
        <f t="shared" si="184"/>
        <v>5</v>
      </c>
      <c r="AZ227" s="464">
        <f t="shared" si="184"/>
        <v>3</v>
      </c>
      <c r="BA227" s="206">
        <f t="shared" si="184"/>
        <v>1</v>
      </c>
      <c r="BB227" s="206">
        <f t="shared" si="184"/>
        <v>1</v>
      </c>
      <c r="BC227" s="465">
        <f t="shared" si="184"/>
        <v>120</v>
      </c>
      <c r="BD227" s="206"/>
      <c r="BE227" s="466"/>
    </row>
    <row r="228">
      <c r="A228" s="94"/>
      <c r="B228" s="397" t="s">
        <v>692</v>
      </c>
      <c r="C228" s="398" t="s">
        <v>687</v>
      </c>
      <c r="D228" s="404"/>
      <c r="E228" s="259"/>
      <c r="F228" s="399"/>
      <c r="G228" s="246"/>
      <c r="H228" s="399"/>
      <c r="I228" s="246"/>
      <c r="J228" s="252"/>
      <c r="K228" s="246"/>
      <c r="L228" s="261"/>
      <c r="M228" s="250"/>
      <c r="N228" s="246"/>
      <c r="O228" s="399"/>
      <c r="P228" s="246"/>
      <c r="Q228" s="399"/>
      <c r="R228" s="246"/>
      <c r="S228" s="261"/>
      <c r="T228" s="312"/>
      <c r="U228" s="246"/>
      <c r="V228" s="399"/>
      <c r="W228" s="246"/>
      <c r="X228" s="399"/>
      <c r="Y228" s="246"/>
      <c r="Z228" s="261"/>
      <c r="AA228" s="250"/>
      <c r="AB228" s="246"/>
      <c r="AC228" s="282"/>
      <c r="AD228" s="246"/>
      <c r="AE228" s="399"/>
      <c r="AF228" s="246"/>
      <c r="AG228" s="261"/>
      <c r="AH228" s="399"/>
      <c r="AI228" s="246"/>
      <c r="AJ228" s="399"/>
      <c r="AK228" s="246"/>
      <c r="AL228" s="399"/>
      <c r="AM228" s="246"/>
      <c r="AN228" s="261"/>
      <c r="AO228" s="250"/>
      <c r="AP228" s="246"/>
      <c r="AQ228" s="399"/>
      <c r="AR228" s="246"/>
      <c r="AS228" s="399"/>
      <c r="AT228" s="254" t="str">
        <f t="shared" si="185"/>
        <v/>
      </c>
      <c r="AU228" s="269"/>
      <c r="AV228" s="269"/>
      <c r="AW228" s="206" t="str">
        <f t="shared" ref="AW228:BC228" si="186">AW58</f>
        <v>#REF!</v>
      </c>
      <c r="AX228" s="206">
        <f t="shared" si="186"/>
        <v>5</v>
      </c>
      <c r="AY228" s="206">
        <f t="shared" si="186"/>
        <v>5</v>
      </c>
      <c r="AZ228" s="464">
        <f t="shared" si="186"/>
        <v>3</v>
      </c>
      <c r="BA228" s="206">
        <f t="shared" si="186"/>
        <v>1</v>
      </c>
      <c r="BB228" s="206">
        <f t="shared" si="186"/>
        <v>1</v>
      </c>
      <c r="BC228" s="465">
        <f t="shared" si="186"/>
        <v>120</v>
      </c>
      <c r="BD228" s="206"/>
      <c r="BE228" s="466"/>
    </row>
    <row r="229">
      <c r="A229" s="270"/>
      <c r="B229" s="402" t="s">
        <v>699</v>
      </c>
      <c r="C229" s="403" t="s">
        <v>649</v>
      </c>
      <c r="D229" s="330"/>
      <c r="E229" s="259"/>
      <c r="F229" s="294"/>
      <c r="G229" s="246"/>
      <c r="H229" s="294"/>
      <c r="I229" s="246"/>
      <c r="J229" s="294"/>
      <c r="K229" s="246"/>
      <c r="L229" s="261"/>
      <c r="M229" s="250"/>
      <c r="N229" s="246"/>
      <c r="O229" s="294"/>
      <c r="P229" s="246"/>
      <c r="Q229" s="293" t="s">
        <v>426</v>
      </c>
      <c r="R229" s="246"/>
      <c r="S229" s="261"/>
      <c r="T229" s="312"/>
      <c r="U229" s="246"/>
      <c r="V229" s="294"/>
      <c r="W229" s="246"/>
      <c r="X229" s="294"/>
      <c r="Y229" s="246"/>
      <c r="Z229" s="261"/>
      <c r="AA229" s="250"/>
      <c r="AB229" s="246"/>
      <c r="AC229" s="294"/>
      <c r="AD229" s="246"/>
      <c r="AE229" s="293" t="s">
        <v>426</v>
      </c>
      <c r="AF229" s="246"/>
      <c r="AG229" s="261"/>
      <c r="AH229" s="294"/>
      <c r="AI229" s="246"/>
      <c r="AJ229" s="294"/>
      <c r="AK229" s="246"/>
      <c r="AL229" s="294"/>
      <c r="AM229" s="246"/>
      <c r="AN229" s="261"/>
      <c r="AO229" s="250"/>
      <c r="AP229" s="246"/>
      <c r="AQ229" s="294"/>
      <c r="AR229" s="246"/>
      <c r="AS229" s="294"/>
      <c r="AT229" s="254" t="str">
        <f t="shared" si="185"/>
        <v/>
      </c>
      <c r="AU229" s="269"/>
      <c r="AV229" s="269"/>
      <c r="AW229" s="206" t="str">
        <f t="shared" ref="AW229:BC229" si="187">AW59</f>
        <v>#REF!</v>
      </c>
      <c r="AX229" s="206">
        <f t="shared" si="187"/>
        <v>5</v>
      </c>
      <c r="AY229" s="206">
        <f t="shared" si="187"/>
        <v>5</v>
      </c>
      <c r="AZ229" s="464">
        <f t="shared" si="187"/>
        <v>3</v>
      </c>
      <c r="BA229" s="206">
        <f t="shared" si="187"/>
        <v>1</v>
      </c>
      <c r="BB229" s="206">
        <f t="shared" si="187"/>
        <v>1</v>
      </c>
      <c r="BC229" s="465">
        <f t="shared" si="187"/>
        <v>120</v>
      </c>
      <c r="BD229" s="206"/>
      <c r="BE229" s="466"/>
    </row>
    <row r="230">
      <c r="A230" s="94"/>
      <c r="B230" s="328" t="s">
        <v>700</v>
      </c>
      <c r="C230" s="329" t="s">
        <v>657</v>
      </c>
      <c r="D230" s="330"/>
      <c r="E230" s="259"/>
      <c r="F230" s="264"/>
      <c r="G230" s="246"/>
      <c r="H230" s="265"/>
      <c r="I230" s="246"/>
      <c r="J230" s="265"/>
      <c r="K230" s="246"/>
      <c r="L230" s="261"/>
      <c r="M230" s="262"/>
      <c r="N230" s="246"/>
      <c r="O230" s="264"/>
      <c r="P230" s="246"/>
      <c r="Q230" s="585" t="s">
        <v>437</v>
      </c>
      <c r="R230" s="246"/>
      <c r="S230" s="261"/>
      <c r="T230" s="312"/>
      <c r="U230" s="246"/>
      <c r="V230" s="264"/>
      <c r="W230" s="246"/>
      <c r="X230" s="264"/>
      <c r="Y230" s="246"/>
      <c r="Z230" s="261"/>
      <c r="AA230" s="262"/>
      <c r="AB230" s="246"/>
      <c r="AC230" s="264"/>
      <c r="AD230" s="246"/>
      <c r="AE230" s="340" t="s">
        <v>437</v>
      </c>
      <c r="AF230" s="246"/>
      <c r="AG230" s="261"/>
      <c r="AH230" s="264"/>
      <c r="AI230" s="246"/>
      <c r="AJ230" s="264"/>
      <c r="AK230" s="246"/>
      <c r="AL230" s="264"/>
      <c r="AM230" s="246"/>
      <c r="AN230" s="261"/>
      <c r="AO230" s="262"/>
      <c r="AP230" s="246"/>
      <c r="AQ230" s="264"/>
      <c r="AR230" s="246"/>
      <c r="AS230" s="264"/>
      <c r="AT230" s="254" t="str">
        <f t="shared" si="185"/>
        <v/>
      </c>
      <c r="AU230" s="269"/>
      <c r="AV230" s="269"/>
      <c r="AW230" s="206" t="str">
        <f t="shared" ref="AW230:BC230" si="188">AW60</f>
        <v>#REF!</v>
      </c>
      <c r="AX230" s="206">
        <f t="shared" si="188"/>
        <v>5</v>
      </c>
      <c r="AY230" s="206">
        <f t="shared" si="188"/>
        <v>5</v>
      </c>
      <c r="AZ230" s="464">
        <f t="shared" si="188"/>
        <v>3</v>
      </c>
      <c r="BA230" s="206">
        <f t="shared" si="188"/>
        <v>1</v>
      </c>
      <c r="BB230" s="206">
        <f t="shared" si="188"/>
        <v>1</v>
      </c>
      <c r="BC230" s="465">
        <f t="shared" si="188"/>
        <v>120</v>
      </c>
      <c r="BD230" s="206"/>
      <c r="BE230" s="466"/>
    </row>
    <row r="231">
      <c r="A231" s="94"/>
      <c r="B231" s="328" t="s">
        <v>700</v>
      </c>
      <c r="C231" s="329" t="s">
        <v>657</v>
      </c>
      <c r="D231" s="330"/>
      <c r="E231" s="259"/>
      <c r="F231" s="371"/>
      <c r="G231" s="246"/>
      <c r="H231" s="282"/>
      <c r="I231" s="246"/>
      <c r="J231" s="282"/>
      <c r="K231" s="246"/>
      <c r="L231" s="261"/>
      <c r="M231" s="250"/>
      <c r="N231" s="246"/>
      <c r="O231" s="371"/>
      <c r="P231" s="246"/>
      <c r="Q231" s="522" t="s">
        <v>462</v>
      </c>
      <c r="R231" s="246"/>
      <c r="S231" s="261"/>
      <c r="T231" s="312"/>
      <c r="U231" s="246"/>
      <c r="V231" s="371"/>
      <c r="W231" s="246"/>
      <c r="X231" s="371"/>
      <c r="Y231" s="246"/>
      <c r="Z231" s="261"/>
      <c r="AA231" s="250"/>
      <c r="AB231" s="246"/>
      <c r="AC231" s="371"/>
      <c r="AD231" s="246"/>
      <c r="AE231" s="522" t="s">
        <v>462</v>
      </c>
      <c r="AF231" s="246"/>
      <c r="AG231" s="261"/>
      <c r="AH231" s="371"/>
      <c r="AI231" s="246"/>
      <c r="AJ231" s="371"/>
      <c r="AK231" s="246"/>
      <c r="AL231" s="282"/>
      <c r="AM231" s="246"/>
      <c r="AN231" s="261"/>
      <c r="AO231" s="250"/>
      <c r="AP231" s="246"/>
      <c r="AQ231" s="371"/>
      <c r="AR231" s="246"/>
      <c r="AS231" s="371"/>
      <c r="AT231" s="254" t="str">
        <f>IF(COUNTIF($AO$85:$AT$87, #REF!) &gt; 0, "X", "")</f>
        <v/>
      </c>
      <c r="AU231" s="269"/>
      <c r="AV231" s="269"/>
      <c r="AW231" s="206" t="str">
        <f t="shared" ref="AW231:BC231" si="189">AW61</f>
        <v>#REF!</v>
      </c>
      <c r="AX231" s="206">
        <f t="shared" si="189"/>
        <v>5</v>
      </c>
      <c r="AY231" s="206">
        <f t="shared" si="189"/>
        <v>5</v>
      </c>
      <c r="AZ231" s="464">
        <f t="shared" si="189"/>
        <v>3</v>
      </c>
      <c r="BA231" s="206">
        <f t="shared" si="189"/>
        <v>1</v>
      </c>
      <c r="BB231" s="206">
        <f t="shared" si="189"/>
        <v>1</v>
      </c>
      <c r="BC231" s="465">
        <f t="shared" si="189"/>
        <v>120</v>
      </c>
      <c r="BD231" s="206"/>
      <c r="BE231" s="466"/>
    </row>
    <row r="232">
      <c r="A232" s="94"/>
      <c r="B232" s="328" t="s">
        <v>700</v>
      </c>
      <c r="C232" s="329" t="s">
        <v>657</v>
      </c>
      <c r="D232" s="351"/>
      <c r="E232" s="259"/>
      <c r="F232" s="264"/>
      <c r="G232" s="246"/>
      <c r="I232" s="246"/>
      <c r="J232" s="265"/>
      <c r="K232" s="246"/>
      <c r="L232" s="261"/>
      <c r="M232" s="262"/>
      <c r="N232" s="246"/>
      <c r="O232" s="265"/>
      <c r="P232" s="246"/>
      <c r="Q232" s="265"/>
      <c r="R232" s="246"/>
      <c r="S232" s="261"/>
      <c r="T232" s="312"/>
      <c r="U232" s="246"/>
      <c r="V232" s="265"/>
      <c r="W232" s="246"/>
      <c r="Y232" s="246"/>
      <c r="Z232" s="261"/>
      <c r="AA232" s="262"/>
      <c r="AB232" s="246"/>
      <c r="AC232" s="264"/>
      <c r="AD232" s="246"/>
      <c r="AE232" s="265"/>
      <c r="AF232" s="246"/>
      <c r="AG232" s="261"/>
      <c r="AH232" s="264"/>
      <c r="AI232" s="246"/>
      <c r="AJ232" s="265"/>
      <c r="AK232" s="246"/>
      <c r="AL232" s="264"/>
      <c r="AM232" s="246"/>
      <c r="AN232" s="261"/>
      <c r="AO232" s="262"/>
      <c r="AP232" s="246"/>
      <c r="AQ232" s="265"/>
      <c r="AR232" s="246"/>
      <c r="AS232" s="265"/>
      <c r="AT232" s="254" t="str">
        <f t="shared" ref="AT232:AT233" si="191">IF(COUNTIF($AO$85:$AT$87, AS232) &gt; 0, "X", "")</f>
        <v/>
      </c>
      <c r="AU232" s="269"/>
      <c r="AV232" s="269"/>
      <c r="AW232" s="206" t="str">
        <f t="shared" ref="AW232:BC232" si="190">AW62</f>
        <v>#REF!</v>
      </c>
      <c r="AX232" s="206">
        <f t="shared" si="190"/>
        <v>5</v>
      </c>
      <c r="AY232" s="206">
        <f t="shared" si="190"/>
        <v>5</v>
      </c>
      <c r="AZ232" s="464">
        <f t="shared" si="190"/>
        <v>3</v>
      </c>
      <c r="BA232" s="206">
        <f t="shared" si="190"/>
        <v>1</v>
      </c>
      <c r="BB232" s="206">
        <f t="shared" si="190"/>
        <v>1</v>
      </c>
      <c r="BC232" s="465">
        <f t="shared" si="190"/>
        <v>120</v>
      </c>
      <c r="BD232" s="206"/>
      <c r="BE232" s="466"/>
    </row>
    <row r="233">
      <c r="A233" s="94"/>
      <c r="B233" s="408" t="s">
        <v>702</v>
      </c>
      <c r="C233" s="409" t="s">
        <v>652</v>
      </c>
      <c r="D233" s="323"/>
      <c r="E233" s="259"/>
      <c r="F233" s="411"/>
      <c r="G233" s="246"/>
      <c r="H233" s="411"/>
      <c r="I233" s="246"/>
      <c r="J233" s="411"/>
      <c r="K233" s="246"/>
      <c r="L233" s="261"/>
      <c r="M233" s="262"/>
      <c r="N233" s="246"/>
      <c r="O233" s="411"/>
      <c r="P233" s="246"/>
      <c r="Q233" s="411"/>
      <c r="R233" s="246"/>
      <c r="S233" s="261"/>
      <c r="T233" s="312"/>
      <c r="U233" s="246"/>
      <c r="V233" s="411"/>
      <c r="W233" s="246"/>
      <c r="X233" s="411"/>
      <c r="Y233" s="246"/>
      <c r="Z233" s="261"/>
      <c r="AA233" s="262"/>
      <c r="AB233" s="246"/>
      <c r="AC233" s="411"/>
      <c r="AD233" s="246"/>
      <c r="AE233" s="411"/>
      <c r="AF233" s="246"/>
      <c r="AG233" s="261"/>
      <c r="AH233" s="411"/>
      <c r="AI233" s="246"/>
      <c r="AJ233" s="411"/>
      <c r="AK233" s="246"/>
      <c r="AL233" s="411"/>
      <c r="AM233" s="246"/>
      <c r="AN233" s="261"/>
      <c r="AO233" s="262"/>
      <c r="AP233" s="246"/>
      <c r="AQ233" s="411"/>
      <c r="AR233" s="246"/>
      <c r="AS233" s="411"/>
      <c r="AT233" s="254" t="str">
        <f t="shared" si="191"/>
        <v/>
      </c>
      <c r="AU233" s="269"/>
      <c r="AV233" s="269"/>
      <c r="AW233" s="206" t="str">
        <f t="shared" ref="AW233:BC233" si="192">AW63</f>
        <v>#REF!</v>
      </c>
      <c r="AX233" s="206">
        <f t="shared" si="192"/>
        <v>5</v>
      </c>
      <c r="AY233" s="206">
        <f t="shared" si="192"/>
        <v>5</v>
      </c>
      <c r="AZ233" s="464">
        <f t="shared" si="192"/>
        <v>3</v>
      </c>
      <c r="BA233" s="206">
        <f t="shared" si="192"/>
        <v>1</v>
      </c>
      <c r="BB233" s="206">
        <f t="shared" si="192"/>
        <v>1</v>
      </c>
      <c r="BC233" s="465">
        <f t="shared" si="192"/>
        <v>120</v>
      </c>
      <c r="BD233" s="206"/>
      <c r="BE233" s="466"/>
    </row>
    <row r="234">
      <c r="A234" s="234"/>
      <c r="B234" s="401" t="s">
        <v>703</v>
      </c>
      <c r="C234" s="412" t="s">
        <v>704</v>
      </c>
      <c r="D234" s="330"/>
      <c r="E234" s="259"/>
      <c r="F234" s="307"/>
      <c r="G234" s="246"/>
      <c r="H234" s="307"/>
      <c r="I234" s="246"/>
      <c r="J234" s="307"/>
      <c r="K234" s="246"/>
      <c r="L234" s="261"/>
      <c r="M234" s="341"/>
      <c r="N234" s="246"/>
      <c r="O234" s="307"/>
      <c r="P234" s="246"/>
      <c r="Q234" s="307"/>
      <c r="R234" s="246"/>
      <c r="S234" s="261"/>
      <c r="T234" s="312"/>
      <c r="U234" s="246"/>
      <c r="V234" s="307"/>
      <c r="W234" s="246"/>
      <c r="X234" s="307"/>
      <c r="Y234" s="246"/>
      <c r="Z234" s="261"/>
      <c r="AA234" s="341"/>
      <c r="AB234" s="246"/>
      <c r="AC234" s="307"/>
      <c r="AD234" s="246"/>
      <c r="AE234" s="307"/>
      <c r="AF234" s="246"/>
      <c r="AG234" s="261"/>
      <c r="AH234" s="307"/>
      <c r="AI234" s="246"/>
      <c r="AJ234" s="307"/>
      <c r="AK234" s="246"/>
      <c r="AL234" s="307"/>
      <c r="AM234" s="246"/>
      <c r="AN234" s="261"/>
      <c r="AO234" s="341"/>
      <c r="AP234" s="246"/>
      <c r="AQ234" s="307"/>
      <c r="AR234" s="246"/>
      <c r="AS234" s="307"/>
      <c r="AT234" s="254" t="str">
        <f t="shared" ref="AT234:AT236" si="194">IF(COUNTIF($AO$85:$AT$87, #REF!) &gt; 0, "X", "")</f>
        <v/>
      </c>
      <c r="AU234" s="269"/>
      <c r="AV234" s="269"/>
      <c r="AW234" s="206" t="str">
        <f t="shared" ref="AW234:BC234" si="193">AW64</f>
        <v>#REF!</v>
      </c>
      <c r="AX234" s="206">
        <f t="shared" si="193"/>
        <v>5</v>
      </c>
      <c r="AY234" s="206">
        <f t="shared" si="193"/>
        <v>5</v>
      </c>
      <c r="AZ234" s="464">
        <f t="shared" si="193"/>
        <v>3</v>
      </c>
      <c r="BA234" s="206">
        <f t="shared" si="193"/>
        <v>1</v>
      </c>
      <c r="BB234" s="206">
        <f t="shared" si="193"/>
        <v>1</v>
      </c>
      <c r="BC234" s="465">
        <f t="shared" si="193"/>
        <v>120</v>
      </c>
      <c r="BD234" s="206"/>
      <c r="BE234" s="466"/>
    </row>
    <row r="235">
      <c r="A235" s="234"/>
      <c r="B235" s="414" t="s">
        <v>705</v>
      </c>
      <c r="C235" s="415" t="s">
        <v>704</v>
      </c>
      <c r="D235" s="330"/>
      <c r="E235" s="259"/>
      <c r="F235" s="282"/>
      <c r="G235" s="246"/>
      <c r="H235" s="311" t="s">
        <v>394</v>
      </c>
      <c r="I235" s="246"/>
      <c r="J235" s="586" t="s">
        <v>452</v>
      </c>
      <c r="K235" s="246"/>
      <c r="L235" s="261"/>
      <c r="M235" s="341"/>
      <c r="N235" s="246"/>
      <c r="O235" s="311" t="s">
        <v>394</v>
      </c>
      <c r="P235" s="246"/>
      <c r="Q235" s="311" t="s">
        <v>432</v>
      </c>
      <c r="R235" s="246"/>
      <c r="S235" s="261"/>
      <c r="T235" s="312"/>
      <c r="U235" s="246"/>
      <c r="V235" s="311" t="s">
        <v>438</v>
      </c>
      <c r="W235" s="246"/>
      <c r="X235" s="311" t="s">
        <v>410</v>
      </c>
      <c r="Y235" s="246"/>
      <c r="Z235" s="261"/>
      <c r="AA235" s="341"/>
      <c r="AB235" s="246"/>
      <c r="AC235" s="311" t="s">
        <v>438</v>
      </c>
      <c r="AD235" s="246"/>
      <c r="AE235" s="365" t="s">
        <v>706</v>
      </c>
      <c r="AF235" s="246"/>
      <c r="AG235" s="261"/>
      <c r="AI235" s="246"/>
      <c r="AJ235" s="311" t="s">
        <v>394</v>
      </c>
      <c r="AK235" s="246"/>
      <c r="AL235" s="251" t="s">
        <v>432</v>
      </c>
      <c r="AM235" s="246"/>
      <c r="AN235" s="261"/>
      <c r="AO235" s="341"/>
      <c r="AP235" s="246"/>
      <c r="AQ235" s="311" t="s">
        <v>394</v>
      </c>
      <c r="AR235" s="246"/>
      <c r="AS235" s="374" t="s">
        <v>410</v>
      </c>
      <c r="AT235" s="254" t="str">
        <f t="shared" si="194"/>
        <v/>
      </c>
      <c r="AU235" s="269"/>
      <c r="AV235" s="269"/>
      <c r="AW235" s="206" t="str">
        <f t="shared" ref="AW235:BC235" si="195">AW65</f>
        <v>#REF!</v>
      </c>
      <c r="AX235" s="206">
        <f t="shared" si="195"/>
        <v>5</v>
      </c>
      <c r="AY235" s="206">
        <f t="shared" si="195"/>
        <v>5</v>
      </c>
      <c r="AZ235" s="464">
        <f t="shared" si="195"/>
        <v>3</v>
      </c>
      <c r="BA235" s="206">
        <f t="shared" si="195"/>
        <v>1</v>
      </c>
      <c r="BB235" s="206">
        <f t="shared" si="195"/>
        <v>1</v>
      </c>
      <c r="BC235" s="465">
        <f t="shared" si="195"/>
        <v>120</v>
      </c>
      <c r="BD235" s="206"/>
      <c r="BE235" s="466"/>
    </row>
    <row r="236">
      <c r="A236" s="94"/>
      <c r="B236" s="328" t="s">
        <v>705</v>
      </c>
      <c r="C236" s="257" t="s">
        <v>657</v>
      </c>
      <c r="D236" s="330"/>
      <c r="E236" s="259"/>
      <c r="F236" s="251" t="s">
        <v>706</v>
      </c>
      <c r="G236" s="246"/>
      <c r="H236" s="311" t="s">
        <v>438</v>
      </c>
      <c r="I236" s="246"/>
      <c r="J236" s="311" t="s">
        <v>467</v>
      </c>
      <c r="K236" s="246"/>
      <c r="L236" s="261"/>
      <c r="M236" s="341"/>
      <c r="N236" s="246"/>
      <c r="O236" s="311" t="s">
        <v>438</v>
      </c>
      <c r="P236" s="246"/>
      <c r="Q236" s="311" t="s">
        <v>410</v>
      </c>
      <c r="R236" s="246"/>
      <c r="S236" s="261"/>
      <c r="T236" s="312"/>
      <c r="U236" s="246"/>
      <c r="V236" s="251" t="s">
        <v>440</v>
      </c>
      <c r="W236" s="246"/>
      <c r="X236" s="311" t="s">
        <v>467</v>
      </c>
      <c r="Y236" s="246"/>
      <c r="Z236" s="261"/>
      <c r="AA236" s="341"/>
      <c r="AB236" s="246"/>
      <c r="AC236" s="251" t="s">
        <v>440</v>
      </c>
      <c r="AD236" s="246"/>
      <c r="AE236" s="251" t="s">
        <v>410</v>
      </c>
      <c r="AF236" s="246"/>
      <c r="AG236" s="261"/>
      <c r="AH236" s="365" t="s">
        <v>706</v>
      </c>
      <c r="AI236" s="246"/>
      <c r="AJ236" s="311" t="s">
        <v>438</v>
      </c>
      <c r="AK236" s="246"/>
      <c r="AL236" s="586" t="s">
        <v>452</v>
      </c>
      <c r="AM236" s="246"/>
      <c r="AN236" s="261"/>
      <c r="AO236" s="341"/>
      <c r="AP236" s="246"/>
      <c r="AQ236" s="587" t="s">
        <v>707</v>
      </c>
      <c r="AR236" s="246"/>
      <c r="AS236" s="365" t="s">
        <v>706</v>
      </c>
      <c r="AT236" s="254" t="str">
        <f t="shared" si="194"/>
        <v/>
      </c>
      <c r="AU236" s="269"/>
      <c r="AV236" s="269"/>
      <c r="AW236" s="206" t="str">
        <f t="shared" ref="AW236:BC236" si="196">AW66</f>
        <v>#REF!</v>
      </c>
      <c r="AX236" s="206">
        <f t="shared" si="196"/>
        <v>5</v>
      </c>
      <c r="AY236" s="206">
        <f t="shared" si="196"/>
        <v>5</v>
      </c>
      <c r="AZ236" s="464">
        <f t="shared" si="196"/>
        <v>3</v>
      </c>
      <c r="BA236" s="206">
        <f t="shared" si="196"/>
        <v>1</v>
      </c>
      <c r="BB236" s="206">
        <f t="shared" si="196"/>
        <v>1</v>
      </c>
      <c r="BC236" s="465">
        <f t="shared" si="196"/>
        <v>120</v>
      </c>
      <c r="BD236" s="206"/>
      <c r="BE236" s="466"/>
    </row>
    <row r="237">
      <c r="A237" s="94"/>
      <c r="B237" s="277" t="s">
        <v>705</v>
      </c>
      <c r="C237" s="329" t="s">
        <v>685</v>
      </c>
      <c r="D237" s="369"/>
      <c r="E237" s="259"/>
      <c r="F237" s="311" t="s">
        <v>470</v>
      </c>
      <c r="G237" s="246"/>
      <c r="H237" s="251" t="s">
        <v>440</v>
      </c>
      <c r="I237" s="246"/>
      <c r="J237" s="311" t="s">
        <v>432</v>
      </c>
      <c r="K237" s="246"/>
      <c r="L237" s="261"/>
      <c r="M237" s="341"/>
      <c r="N237" s="246"/>
      <c r="O237" s="311" t="s">
        <v>470</v>
      </c>
      <c r="P237" s="246"/>
      <c r="Q237" s="365" t="s">
        <v>706</v>
      </c>
      <c r="R237" s="246"/>
      <c r="S237" s="261"/>
      <c r="T237" s="312"/>
      <c r="U237" s="246"/>
      <c r="V237" s="374" t="s">
        <v>407</v>
      </c>
      <c r="W237" s="246"/>
      <c r="X237" s="287" t="s">
        <v>405</v>
      </c>
      <c r="Y237" s="246"/>
      <c r="Z237" s="261"/>
      <c r="AA237" s="341"/>
      <c r="AB237" s="246"/>
      <c r="AC237" s="374" t="s">
        <v>407</v>
      </c>
      <c r="AD237" s="246"/>
      <c r="AE237" s="311" t="s">
        <v>467</v>
      </c>
      <c r="AF237" s="246"/>
      <c r="AG237" s="261"/>
      <c r="AH237" s="311" t="s">
        <v>467</v>
      </c>
      <c r="AI237" s="246"/>
      <c r="AJ237" s="251" t="s">
        <v>440</v>
      </c>
      <c r="AK237" s="246"/>
      <c r="AL237" s="287" t="s">
        <v>405</v>
      </c>
      <c r="AM237" s="246"/>
      <c r="AN237" s="261"/>
      <c r="AO237" s="341"/>
      <c r="AP237" s="246"/>
      <c r="AQ237" s="251" t="s">
        <v>440</v>
      </c>
      <c r="AR237" s="246"/>
      <c r="AS237" s="586" t="s">
        <v>452</v>
      </c>
      <c r="AT237" s="254" t="str">
        <f>IF(COUNTIF($AO$85:$AT$87, AO236) &gt; 0, "X", "")</f>
        <v/>
      </c>
      <c r="AU237" s="269"/>
      <c r="AV237" s="269"/>
      <c r="AW237" s="206" t="str">
        <f t="shared" ref="AW237:BC237" si="197">AW67</f>
        <v>#REF!</v>
      </c>
      <c r="AX237" s="206">
        <f t="shared" si="197"/>
        <v>5</v>
      </c>
      <c r="AY237" s="206">
        <f t="shared" si="197"/>
        <v>5</v>
      </c>
      <c r="AZ237" s="464">
        <f t="shared" si="197"/>
        <v>3</v>
      </c>
      <c r="BA237" s="206">
        <f t="shared" si="197"/>
        <v>1</v>
      </c>
      <c r="BB237" s="206">
        <f t="shared" si="197"/>
        <v>1</v>
      </c>
      <c r="BC237" s="465">
        <f t="shared" si="197"/>
        <v>120</v>
      </c>
      <c r="BD237" s="206"/>
      <c r="BE237" s="466"/>
    </row>
    <row r="238">
      <c r="A238" s="94"/>
      <c r="B238" s="271" t="s">
        <v>705</v>
      </c>
      <c r="C238" s="272" t="s">
        <v>687</v>
      </c>
      <c r="D238" s="330"/>
      <c r="E238" s="259"/>
      <c r="F238" s="282"/>
      <c r="G238" s="246"/>
      <c r="I238" s="246"/>
      <c r="K238" s="246"/>
      <c r="L238" s="261"/>
      <c r="M238" s="341"/>
      <c r="N238" s="246"/>
      <c r="O238" s="282"/>
      <c r="P238" s="246"/>
      <c r="Q238" s="282"/>
      <c r="R238" s="246"/>
      <c r="S238" s="261"/>
      <c r="T238" s="312"/>
      <c r="U238" s="246"/>
      <c r="W238" s="246"/>
      <c r="X238" s="282"/>
      <c r="Y238" s="246"/>
      <c r="Z238" s="261"/>
      <c r="AA238" s="341"/>
      <c r="AB238" s="246"/>
      <c r="AD238" s="246"/>
      <c r="AE238" s="282"/>
      <c r="AF238" s="246"/>
      <c r="AG238" s="261"/>
      <c r="AI238" s="246"/>
      <c r="AJ238" s="282"/>
      <c r="AK238" s="246"/>
      <c r="AL238" s="282"/>
      <c r="AM238" s="246"/>
      <c r="AN238" s="261"/>
      <c r="AO238" s="341"/>
      <c r="AP238" s="246"/>
      <c r="AR238" s="246"/>
      <c r="AT238" s="254" t="str">
        <f>IF(COUNTIF($AO$85:$AT$87, #REF!) &gt; 0, "X", "")</f>
        <v/>
      </c>
      <c r="AU238" s="269"/>
      <c r="AV238" s="269"/>
      <c r="AW238" s="206" t="str">
        <f t="shared" ref="AW238:BC238" si="198">AW68</f>
        <v>#REF!</v>
      </c>
      <c r="AX238" s="206">
        <f t="shared" si="198"/>
        <v>5</v>
      </c>
      <c r="AY238" s="206">
        <f t="shared" si="198"/>
        <v>5</v>
      </c>
      <c r="AZ238" s="464">
        <f t="shared" si="198"/>
        <v>3</v>
      </c>
      <c r="BA238" s="206">
        <f t="shared" si="198"/>
        <v>1</v>
      </c>
      <c r="BB238" s="206">
        <f t="shared" si="198"/>
        <v>1</v>
      </c>
      <c r="BC238" s="465">
        <f t="shared" si="198"/>
        <v>120</v>
      </c>
      <c r="BD238" s="206"/>
      <c r="BE238" s="466"/>
    </row>
    <row r="239" ht="18.0" customHeight="1">
      <c r="A239" s="270"/>
      <c r="B239" s="397" t="s">
        <v>708</v>
      </c>
      <c r="C239" s="398" t="s">
        <v>654</v>
      </c>
      <c r="D239" s="330"/>
      <c r="E239" s="259"/>
      <c r="F239" s="275"/>
      <c r="G239" s="246"/>
      <c r="I239" s="246"/>
      <c r="J239" s="374" t="s">
        <v>446</v>
      </c>
      <c r="K239" s="246"/>
      <c r="L239" s="261"/>
      <c r="M239" s="286"/>
      <c r="N239" s="246"/>
      <c r="O239" s="384" t="s">
        <v>441</v>
      </c>
      <c r="P239" s="246"/>
      <c r="Q239" s="374" t="s">
        <v>446</v>
      </c>
      <c r="R239" s="246"/>
      <c r="S239" s="261"/>
      <c r="T239" s="312"/>
      <c r="U239" s="246"/>
      <c r="V239" s="365" t="s">
        <v>469</v>
      </c>
      <c r="W239" s="246"/>
      <c r="X239" s="384" t="s">
        <v>441</v>
      </c>
      <c r="Y239" s="246"/>
      <c r="Z239" s="261"/>
      <c r="AA239" s="286"/>
      <c r="AB239" s="246"/>
      <c r="AC239" s="384" t="s">
        <v>441</v>
      </c>
      <c r="AD239" s="246"/>
      <c r="AE239" s="374" t="s">
        <v>446</v>
      </c>
      <c r="AF239" s="246"/>
      <c r="AG239" s="261"/>
      <c r="AH239" s="374" t="s">
        <v>446</v>
      </c>
      <c r="AI239" s="246"/>
      <c r="AJ239" s="384" t="s">
        <v>441</v>
      </c>
      <c r="AK239" s="246"/>
      <c r="AM239" s="246"/>
      <c r="AN239" s="261"/>
      <c r="AO239" s="286"/>
      <c r="AP239" s="246"/>
      <c r="AQ239" s="365" t="s">
        <v>469</v>
      </c>
      <c r="AR239" s="246"/>
      <c r="AS239" s="374" t="s">
        <v>446</v>
      </c>
      <c r="AT239" s="254" t="str">
        <f t="shared" ref="AT239:AT240" si="200">IF(COUNTIF($AO$85:$AT$87, AS239) &gt; 0, "X", "")</f>
        <v/>
      </c>
      <c r="AU239" s="269"/>
      <c r="AV239" s="269"/>
      <c r="AW239" s="206" t="str">
        <f t="shared" ref="AW239:BC239" si="199">AW69</f>
        <v>#REF!</v>
      </c>
      <c r="AX239" s="206">
        <f t="shared" si="199"/>
        <v>5</v>
      </c>
      <c r="AY239" s="206">
        <f t="shared" si="199"/>
        <v>5</v>
      </c>
      <c r="AZ239" s="464">
        <f t="shared" si="199"/>
        <v>3</v>
      </c>
      <c r="BA239" s="206">
        <f t="shared" si="199"/>
        <v>1</v>
      </c>
      <c r="BB239" s="206">
        <f t="shared" si="199"/>
        <v>1</v>
      </c>
      <c r="BC239" s="465">
        <f t="shared" si="199"/>
        <v>120</v>
      </c>
      <c r="BD239" s="206"/>
      <c r="BE239" s="466"/>
    </row>
    <row r="240">
      <c r="A240" s="94"/>
      <c r="B240" s="277" t="s">
        <v>709</v>
      </c>
      <c r="C240" s="278" t="s">
        <v>710</v>
      </c>
      <c r="D240" s="323"/>
      <c r="E240" s="259"/>
      <c r="F240" s="281"/>
      <c r="G240" s="246"/>
      <c r="H240" s="281"/>
      <c r="I240" s="246"/>
      <c r="J240" s="384" t="s">
        <v>441</v>
      </c>
      <c r="K240" s="246"/>
      <c r="L240" s="261"/>
      <c r="M240" s="341"/>
      <c r="N240" s="246"/>
      <c r="O240" s="281"/>
      <c r="P240" s="246"/>
      <c r="R240" s="246"/>
      <c r="S240" s="261"/>
      <c r="T240" s="312"/>
      <c r="U240" s="246"/>
      <c r="V240" s="282"/>
      <c r="W240" s="246"/>
      <c r="X240" s="281"/>
      <c r="Y240" s="246"/>
      <c r="Z240" s="261"/>
      <c r="AA240" s="341"/>
      <c r="AB240" s="246"/>
      <c r="AC240" s="282"/>
      <c r="AD240" s="246"/>
      <c r="AE240" s="282"/>
      <c r="AF240" s="246"/>
      <c r="AG240" s="261"/>
      <c r="AH240" s="281"/>
      <c r="AI240" s="246"/>
      <c r="AJ240" s="281"/>
      <c r="AK240" s="246"/>
      <c r="AL240" s="281"/>
      <c r="AM240" s="246"/>
      <c r="AN240" s="261"/>
      <c r="AO240" s="341"/>
      <c r="AP240" s="246"/>
      <c r="AQ240" s="281"/>
      <c r="AR240" s="246"/>
      <c r="AS240" s="281"/>
      <c r="AT240" s="254" t="str">
        <f t="shared" si="200"/>
        <v/>
      </c>
      <c r="AU240" s="269"/>
      <c r="AV240" s="269"/>
      <c r="AW240" s="206" t="str">
        <f t="shared" ref="AW240:BC240" si="201">AW70</f>
        <v>#REF!</v>
      </c>
      <c r="AX240" s="206">
        <f t="shared" si="201"/>
        <v>5</v>
      </c>
      <c r="AY240" s="206">
        <f t="shared" si="201"/>
        <v>5</v>
      </c>
      <c r="AZ240" s="464">
        <f t="shared" si="201"/>
        <v>3</v>
      </c>
      <c r="BA240" s="206">
        <f t="shared" si="201"/>
        <v>1</v>
      </c>
      <c r="BB240" s="206">
        <f t="shared" si="201"/>
        <v>1</v>
      </c>
      <c r="BC240" s="465">
        <f t="shared" si="201"/>
        <v>120</v>
      </c>
      <c r="BD240" s="206"/>
      <c r="BE240" s="466"/>
    </row>
    <row r="241">
      <c r="A241" s="94"/>
      <c r="B241" s="271" t="s">
        <v>712</v>
      </c>
      <c r="C241" s="272" t="s">
        <v>710</v>
      </c>
      <c r="D241" s="431"/>
      <c r="E241" s="259"/>
      <c r="G241" s="246"/>
      <c r="I241" s="246"/>
      <c r="K241" s="432"/>
      <c r="L241" s="462"/>
      <c r="M241" s="341"/>
      <c r="N241" s="246"/>
      <c r="P241" s="246"/>
      <c r="R241" s="432"/>
      <c r="S241" s="462"/>
      <c r="T241" s="312"/>
      <c r="U241" s="246"/>
      <c r="W241" s="246"/>
      <c r="Y241" s="432"/>
      <c r="Z241" s="462"/>
      <c r="AA241" s="341"/>
      <c r="AB241" s="246"/>
      <c r="AD241" s="246"/>
      <c r="AF241" s="432"/>
      <c r="AG241" s="462"/>
      <c r="AI241" s="246"/>
      <c r="AK241" s="246"/>
      <c r="AM241" s="432"/>
      <c r="AN241" s="462"/>
      <c r="AO241" s="341"/>
      <c r="AP241" s="246"/>
      <c r="AR241" s="246"/>
      <c r="AT241" s="430"/>
      <c r="AU241" s="269"/>
      <c r="AV241" s="269"/>
      <c r="AW241" s="206" t="str">
        <f t="shared" ref="AW241:BC241" si="202">AW71</f>
        <v>#REF!</v>
      </c>
      <c r="AX241" s="206">
        <f t="shared" si="202"/>
        <v>5</v>
      </c>
      <c r="AY241" s="206">
        <f t="shared" si="202"/>
        <v>5</v>
      </c>
      <c r="AZ241" s="464">
        <f t="shared" si="202"/>
        <v>3</v>
      </c>
      <c r="BA241" s="206">
        <f t="shared" si="202"/>
        <v>1</v>
      </c>
      <c r="BB241" s="206">
        <f t="shared" si="202"/>
        <v>1</v>
      </c>
      <c r="BC241" s="465">
        <f t="shared" si="202"/>
        <v>120</v>
      </c>
      <c r="BD241" s="206"/>
      <c r="BE241" s="466"/>
    </row>
    <row r="242">
      <c r="A242" s="94"/>
      <c r="B242" s="429" t="s">
        <v>714</v>
      </c>
      <c r="C242" s="430"/>
      <c r="D242" s="323"/>
      <c r="E242" s="259"/>
      <c r="F242" s="5"/>
      <c r="G242" s="432"/>
      <c r="H242" s="5"/>
      <c r="I242" s="432"/>
      <c r="J242" s="589"/>
      <c r="K242" s="246"/>
      <c r="L242" s="261"/>
      <c r="M242" s="432"/>
      <c r="N242" s="433"/>
      <c r="O242" s="432"/>
      <c r="P242" s="432"/>
      <c r="Q242" s="5"/>
      <c r="R242" s="246"/>
      <c r="S242" s="261"/>
      <c r="T242" s="5"/>
      <c r="U242" s="433"/>
      <c r="V242" s="5"/>
      <c r="W242" s="432"/>
      <c r="X242" s="5"/>
      <c r="Y242" s="246"/>
      <c r="Z242" s="261"/>
      <c r="AA242" s="432"/>
      <c r="AB242" s="433"/>
      <c r="AC242" s="589"/>
      <c r="AD242" s="432"/>
      <c r="AE242" s="5"/>
      <c r="AF242" s="246"/>
      <c r="AG242" s="261"/>
      <c r="AH242" s="5"/>
      <c r="AI242" s="433"/>
      <c r="AJ242" s="591"/>
      <c r="AK242" s="432"/>
      <c r="AL242" s="589"/>
      <c r="AM242" s="246"/>
      <c r="AN242" s="261"/>
      <c r="AO242" s="432"/>
      <c r="AP242" s="433"/>
      <c r="AQ242" s="589"/>
      <c r="AR242" s="432"/>
      <c r="AS242" s="5"/>
      <c r="AT242" s="254" t="str">
        <f>IF(COUNTIF($AO$85:$AT$87, #REF!) &gt; 0, "X", "")</f>
        <v/>
      </c>
      <c r="AU242" s="269"/>
      <c r="AV242" s="269"/>
      <c r="AW242" s="206" t="str">
        <f t="shared" ref="AW242:BC242" si="203">AW72</f>
        <v>#REF!</v>
      </c>
      <c r="AX242" s="206">
        <f t="shared" si="203"/>
        <v>5</v>
      </c>
      <c r="AY242" s="206">
        <f t="shared" si="203"/>
        <v>5</v>
      </c>
      <c r="AZ242" s="464">
        <f t="shared" si="203"/>
        <v>3</v>
      </c>
      <c r="BA242" s="206">
        <f t="shared" si="203"/>
        <v>1</v>
      </c>
      <c r="BB242" s="206">
        <f t="shared" si="203"/>
        <v>1</v>
      </c>
      <c r="BC242" s="465">
        <f t="shared" si="203"/>
        <v>120</v>
      </c>
      <c r="BD242" s="206"/>
      <c r="BE242" s="466"/>
    </row>
    <row r="243">
      <c r="A243" s="94"/>
      <c r="B243" s="401" t="s">
        <v>715</v>
      </c>
      <c r="C243" s="412" t="s">
        <v>716</v>
      </c>
      <c r="D243" s="323"/>
      <c r="E243" s="259"/>
      <c r="F243" s="619"/>
      <c r="G243" s="246"/>
      <c r="H243" s="434" t="str">
        <f>TEAM!B71</f>
        <v>#REF!</v>
      </c>
      <c r="I243" s="246"/>
      <c r="J243" s="434"/>
      <c r="K243" s="246"/>
      <c r="L243" s="261"/>
      <c r="M243" s="619"/>
      <c r="N243" s="246"/>
      <c r="O243" s="434" t="s">
        <v>403</v>
      </c>
      <c r="P243" s="246"/>
      <c r="Q243" s="434"/>
      <c r="R243" s="246"/>
      <c r="S243" s="261"/>
      <c r="T243" s="619"/>
      <c r="U243" s="246"/>
      <c r="V243" s="434" t="s">
        <v>403</v>
      </c>
      <c r="W243" s="246"/>
      <c r="X243" s="434"/>
      <c r="Y243" s="246"/>
      <c r="Z243" s="261"/>
      <c r="AA243" s="619"/>
      <c r="AB243" s="246"/>
      <c r="AC243" s="434" t="s">
        <v>403</v>
      </c>
      <c r="AD243" s="246"/>
      <c r="AE243" s="434"/>
      <c r="AF243" s="246"/>
      <c r="AG243" s="261"/>
      <c r="AH243" s="619"/>
      <c r="AI243" s="246"/>
      <c r="AJ243" s="434" t="str">
        <f>TEAM!B71</f>
        <v>#REF!</v>
      </c>
      <c r="AK243" s="246"/>
      <c r="AL243" s="434"/>
      <c r="AM243" s="246"/>
      <c r="AN243" s="261"/>
      <c r="AO243" s="619"/>
      <c r="AP243" s="246"/>
      <c r="AQ243" s="434"/>
      <c r="AR243" s="246"/>
      <c r="AS243" s="434"/>
      <c r="AT243" s="254" t="str">
        <f t="shared" ref="AT243:AT254" si="205">IF(COUNTIF($AO$85:$AT$87, AS243) &gt; 0, "X", "")</f>
        <v/>
      </c>
      <c r="AU243" s="269"/>
      <c r="AV243" s="269"/>
      <c r="AW243" s="206" t="str">
        <f t="shared" ref="AW243:BC243" si="204">AW73</f>
        <v>#REF!</v>
      </c>
      <c r="AX243" s="206">
        <f t="shared" si="204"/>
        <v>5</v>
      </c>
      <c r="AY243" s="206">
        <f t="shared" si="204"/>
        <v>5</v>
      </c>
      <c r="AZ243" s="464">
        <f t="shared" si="204"/>
        <v>3</v>
      </c>
      <c r="BA243" s="206">
        <f t="shared" si="204"/>
        <v>1</v>
      </c>
      <c r="BB243" s="206">
        <f t="shared" si="204"/>
        <v>1</v>
      </c>
      <c r="BC243" s="465">
        <f t="shared" si="204"/>
        <v>120</v>
      </c>
      <c r="BD243" s="206"/>
      <c r="BE243" s="466"/>
    </row>
    <row r="244">
      <c r="A244" s="94"/>
      <c r="B244" s="401" t="s">
        <v>843</v>
      </c>
      <c r="C244" s="412" t="s">
        <v>716</v>
      </c>
      <c r="D244" s="363"/>
      <c r="E244" s="259"/>
      <c r="F244" s="619"/>
      <c r="G244" s="246"/>
      <c r="H244" s="434"/>
      <c r="I244" s="246"/>
      <c r="J244" s="406"/>
      <c r="K244" s="246"/>
      <c r="L244" s="261"/>
      <c r="M244" s="619"/>
      <c r="N244" s="246"/>
      <c r="O244" s="434" t="str">
        <f>TEAM!B71</f>
        <v>#REF!</v>
      </c>
      <c r="P244" s="246"/>
      <c r="R244" s="246"/>
      <c r="S244" s="261"/>
      <c r="T244" s="619"/>
      <c r="U244" s="246"/>
      <c r="V244" s="434"/>
      <c r="W244" s="246"/>
      <c r="X244" s="406"/>
      <c r="Y244" s="246"/>
      <c r="Z244" s="261"/>
      <c r="AA244" s="619"/>
      <c r="AB244" s="246"/>
      <c r="AD244" s="246"/>
      <c r="AE244" s="406"/>
      <c r="AF244" s="246"/>
      <c r="AG244" s="261"/>
      <c r="AH244" s="619"/>
      <c r="AI244" s="246"/>
      <c r="AJ244" s="434"/>
      <c r="AK244" s="246"/>
      <c r="AL244" s="406"/>
      <c r="AM244" s="246"/>
      <c r="AN244" s="261"/>
      <c r="AO244" s="619"/>
      <c r="AP244" s="246"/>
      <c r="AR244" s="246"/>
      <c r="AS244" s="406"/>
      <c r="AT244" s="254" t="str">
        <f t="shared" si="205"/>
        <v/>
      </c>
      <c r="AU244" s="269"/>
      <c r="AV244" s="269"/>
      <c r="AW244" s="206" t="str">
        <f t="shared" ref="AW244:BC244" si="206">AW74</f>
        <v>#REF!</v>
      </c>
      <c r="AX244" s="206">
        <f t="shared" si="206"/>
        <v>5</v>
      </c>
      <c r="AY244" s="206">
        <f t="shared" si="206"/>
        <v>5</v>
      </c>
      <c r="AZ244" s="464">
        <f t="shared" si="206"/>
        <v>3</v>
      </c>
      <c r="BA244" s="206">
        <f t="shared" si="206"/>
        <v>1</v>
      </c>
      <c r="BB244" s="206">
        <f t="shared" si="206"/>
        <v>1</v>
      </c>
      <c r="BC244" s="465">
        <f t="shared" si="206"/>
        <v>120</v>
      </c>
      <c r="BD244" s="206"/>
      <c r="BE244" s="466"/>
    </row>
    <row r="245">
      <c r="A245" s="94"/>
      <c r="B245" s="435" t="s">
        <v>717</v>
      </c>
      <c r="C245" s="415" t="s">
        <v>718</v>
      </c>
      <c r="D245" s="330"/>
      <c r="E245" s="259"/>
      <c r="F245" s="619"/>
      <c r="G245" s="246"/>
      <c r="H245" s="406" t="s">
        <v>454</v>
      </c>
      <c r="I245" s="246"/>
      <c r="J245" s="406"/>
      <c r="K245" s="246"/>
      <c r="L245" s="261"/>
      <c r="M245" s="619"/>
      <c r="N245" s="246"/>
      <c r="O245" s="406" t="s">
        <v>442</v>
      </c>
      <c r="P245" s="246"/>
      <c r="Q245" s="406"/>
      <c r="R245" s="246"/>
      <c r="S245" s="261"/>
      <c r="T245" s="619"/>
      <c r="U245" s="246"/>
      <c r="V245" s="406" t="s">
        <v>442</v>
      </c>
      <c r="W245" s="246"/>
      <c r="X245" s="406"/>
      <c r="Y245" s="246"/>
      <c r="Z245" s="261"/>
      <c r="AA245" s="619"/>
      <c r="AB245" s="246"/>
      <c r="AC245" s="406" t="s">
        <v>442</v>
      </c>
      <c r="AD245" s="246"/>
      <c r="AE245" s="406"/>
      <c r="AF245" s="246"/>
      <c r="AG245" s="261"/>
      <c r="AH245" s="619"/>
      <c r="AI245" s="246"/>
      <c r="AJ245" s="406" t="s">
        <v>442</v>
      </c>
      <c r="AK245" s="246"/>
      <c r="AL245" s="406"/>
      <c r="AM245" s="246"/>
      <c r="AN245" s="261"/>
      <c r="AO245" s="619" t="s">
        <v>463</v>
      </c>
      <c r="AP245" s="246"/>
      <c r="AQ245" s="620" t="s">
        <v>875</v>
      </c>
      <c r="AR245" s="246"/>
      <c r="AS245" s="406"/>
      <c r="AT245" s="254" t="str">
        <f t="shared" si="205"/>
        <v/>
      </c>
      <c r="AU245" s="269"/>
      <c r="AV245" s="269"/>
      <c r="AW245" s="206" t="str">
        <f t="shared" ref="AW245:BC245" si="207">AW75</f>
        <v>#REF!</v>
      </c>
      <c r="AX245" s="206">
        <f t="shared" si="207"/>
        <v>5</v>
      </c>
      <c r="AY245" s="206">
        <f t="shared" si="207"/>
        <v>5</v>
      </c>
      <c r="AZ245" s="464">
        <f t="shared" si="207"/>
        <v>3</v>
      </c>
      <c r="BA245" s="206">
        <f t="shared" si="207"/>
        <v>1</v>
      </c>
      <c r="BB245" s="206">
        <f t="shared" si="207"/>
        <v>1</v>
      </c>
      <c r="BC245" s="465">
        <f t="shared" si="207"/>
        <v>120</v>
      </c>
      <c r="BD245" s="206"/>
      <c r="BE245" s="466"/>
    </row>
    <row r="246">
      <c r="A246" s="94"/>
      <c r="B246" s="436" t="s">
        <v>719</v>
      </c>
      <c r="C246" s="437" t="s">
        <v>720</v>
      </c>
      <c r="D246" s="330"/>
      <c r="E246" s="259"/>
      <c r="F246" s="619"/>
      <c r="G246" s="246"/>
      <c r="H246" s="406" t="s">
        <v>463</v>
      </c>
      <c r="I246" s="246"/>
      <c r="J246" s="406"/>
      <c r="K246" s="246"/>
      <c r="L246" s="261"/>
      <c r="M246" s="619"/>
      <c r="N246" s="246"/>
      <c r="O246" s="406" t="s">
        <v>463</v>
      </c>
      <c r="P246" s="246"/>
      <c r="Q246" s="406"/>
      <c r="R246" s="246"/>
      <c r="S246" s="261"/>
      <c r="T246" s="619"/>
      <c r="U246" s="246"/>
      <c r="V246" s="406" t="s">
        <v>463</v>
      </c>
      <c r="W246" s="246"/>
      <c r="X246" s="406"/>
      <c r="Y246" s="246"/>
      <c r="Z246" s="261"/>
      <c r="AA246" s="619"/>
      <c r="AB246" s="246"/>
      <c r="AC246" s="593" t="s">
        <v>847</v>
      </c>
      <c r="AD246" s="246"/>
      <c r="AE246" s="406"/>
      <c r="AF246" s="246"/>
      <c r="AG246" s="261"/>
      <c r="AH246" s="619"/>
      <c r="AI246" s="246"/>
      <c r="AJ246" s="434" t="s">
        <v>403</v>
      </c>
      <c r="AK246" s="246"/>
      <c r="AL246" s="406"/>
      <c r="AM246" s="246"/>
      <c r="AN246" s="261"/>
      <c r="AO246" s="619"/>
      <c r="AP246" s="246"/>
      <c r="AQ246" s="620" t="s">
        <v>861</v>
      </c>
      <c r="AR246" s="246"/>
      <c r="AS246" s="406"/>
      <c r="AT246" s="254" t="str">
        <f t="shared" si="205"/>
        <v/>
      </c>
      <c r="AU246" s="269"/>
      <c r="AV246" s="269"/>
      <c r="AW246" s="206" t="str">
        <f t="shared" ref="AW246:BC246" si="208">AW76</f>
        <v>#REF!</v>
      </c>
      <c r="AX246" s="206">
        <f t="shared" si="208"/>
        <v>5</v>
      </c>
      <c r="AY246" s="206">
        <f t="shared" si="208"/>
        <v>5</v>
      </c>
      <c r="AZ246" s="464">
        <f t="shared" si="208"/>
        <v>3</v>
      </c>
      <c r="BA246" s="206">
        <f t="shared" si="208"/>
        <v>1</v>
      </c>
      <c r="BB246" s="206">
        <f t="shared" si="208"/>
        <v>1</v>
      </c>
      <c r="BC246" s="465">
        <f t="shared" si="208"/>
        <v>120</v>
      </c>
      <c r="BD246" s="206"/>
      <c r="BE246" s="466"/>
    </row>
    <row r="247">
      <c r="A247" s="94"/>
      <c r="B247" s="439" t="s">
        <v>721</v>
      </c>
      <c r="C247" s="440" t="s">
        <v>722</v>
      </c>
      <c r="D247" s="330"/>
      <c r="E247" s="259"/>
      <c r="F247" s="619"/>
      <c r="G247" s="246"/>
      <c r="H247" s="608" t="s">
        <v>860</v>
      </c>
      <c r="I247" s="246"/>
      <c r="J247" s="441"/>
      <c r="K247" s="246"/>
      <c r="L247" s="261"/>
      <c r="M247" s="619"/>
      <c r="N247" s="246"/>
      <c r="O247" s="608" t="s">
        <v>860</v>
      </c>
      <c r="P247" s="246"/>
      <c r="Q247" s="406" t="s">
        <v>858</v>
      </c>
      <c r="R247" s="246"/>
      <c r="S247" s="261"/>
      <c r="T247" s="619"/>
      <c r="U247" s="246"/>
      <c r="V247" s="206" t="s">
        <v>844</v>
      </c>
      <c r="W247" s="246"/>
      <c r="X247" s="592" t="s">
        <v>876</v>
      </c>
      <c r="Y247" s="246"/>
      <c r="Z247" s="261"/>
      <c r="AA247" s="619"/>
      <c r="AB247" s="246"/>
      <c r="AC247" s="206" t="s">
        <v>844</v>
      </c>
      <c r="AD247" s="246"/>
      <c r="AE247" s="592" t="s">
        <v>876</v>
      </c>
      <c r="AF247" s="246"/>
      <c r="AG247" s="261"/>
      <c r="AH247" s="619"/>
      <c r="AI247" s="246"/>
      <c r="AJ247" s="206" t="s">
        <v>844</v>
      </c>
      <c r="AK247" s="246"/>
      <c r="AL247" s="592" t="s">
        <v>876</v>
      </c>
      <c r="AM247" s="246"/>
      <c r="AN247" s="261"/>
      <c r="AO247" s="619"/>
      <c r="AP247" s="246"/>
      <c r="AQ247" s="406"/>
      <c r="AR247" s="246"/>
      <c r="AS247" s="441"/>
      <c r="AT247" s="254" t="str">
        <f t="shared" si="205"/>
        <v/>
      </c>
      <c r="AU247" s="269"/>
      <c r="AV247" s="269"/>
      <c r="AW247" s="206" t="str">
        <f t="shared" ref="AW247:BC247" si="209">AW77</f>
        <v>#REF!</v>
      </c>
      <c r="AX247" s="206">
        <f t="shared" si="209"/>
        <v>5</v>
      </c>
      <c r="AY247" s="206">
        <f t="shared" si="209"/>
        <v>5</v>
      </c>
      <c r="AZ247" s="464">
        <f t="shared" si="209"/>
        <v>3</v>
      </c>
      <c r="BA247" s="206">
        <f t="shared" si="209"/>
        <v>1</v>
      </c>
      <c r="BB247" s="206">
        <f t="shared" si="209"/>
        <v>1</v>
      </c>
      <c r="BC247" s="465">
        <f t="shared" si="209"/>
        <v>120</v>
      </c>
      <c r="BD247" s="206"/>
      <c r="BE247" s="466"/>
    </row>
    <row r="248">
      <c r="A248" s="94"/>
      <c r="B248" s="439" t="s">
        <v>723</v>
      </c>
      <c r="C248" s="440" t="s">
        <v>724</v>
      </c>
      <c r="D248" s="330"/>
      <c r="E248" s="259"/>
      <c r="F248" s="619"/>
      <c r="G248" s="246"/>
      <c r="H248" s="406" t="s">
        <v>460</v>
      </c>
      <c r="I248" s="246"/>
      <c r="J248" s="441"/>
      <c r="K248" s="246"/>
      <c r="L248" s="261"/>
      <c r="M248" s="619"/>
      <c r="N248" s="246"/>
      <c r="O248" s="406" t="s">
        <v>454</v>
      </c>
      <c r="P248" s="246"/>
      <c r="Q248" s="441"/>
      <c r="R248" s="246"/>
      <c r="S248" s="261"/>
      <c r="T248" s="619"/>
      <c r="U248" s="246"/>
      <c r="V248" s="406" t="s">
        <v>454</v>
      </c>
      <c r="W248" s="246"/>
      <c r="X248" s="441"/>
      <c r="Y248" s="246"/>
      <c r="Z248" s="261"/>
      <c r="AA248" s="619"/>
      <c r="AB248" s="246"/>
      <c r="AC248" s="592" t="s">
        <v>768</v>
      </c>
      <c r="AD248" s="246"/>
      <c r="AE248" s="441"/>
      <c r="AF248" s="246"/>
      <c r="AG248" s="261"/>
      <c r="AH248" s="619"/>
      <c r="AI248" s="246"/>
      <c r="AJ248" s="406" t="s">
        <v>463</v>
      </c>
      <c r="AK248" s="246"/>
      <c r="AL248" s="441"/>
      <c r="AM248" s="246"/>
      <c r="AN248" s="261"/>
      <c r="AO248" s="619"/>
      <c r="AP248" s="246"/>
      <c r="AQ248" s="441"/>
      <c r="AR248" s="246"/>
      <c r="AS248" s="441"/>
      <c r="AT248" s="254" t="str">
        <f t="shared" si="205"/>
        <v/>
      </c>
      <c r="AU248" s="269"/>
      <c r="AV248" s="269"/>
      <c r="AW248" s="206" t="str">
        <f t="shared" ref="AW248:BC248" si="210">AW78</f>
        <v>#REF!</v>
      </c>
      <c r="AX248" s="206">
        <f t="shared" si="210"/>
        <v>5</v>
      </c>
      <c r="AY248" s="206">
        <f t="shared" si="210"/>
        <v>5</v>
      </c>
      <c r="AZ248" s="464">
        <f t="shared" si="210"/>
        <v>3</v>
      </c>
      <c r="BA248" s="206">
        <f t="shared" si="210"/>
        <v>1</v>
      </c>
      <c r="BB248" s="206">
        <f t="shared" si="210"/>
        <v>1</v>
      </c>
      <c r="BC248" s="465">
        <f t="shared" si="210"/>
        <v>120</v>
      </c>
      <c r="BD248" s="206"/>
      <c r="BE248" s="466"/>
    </row>
    <row r="249">
      <c r="A249" s="94"/>
      <c r="B249" s="439" t="s">
        <v>725</v>
      </c>
      <c r="C249" s="442" t="s">
        <v>726</v>
      </c>
      <c r="D249" s="330"/>
      <c r="E249" s="259"/>
      <c r="F249" s="621"/>
      <c r="G249" s="246"/>
      <c r="H249" s="434" t="s">
        <v>403</v>
      </c>
      <c r="I249" s="246"/>
      <c r="J249" s="406" t="s">
        <v>858</v>
      </c>
      <c r="K249" s="246"/>
      <c r="L249" s="261"/>
      <c r="M249" s="621"/>
      <c r="N249" s="246"/>
      <c r="O249" s="406" t="s">
        <v>460</v>
      </c>
      <c r="P249" s="246"/>
      <c r="Q249" s="441"/>
      <c r="R249" s="246"/>
      <c r="S249" s="261"/>
      <c r="T249" s="621"/>
      <c r="U249" s="246"/>
      <c r="V249" s="434" t="s">
        <v>845</v>
      </c>
      <c r="W249" s="246"/>
      <c r="X249" s="441"/>
      <c r="Y249" s="246"/>
      <c r="Z249" s="261"/>
      <c r="AA249" s="621"/>
      <c r="AB249" s="246"/>
      <c r="AC249" s="434" t="s">
        <v>845</v>
      </c>
      <c r="AD249" s="246"/>
      <c r="AE249" s="441"/>
      <c r="AF249" s="246"/>
      <c r="AG249" s="261"/>
      <c r="AH249" s="621"/>
      <c r="AI249" s="246"/>
      <c r="AJ249" s="592" t="s">
        <v>768</v>
      </c>
      <c r="AK249" s="246"/>
      <c r="AL249" s="441"/>
      <c r="AM249" s="246"/>
      <c r="AN249" s="261"/>
      <c r="AO249" s="619" t="s">
        <v>845</v>
      </c>
      <c r="AP249" s="246"/>
      <c r="AQ249" s="620" t="s">
        <v>877</v>
      </c>
      <c r="AR249" s="246"/>
      <c r="AS249" s="441"/>
      <c r="AT249" s="254" t="str">
        <f t="shared" si="205"/>
        <v/>
      </c>
      <c r="AU249" s="269"/>
      <c r="AV249" s="269"/>
      <c r="AW249" s="206" t="str">
        <f t="shared" ref="AW249:BC249" si="211">AW79</f>
        <v>#REF!</v>
      </c>
      <c r="AX249" s="206">
        <f t="shared" si="211"/>
        <v>5</v>
      </c>
      <c r="AY249" s="206">
        <f t="shared" si="211"/>
        <v>5</v>
      </c>
      <c r="AZ249" s="464">
        <f t="shared" si="211"/>
        <v>3</v>
      </c>
      <c r="BA249" s="206">
        <f t="shared" si="211"/>
        <v>1</v>
      </c>
      <c r="BB249" s="206">
        <f t="shared" si="211"/>
        <v>1</v>
      </c>
      <c r="BC249" s="465">
        <f t="shared" si="211"/>
        <v>120</v>
      </c>
      <c r="BD249" s="206"/>
      <c r="BE249" s="466"/>
    </row>
    <row r="250">
      <c r="A250" s="94"/>
      <c r="B250" s="447" t="s">
        <v>729</v>
      </c>
      <c r="C250" s="448" t="s">
        <v>730</v>
      </c>
      <c r="D250" s="363"/>
      <c r="E250" s="259"/>
      <c r="F250" s="622"/>
      <c r="G250" s="246"/>
      <c r="H250" s="441"/>
      <c r="I250" s="246"/>
      <c r="J250" s="206"/>
      <c r="K250" s="246"/>
      <c r="L250" s="261"/>
      <c r="M250" s="622"/>
      <c r="N250" s="246"/>
      <c r="O250" s="406" t="s">
        <v>845</v>
      </c>
      <c r="P250" s="246"/>
      <c r="Q250" s="206"/>
      <c r="R250" s="246"/>
      <c r="S250" s="261"/>
      <c r="T250" s="622"/>
      <c r="U250" s="246"/>
      <c r="V250" s="441"/>
      <c r="W250" s="246"/>
      <c r="X250" s="206"/>
      <c r="Y250" s="246"/>
      <c r="Z250" s="261"/>
      <c r="AA250" s="622"/>
      <c r="AB250" s="246"/>
      <c r="AC250" s="441"/>
      <c r="AD250" s="246"/>
      <c r="AE250" s="206"/>
      <c r="AF250" s="246"/>
      <c r="AG250" s="261"/>
      <c r="AH250" s="622"/>
      <c r="AI250" s="246"/>
      <c r="AJ250" s="406" t="s">
        <v>845</v>
      </c>
      <c r="AK250" s="246"/>
      <c r="AL250" s="206"/>
      <c r="AM250" s="246"/>
      <c r="AN250" s="261"/>
      <c r="AO250" s="622"/>
      <c r="AP250" s="246"/>
      <c r="AQ250" s="441"/>
      <c r="AR250" s="246"/>
      <c r="AS250" s="206"/>
      <c r="AT250" s="254" t="str">
        <f t="shared" si="205"/>
        <v/>
      </c>
      <c r="AU250" s="269"/>
      <c r="AV250" s="269"/>
      <c r="AW250" s="206" t="str">
        <f t="shared" ref="AW250:BC250" si="212">AW80</f>
        <v>#REF!</v>
      </c>
      <c r="AX250" s="206">
        <f t="shared" si="212"/>
        <v>5</v>
      </c>
      <c r="AY250" s="206">
        <f t="shared" si="212"/>
        <v>5</v>
      </c>
      <c r="AZ250" s="464">
        <f t="shared" si="212"/>
        <v>3</v>
      </c>
      <c r="BA250" s="206">
        <f t="shared" si="212"/>
        <v>1</v>
      </c>
      <c r="BB250" s="206">
        <f t="shared" si="212"/>
        <v>1</v>
      </c>
      <c r="BC250" s="465">
        <f t="shared" si="212"/>
        <v>120</v>
      </c>
      <c r="BD250" s="206"/>
      <c r="BE250" s="466"/>
    </row>
    <row r="251">
      <c r="A251" s="94"/>
      <c r="B251" s="450" t="s">
        <v>731</v>
      </c>
      <c r="C251" s="451" t="s">
        <v>732</v>
      </c>
      <c r="D251" s="363"/>
      <c r="E251" s="259"/>
      <c r="F251" s="623"/>
      <c r="G251" s="246"/>
      <c r="H251" s="593" t="s">
        <v>847</v>
      </c>
      <c r="I251" s="246"/>
      <c r="J251" s="74"/>
      <c r="K251" s="246"/>
      <c r="L251" s="261"/>
      <c r="M251" s="623"/>
      <c r="N251" s="246"/>
      <c r="O251" s="593" t="s">
        <v>847</v>
      </c>
      <c r="P251" s="246"/>
      <c r="Q251" s="74"/>
      <c r="R251" s="246"/>
      <c r="S251" s="261"/>
      <c r="T251" s="623"/>
      <c r="U251" s="246"/>
      <c r="V251" s="406" t="s">
        <v>460</v>
      </c>
      <c r="W251" s="246"/>
      <c r="X251" s="74"/>
      <c r="Y251" s="246"/>
      <c r="Z251" s="261"/>
      <c r="AA251" s="623"/>
      <c r="AB251" s="246"/>
      <c r="AC251" s="593" t="s">
        <v>460</v>
      </c>
      <c r="AD251" s="246"/>
      <c r="AE251" s="74"/>
      <c r="AF251" s="246"/>
      <c r="AG251" s="261"/>
      <c r="AH251" s="623"/>
      <c r="AI251" s="246"/>
      <c r="AJ251" s="593" t="s">
        <v>847</v>
      </c>
      <c r="AK251" s="246"/>
      <c r="AL251" s="74"/>
      <c r="AM251" s="246"/>
      <c r="AN251" s="261"/>
      <c r="AO251" s="623"/>
      <c r="AP251" s="246"/>
      <c r="AQ251" s="434" t="s">
        <v>465</v>
      </c>
      <c r="AR251" s="246"/>
      <c r="AS251" s="74"/>
      <c r="AT251" s="254" t="str">
        <f t="shared" si="205"/>
        <v/>
      </c>
      <c r="AU251" s="269"/>
      <c r="AV251" s="269"/>
      <c r="AW251" s="206" t="str">
        <f t="shared" ref="AW251:BC251" si="213">AW81</f>
        <v>#REF!</v>
      </c>
      <c r="AX251" s="206">
        <f t="shared" si="213"/>
        <v>5</v>
      </c>
      <c r="AY251" s="206">
        <f t="shared" si="213"/>
        <v>5</v>
      </c>
      <c r="AZ251" s="464">
        <f t="shared" si="213"/>
        <v>3</v>
      </c>
      <c r="BA251" s="206">
        <f t="shared" si="213"/>
        <v>1</v>
      </c>
      <c r="BB251" s="206">
        <f t="shared" si="213"/>
        <v>1</v>
      </c>
      <c r="BC251" s="465">
        <f t="shared" si="213"/>
        <v>120</v>
      </c>
      <c r="BD251" s="206"/>
      <c r="BE251" s="466"/>
    </row>
    <row r="252">
      <c r="A252" s="94"/>
      <c r="B252" s="452" t="s">
        <v>733</v>
      </c>
      <c r="C252" s="453" t="s">
        <v>734</v>
      </c>
      <c r="D252" s="363"/>
      <c r="E252" s="259"/>
      <c r="F252" s="621"/>
      <c r="G252" s="246"/>
      <c r="H252" s="594" t="s">
        <v>395</v>
      </c>
      <c r="I252" s="246"/>
      <c r="J252" s="522" t="s">
        <v>462</v>
      </c>
      <c r="K252" s="246"/>
      <c r="L252" s="261"/>
      <c r="M252" s="621"/>
      <c r="N252" s="246"/>
      <c r="O252" s="594" t="s">
        <v>395</v>
      </c>
      <c r="P252" s="246"/>
      <c r="Q252" s="441"/>
      <c r="R252" s="246"/>
      <c r="S252" s="261"/>
      <c r="T252" s="621"/>
      <c r="U252" s="246"/>
      <c r="V252" s="611" t="s">
        <v>863</v>
      </c>
      <c r="W252" s="246"/>
      <c r="X252" s="522" t="s">
        <v>462</v>
      </c>
      <c r="Y252" s="246"/>
      <c r="Z252" s="261"/>
      <c r="AA252" s="623"/>
      <c r="AB252" s="246"/>
      <c r="AC252" s="594" t="s">
        <v>395</v>
      </c>
      <c r="AD252" s="246"/>
      <c r="AE252" s="441"/>
      <c r="AF252" s="246"/>
      <c r="AG252" s="261"/>
      <c r="AH252" s="621"/>
      <c r="AI252" s="246"/>
      <c r="AJ252" s="594" t="s">
        <v>395</v>
      </c>
      <c r="AK252" s="246"/>
      <c r="AL252" s="522" t="s">
        <v>462</v>
      </c>
      <c r="AM252" s="246"/>
      <c r="AN252" s="261"/>
      <c r="AO252" s="621"/>
      <c r="AP252" s="246"/>
      <c r="AQ252" s="441"/>
      <c r="AR252" s="246"/>
      <c r="AS252" s="441"/>
      <c r="AT252" s="254" t="str">
        <f t="shared" si="205"/>
        <v/>
      </c>
      <c r="AU252" s="269"/>
      <c r="AV252" s="269"/>
      <c r="AW252" s="206" t="str">
        <f t="shared" ref="AW252:BC252" si="214">AW82</f>
        <v>#REF!</v>
      </c>
      <c r="AX252" s="206">
        <f t="shared" si="214"/>
        <v>5</v>
      </c>
      <c r="AY252" s="206">
        <f t="shared" si="214"/>
        <v>5</v>
      </c>
      <c r="AZ252" s="464">
        <f t="shared" si="214"/>
        <v>3</v>
      </c>
      <c r="BA252" s="206">
        <f t="shared" si="214"/>
        <v>1</v>
      </c>
      <c r="BB252" s="206">
        <f t="shared" si="214"/>
        <v>1</v>
      </c>
      <c r="BC252" s="465">
        <f t="shared" si="214"/>
        <v>120</v>
      </c>
      <c r="BD252" s="206"/>
      <c r="BE252" s="466"/>
    </row>
    <row r="253">
      <c r="A253" s="94"/>
      <c r="B253" s="454" t="s">
        <v>735</v>
      </c>
      <c r="C253" s="455" t="s">
        <v>736</v>
      </c>
      <c r="D253" s="363"/>
      <c r="E253" s="259"/>
      <c r="F253" s="621"/>
      <c r="G253" s="246"/>
      <c r="H253" s="456"/>
      <c r="I253" s="246"/>
      <c r="J253" s="456"/>
      <c r="K253" s="246"/>
      <c r="L253" s="261"/>
      <c r="M253" s="621"/>
      <c r="N253" s="246"/>
      <c r="O253" s="456"/>
      <c r="P253" s="246"/>
      <c r="Q253" s="456"/>
      <c r="R253" s="246"/>
      <c r="S253" s="261"/>
      <c r="T253" s="621"/>
      <c r="U253" s="246"/>
      <c r="V253" s="456"/>
      <c r="W253" s="246"/>
      <c r="X253" s="456"/>
      <c r="Y253" s="246"/>
      <c r="Z253" s="261"/>
      <c r="AA253" s="621"/>
      <c r="AB253" s="246"/>
      <c r="AC253" s="456"/>
      <c r="AD253" s="246"/>
      <c r="AE253" s="456"/>
      <c r="AF253" s="246"/>
      <c r="AG253" s="261"/>
      <c r="AH253" s="621"/>
      <c r="AI253" s="246"/>
      <c r="AJ253" s="456"/>
      <c r="AK253" s="246"/>
      <c r="AL253" s="456"/>
      <c r="AM253" s="246"/>
      <c r="AN253" s="261"/>
      <c r="AO253" s="621"/>
      <c r="AP253" s="246"/>
      <c r="AQ253" s="456"/>
      <c r="AR253" s="246"/>
      <c r="AS253" s="456"/>
      <c r="AT253" s="254" t="str">
        <f t="shared" si="205"/>
        <v/>
      </c>
      <c r="AU253" s="269"/>
      <c r="AV253" s="269"/>
      <c r="AW253" s="206" t="str">
        <f t="shared" ref="AW253:BC253" si="215">AW83</f>
        <v>#REF!</v>
      </c>
      <c r="AX253" s="206">
        <f t="shared" si="215"/>
        <v>5</v>
      </c>
      <c r="AY253" s="206">
        <f t="shared" si="215"/>
        <v>5</v>
      </c>
      <c r="AZ253" s="464">
        <f t="shared" si="215"/>
        <v>3</v>
      </c>
      <c r="BA253" s="206">
        <f t="shared" si="215"/>
        <v>1</v>
      </c>
      <c r="BB253" s="206">
        <f t="shared" si="215"/>
        <v>1</v>
      </c>
      <c r="BC253" s="465">
        <f t="shared" si="215"/>
        <v>120</v>
      </c>
      <c r="BD253" s="206"/>
      <c r="BE253" s="466"/>
    </row>
    <row r="254">
      <c r="A254" s="94"/>
      <c r="B254" s="454" t="s">
        <v>735</v>
      </c>
      <c r="C254" s="442" t="s">
        <v>736</v>
      </c>
      <c r="D254" s="363"/>
      <c r="E254" s="259"/>
      <c r="F254" s="619"/>
      <c r="G254" s="246"/>
      <c r="H254" s="406"/>
      <c r="I254" s="246"/>
      <c r="J254" s="406"/>
      <c r="K254" s="246"/>
      <c r="L254" s="261"/>
      <c r="M254" s="619"/>
      <c r="N254" s="246"/>
      <c r="O254" s="406"/>
      <c r="P254" s="246"/>
      <c r="Q254" s="406"/>
      <c r="R254" s="246"/>
      <c r="S254" s="261"/>
      <c r="T254" s="619"/>
      <c r="U254" s="246"/>
      <c r="V254" s="406"/>
      <c r="W254" s="246"/>
      <c r="X254" s="406"/>
      <c r="Y254" s="246"/>
      <c r="Z254" s="261"/>
      <c r="AA254" s="619"/>
      <c r="AB254" s="246"/>
      <c r="AC254" s="406"/>
      <c r="AD254" s="246"/>
      <c r="AE254" s="406"/>
      <c r="AF254" s="246"/>
      <c r="AG254" s="261"/>
      <c r="AH254" s="619"/>
      <c r="AI254" s="246"/>
      <c r="AJ254" s="406"/>
      <c r="AK254" s="246"/>
      <c r="AL254" s="406"/>
      <c r="AM254" s="246"/>
      <c r="AN254" s="261"/>
      <c r="AO254" s="619"/>
      <c r="AP254" s="246"/>
      <c r="AQ254" s="406"/>
      <c r="AR254" s="246"/>
      <c r="AS254" s="406"/>
      <c r="AT254" s="254" t="str">
        <f t="shared" si="205"/>
        <v/>
      </c>
      <c r="AU254" s="269"/>
      <c r="AV254" s="269"/>
      <c r="AW254" s="206" t="str">
        <f t="shared" ref="AW254:BC254" si="216">AW84</f>
        <v>#REF!</v>
      </c>
      <c r="AX254" s="206">
        <f t="shared" si="216"/>
        <v>5</v>
      </c>
      <c r="AY254" s="206">
        <f t="shared" si="216"/>
        <v>5</v>
      </c>
      <c r="AZ254" s="464">
        <f t="shared" si="216"/>
        <v>3</v>
      </c>
      <c r="BA254" s="206">
        <f t="shared" si="216"/>
        <v>1</v>
      </c>
      <c r="BB254" s="206">
        <f t="shared" si="216"/>
        <v>1</v>
      </c>
      <c r="BC254" s="465">
        <f t="shared" si="216"/>
        <v>120</v>
      </c>
      <c r="BD254" s="206"/>
      <c r="BE254" s="466"/>
    </row>
    <row r="255">
      <c r="A255" s="94"/>
      <c r="B255" s="459"/>
      <c r="C255" s="460" t="s">
        <v>738</v>
      </c>
      <c r="D255" s="363"/>
      <c r="E255" s="259"/>
      <c r="F255" s="461" t="s">
        <v>878</v>
      </c>
      <c r="G255" s="246"/>
      <c r="H255" s="132"/>
      <c r="I255" s="246"/>
      <c r="J255" s="132"/>
      <c r="K255" s="246"/>
      <c r="L255" s="462"/>
      <c r="M255" s="461" t="s">
        <v>879</v>
      </c>
      <c r="N255" s="246"/>
      <c r="O255" s="132"/>
      <c r="P255" s="246"/>
      <c r="Q255" s="132"/>
      <c r="R255" s="246"/>
      <c r="S255" s="462"/>
      <c r="T255" s="461" t="s">
        <v>880</v>
      </c>
      <c r="U255" s="246"/>
      <c r="V255" s="132"/>
      <c r="W255" s="246"/>
      <c r="X255" s="132"/>
      <c r="Y255" s="246"/>
      <c r="Z255" s="462"/>
      <c r="AA255" s="461" t="s">
        <v>881</v>
      </c>
      <c r="AB255" s="246"/>
      <c r="AC255" s="132"/>
      <c r="AD255" s="246"/>
      <c r="AE255" s="132"/>
      <c r="AF255" s="246"/>
      <c r="AG255" s="462"/>
      <c r="AH255" s="461" t="s">
        <v>882</v>
      </c>
      <c r="AI255" s="246"/>
      <c r="AJ255" s="132"/>
      <c r="AK255" s="246"/>
      <c r="AL255" s="132"/>
      <c r="AM255" s="246"/>
      <c r="AN255" s="462"/>
      <c r="AO255" s="461" t="s">
        <v>883</v>
      </c>
      <c r="AP255" s="246"/>
      <c r="AQ255" s="132"/>
      <c r="AR255" s="246"/>
      <c r="AS255" s="132"/>
      <c r="AT255" s="460"/>
      <c r="AU255" s="269"/>
      <c r="AV255" s="269"/>
      <c r="AW255" s="206" t="str">
        <f t="shared" ref="AW255:BC255" si="217">AW85</f>
        <v>#REF!</v>
      </c>
      <c r="AX255" s="206">
        <f t="shared" si="217"/>
        <v>5</v>
      </c>
      <c r="AY255" s="206">
        <f t="shared" si="217"/>
        <v>5</v>
      </c>
      <c r="AZ255" s="464">
        <f t="shared" si="217"/>
        <v>3</v>
      </c>
      <c r="BA255" s="206">
        <f t="shared" si="217"/>
        <v>1</v>
      </c>
      <c r="BB255" s="206">
        <f t="shared" si="217"/>
        <v>1</v>
      </c>
      <c r="BC255" s="465">
        <f t="shared" si="217"/>
        <v>120</v>
      </c>
      <c r="BD255" s="206"/>
      <c r="BE255" s="466"/>
    </row>
    <row r="256">
      <c r="A256" s="270"/>
      <c r="B256" s="459"/>
      <c r="C256" s="460" t="s">
        <v>738</v>
      </c>
      <c r="D256" s="363"/>
      <c r="E256" s="259"/>
      <c r="F256" s="595" t="s">
        <v>536</v>
      </c>
      <c r="G256" s="246"/>
      <c r="H256" s="132"/>
      <c r="I256" s="246"/>
      <c r="J256" s="132"/>
      <c r="K256" s="246"/>
      <c r="L256" s="462"/>
      <c r="M256" s="132"/>
      <c r="N256" s="246"/>
      <c r="O256" s="132"/>
      <c r="P256" s="246"/>
      <c r="Q256" s="132"/>
      <c r="R256" s="246"/>
      <c r="S256" s="462"/>
      <c r="T256" s="132"/>
      <c r="U256" s="246"/>
      <c r="V256" s="132"/>
      <c r="W256" s="246"/>
      <c r="X256" s="132"/>
      <c r="Y256" s="246"/>
      <c r="Z256" s="462"/>
      <c r="AA256" s="132"/>
      <c r="AB256" s="246"/>
      <c r="AC256" s="132"/>
      <c r="AD256" s="246"/>
      <c r="AE256" s="132"/>
      <c r="AF256" s="246"/>
      <c r="AG256" s="462"/>
      <c r="AH256" s="132"/>
      <c r="AI256" s="246"/>
      <c r="AJ256" s="132"/>
      <c r="AK256" s="246"/>
      <c r="AL256" s="132"/>
      <c r="AM256" s="246"/>
      <c r="AN256" s="462"/>
      <c r="AO256" s="132"/>
      <c r="AP256" s="246"/>
      <c r="AQ256" s="132"/>
      <c r="AR256" s="246"/>
      <c r="AS256" s="132"/>
      <c r="AT256" s="460"/>
      <c r="AU256" s="236"/>
      <c r="AV256" s="236"/>
      <c r="AW256" s="206" t="str">
        <f t="shared" ref="AW256:BC256" si="218">AW86</f>
        <v>#REF!</v>
      </c>
      <c r="AX256" s="206">
        <f t="shared" si="218"/>
        <v>5</v>
      </c>
      <c r="AY256" s="206">
        <f t="shared" si="218"/>
        <v>5</v>
      </c>
      <c r="AZ256" s="464">
        <f t="shared" si="218"/>
        <v>3</v>
      </c>
      <c r="BA256" s="206">
        <f t="shared" si="218"/>
        <v>1</v>
      </c>
      <c r="BB256" s="206">
        <f t="shared" si="218"/>
        <v>1</v>
      </c>
      <c r="BC256" s="465">
        <f t="shared" si="218"/>
        <v>120</v>
      </c>
      <c r="BD256" s="206"/>
      <c r="BE256" s="466"/>
    </row>
    <row r="257">
      <c r="A257" s="236"/>
      <c r="B257" s="459"/>
      <c r="C257" s="460" t="s">
        <v>738</v>
      </c>
      <c r="D257" s="363"/>
      <c r="E257" s="259"/>
      <c r="F257" s="461" t="s">
        <v>523</v>
      </c>
      <c r="G257" s="246"/>
      <c r="H257" s="132"/>
      <c r="I257" s="246"/>
      <c r="J257" s="132"/>
      <c r="K257" s="246"/>
      <c r="L257" s="462"/>
      <c r="M257" s="461"/>
      <c r="N257" s="246"/>
      <c r="O257" s="132"/>
      <c r="P257" s="246"/>
      <c r="Q257" s="132"/>
      <c r="R257" s="246"/>
      <c r="S257" s="462"/>
      <c r="T257" s="461"/>
      <c r="U257" s="246"/>
      <c r="V257" s="132"/>
      <c r="W257" s="246"/>
      <c r="X257" s="132"/>
      <c r="Y257" s="246"/>
      <c r="Z257" s="462"/>
      <c r="AA257" s="461"/>
      <c r="AB257" s="246"/>
      <c r="AC257" s="132"/>
      <c r="AD257" s="246"/>
      <c r="AE257" s="132"/>
      <c r="AF257" s="246"/>
      <c r="AG257" s="462"/>
      <c r="AH257" s="461"/>
      <c r="AI257" s="246"/>
      <c r="AJ257" s="132"/>
      <c r="AK257" s="246"/>
      <c r="AL257" s="132"/>
      <c r="AM257" s="246"/>
      <c r="AN257" s="462"/>
      <c r="AO257" s="461" t="s">
        <v>884</v>
      </c>
      <c r="AP257" s="246"/>
      <c r="AQ257" s="132"/>
      <c r="AR257" s="246"/>
      <c r="AS257" s="132"/>
      <c r="AT257" s="460"/>
      <c r="AU257" s="236"/>
      <c r="AV257" s="236"/>
      <c r="AW257" s="206" t="str">
        <f t="shared" ref="AW257:BC257" si="219">AW87</f>
        <v>#REF!</v>
      </c>
      <c r="AX257" s="206">
        <f t="shared" si="219"/>
        <v>5</v>
      </c>
      <c r="AY257" s="206">
        <f t="shared" si="219"/>
        <v>5</v>
      </c>
      <c r="AZ257" s="464">
        <f t="shared" si="219"/>
        <v>3</v>
      </c>
      <c r="BA257" s="206">
        <f t="shared" si="219"/>
        <v>1</v>
      </c>
      <c r="BB257" s="206">
        <f t="shared" si="219"/>
        <v>1</v>
      </c>
      <c r="BC257" s="465">
        <f t="shared" si="219"/>
        <v>120</v>
      </c>
      <c r="BD257" s="206"/>
      <c r="BE257" s="466"/>
    </row>
    <row r="258">
      <c r="A258" s="182"/>
      <c r="B258" s="183" t="s">
        <v>791</v>
      </c>
      <c r="C258" s="184" t="s">
        <v>605</v>
      </c>
      <c r="D258" s="185" t="s">
        <v>486</v>
      </c>
      <c r="E258" s="186"/>
      <c r="F258" s="185" t="s">
        <v>487</v>
      </c>
      <c r="M258" s="185" t="s">
        <v>488</v>
      </c>
      <c r="T258" s="185" t="s">
        <v>489</v>
      </c>
      <c r="AA258" s="185" t="s">
        <v>490</v>
      </c>
      <c r="AH258" s="185" t="s">
        <v>491</v>
      </c>
      <c r="AO258" s="185" t="s">
        <v>492</v>
      </c>
      <c r="AU258" s="182"/>
      <c r="AV258" s="182"/>
      <c r="AW258" s="182"/>
      <c r="AX258" s="182"/>
      <c r="AY258" s="182"/>
      <c r="AZ258" s="182"/>
      <c r="BA258" s="182"/>
      <c r="BB258" s="182"/>
      <c r="BC258" s="182"/>
      <c r="BD258" s="182"/>
      <c r="BE258" s="182"/>
    </row>
    <row r="259">
      <c r="A259" s="182"/>
      <c r="B259" s="187"/>
      <c r="C259" s="187"/>
      <c r="D259" s="188">
        <f>AO174+1</f>
        <v>22</v>
      </c>
      <c r="E259" s="189"/>
      <c r="F259" s="188">
        <f>D259+1</f>
        <v>23</v>
      </c>
      <c r="M259" s="188">
        <f>F259+1</f>
        <v>24</v>
      </c>
      <c r="T259" s="188">
        <f>M259+1</f>
        <v>25</v>
      </c>
      <c r="AA259" s="188">
        <f>T259+1</f>
        <v>26</v>
      </c>
      <c r="AH259" s="188">
        <f>AA259+1</f>
        <v>27</v>
      </c>
      <c r="AO259" s="188">
        <f>AH259+1</f>
        <v>28</v>
      </c>
      <c r="AU259" s="182"/>
      <c r="AV259" s="182"/>
      <c r="AW259" s="190" t="s">
        <v>606</v>
      </c>
      <c r="BB259" s="190"/>
      <c r="BC259" s="191" t="s">
        <v>607</v>
      </c>
      <c r="BD259" s="191"/>
      <c r="BE259" s="192"/>
    </row>
    <row r="260">
      <c r="A260" s="182"/>
      <c r="B260" s="193" t="s">
        <v>608</v>
      </c>
      <c r="C260" s="193" t="s">
        <v>609</v>
      </c>
      <c r="D260" s="187"/>
      <c r="E260" s="189"/>
      <c r="F260" s="194" t="s">
        <v>610</v>
      </c>
      <c r="G260" s="195"/>
      <c r="H260" s="193" t="s">
        <v>611</v>
      </c>
      <c r="J260" s="194" t="s">
        <v>612</v>
      </c>
      <c r="M260" s="194" t="s">
        <v>610</v>
      </c>
      <c r="N260" s="195"/>
      <c r="O260" s="193" t="s">
        <v>611</v>
      </c>
      <c r="P260" s="195"/>
      <c r="Q260" s="194" t="s">
        <v>612</v>
      </c>
      <c r="S260" s="193"/>
      <c r="T260" s="194" t="s">
        <v>610</v>
      </c>
      <c r="U260" s="195"/>
      <c r="V260" s="193" t="s">
        <v>611</v>
      </c>
      <c r="W260" s="195"/>
      <c r="X260" s="194" t="s">
        <v>612</v>
      </c>
      <c r="Z260" s="193"/>
      <c r="AA260" s="194" t="s">
        <v>610</v>
      </c>
      <c r="AB260" s="195"/>
      <c r="AC260" s="193" t="s">
        <v>611</v>
      </c>
      <c r="AD260" s="195"/>
      <c r="AE260" s="194" t="s">
        <v>612</v>
      </c>
      <c r="AG260" s="193"/>
      <c r="AH260" s="194" t="s">
        <v>610</v>
      </c>
      <c r="AI260" s="195"/>
      <c r="AJ260" s="193" t="s">
        <v>611</v>
      </c>
      <c r="AK260" s="195"/>
      <c r="AL260" s="194" t="s">
        <v>612</v>
      </c>
      <c r="AN260" s="193"/>
      <c r="AO260" s="194" t="s">
        <v>610</v>
      </c>
      <c r="AP260" s="195"/>
      <c r="AQ260" s="193" t="s">
        <v>611</v>
      </c>
      <c r="AR260" s="195"/>
      <c r="AS260" s="194" t="s">
        <v>612</v>
      </c>
      <c r="AU260" s="182"/>
      <c r="AV260" s="182"/>
      <c r="AW260" s="196" t="s">
        <v>613</v>
      </c>
      <c r="AX260" s="197" t="s">
        <v>614</v>
      </c>
      <c r="AY260" s="197" t="s">
        <v>615</v>
      </c>
      <c r="AZ260" s="197" t="s">
        <v>616</v>
      </c>
      <c r="BA260" s="197" t="s">
        <v>617</v>
      </c>
      <c r="BB260" s="197" t="s">
        <v>618</v>
      </c>
      <c r="BC260" s="197" t="s">
        <v>619</v>
      </c>
      <c r="BD260" s="197"/>
      <c r="BE260" s="198"/>
    </row>
    <row r="261">
      <c r="A261" s="199"/>
      <c r="B261" s="200" t="s">
        <v>620</v>
      </c>
      <c r="C261" s="201"/>
      <c r="D261" s="201"/>
      <c r="E261" s="202"/>
      <c r="F261" s="203"/>
      <c r="G261" s="204"/>
      <c r="H261" s="203"/>
      <c r="I261" s="204"/>
      <c r="J261" s="203"/>
      <c r="K261" s="204"/>
      <c r="L261" s="205"/>
      <c r="M261" s="203"/>
      <c r="N261" s="204"/>
      <c r="O261" s="203"/>
      <c r="P261" s="204"/>
      <c r="Q261" s="203" t="s">
        <v>779</v>
      </c>
      <c r="R261" s="204"/>
      <c r="S261" s="205"/>
      <c r="T261" s="203"/>
      <c r="U261" s="204"/>
      <c r="V261" s="203"/>
      <c r="W261" s="204"/>
      <c r="X261" s="203"/>
      <c r="Y261" s="204"/>
      <c r="Z261" s="205"/>
      <c r="AA261" s="203" t="s">
        <v>792</v>
      </c>
      <c r="AB261" s="204"/>
      <c r="AC261" s="203" t="s">
        <v>885</v>
      </c>
      <c r="AD261" s="204"/>
      <c r="AE261" s="203" t="s">
        <v>620</v>
      </c>
      <c r="AF261" s="204"/>
      <c r="AG261" s="205"/>
      <c r="AH261" s="203"/>
      <c r="AI261" s="204"/>
      <c r="AJ261" s="203"/>
      <c r="AK261" s="204"/>
      <c r="AL261" s="624" t="s">
        <v>749</v>
      </c>
      <c r="AM261" s="204"/>
      <c r="AN261" s="205"/>
      <c r="AO261" s="203"/>
      <c r="AP261" s="204"/>
      <c r="AQ261" s="203"/>
      <c r="AR261" s="204"/>
      <c r="AS261" s="203"/>
      <c r="AT261" s="204"/>
      <c r="AU261" s="199"/>
      <c r="AV261" s="199"/>
      <c r="AW261" s="206" t="str">
        <f t="shared" ref="AW261:BB261" si="220">AW6</f>
        <v>#REF!</v>
      </c>
      <c r="AX261" s="206">
        <f t="shared" si="220"/>
        <v>5</v>
      </c>
      <c r="AY261" s="206">
        <f t="shared" si="220"/>
        <v>5</v>
      </c>
      <c r="AZ261" s="206">
        <f t="shared" si="220"/>
        <v>3</v>
      </c>
      <c r="BA261" s="464">
        <f t="shared" si="220"/>
        <v>1</v>
      </c>
      <c r="BB261" s="206">
        <f t="shared" si="220"/>
        <v>1</v>
      </c>
      <c r="BC261" s="465">
        <f t="shared" ref="BC261:BC342" si="222">BC177</f>
        <v>120</v>
      </c>
      <c r="BD261" s="206"/>
      <c r="BE261" s="466"/>
    </row>
    <row r="262">
      <c r="A262" s="199"/>
      <c r="B262" s="213" t="s">
        <v>623</v>
      </c>
      <c r="C262" s="214"/>
      <c r="D262" s="215"/>
      <c r="E262" s="216"/>
      <c r="F262" s="561" t="s">
        <v>627</v>
      </c>
      <c r="G262" s="218"/>
      <c r="H262" s="223" t="s">
        <v>628</v>
      </c>
      <c r="I262" s="220"/>
      <c r="J262" s="561" t="s">
        <v>626</v>
      </c>
      <c r="K262" s="221"/>
      <c r="L262" s="216"/>
      <c r="M262" s="217"/>
      <c r="N262" s="218"/>
      <c r="O262" s="222" t="s">
        <v>625</v>
      </c>
      <c r="P262" s="220"/>
      <c r="Q262" s="561" t="s">
        <v>626</v>
      </c>
      <c r="R262" s="221"/>
      <c r="S262" s="216"/>
      <c r="T262" s="217"/>
      <c r="U262" s="218"/>
      <c r="V262" s="223" t="s">
        <v>628</v>
      </c>
      <c r="W262" s="220"/>
      <c r="X262" s="561" t="s">
        <v>626</v>
      </c>
      <c r="Y262" s="221"/>
      <c r="Z262" s="216"/>
      <c r="AA262" s="217"/>
      <c r="AB262" s="218"/>
      <c r="AC262" s="222" t="s">
        <v>625</v>
      </c>
      <c r="AD262" s="220"/>
      <c r="AE262" s="561" t="s">
        <v>626</v>
      </c>
      <c r="AF262" s="221"/>
      <c r="AG262" s="216"/>
      <c r="AH262" s="561" t="s">
        <v>627</v>
      </c>
      <c r="AI262" s="218"/>
      <c r="AJ262" s="223" t="s">
        <v>628</v>
      </c>
      <c r="AK262" s="220"/>
      <c r="AL262" s="561" t="s">
        <v>626</v>
      </c>
      <c r="AM262" s="221"/>
      <c r="AN262" s="216"/>
      <c r="AO262" s="217"/>
      <c r="AP262" s="218"/>
      <c r="AQ262" s="222" t="s">
        <v>625</v>
      </c>
      <c r="AR262" s="220"/>
      <c r="AS262" s="561" t="s">
        <v>626</v>
      </c>
      <c r="AT262" s="221"/>
      <c r="AU262" s="225">
        <f>counta(F262:AT262)*20</f>
        <v>280</v>
      </c>
      <c r="AW262" s="206" t="str">
        <f t="shared" ref="AW262:BB262" si="221">AW7</f>
        <v>#REF!</v>
      </c>
      <c r="AX262" s="206">
        <f t="shared" si="221"/>
        <v>5</v>
      </c>
      <c r="AY262" s="206">
        <f t="shared" si="221"/>
        <v>5</v>
      </c>
      <c r="AZ262" s="206">
        <f t="shared" si="221"/>
        <v>3</v>
      </c>
      <c r="BA262" s="464">
        <f t="shared" si="221"/>
        <v>1</v>
      </c>
      <c r="BB262" s="206">
        <f t="shared" si="221"/>
        <v>1</v>
      </c>
      <c r="BC262" s="465">
        <f t="shared" si="222"/>
        <v>120</v>
      </c>
      <c r="BD262" s="206"/>
      <c r="BE262" s="466"/>
    </row>
    <row r="263">
      <c r="A263" s="199"/>
      <c r="B263" s="226" t="s">
        <v>629</v>
      </c>
      <c r="C263" s="214"/>
      <c r="D263" s="215"/>
      <c r="E263" s="216"/>
      <c r="F263" s="227">
        <v>0.0</v>
      </c>
      <c r="G263" s="218"/>
      <c r="H263" s="227">
        <v>4.0</v>
      </c>
      <c r="I263" s="220"/>
      <c r="J263" s="227">
        <v>7.0</v>
      </c>
      <c r="K263" s="221"/>
      <c r="L263" s="216"/>
      <c r="M263" s="227"/>
      <c r="N263" s="218"/>
      <c r="O263" s="227">
        <v>4.0</v>
      </c>
      <c r="P263" s="220"/>
      <c r="Q263" s="227">
        <v>5.0</v>
      </c>
      <c r="R263" s="221"/>
      <c r="S263" s="216"/>
      <c r="T263" s="227"/>
      <c r="U263" s="218"/>
      <c r="V263" s="227">
        <v>4.0</v>
      </c>
      <c r="W263" s="220"/>
      <c r="X263" s="227">
        <v>8.0</v>
      </c>
      <c r="Y263" s="221"/>
      <c r="Z263" s="216"/>
      <c r="AA263" s="469">
        <v>3.0</v>
      </c>
      <c r="AB263" s="218"/>
      <c r="AC263" s="227">
        <v>3.0</v>
      </c>
      <c r="AD263" s="220"/>
      <c r="AE263" s="227" t="s">
        <v>781</v>
      </c>
      <c r="AF263" s="221"/>
      <c r="AG263" s="216"/>
      <c r="AH263" s="227"/>
      <c r="AI263" s="218"/>
      <c r="AJ263" s="227">
        <v>4.0</v>
      </c>
      <c r="AK263" s="220"/>
      <c r="AL263" s="469">
        <v>5.0</v>
      </c>
      <c r="AM263" s="221"/>
      <c r="AN263" s="216"/>
      <c r="AO263" s="227"/>
      <c r="AP263" s="218"/>
      <c r="AQ263" s="227">
        <v>3.0</v>
      </c>
      <c r="AR263" s="220"/>
      <c r="AS263" s="227">
        <v>4.0</v>
      </c>
      <c r="AT263" s="221"/>
      <c r="AU263" s="225">
        <f>sum(F263:AK263)</f>
        <v>42</v>
      </c>
      <c r="AW263" s="206" t="str">
        <f t="shared" ref="AW263:BB263" si="223">AW8</f>
        <v>#REF!</v>
      </c>
      <c r="AX263" s="206">
        <f t="shared" si="223"/>
        <v>5</v>
      </c>
      <c r="AY263" s="206">
        <f t="shared" si="223"/>
        <v>5</v>
      </c>
      <c r="AZ263" s="206">
        <f t="shared" si="223"/>
        <v>3</v>
      </c>
      <c r="BA263" s="464">
        <f t="shared" si="223"/>
        <v>1</v>
      </c>
      <c r="BB263" s="206">
        <f t="shared" si="223"/>
        <v>1</v>
      </c>
      <c r="BC263" s="465">
        <f t="shared" si="222"/>
        <v>120</v>
      </c>
      <c r="BD263" s="206"/>
      <c r="BE263" s="466"/>
    </row>
    <row r="264">
      <c r="A264" s="199"/>
      <c r="B264" s="213" t="s">
        <v>630</v>
      </c>
      <c r="C264" s="214"/>
      <c r="D264" s="215"/>
      <c r="E264" s="216"/>
      <c r="F264" s="215"/>
      <c r="G264" s="218"/>
      <c r="H264" s="215"/>
      <c r="I264" s="220"/>
      <c r="J264" s="215"/>
      <c r="K264" s="221"/>
      <c r="L264" s="216"/>
      <c r="M264" s="215"/>
      <c r="N264" s="218"/>
      <c r="O264" s="228" t="s">
        <v>631</v>
      </c>
      <c r="P264" s="220"/>
      <c r="Q264" s="215"/>
      <c r="R264" s="221"/>
      <c r="S264" s="216"/>
      <c r="T264" s="215"/>
      <c r="U264" s="218"/>
      <c r="V264" s="625" t="s">
        <v>886</v>
      </c>
      <c r="W264" s="220"/>
      <c r="X264" s="228" t="s">
        <v>631</v>
      </c>
      <c r="Y264" s="221"/>
      <c r="Z264" s="216"/>
      <c r="AA264" s="215"/>
      <c r="AB264" s="218"/>
      <c r="AC264" s="228" t="s">
        <v>631</v>
      </c>
      <c r="AD264" s="220"/>
      <c r="AE264" s="203" t="s">
        <v>779</v>
      </c>
      <c r="AF264" s="221"/>
      <c r="AG264" s="216"/>
      <c r="AH264" s="215"/>
      <c r="AI264" s="218"/>
      <c r="AJ264" s="215"/>
      <c r="AK264" s="220"/>
      <c r="AL264" s="215"/>
      <c r="AM264" s="221"/>
      <c r="AN264" s="216"/>
      <c r="AO264" s="215"/>
      <c r="AP264" s="218"/>
      <c r="AQ264" s="215"/>
      <c r="AR264" s="220"/>
      <c r="AS264" s="215"/>
      <c r="AT264" s="221"/>
      <c r="AU264" s="225">
        <f>countA(F264:AJ264)*5</f>
        <v>25</v>
      </c>
      <c r="AW264" s="206" t="str">
        <f t="shared" ref="AW264:BB264" si="224">AW9</f>
        <v>#REF!</v>
      </c>
      <c r="AX264" s="206">
        <f t="shared" si="224"/>
        <v>5</v>
      </c>
      <c r="AY264" s="206">
        <f t="shared" si="224"/>
        <v>5</v>
      </c>
      <c r="AZ264" s="206">
        <f t="shared" si="224"/>
        <v>3</v>
      </c>
      <c r="BA264" s="464">
        <f t="shared" si="224"/>
        <v>1</v>
      </c>
      <c r="BB264" s="206">
        <f t="shared" si="224"/>
        <v>1</v>
      </c>
      <c r="BC264" s="465">
        <f t="shared" si="222"/>
        <v>120</v>
      </c>
      <c r="BD264" s="206"/>
      <c r="BE264" s="466"/>
    </row>
    <row r="265">
      <c r="A265" s="199"/>
      <c r="B265" s="229" t="s">
        <v>632</v>
      </c>
      <c r="C265" s="214"/>
      <c r="D265" s="215"/>
      <c r="E265" s="216"/>
      <c r="F265" s="215"/>
      <c r="G265" s="221"/>
      <c r="H265" s="215"/>
      <c r="I265" s="220"/>
      <c r="J265" s="215"/>
      <c r="K265" s="221"/>
      <c r="L265" s="216"/>
      <c r="M265" s="215"/>
      <c r="N265" s="221"/>
      <c r="O265" s="215"/>
      <c r="P265" s="220"/>
      <c r="Q265" s="215"/>
      <c r="R265" s="221"/>
      <c r="S265" s="216"/>
      <c r="T265" s="215"/>
      <c r="U265" s="221"/>
      <c r="V265" s="215"/>
      <c r="W265" s="220"/>
      <c r="X265" s="215"/>
      <c r="Y265" s="221"/>
      <c r="Z265" s="216"/>
      <c r="AA265" s="215"/>
      <c r="AB265" s="221"/>
      <c r="AC265" s="215"/>
      <c r="AD265" s="220"/>
      <c r="AE265" s="215"/>
      <c r="AF265" s="221"/>
      <c r="AG265" s="216"/>
      <c r="AH265" s="215"/>
      <c r="AI265" s="221"/>
      <c r="AJ265" s="215"/>
      <c r="AK265" s="220"/>
      <c r="AL265" s="215"/>
      <c r="AM265" s="221"/>
      <c r="AN265" s="216"/>
      <c r="AO265" s="215"/>
      <c r="AP265" s="221"/>
      <c r="AQ265" s="215"/>
      <c r="AR265" s="220"/>
      <c r="AS265" s="215"/>
      <c r="AT265" s="221"/>
      <c r="AU265" s="225">
        <f>countA(F265:AK265)*12</f>
        <v>0</v>
      </c>
      <c r="AW265" s="206" t="str">
        <f t="shared" ref="AW265:BB265" si="225">AW10</f>
        <v>#REF!</v>
      </c>
      <c r="AX265" s="206">
        <f t="shared" si="225"/>
        <v>5</v>
      </c>
      <c r="AY265" s="206">
        <f t="shared" si="225"/>
        <v>5</v>
      </c>
      <c r="AZ265" s="206">
        <f t="shared" si="225"/>
        <v>3</v>
      </c>
      <c r="BA265" s="464">
        <f t="shared" si="225"/>
        <v>1</v>
      </c>
      <c r="BB265" s="206">
        <f t="shared" si="225"/>
        <v>1</v>
      </c>
      <c r="BC265" s="465">
        <f t="shared" si="222"/>
        <v>120</v>
      </c>
      <c r="BD265" s="206"/>
      <c r="BE265" s="466"/>
    </row>
    <row r="266">
      <c r="A266" s="199"/>
      <c r="B266" s="213" t="s">
        <v>633</v>
      </c>
      <c r="C266" s="214"/>
      <c r="D266" s="215"/>
      <c r="E266" s="216"/>
      <c r="F266" s="215"/>
      <c r="G266" s="230"/>
      <c r="H266" s="215"/>
      <c r="I266" s="231"/>
      <c r="J266" s="215"/>
      <c r="K266" s="216"/>
      <c r="L266" s="216"/>
      <c r="M266" s="215"/>
      <c r="N266" s="230"/>
      <c r="O266" s="564" t="s">
        <v>794</v>
      </c>
      <c r="P266" s="231"/>
      <c r="Q266" s="565" t="s">
        <v>753</v>
      </c>
      <c r="R266" s="216"/>
      <c r="S266" s="216"/>
      <c r="T266" s="215"/>
      <c r="U266" s="230"/>
      <c r="V266" s="215"/>
      <c r="W266" s="231"/>
      <c r="X266" s="565" t="s">
        <v>753</v>
      </c>
      <c r="Y266" s="216"/>
      <c r="Z266" s="216"/>
      <c r="AA266" s="215"/>
      <c r="AB266" s="230"/>
      <c r="AC266" s="215"/>
      <c r="AD266" s="231"/>
      <c r="AE266" s="565" t="s">
        <v>887</v>
      </c>
      <c r="AF266" s="216"/>
      <c r="AG266" s="216"/>
      <c r="AH266" s="215"/>
      <c r="AI266" s="230"/>
      <c r="AJ266" s="215"/>
      <c r="AK266" s="231"/>
      <c r="AL266" s="565" t="s">
        <v>753</v>
      </c>
      <c r="AM266" s="216"/>
      <c r="AN266" s="216"/>
      <c r="AO266" s="215"/>
      <c r="AP266" s="230"/>
      <c r="AQ266" s="215"/>
      <c r="AR266" s="231"/>
      <c r="AS266" s="565" t="s">
        <v>753</v>
      </c>
      <c r="AT266" s="216"/>
      <c r="AU266" s="225">
        <f>counta(F266:AT266)*4</f>
        <v>24</v>
      </c>
      <c r="AW266" s="206" t="str">
        <f t="shared" ref="AW266:BB266" si="226">AW11</f>
        <v>#REF!</v>
      </c>
      <c r="AX266" s="206">
        <f t="shared" si="226"/>
        <v>5</v>
      </c>
      <c r="AY266" s="206">
        <f t="shared" si="226"/>
        <v>5</v>
      </c>
      <c r="AZ266" s="206">
        <f t="shared" si="226"/>
        <v>3</v>
      </c>
      <c r="BA266" s="464">
        <f t="shared" si="226"/>
        <v>1</v>
      </c>
      <c r="BB266" s="206">
        <f t="shared" si="226"/>
        <v>1</v>
      </c>
      <c r="BC266" s="465">
        <f t="shared" si="222"/>
        <v>120</v>
      </c>
      <c r="BD266" s="206"/>
      <c r="BE266" s="466"/>
    </row>
    <row r="267">
      <c r="A267" s="199"/>
      <c r="B267" s="213" t="s">
        <v>637</v>
      </c>
      <c r="C267" s="214"/>
      <c r="D267" s="215"/>
      <c r="E267" s="216"/>
      <c r="F267" s="215"/>
      <c r="G267" s="230"/>
      <c r="H267" s="215"/>
      <c r="I267" s="231"/>
      <c r="J267" s="215"/>
      <c r="K267" s="216"/>
      <c r="L267" s="216"/>
      <c r="M267" s="215"/>
      <c r="N267" s="230"/>
      <c r="O267" s="215"/>
      <c r="P267" s="231"/>
      <c r="Q267" s="563" t="s">
        <v>756</v>
      </c>
      <c r="R267" s="216"/>
      <c r="S267" s="216"/>
      <c r="T267" s="215"/>
      <c r="U267" s="230"/>
      <c r="V267" s="215"/>
      <c r="W267" s="231"/>
      <c r="X267" s="215"/>
      <c r="Y267" s="216"/>
      <c r="Z267" s="216"/>
      <c r="AA267" s="215"/>
      <c r="AB267" s="230"/>
      <c r="AC267" s="215"/>
      <c r="AD267" s="231"/>
      <c r="AE267" s="563" t="s">
        <v>756</v>
      </c>
      <c r="AF267" s="216"/>
      <c r="AG267" s="216"/>
      <c r="AH267" s="215"/>
      <c r="AI267" s="230"/>
      <c r="AJ267" s="215"/>
      <c r="AK267" s="231"/>
      <c r="AL267" s="215"/>
      <c r="AM267" s="216"/>
      <c r="AN267" s="216"/>
      <c r="AO267" s="215"/>
      <c r="AP267" s="230"/>
      <c r="AQ267" s="215"/>
      <c r="AR267" s="231"/>
      <c r="AS267" s="215"/>
      <c r="AT267" s="216"/>
      <c r="AU267" s="225">
        <f>sum(F267:AT267)</f>
        <v>0</v>
      </c>
      <c r="AW267" s="206" t="str">
        <f t="shared" ref="AW267:BB267" si="227">AW12</f>
        <v>#REF!</v>
      </c>
      <c r="AX267" s="206">
        <f t="shared" si="227"/>
        <v>5</v>
      </c>
      <c r="AY267" s="206">
        <f t="shared" si="227"/>
        <v>5</v>
      </c>
      <c r="AZ267" s="206">
        <f t="shared" si="227"/>
        <v>3</v>
      </c>
      <c r="BA267" s="464">
        <f t="shared" si="227"/>
        <v>1</v>
      </c>
      <c r="BB267" s="206">
        <f t="shared" si="227"/>
        <v>1</v>
      </c>
      <c r="BC267" s="465">
        <f t="shared" si="222"/>
        <v>120</v>
      </c>
      <c r="BD267" s="206"/>
      <c r="BE267" s="466"/>
    </row>
    <row r="268">
      <c r="A268" s="234"/>
      <c r="B268" s="235" t="s">
        <v>608</v>
      </c>
      <c r="C268" s="195" t="s">
        <v>609</v>
      </c>
      <c r="D268" s="236"/>
      <c r="E268" s="237"/>
      <c r="F268" s="238"/>
      <c r="G268" s="182"/>
      <c r="H268" s="238"/>
      <c r="I268" s="239"/>
      <c r="J268" s="238"/>
      <c r="K268" s="239"/>
      <c r="L268" s="237"/>
      <c r="M268" s="238"/>
      <c r="N268" s="182"/>
      <c r="O268" s="238"/>
      <c r="P268" s="239"/>
      <c r="Q268" s="238"/>
      <c r="R268" s="239"/>
      <c r="S268" s="237"/>
      <c r="T268" s="238"/>
      <c r="U268" s="182"/>
      <c r="V268" s="238"/>
      <c r="W268" s="239"/>
      <c r="X268" s="238"/>
      <c r="Y268" s="239"/>
      <c r="Z268" s="237"/>
      <c r="AA268" s="238"/>
      <c r="AB268" s="182"/>
      <c r="AC268" s="238"/>
      <c r="AD268" s="239"/>
      <c r="AE268" s="238"/>
      <c r="AF268" s="239"/>
      <c r="AG268" s="237"/>
      <c r="AH268" s="238"/>
      <c r="AI268" s="182"/>
      <c r="AJ268" s="238"/>
      <c r="AK268" s="239"/>
      <c r="AL268" s="238"/>
      <c r="AM268" s="239"/>
      <c r="AN268" s="237"/>
      <c r="AO268" s="238"/>
      <c r="AP268" s="182"/>
      <c r="AQ268" s="238"/>
      <c r="AR268" s="239"/>
      <c r="AS268" s="238"/>
      <c r="AT268" s="239"/>
      <c r="AU268" s="236"/>
      <c r="AV268" s="236"/>
      <c r="AW268" s="206" t="str">
        <f t="shared" ref="AW268:BB268" si="228">AW13</f>
        <v>#REF!</v>
      </c>
      <c r="AX268" s="206">
        <f t="shared" si="228"/>
        <v>5</v>
      </c>
      <c r="AY268" s="206">
        <f t="shared" si="228"/>
        <v>5</v>
      </c>
      <c r="AZ268" s="206">
        <f t="shared" si="228"/>
        <v>3</v>
      </c>
      <c r="BA268" s="464">
        <f t="shared" si="228"/>
        <v>1</v>
      </c>
      <c r="BB268" s="206">
        <f t="shared" si="228"/>
        <v>1</v>
      </c>
      <c r="BC268" s="465">
        <f t="shared" si="222"/>
        <v>120</v>
      </c>
      <c r="BD268" s="206"/>
      <c r="BE268" s="466"/>
    </row>
    <row r="269">
      <c r="A269" s="240"/>
      <c r="B269" s="241" t="s">
        <v>638</v>
      </c>
      <c r="C269" s="242" t="s">
        <v>639</v>
      </c>
      <c r="D269" s="243"/>
      <c r="E269" s="244"/>
      <c r="F269" s="247"/>
      <c r="G269" s="246"/>
      <c r="H269" s="247"/>
      <c r="I269" s="246"/>
      <c r="K269" s="246"/>
      <c r="L269" s="249"/>
      <c r="M269" s="250"/>
      <c r="N269" s="246"/>
      <c r="O269" s="247"/>
      <c r="P269" s="246"/>
      <c r="Q269" s="274" t="s">
        <v>419</v>
      </c>
      <c r="R269" s="246"/>
      <c r="S269" s="249"/>
      <c r="T269" s="312"/>
      <c r="U269" s="246"/>
      <c r="V269" s="282"/>
      <c r="W269" s="246"/>
      <c r="X269" s="274" t="s">
        <v>419</v>
      </c>
      <c r="Y269" s="246"/>
      <c r="Z269" s="249"/>
      <c r="AA269" s="250"/>
      <c r="AB269" s="246"/>
      <c r="AD269" s="246"/>
      <c r="AE269" s="615" t="s">
        <v>409</v>
      </c>
      <c r="AF269" s="246"/>
      <c r="AG269" s="249"/>
      <c r="AH269" s="247"/>
      <c r="AI269" s="246"/>
      <c r="AJ269" s="265"/>
      <c r="AK269" s="246"/>
      <c r="AM269" s="246"/>
      <c r="AN269" s="249"/>
      <c r="AO269" s="250"/>
      <c r="AP269" s="246"/>
      <c r="AQ269" s="252"/>
      <c r="AR269" s="246"/>
      <c r="AS269" s="252"/>
      <c r="AT269" s="254" t="str">
        <f>IF(COUNTIF($AO$85:$AT$87, #REF!) &gt; 0, "X", "")</f>
        <v/>
      </c>
      <c r="AU269" s="255"/>
      <c r="AV269" s="255"/>
      <c r="AW269" s="206" t="str">
        <f t="shared" ref="AW269:BB269" si="229">AW14</f>
        <v>#REF!</v>
      </c>
      <c r="AX269" s="206">
        <f t="shared" si="229"/>
        <v>5</v>
      </c>
      <c r="AY269" s="206">
        <f t="shared" si="229"/>
        <v>5</v>
      </c>
      <c r="AZ269" s="206">
        <f t="shared" si="229"/>
        <v>3</v>
      </c>
      <c r="BA269" s="464">
        <f t="shared" si="229"/>
        <v>1</v>
      </c>
      <c r="BB269" s="206">
        <f t="shared" si="229"/>
        <v>1</v>
      </c>
      <c r="BC269" s="465">
        <f t="shared" si="222"/>
        <v>120</v>
      </c>
      <c r="BD269" s="206"/>
      <c r="BE269" s="466"/>
    </row>
    <row r="270">
      <c r="A270" s="94"/>
      <c r="B270" s="256" t="s">
        <v>638</v>
      </c>
      <c r="C270" s="257" t="s">
        <v>639</v>
      </c>
      <c r="D270" s="258"/>
      <c r="E270" s="259"/>
      <c r="F270" s="264"/>
      <c r="G270" s="246"/>
      <c r="H270" s="287" t="s">
        <v>405</v>
      </c>
      <c r="I270" s="246"/>
      <c r="J270" s="274" t="s">
        <v>419</v>
      </c>
      <c r="K270" s="246"/>
      <c r="L270" s="261"/>
      <c r="M270" s="262"/>
      <c r="N270" s="246"/>
      <c r="P270" s="246"/>
      <c r="Q270" s="615" t="s">
        <v>409</v>
      </c>
      <c r="R270" s="246"/>
      <c r="S270" s="261"/>
      <c r="T270" s="312"/>
      <c r="U270" s="246"/>
      <c r="V270" s="265"/>
      <c r="W270" s="246"/>
      <c r="X270" s="287" t="s">
        <v>405</v>
      </c>
      <c r="Y270" s="246"/>
      <c r="Z270" s="261"/>
      <c r="AA270" s="262"/>
      <c r="AB270" s="246"/>
      <c r="AD270" s="246"/>
      <c r="AE270" s="474" t="s">
        <v>421</v>
      </c>
      <c r="AF270" s="246"/>
      <c r="AG270" s="261"/>
      <c r="AH270" s="264"/>
      <c r="AI270" s="246"/>
      <c r="AJ270" s="265"/>
      <c r="AK270" s="246"/>
      <c r="AL270" s="340"/>
      <c r="AM270" s="246"/>
      <c r="AN270" s="261"/>
      <c r="AO270" s="262"/>
      <c r="AP270" s="246"/>
      <c r="AQ270" s="598"/>
      <c r="AR270" s="246"/>
      <c r="AS270" s="266"/>
      <c r="AT270" s="254" t="str">
        <f>IF(COUNTIF($AO$85:$AT$87, AS275) &gt; 0, "X", "")</f>
        <v/>
      </c>
      <c r="AU270" s="269"/>
      <c r="AV270" s="269"/>
      <c r="AW270" s="206" t="str">
        <f t="shared" ref="AW270:BB270" si="230">AW15</f>
        <v>#REF!</v>
      </c>
      <c r="AX270" s="206">
        <f t="shared" si="230"/>
        <v>5</v>
      </c>
      <c r="AY270" s="206">
        <f t="shared" si="230"/>
        <v>5</v>
      </c>
      <c r="AZ270" s="206">
        <f t="shared" si="230"/>
        <v>3</v>
      </c>
      <c r="BA270" s="464">
        <f t="shared" si="230"/>
        <v>1</v>
      </c>
      <c r="BB270" s="206">
        <f t="shared" si="230"/>
        <v>1</v>
      </c>
      <c r="BC270" s="465">
        <f t="shared" si="222"/>
        <v>120</v>
      </c>
      <c r="BD270" s="206"/>
      <c r="BE270" s="466"/>
    </row>
    <row r="271">
      <c r="A271" s="270"/>
      <c r="B271" s="271" t="s">
        <v>642</v>
      </c>
      <c r="C271" s="272" t="s">
        <v>639</v>
      </c>
      <c r="D271" s="258"/>
      <c r="E271" s="259"/>
      <c r="F271" s="275"/>
      <c r="G271" s="246"/>
      <c r="H271" s="275"/>
      <c r="I271" s="246"/>
      <c r="K271" s="246"/>
      <c r="L271" s="261"/>
      <c r="M271" s="250"/>
      <c r="N271" s="246"/>
      <c r="P271" s="246"/>
      <c r="Q271" s="626" t="s">
        <v>421</v>
      </c>
      <c r="R271" s="246"/>
      <c r="S271" s="261"/>
      <c r="T271" s="312"/>
      <c r="U271" s="246"/>
      <c r="V271" s="274" t="s">
        <v>406</v>
      </c>
      <c r="W271" s="246"/>
      <c r="X271" s="293" t="s">
        <v>421</v>
      </c>
      <c r="Y271" s="246"/>
      <c r="Z271" s="261"/>
      <c r="AA271" s="250"/>
      <c r="AB271" s="246"/>
      <c r="AD271" s="246"/>
      <c r="AE271" s="274" t="s">
        <v>419</v>
      </c>
      <c r="AF271" s="246"/>
      <c r="AG271" s="261"/>
      <c r="AH271" s="275"/>
      <c r="AI271" s="246"/>
      <c r="AJ271" s="282"/>
      <c r="AK271" s="246"/>
      <c r="AL271" s="399"/>
      <c r="AM271" s="246"/>
      <c r="AN271" s="261"/>
      <c r="AO271" s="250"/>
      <c r="AP271" s="246"/>
      <c r="AQ271" s="276"/>
      <c r="AR271" s="246"/>
      <c r="AS271" s="276"/>
      <c r="AT271" s="254" t="str">
        <f>IF(COUNTIF($AO$85:$AT$87, #REF!) &gt; 0, "X", "")</f>
        <v/>
      </c>
      <c r="AU271" s="269"/>
      <c r="AV271" s="269"/>
      <c r="AW271" s="206" t="str">
        <f t="shared" ref="AW271:BB271" si="231">AW16</f>
        <v>#REF!</v>
      </c>
      <c r="AX271" s="206">
        <f t="shared" si="231"/>
        <v>5</v>
      </c>
      <c r="AY271" s="206">
        <f t="shared" si="231"/>
        <v>5</v>
      </c>
      <c r="AZ271" s="206">
        <f t="shared" si="231"/>
        <v>3</v>
      </c>
      <c r="BA271" s="464">
        <f t="shared" si="231"/>
        <v>1</v>
      </c>
      <c r="BB271" s="206">
        <f t="shared" si="231"/>
        <v>1</v>
      </c>
      <c r="BC271" s="465">
        <f t="shared" si="222"/>
        <v>120</v>
      </c>
      <c r="BD271" s="206"/>
      <c r="BE271" s="466"/>
    </row>
    <row r="272">
      <c r="A272" s="234"/>
      <c r="B272" s="277" t="s">
        <v>644</v>
      </c>
      <c r="C272" s="278" t="s">
        <v>645</v>
      </c>
      <c r="D272" s="243"/>
      <c r="E272" s="259"/>
      <c r="F272" s="281"/>
      <c r="G272" s="246"/>
      <c r="H272" s="280" t="s">
        <v>400</v>
      </c>
      <c r="I272" s="246"/>
      <c r="J272" s="282"/>
      <c r="K272" s="246"/>
      <c r="L272" s="261"/>
      <c r="M272" s="250"/>
      <c r="N272" s="246"/>
      <c r="O272" s="281"/>
      <c r="P272" s="246"/>
      <c r="R272" s="246"/>
      <c r="S272" s="261"/>
      <c r="T272" s="312"/>
      <c r="U272" s="246"/>
      <c r="V272" s="281"/>
      <c r="W272" s="246"/>
      <c r="X272" s="280" t="s">
        <v>400</v>
      </c>
      <c r="Y272" s="246"/>
      <c r="Z272" s="261"/>
      <c r="AA272" s="250"/>
      <c r="AB272" s="246"/>
      <c r="AC272" s="280" t="s">
        <v>400</v>
      </c>
      <c r="AD272" s="246"/>
      <c r="AE272" s="340" t="s">
        <v>414</v>
      </c>
      <c r="AF272" s="246"/>
      <c r="AG272" s="261"/>
      <c r="AH272" s="280" t="s">
        <v>400</v>
      </c>
      <c r="AI272" s="246"/>
      <c r="AK272" s="246"/>
      <c r="AL272" s="281"/>
      <c r="AM272" s="246"/>
      <c r="AN272" s="261"/>
      <c r="AO272" s="250"/>
      <c r="AP272" s="246"/>
      <c r="AQ272" s="276"/>
      <c r="AR272" s="246"/>
      <c r="AS272" s="276"/>
      <c r="AT272" s="254" t="str">
        <f t="shared" ref="AT272:AT274" si="233">IF(COUNTIF($AO$85:$AT$87, AS272) &gt; 0, "X", "")</f>
        <v/>
      </c>
      <c r="AU272" s="269"/>
      <c r="AV272" s="269"/>
      <c r="AW272" s="206" t="str">
        <f t="shared" ref="AW272:BB272" si="232">AW17</f>
        <v>#REF!</v>
      </c>
      <c r="AX272" s="206">
        <f t="shared" si="232"/>
        <v>5</v>
      </c>
      <c r="AY272" s="206">
        <f t="shared" si="232"/>
        <v>5</v>
      </c>
      <c r="AZ272" s="206">
        <f t="shared" si="232"/>
        <v>3</v>
      </c>
      <c r="BA272" s="464">
        <f t="shared" si="232"/>
        <v>1</v>
      </c>
      <c r="BB272" s="206">
        <f t="shared" si="232"/>
        <v>1</v>
      </c>
      <c r="BC272" s="465">
        <f t="shared" si="222"/>
        <v>120</v>
      </c>
      <c r="BD272" s="206"/>
      <c r="BE272" s="466"/>
    </row>
    <row r="273">
      <c r="A273" s="94"/>
      <c r="B273" s="256" t="s">
        <v>757</v>
      </c>
      <c r="C273" s="257" t="s">
        <v>645</v>
      </c>
      <c r="D273" s="243"/>
      <c r="E273" s="259"/>
      <c r="F273" s="274" t="s">
        <v>402</v>
      </c>
      <c r="G273" s="246"/>
      <c r="H273" s="371"/>
      <c r="I273" s="246"/>
      <c r="J273" s="371"/>
      <c r="K273" s="246"/>
      <c r="L273" s="261"/>
      <c r="M273" s="324"/>
      <c r="N273" s="246"/>
      <c r="O273" s="280"/>
      <c r="P273" s="246"/>
      <c r="Q273" s="280" t="s">
        <v>400</v>
      </c>
      <c r="R273" s="246"/>
      <c r="S273" s="261"/>
      <c r="T273" s="312"/>
      <c r="U273" s="246"/>
      <c r="V273" s="274" t="s">
        <v>402</v>
      </c>
      <c r="W273" s="246"/>
      <c r="X273" s="340" t="s">
        <v>414</v>
      </c>
      <c r="Y273" s="246"/>
      <c r="Z273" s="261"/>
      <c r="AA273" s="324"/>
      <c r="AB273" s="246"/>
      <c r="AC273" s="274" t="s">
        <v>402</v>
      </c>
      <c r="AD273" s="246"/>
      <c r="AE273" s="474" t="s">
        <v>424</v>
      </c>
      <c r="AF273" s="246"/>
      <c r="AG273" s="261"/>
      <c r="AH273" s="371"/>
      <c r="AI273" s="246"/>
      <c r="AJ273" s="371"/>
      <c r="AK273" s="246"/>
      <c r="AL273" s="274" t="s">
        <v>402</v>
      </c>
      <c r="AM273" s="246"/>
      <c r="AN273" s="261"/>
      <c r="AO273" s="324"/>
      <c r="AP273" s="246"/>
      <c r="AQ273" s="252"/>
      <c r="AR273" s="246"/>
      <c r="AS273" s="274" t="s">
        <v>402</v>
      </c>
      <c r="AT273" s="254" t="str">
        <f t="shared" si="233"/>
        <v/>
      </c>
      <c r="AU273" s="269"/>
      <c r="AV273" s="269"/>
      <c r="AW273" s="206" t="str">
        <f t="shared" ref="AW273:BB273" si="234">AW18</f>
        <v>#REF!</v>
      </c>
      <c r="AX273" s="206">
        <f t="shared" si="234"/>
        <v>5</v>
      </c>
      <c r="AY273" s="206">
        <f t="shared" si="234"/>
        <v>5</v>
      </c>
      <c r="AZ273" s="206">
        <f t="shared" si="234"/>
        <v>3</v>
      </c>
      <c r="BA273" s="464">
        <f t="shared" si="234"/>
        <v>1</v>
      </c>
      <c r="BB273" s="206">
        <f t="shared" si="234"/>
        <v>1</v>
      </c>
      <c r="BC273" s="465">
        <f t="shared" si="222"/>
        <v>120</v>
      </c>
      <c r="BD273" s="206"/>
      <c r="BE273" s="466"/>
    </row>
    <row r="274">
      <c r="A274" s="94"/>
      <c r="B274" s="284" t="s">
        <v>646</v>
      </c>
      <c r="C274" s="285" t="s">
        <v>647</v>
      </c>
      <c r="D274" s="243"/>
      <c r="E274" s="259"/>
      <c r="F274" s="251" t="s">
        <v>427</v>
      </c>
      <c r="G274" s="246"/>
      <c r="H274" s="399"/>
      <c r="I274" s="246"/>
      <c r="J274" s="399"/>
      <c r="K274" s="246"/>
      <c r="L274" s="261"/>
      <c r="M274" s="250"/>
      <c r="N274" s="246"/>
      <c r="O274" s="399"/>
      <c r="P274" s="246"/>
      <c r="Q274" s="251" t="s">
        <v>427</v>
      </c>
      <c r="R274" s="246"/>
      <c r="S274" s="261"/>
      <c r="T274" s="312"/>
      <c r="U274" s="246"/>
      <c r="V274" s="311" t="s">
        <v>432</v>
      </c>
      <c r="W274" s="246"/>
      <c r="X274" s="251" t="s">
        <v>427</v>
      </c>
      <c r="Y274" s="246"/>
      <c r="Z274" s="261"/>
      <c r="AA274" s="251" t="s">
        <v>427</v>
      </c>
      <c r="AB274" s="246"/>
      <c r="AD274" s="246"/>
      <c r="AE274" s="311" t="s">
        <v>432</v>
      </c>
      <c r="AF274" s="246"/>
      <c r="AG274" s="261"/>
      <c r="AH274" s="251" t="s">
        <v>427</v>
      </c>
      <c r="AI274" s="246"/>
      <c r="AK274" s="246"/>
      <c r="AL274" s="282"/>
      <c r="AM274" s="246"/>
      <c r="AN274" s="261"/>
      <c r="AO274" s="250"/>
      <c r="AP274" s="246"/>
      <c r="AQ274" s="252"/>
      <c r="AR274" s="246"/>
      <c r="AS274" s="252"/>
      <c r="AT274" s="254" t="str">
        <f t="shared" si="233"/>
        <v/>
      </c>
      <c r="AU274" s="269"/>
      <c r="AV274" s="269"/>
      <c r="AW274" s="206" t="str">
        <f t="shared" ref="AW274:BB274" si="235">AW19</f>
        <v>#REF!</v>
      </c>
      <c r="AX274" s="206">
        <f t="shared" si="235"/>
        <v>5</v>
      </c>
      <c r="AY274" s="206">
        <f t="shared" si="235"/>
        <v>5</v>
      </c>
      <c r="AZ274" s="206">
        <f t="shared" si="235"/>
        <v>3</v>
      </c>
      <c r="BA274" s="464">
        <f t="shared" si="235"/>
        <v>1</v>
      </c>
      <c r="BB274" s="206">
        <f t="shared" si="235"/>
        <v>1</v>
      </c>
      <c r="BC274" s="465">
        <f t="shared" si="222"/>
        <v>120</v>
      </c>
      <c r="BD274" s="206"/>
      <c r="BE274" s="466"/>
    </row>
    <row r="275">
      <c r="A275" s="270"/>
      <c r="B275" s="291" t="s">
        <v>648</v>
      </c>
      <c r="C275" s="292" t="s">
        <v>649</v>
      </c>
      <c r="D275" s="243"/>
      <c r="E275" s="259"/>
      <c r="F275" s="294"/>
      <c r="G275" s="298"/>
      <c r="H275" s="293" t="s">
        <v>418</v>
      </c>
      <c r="I275" s="298"/>
      <c r="J275" s="294"/>
      <c r="K275" s="298"/>
      <c r="L275" s="261"/>
      <c r="M275" s="250"/>
      <c r="N275" s="298"/>
      <c r="O275" s="293" t="s">
        <v>418</v>
      </c>
      <c r="P275" s="298"/>
      <c r="Q275" s="294"/>
      <c r="R275" s="298"/>
      <c r="S275" s="261"/>
      <c r="T275" s="312"/>
      <c r="U275" s="298"/>
      <c r="V275" s="294"/>
      <c r="W275" s="298"/>
      <c r="X275" s="293" t="s">
        <v>418</v>
      </c>
      <c r="Y275" s="298"/>
      <c r="Z275" s="261"/>
      <c r="AA275" s="250"/>
      <c r="AB275" s="298"/>
      <c r="AC275" s="294"/>
      <c r="AD275" s="298"/>
      <c r="AE275" s="293" t="s">
        <v>418</v>
      </c>
      <c r="AF275" s="298"/>
      <c r="AG275" s="261"/>
      <c r="AH275" s="294"/>
      <c r="AI275" s="298"/>
      <c r="AJ275" s="293" t="s">
        <v>418</v>
      </c>
      <c r="AK275" s="298"/>
      <c r="AL275" s="294"/>
      <c r="AM275" s="298"/>
      <c r="AN275" s="261"/>
      <c r="AO275" s="250"/>
      <c r="AP275" s="298"/>
      <c r="AQ275" s="294"/>
      <c r="AR275" s="298"/>
      <c r="AS275" s="294"/>
      <c r="AT275" s="254" t="str">
        <f t="shared" ref="AT275:AT276" si="237">IF(COUNTIF($AO$85:$AT$87, #REF!) &gt; 0, "X", "")</f>
        <v/>
      </c>
      <c r="AU275" s="269"/>
      <c r="AV275" s="269"/>
      <c r="AW275" s="206" t="str">
        <f t="shared" ref="AW275:BB275" si="236">AW20</f>
        <v>#REF!</v>
      </c>
      <c r="AX275" s="206">
        <f t="shared" si="236"/>
        <v>5</v>
      </c>
      <c r="AY275" s="206">
        <f t="shared" si="236"/>
        <v>5</v>
      </c>
      <c r="AZ275" s="206">
        <f t="shared" si="236"/>
        <v>3</v>
      </c>
      <c r="BA275" s="464">
        <f t="shared" si="236"/>
        <v>1</v>
      </c>
      <c r="BB275" s="206">
        <f t="shared" si="236"/>
        <v>1</v>
      </c>
      <c r="BC275" s="465">
        <f t="shared" si="222"/>
        <v>120</v>
      </c>
      <c r="BD275" s="206"/>
      <c r="BE275" s="466"/>
    </row>
    <row r="276">
      <c r="A276" s="94"/>
      <c r="B276" s="296" t="s">
        <v>650</v>
      </c>
      <c r="C276" s="297" t="s">
        <v>649</v>
      </c>
      <c r="D276" s="243"/>
      <c r="E276" s="259"/>
      <c r="F276" s="299"/>
      <c r="G276" s="298"/>
      <c r="H276" s="299"/>
      <c r="I276" s="298"/>
      <c r="J276" s="299"/>
      <c r="K276" s="298"/>
      <c r="L276" s="261"/>
      <c r="M276" s="250"/>
      <c r="N276" s="298"/>
      <c r="O276" s="299"/>
      <c r="P276" s="298"/>
      <c r="Q276" s="299"/>
      <c r="R276" s="298"/>
      <c r="S276" s="261"/>
      <c r="T276" s="312"/>
      <c r="U276" s="298"/>
      <c r="V276" s="299"/>
      <c r="W276" s="298"/>
      <c r="X276" s="299"/>
      <c r="Y276" s="298"/>
      <c r="Z276" s="261"/>
      <c r="AA276" s="250"/>
      <c r="AB276" s="298"/>
      <c r="AC276" s="299"/>
      <c r="AD276" s="298"/>
      <c r="AE276" s="299"/>
      <c r="AF276" s="298"/>
      <c r="AG276" s="261"/>
      <c r="AH276" s="299"/>
      <c r="AI276" s="298"/>
      <c r="AJ276" s="299"/>
      <c r="AK276" s="298"/>
      <c r="AL276" s="299"/>
      <c r="AM276" s="298"/>
      <c r="AN276" s="261"/>
      <c r="AO276" s="250"/>
      <c r="AP276" s="298"/>
      <c r="AQ276" s="300"/>
      <c r="AR276" s="298"/>
      <c r="AS276" s="300"/>
      <c r="AT276" s="254" t="str">
        <f t="shared" si="237"/>
        <v/>
      </c>
      <c r="AU276" s="269"/>
      <c r="AV276" s="269"/>
      <c r="AW276" s="206" t="str">
        <f t="shared" ref="AW276:BB276" si="238">AW21</f>
        <v>#REF!</v>
      </c>
      <c r="AX276" s="206">
        <f t="shared" si="238"/>
        <v>5</v>
      </c>
      <c r="AY276" s="206">
        <f t="shared" si="238"/>
        <v>5</v>
      </c>
      <c r="AZ276" s="206">
        <f t="shared" si="238"/>
        <v>3</v>
      </c>
      <c r="BA276" s="464">
        <f t="shared" si="238"/>
        <v>1</v>
      </c>
      <c r="BB276" s="206">
        <f t="shared" si="238"/>
        <v>1</v>
      </c>
      <c r="BC276" s="465">
        <f t="shared" si="222"/>
        <v>120</v>
      </c>
      <c r="BD276" s="206"/>
      <c r="BE276" s="466"/>
    </row>
    <row r="277">
      <c r="A277" s="94"/>
      <c r="B277" s="301" t="s">
        <v>651</v>
      </c>
      <c r="C277" s="302" t="s">
        <v>652</v>
      </c>
      <c r="D277" s="243"/>
      <c r="E277" s="259"/>
      <c r="F277" s="303"/>
      <c r="G277" s="298"/>
      <c r="H277" s="303"/>
      <c r="I277" s="298"/>
      <c r="J277" s="303"/>
      <c r="K277" s="298"/>
      <c r="L277" s="261"/>
      <c r="M277" s="250"/>
      <c r="N277" s="298"/>
      <c r="O277" s="303"/>
      <c r="P277" s="298"/>
      <c r="Q277" s="303"/>
      <c r="R277" s="298"/>
      <c r="S277" s="261"/>
      <c r="T277" s="312"/>
      <c r="U277" s="298"/>
      <c r="V277" s="303"/>
      <c r="W277" s="298"/>
      <c r="X277" s="303"/>
      <c r="Y277" s="298"/>
      <c r="Z277" s="261"/>
      <c r="AA277" s="250"/>
      <c r="AB277" s="298"/>
      <c r="AC277" s="303"/>
      <c r="AD277" s="298"/>
      <c r="AE277" s="303"/>
      <c r="AF277" s="298"/>
      <c r="AG277" s="261"/>
      <c r="AH277" s="303"/>
      <c r="AI277" s="298"/>
      <c r="AJ277" s="303"/>
      <c r="AK277" s="298"/>
      <c r="AL277" s="303"/>
      <c r="AM277" s="298"/>
      <c r="AN277" s="261"/>
      <c r="AO277" s="250"/>
      <c r="AP277" s="298"/>
      <c r="AQ277" s="304"/>
      <c r="AR277" s="298"/>
      <c r="AS277" s="304"/>
      <c r="AT277" s="254" t="str">
        <f t="shared" ref="AT277:AT278" si="240">IF(COUNTIF($AO$85:$AT$87, AS277) &gt; 0, "X", "")</f>
        <v/>
      </c>
      <c r="AU277" s="269"/>
      <c r="AV277" s="269"/>
      <c r="AW277" s="206" t="str">
        <f t="shared" ref="AW277:BB277" si="239">AW22</f>
        <v>#REF!</v>
      </c>
      <c r="AX277" s="206">
        <f t="shared" si="239"/>
        <v>5</v>
      </c>
      <c r="AY277" s="206">
        <f t="shared" si="239"/>
        <v>5</v>
      </c>
      <c r="AZ277" s="206">
        <f t="shared" si="239"/>
        <v>3</v>
      </c>
      <c r="BA277" s="464">
        <f t="shared" si="239"/>
        <v>1</v>
      </c>
      <c r="BB277" s="206">
        <f t="shared" si="239"/>
        <v>1</v>
      </c>
      <c r="BC277" s="465">
        <f t="shared" si="222"/>
        <v>120</v>
      </c>
      <c r="BD277" s="206"/>
      <c r="BE277" s="466"/>
    </row>
    <row r="278">
      <c r="A278" s="94"/>
      <c r="B278" s="305" t="s">
        <v>653</v>
      </c>
      <c r="C278" s="306" t="s">
        <v>654</v>
      </c>
      <c r="D278" s="243"/>
      <c r="E278" s="259"/>
      <c r="F278" s="307"/>
      <c r="G278" s="246"/>
      <c r="H278" s="307"/>
      <c r="I278" s="246"/>
      <c r="J278" s="307"/>
      <c r="K278" s="246"/>
      <c r="L278" s="261"/>
      <c r="M278" s="250"/>
      <c r="N278" s="246"/>
      <c r="O278" s="307"/>
      <c r="P278" s="246"/>
      <c r="Q278" s="307"/>
      <c r="R278" s="246"/>
      <c r="S278" s="261"/>
      <c r="T278" s="312"/>
      <c r="U278" s="246"/>
      <c r="V278" s="307"/>
      <c r="W278" s="246"/>
      <c r="X278" s="307"/>
      <c r="Y278" s="246"/>
      <c r="Z278" s="261"/>
      <c r="AA278" s="250"/>
      <c r="AB278" s="246"/>
      <c r="AC278" s="307"/>
      <c r="AD278" s="246"/>
      <c r="AE278" s="307"/>
      <c r="AF278" s="246"/>
      <c r="AG278" s="261"/>
      <c r="AH278" s="307"/>
      <c r="AI278" s="246"/>
      <c r="AJ278" s="307"/>
      <c r="AK278" s="246"/>
      <c r="AL278" s="307"/>
      <c r="AM278" s="246"/>
      <c r="AN278" s="261"/>
      <c r="AO278" s="250"/>
      <c r="AP278" s="246"/>
      <c r="AQ278" s="307"/>
      <c r="AR278" s="246"/>
      <c r="AS278" s="307"/>
      <c r="AT278" s="254" t="str">
        <f t="shared" si="240"/>
        <v/>
      </c>
      <c r="AU278" s="269"/>
      <c r="AV278" s="269"/>
      <c r="AW278" s="206" t="str">
        <f t="shared" ref="AW278:BB278" si="241">AW23</f>
        <v>#REF!</v>
      </c>
      <c r="AX278" s="206">
        <f t="shared" si="241"/>
        <v>5</v>
      </c>
      <c r="AY278" s="206">
        <f t="shared" si="241"/>
        <v>5</v>
      </c>
      <c r="AZ278" s="206">
        <f t="shared" si="241"/>
        <v>3</v>
      </c>
      <c r="BA278" s="464">
        <f t="shared" si="241"/>
        <v>1</v>
      </c>
      <c r="BB278" s="206">
        <f t="shared" si="241"/>
        <v>1</v>
      </c>
      <c r="BC278" s="465">
        <f t="shared" si="222"/>
        <v>120</v>
      </c>
      <c r="BD278" s="206"/>
      <c r="BE278" s="466"/>
    </row>
    <row r="279">
      <c r="A279" s="94"/>
      <c r="B279" s="310" t="s">
        <v>656</v>
      </c>
      <c r="C279" s="278" t="s">
        <v>657</v>
      </c>
      <c r="D279" s="243"/>
      <c r="E279" s="259"/>
      <c r="F279" s="281"/>
      <c r="G279" s="246"/>
      <c r="H279" s="282"/>
      <c r="I279" s="246"/>
      <c r="K279" s="246"/>
      <c r="L279" s="261"/>
      <c r="M279" s="250"/>
      <c r="N279" s="246"/>
      <c r="O279" s="274" t="s">
        <v>458</v>
      </c>
      <c r="P279" s="246"/>
      <c r="Q279" s="281"/>
      <c r="R279" s="246"/>
      <c r="S279" s="261"/>
      <c r="T279" s="312"/>
      <c r="U279" s="246"/>
      <c r="V279" s="282"/>
      <c r="W279" s="246"/>
      <c r="X279" s="627" t="s">
        <v>888</v>
      </c>
      <c r="Y279" s="246"/>
      <c r="Z279" s="261"/>
      <c r="AA279" s="250"/>
      <c r="AB279" s="246"/>
      <c r="AC279" s="282"/>
      <c r="AD279" s="246"/>
      <c r="AE279" s="384" t="s">
        <v>889</v>
      </c>
      <c r="AF279" s="246"/>
      <c r="AG279" s="261"/>
      <c r="AH279" s="282"/>
      <c r="AI279" s="246"/>
      <c r="AJ279" s="282"/>
      <c r="AK279" s="246"/>
      <c r="AL279" s="282"/>
      <c r="AM279" s="246"/>
      <c r="AN279" s="261"/>
      <c r="AO279" s="250"/>
      <c r="AP279" s="246"/>
      <c r="AQ279" s="276"/>
      <c r="AR279" s="246"/>
      <c r="AS279" s="276"/>
      <c r="AT279" s="254" t="str">
        <f t="shared" ref="AT279:AT281" si="243">IF(COUNTIF($AO$85:$AT$87, #REF!) &gt; 0, "X", "")</f>
        <v/>
      </c>
      <c r="AU279" s="269"/>
      <c r="AV279" s="269"/>
      <c r="AW279" s="206" t="str">
        <f t="shared" ref="AW279:BB279" si="242">AW24</f>
        <v>#REF!</v>
      </c>
      <c r="AX279" s="206">
        <f t="shared" si="242"/>
        <v>5</v>
      </c>
      <c r="AY279" s="206">
        <f t="shared" si="242"/>
        <v>5</v>
      </c>
      <c r="AZ279" s="206">
        <f t="shared" si="242"/>
        <v>3</v>
      </c>
      <c r="BA279" s="464">
        <f t="shared" si="242"/>
        <v>1</v>
      </c>
      <c r="BB279" s="206">
        <f t="shared" si="242"/>
        <v>1</v>
      </c>
      <c r="BC279" s="465">
        <f t="shared" si="222"/>
        <v>120</v>
      </c>
      <c r="BD279" s="206"/>
      <c r="BE279" s="466"/>
    </row>
    <row r="280">
      <c r="A280" s="94"/>
      <c r="B280" s="277" t="s">
        <v>658</v>
      </c>
      <c r="C280" s="278" t="s">
        <v>657</v>
      </c>
      <c r="D280" s="243"/>
      <c r="E280" s="259"/>
      <c r="F280" s="282"/>
      <c r="G280" s="246"/>
      <c r="H280" s="282"/>
      <c r="I280" s="246"/>
      <c r="K280" s="246"/>
      <c r="L280" s="261"/>
      <c r="M280" s="316"/>
      <c r="N280" s="246"/>
      <c r="O280" s="311" t="s">
        <v>459</v>
      </c>
      <c r="P280" s="246"/>
      <c r="R280" s="246"/>
      <c r="S280" s="261"/>
      <c r="T280" s="312"/>
      <c r="U280" s="246"/>
      <c r="W280" s="246"/>
      <c r="X280" s="628" t="s">
        <v>890</v>
      </c>
      <c r="Y280" s="246"/>
      <c r="Z280" s="261"/>
      <c r="AA280" s="316"/>
      <c r="AB280" s="246"/>
      <c r="AD280" s="246"/>
      <c r="AE280" s="274" t="s">
        <v>449</v>
      </c>
      <c r="AF280" s="246"/>
      <c r="AG280" s="261"/>
      <c r="AH280" s="282"/>
      <c r="AI280" s="246"/>
      <c r="AK280" s="246"/>
      <c r="AL280" s="282"/>
      <c r="AM280" s="246"/>
      <c r="AN280" s="261"/>
      <c r="AO280" s="316"/>
      <c r="AP280" s="246"/>
      <c r="AQ280" s="276"/>
      <c r="AR280" s="246"/>
      <c r="AS280" s="282"/>
      <c r="AT280" s="254" t="str">
        <f t="shared" si="243"/>
        <v/>
      </c>
      <c r="AU280" s="269"/>
      <c r="AV280" s="269"/>
      <c r="AW280" s="206" t="str">
        <f t="shared" ref="AW280:BB280" si="244">AW25</f>
        <v>#REF!</v>
      </c>
      <c r="AX280" s="206">
        <f t="shared" si="244"/>
        <v>5</v>
      </c>
      <c r="AY280" s="206">
        <f t="shared" si="244"/>
        <v>5</v>
      </c>
      <c r="AZ280" s="206">
        <f t="shared" si="244"/>
        <v>3</v>
      </c>
      <c r="BA280" s="464">
        <f t="shared" si="244"/>
        <v>1</v>
      </c>
      <c r="BB280" s="206">
        <f t="shared" si="244"/>
        <v>1</v>
      </c>
      <c r="BC280" s="465">
        <f t="shared" si="222"/>
        <v>120</v>
      </c>
      <c r="BD280" s="206"/>
      <c r="BE280" s="466"/>
    </row>
    <row r="281">
      <c r="A281" s="94"/>
      <c r="B281" s="314" t="s">
        <v>660</v>
      </c>
      <c r="C281" s="315" t="s">
        <v>649</v>
      </c>
      <c r="D281" s="243"/>
      <c r="E281" s="259"/>
      <c r="F281" s="479"/>
      <c r="G281" s="298"/>
      <c r="H281" s="253" t="s">
        <v>417</v>
      </c>
      <c r="I281" s="298"/>
      <c r="J281" s="293" t="s">
        <v>424</v>
      </c>
      <c r="K281" s="298"/>
      <c r="L281" s="261"/>
      <c r="M281" s="250"/>
      <c r="N281" s="298"/>
      <c r="O281" s="293" t="s">
        <v>416</v>
      </c>
      <c r="P281" s="298"/>
      <c r="Q281" s="356" t="s">
        <v>423</v>
      </c>
      <c r="R281" s="298"/>
      <c r="S281" s="261"/>
      <c r="T281" s="312"/>
      <c r="U281" s="298"/>
      <c r="V281" s="293" t="s">
        <v>416</v>
      </c>
      <c r="W281" s="298"/>
      <c r="X281" s="293" t="s">
        <v>424</v>
      </c>
      <c r="Y281" s="298"/>
      <c r="Z281" s="261"/>
      <c r="AA281" s="356" t="s">
        <v>423</v>
      </c>
      <c r="AB281" s="298"/>
      <c r="AC281" s="253" t="s">
        <v>417</v>
      </c>
      <c r="AD281" s="298"/>
      <c r="AE281" s="286"/>
      <c r="AF281" s="298"/>
      <c r="AG281" s="261"/>
      <c r="AH281" s="317"/>
      <c r="AI281" s="298"/>
      <c r="AJ281" s="293" t="s">
        <v>416</v>
      </c>
      <c r="AK281" s="298"/>
      <c r="AL281" s="356" t="s">
        <v>423</v>
      </c>
      <c r="AM281" s="298"/>
      <c r="AN281" s="261"/>
      <c r="AO281" s="250"/>
      <c r="AP281" s="298"/>
      <c r="AQ281" s="293" t="s">
        <v>416</v>
      </c>
      <c r="AR281" s="298"/>
      <c r="AS281" s="356" t="s">
        <v>423</v>
      </c>
      <c r="AT281" s="254" t="str">
        <f t="shared" si="243"/>
        <v/>
      </c>
      <c r="AU281" s="269"/>
      <c r="AV281" s="269"/>
      <c r="AW281" s="206" t="str">
        <f t="shared" ref="AW281:BB281" si="245">AW26</f>
        <v>#REF!</v>
      </c>
      <c r="AX281" s="206">
        <f t="shared" si="245"/>
        <v>5</v>
      </c>
      <c r="AY281" s="206">
        <f t="shared" si="245"/>
        <v>5</v>
      </c>
      <c r="AZ281" s="206">
        <f t="shared" si="245"/>
        <v>3</v>
      </c>
      <c r="BA281" s="464">
        <f t="shared" si="245"/>
        <v>1</v>
      </c>
      <c r="BB281" s="206">
        <f t="shared" si="245"/>
        <v>1</v>
      </c>
      <c r="BC281" s="465">
        <f t="shared" si="222"/>
        <v>120</v>
      </c>
      <c r="BD281" s="206"/>
      <c r="BE281" s="466"/>
    </row>
    <row r="282">
      <c r="A282" s="94"/>
      <c r="B282" s="296" t="s">
        <v>650</v>
      </c>
      <c r="C282" s="297" t="s">
        <v>649</v>
      </c>
      <c r="D282" s="243"/>
      <c r="E282" s="259"/>
      <c r="F282" s="479"/>
      <c r="G282" s="298"/>
      <c r="H282" s="300"/>
      <c r="I282" s="298"/>
      <c r="J282" s="300"/>
      <c r="K282" s="298"/>
      <c r="L282" s="261"/>
      <c r="M282" s="250"/>
      <c r="N282" s="298"/>
      <c r="O282" s="300"/>
      <c r="P282" s="298"/>
      <c r="Q282" s="300"/>
      <c r="R282" s="298"/>
      <c r="S282" s="261"/>
      <c r="T282" s="250"/>
      <c r="U282" s="298"/>
      <c r="V282" s="300"/>
      <c r="W282" s="298"/>
      <c r="X282" s="293" t="s">
        <v>426</v>
      </c>
      <c r="Y282" s="298"/>
      <c r="Z282" s="261"/>
      <c r="AA282" s="319"/>
      <c r="AB282" s="298"/>
      <c r="AC282" s="319"/>
      <c r="AD282" s="298"/>
      <c r="AE282" s="286"/>
      <c r="AF282" s="298"/>
      <c r="AG282" s="261"/>
      <c r="AH282" s="317"/>
      <c r="AI282" s="298"/>
      <c r="AJ282" s="300"/>
      <c r="AK282" s="298"/>
      <c r="AL282" s="300"/>
      <c r="AM282" s="298"/>
      <c r="AN282" s="261"/>
      <c r="AO282" s="250"/>
      <c r="AP282" s="298"/>
      <c r="AQ282" s="300"/>
      <c r="AR282" s="298"/>
      <c r="AS282" s="299"/>
      <c r="AT282" s="254" t="str">
        <f>IF(COUNTIF($AO$85:$AT$87, AS282) &gt; 0, "X", "")</f>
        <v/>
      </c>
      <c r="AU282" s="269"/>
      <c r="AV282" s="269"/>
      <c r="AW282" s="206" t="str">
        <f t="shared" ref="AW282:BB282" si="246">AW27</f>
        <v>#REF!</v>
      </c>
      <c r="AX282" s="206">
        <f t="shared" si="246"/>
        <v>5</v>
      </c>
      <c r="AY282" s="206">
        <f t="shared" si="246"/>
        <v>5</v>
      </c>
      <c r="AZ282" s="206">
        <f t="shared" si="246"/>
        <v>3</v>
      </c>
      <c r="BA282" s="464">
        <f t="shared" si="246"/>
        <v>1</v>
      </c>
      <c r="BB282" s="206">
        <f t="shared" si="246"/>
        <v>1</v>
      </c>
      <c r="BC282" s="465">
        <f t="shared" si="222"/>
        <v>120</v>
      </c>
      <c r="BD282" s="206"/>
      <c r="BE282" s="466"/>
    </row>
    <row r="283">
      <c r="A283" s="94"/>
      <c r="B283" s="301" t="s">
        <v>651</v>
      </c>
      <c r="C283" s="302" t="s">
        <v>652</v>
      </c>
      <c r="D283" s="323"/>
      <c r="E283" s="259"/>
      <c r="F283" s="320"/>
      <c r="G283" s="298"/>
      <c r="H283" s="303"/>
      <c r="I283" s="298"/>
      <c r="J283" s="512" t="s">
        <v>853</v>
      </c>
      <c r="K283" s="298"/>
      <c r="L283" s="261"/>
      <c r="M283" s="324"/>
      <c r="N283" s="298"/>
      <c r="O283" s="303"/>
      <c r="P283" s="298"/>
      <c r="Q283" s="599"/>
      <c r="R283" s="298"/>
      <c r="S283" s="261"/>
      <c r="T283" s="279"/>
      <c r="U283" s="298"/>
      <c r="V283" s="303"/>
      <c r="W283" s="298"/>
      <c r="X283" s="321" t="s">
        <v>854</v>
      </c>
      <c r="Y283" s="298"/>
      <c r="Z283" s="261"/>
      <c r="AA283" s="303"/>
      <c r="AB283" s="298"/>
      <c r="AC283" s="303"/>
      <c r="AD283" s="298"/>
      <c r="AE283" s="279"/>
      <c r="AF283" s="298"/>
      <c r="AG283" s="261"/>
      <c r="AH283" s="320"/>
      <c r="AI283" s="298"/>
      <c r="AJ283" s="303"/>
      <c r="AK283" s="298"/>
      <c r="AL283" s="511" t="s">
        <v>853</v>
      </c>
      <c r="AM283" s="298"/>
      <c r="AN283" s="261"/>
      <c r="AO283" s="324"/>
      <c r="AP283" s="298"/>
      <c r="AQ283" s="303"/>
      <c r="AR283" s="298"/>
      <c r="AS283" s="303"/>
      <c r="AT283" s="254" t="str">
        <f t="shared" ref="AT283:AT284" si="248">IF(COUNTIF($AO$85:$AT$87, #REF!) &gt; 0, "X", "")</f>
        <v/>
      </c>
      <c r="AU283" s="269"/>
      <c r="AV283" s="269"/>
      <c r="AW283" s="206" t="str">
        <f t="shared" ref="AW283:BB283" si="247">AW28</f>
        <v>#REF!</v>
      </c>
      <c r="AX283" s="206">
        <f t="shared" si="247"/>
        <v>5</v>
      </c>
      <c r="AY283" s="206">
        <f t="shared" si="247"/>
        <v>5</v>
      </c>
      <c r="AZ283" s="206">
        <f t="shared" si="247"/>
        <v>3</v>
      </c>
      <c r="BA283" s="464">
        <f t="shared" si="247"/>
        <v>1</v>
      </c>
      <c r="BB283" s="206">
        <f t="shared" si="247"/>
        <v>1</v>
      </c>
      <c r="BC283" s="465">
        <f t="shared" si="222"/>
        <v>120</v>
      </c>
      <c r="BD283" s="206"/>
      <c r="BE283" s="466"/>
    </row>
    <row r="284">
      <c r="A284" s="94"/>
      <c r="B284" s="322" t="s">
        <v>662</v>
      </c>
      <c r="C284" s="306" t="s">
        <v>663</v>
      </c>
      <c r="D284" s="330"/>
      <c r="E284" s="259"/>
      <c r="F284" s="317"/>
      <c r="G284" s="246"/>
      <c r="H284" s="307"/>
      <c r="I284" s="246"/>
      <c r="J284" s="309" t="s">
        <v>414</v>
      </c>
      <c r="K284" s="246"/>
      <c r="L284" s="261"/>
      <c r="M284" s="333"/>
      <c r="N284" s="246"/>
      <c r="O284" s="307"/>
      <c r="P284" s="246"/>
      <c r="Q284" s="309" t="s">
        <v>414</v>
      </c>
      <c r="R284" s="246"/>
      <c r="S284" s="261"/>
      <c r="T284" s="250"/>
      <c r="U284" s="246"/>
      <c r="V284" s="307"/>
      <c r="W284" s="246"/>
      <c r="X284" s="326" t="s">
        <v>409</v>
      </c>
      <c r="Y284" s="246"/>
      <c r="Z284" s="261"/>
      <c r="AA284" s="307"/>
      <c r="AB284" s="246"/>
      <c r="AC284" s="307"/>
      <c r="AD284" s="246"/>
      <c r="AE284" s="250"/>
      <c r="AF284" s="246"/>
      <c r="AG284" s="261"/>
      <c r="AH284" s="317"/>
      <c r="AI284" s="246"/>
      <c r="AJ284" s="307"/>
      <c r="AK284" s="246"/>
      <c r="AL284" s="307"/>
      <c r="AM284" s="246"/>
      <c r="AN284" s="261"/>
      <c r="AO284" s="333"/>
      <c r="AP284" s="246"/>
      <c r="AQ284" s="307"/>
      <c r="AR284" s="246"/>
      <c r="AS284" s="307"/>
      <c r="AT284" s="254" t="str">
        <f t="shared" si="248"/>
        <v/>
      </c>
      <c r="AU284" s="269"/>
      <c r="AV284" s="269"/>
      <c r="AW284" s="206" t="str">
        <f t="shared" ref="AW284:BB284" si="249">AW29</f>
        <v>#REF!</v>
      </c>
      <c r="AX284" s="206">
        <f t="shared" si="249"/>
        <v>5</v>
      </c>
      <c r="AY284" s="206">
        <f t="shared" si="249"/>
        <v>5</v>
      </c>
      <c r="AZ284" s="206">
        <f t="shared" si="249"/>
        <v>3</v>
      </c>
      <c r="BA284" s="464">
        <f t="shared" si="249"/>
        <v>1</v>
      </c>
      <c r="BB284" s="206">
        <f t="shared" si="249"/>
        <v>1</v>
      </c>
      <c r="BC284" s="465">
        <f t="shared" si="222"/>
        <v>120</v>
      </c>
      <c r="BD284" s="206"/>
      <c r="BE284" s="466"/>
    </row>
    <row r="285">
      <c r="A285" s="94"/>
      <c r="B285" s="328" t="s">
        <v>665</v>
      </c>
      <c r="C285" s="329" t="s">
        <v>654</v>
      </c>
      <c r="D285" s="330"/>
      <c r="E285" s="259"/>
      <c r="F285" s="479"/>
      <c r="G285" s="246"/>
      <c r="H285" s="311" t="s">
        <v>439</v>
      </c>
      <c r="I285" s="246"/>
      <c r="J285" s="311" t="s">
        <v>434</v>
      </c>
      <c r="K285" s="246"/>
      <c r="L285" s="261"/>
      <c r="M285" s="324"/>
      <c r="N285" s="246"/>
      <c r="O285" s="311" t="s">
        <v>439</v>
      </c>
      <c r="P285" s="246"/>
      <c r="Q285" s="274" t="s">
        <v>449</v>
      </c>
      <c r="R285" s="246"/>
      <c r="S285" s="261"/>
      <c r="T285" s="312"/>
      <c r="U285" s="246"/>
      <c r="V285" s="280" t="s">
        <v>458</v>
      </c>
      <c r="W285" s="246"/>
      <c r="X285" s="311" t="s">
        <v>434</v>
      </c>
      <c r="Y285" s="246"/>
      <c r="Z285" s="261"/>
      <c r="AA285" s="348" t="s">
        <v>759</v>
      </c>
      <c r="AB285" s="246"/>
      <c r="AC285" s="336" t="s">
        <v>450</v>
      </c>
      <c r="AD285" s="246"/>
      <c r="AE285" s="286"/>
      <c r="AF285" s="246"/>
      <c r="AG285" s="261"/>
      <c r="AH285" s="320"/>
      <c r="AI285" s="246"/>
      <c r="AJ285" s="348" t="s">
        <v>664</v>
      </c>
      <c r="AK285" s="246"/>
      <c r="AL285" s="274" t="s">
        <v>655</v>
      </c>
      <c r="AM285" s="246"/>
      <c r="AN285" s="261"/>
      <c r="AO285" s="324"/>
      <c r="AP285" s="246"/>
      <c r="AQ285" s="274" t="s">
        <v>458</v>
      </c>
      <c r="AR285" s="246"/>
      <c r="AS285" s="274" t="s">
        <v>449</v>
      </c>
      <c r="AT285" s="254" t="str">
        <f>IF(COUNTIF($AO$85:$AT$87, AH292) &gt; 0, "X", "")</f>
        <v/>
      </c>
      <c r="AU285" s="269"/>
      <c r="AV285" s="269"/>
      <c r="AW285" s="206" t="str">
        <f t="shared" ref="AW285:BB285" si="250">AW30</f>
        <v>#REF!</v>
      </c>
      <c r="AX285" s="206">
        <f t="shared" si="250"/>
        <v>5</v>
      </c>
      <c r="AY285" s="206">
        <f t="shared" si="250"/>
        <v>5</v>
      </c>
      <c r="AZ285" s="206">
        <f t="shared" si="250"/>
        <v>3</v>
      </c>
      <c r="BA285" s="464">
        <f t="shared" si="250"/>
        <v>1</v>
      </c>
      <c r="BB285" s="206">
        <f t="shared" si="250"/>
        <v>1</v>
      </c>
      <c r="BC285" s="465">
        <f t="shared" si="222"/>
        <v>120</v>
      </c>
      <c r="BD285" s="206"/>
      <c r="BE285" s="466"/>
    </row>
    <row r="286">
      <c r="A286" s="94"/>
      <c r="B286" s="337" t="s">
        <v>665</v>
      </c>
      <c r="C286" s="338" t="s">
        <v>657</v>
      </c>
      <c r="D286" s="330"/>
      <c r="E286" s="259"/>
      <c r="F286" s="479"/>
      <c r="G286" s="246"/>
      <c r="H286" s="280" t="s">
        <v>458</v>
      </c>
      <c r="I286" s="246"/>
      <c r="J286" s="274" t="s">
        <v>443</v>
      </c>
      <c r="K286" s="246"/>
      <c r="L286" s="261"/>
      <c r="M286" s="341"/>
      <c r="N286" s="246"/>
      <c r="O286" s="336" t="s">
        <v>450</v>
      </c>
      <c r="P286" s="246"/>
      <c r="Q286" s="311" t="s">
        <v>434</v>
      </c>
      <c r="R286" s="246"/>
      <c r="S286" s="261"/>
      <c r="T286" s="279"/>
      <c r="U286" s="246"/>
      <c r="V286" s="336" t="s">
        <v>398</v>
      </c>
      <c r="W286" s="246"/>
      <c r="X286" s="274" t="s">
        <v>448</v>
      </c>
      <c r="Y286" s="246"/>
      <c r="Z286" s="261"/>
      <c r="AA286" s="274" t="s">
        <v>655</v>
      </c>
      <c r="AB286" s="246"/>
      <c r="AC286" s="311" t="s">
        <v>459</v>
      </c>
      <c r="AD286" s="246"/>
      <c r="AE286" s="286"/>
      <c r="AF286" s="246"/>
      <c r="AG286" s="261"/>
      <c r="AH286" s="320"/>
      <c r="AI286" s="246"/>
      <c r="AJ286" s="311" t="s">
        <v>459</v>
      </c>
      <c r="AK286" s="246"/>
      <c r="AL286" s="340" t="s">
        <v>409</v>
      </c>
      <c r="AM286" s="246"/>
      <c r="AN286" s="261"/>
      <c r="AO286" s="341"/>
      <c r="AP286" s="246"/>
      <c r="AQ286" s="274" t="s">
        <v>415</v>
      </c>
      <c r="AR286" s="246"/>
      <c r="AS286" s="311" t="s">
        <v>434</v>
      </c>
      <c r="AT286" s="254" t="str">
        <f t="shared" ref="AT286:AT290" si="252">IF(COUNTIF($AO$85:$AT$87, #REF!) &gt; 0, "X", "")</f>
        <v/>
      </c>
      <c r="AU286" s="269"/>
      <c r="AV286" s="269"/>
      <c r="AW286" s="206" t="str">
        <f t="shared" ref="AW286:BB286" si="251">AW31</f>
        <v>#REF!</v>
      </c>
      <c r="AX286" s="206">
        <f t="shared" si="251"/>
        <v>5</v>
      </c>
      <c r="AY286" s="206">
        <f t="shared" si="251"/>
        <v>5</v>
      </c>
      <c r="AZ286" s="206">
        <f t="shared" si="251"/>
        <v>3</v>
      </c>
      <c r="BA286" s="464">
        <f t="shared" si="251"/>
        <v>1</v>
      </c>
      <c r="BB286" s="206">
        <f t="shared" si="251"/>
        <v>1</v>
      </c>
      <c r="BC286" s="465">
        <f t="shared" si="222"/>
        <v>120</v>
      </c>
      <c r="BD286" s="206"/>
      <c r="BE286" s="466"/>
    </row>
    <row r="287">
      <c r="A287" s="94"/>
      <c r="B287" s="256" t="s">
        <v>665</v>
      </c>
      <c r="C287" s="257" t="s">
        <v>663</v>
      </c>
      <c r="D287" s="330"/>
      <c r="E287" s="259"/>
      <c r="F287" s="479"/>
      <c r="G287" s="246"/>
      <c r="H287" s="311" t="s">
        <v>459</v>
      </c>
      <c r="I287" s="246"/>
      <c r="J287" s="340" t="s">
        <v>409</v>
      </c>
      <c r="K287" s="246"/>
      <c r="L287" s="261"/>
      <c r="M287" s="341"/>
      <c r="N287" s="246"/>
      <c r="P287" s="246"/>
      <c r="R287" s="246"/>
      <c r="S287" s="261"/>
      <c r="T287" s="312"/>
      <c r="U287" s="246"/>
      <c r="W287" s="246"/>
      <c r="X287" s="274" t="s">
        <v>415</v>
      </c>
      <c r="Y287" s="246"/>
      <c r="Z287" s="261"/>
      <c r="AB287" s="246"/>
      <c r="AD287" s="246"/>
      <c r="AE287" s="286"/>
      <c r="AF287" s="246"/>
      <c r="AG287" s="261"/>
      <c r="AH287" s="320"/>
      <c r="AI287" s="246"/>
      <c r="AK287" s="246"/>
      <c r="AM287" s="246"/>
      <c r="AN287" s="261"/>
      <c r="AO287" s="341"/>
      <c r="AP287" s="246"/>
      <c r="AR287" s="246"/>
      <c r="AS287" s="339" t="s">
        <v>447</v>
      </c>
      <c r="AT287" s="254" t="str">
        <f t="shared" si="252"/>
        <v/>
      </c>
      <c r="AU287" s="269"/>
      <c r="AV287" s="269"/>
      <c r="AW287" s="206" t="str">
        <f t="shared" ref="AW287:BB287" si="253">AW32</f>
        <v>#REF!</v>
      </c>
      <c r="AX287" s="206">
        <f t="shared" si="253"/>
        <v>5</v>
      </c>
      <c r="AY287" s="206">
        <f t="shared" si="253"/>
        <v>5</v>
      </c>
      <c r="AZ287" s="206">
        <f t="shared" si="253"/>
        <v>3</v>
      </c>
      <c r="BA287" s="464">
        <f t="shared" si="253"/>
        <v>1</v>
      </c>
      <c r="BB287" s="206">
        <f t="shared" si="253"/>
        <v>1</v>
      </c>
      <c r="BC287" s="465">
        <f t="shared" si="222"/>
        <v>120</v>
      </c>
      <c r="BD287" s="206"/>
      <c r="BE287" s="466"/>
    </row>
    <row r="288">
      <c r="A288" s="94"/>
      <c r="B288" s="328" t="s">
        <v>665</v>
      </c>
      <c r="C288" s="329" t="s">
        <v>645</v>
      </c>
      <c r="D288" s="323"/>
      <c r="E288" s="261"/>
      <c r="G288" s="246"/>
      <c r="H288" s="336" t="s">
        <v>450</v>
      </c>
      <c r="I288" s="246"/>
      <c r="J288" s="274" t="s">
        <v>655</v>
      </c>
      <c r="K288" s="246"/>
      <c r="L288" s="261"/>
      <c r="M288" s="346"/>
      <c r="N288" s="246"/>
      <c r="O288" s="274" t="s">
        <v>655</v>
      </c>
      <c r="P288" s="246"/>
      <c r="Q288" s="274" t="s">
        <v>448</v>
      </c>
      <c r="R288" s="246"/>
      <c r="S288" s="261"/>
      <c r="T288" s="312"/>
      <c r="U288" s="246"/>
      <c r="V288" s="311" t="s">
        <v>459</v>
      </c>
      <c r="W288" s="246"/>
      <c r="X288" s="336" t="s">
        <v>450</v>
      </c>
      <c r="Y288" s="246"/>
      <c r="Z288" s="261"/>
      <c r="AA288" s="274" t="s">
        <v>415</v>
      </c>
      <c r="AB288" s="246"/>
      <c r="AC288" s="274" t="s">
        <v>448</v>
      </c>
      <c r="AD288" s="246"/>
      <c r="AE288" s="286"/>
      <c r="AF288" s="246"/>
      <c r="AG288" s="261"/>
      <c r="AH288" s="320"/>
      <c r="AI288" s="246"/>
      <c r="AJ288" s="336" t="s">
        <v>450</v>
      </c>
      <c r="AK288" s="246"/>
      <c r="AL288" s="274" t="s">
        <v>415</v>
      </c>
      <c r="AM288" s="246"/>
      <c r="AN288" s="261"/>
      <c r="AO288" s="346"/>
      <c r="AP288" s="246"/>
      <c r="AR288" s="246"/>
      <c r="AS288" s="274" t="s">
        <v>448</v>
      </c>
      <c r="AT288" s="254" t="str">
        <f t="shared" si="252"/>
        <v/>
      </c>
      <c r="AU288" s="269"/>
      <c r="AV288" s="269"/>
      <c r="AW288" s="206" t="str">
        <f t="shared" ref="AW288:BB288" si="254">AW33</f>
        <v>#REF!</v>
      </c>
      <c r="AX288" s="206">
        <f t="shared" si="254"/>
        <v>5</v>
      </c>
      <c r="AY288" s="206">
        <f t="shared" si="254"/>
        <v>5</v>
      </c>
      <c r="AZ288" s="206">
        <f t="shared" si="254"/>
        <v>3</v>
      </c>
      <c r="BA288" s="464">
        <f t="shared" si="254"/>
        <v>1</v>
      </c>
      <c r="BB288" s="206">
        <f t="shared" si="254"/>
        <v>1</v>
      </c>
      <c r="BC288" s="465">
        <f t="shared" si="222"/>
        <v>120</v>
      </c>
      <c r="BD288" s="206"/>
      <c r="BE288" s="466"/>
    </row>
    <row r="289">
      <c r="A289" s="94"/>
      <c r="B289" s="342" t="s">
        <v>667</v>
      </c>
      <c r="C289" s="343" t="s">
        <v>657</v>
      </c>
      <c r="D289" s="351"/>
      <c r="E289" s="259"/>
      <c r="F289" s="572" t="s">
        <v>401</v>
      </c>
      <c r="G289" s="246"/>
      <c r="I289" s="246"/>
      <c r="J289" s="280" t="s">
        <v>448</v>
      </c>
      <c r="K289" s="246"/>
      <c r="L289" s="261"/>
      <c r="M289" s="354"/>
      <c r="N289" s="246"/>
      <c r="O289" s="572" t="s">
        <v>401</v>
      </c>
      <c r="P289" s="246"/>
      <c r="R289" s="246"/>
      <c r="S289" s="261"/>
      <c r="T289" s="312"/>
      <c r="U289" s="246"/>
      <c r="V289" s="348" t="s">
        <v>668</v>
      </c>
      <c r="W289" s="246"/>
      <c r="X289" s="274" t="s">
        <v>439</v>
      </c>
      <c r="Y289" s="246"/>
      <c r="Z289" s="261"/>
      <c r="AA289" s="354"/>
      <c r="AB289" s="246"/>
      <c r="AC289" s="573" t="s">
        <v>401</v>
      </c>
      <c r="AD289" s="246"/>
      <c r="AF289" s="246"/>
      <c r="AG289" s="261"/>
      <c r="AH289" s="572" t="s">
        <v>401</v>
      </c>
      <c r="AI289" s="246"/>
      <c r="AJ289" s="265"/>
      <c r="AK289" s="246"/>
      <c r="AL289" s="265"/>
      <c r="AM289" s="246"/>
      <c r="AN289" s="261"/>
      <c r="AO289" s="354"/>
      <c r="AP289" s="246"/>
      <c r="AQ289" s="572" t="s">
        <v>401</v>
      </c>
      <c r="AR289" s="246"/>
      <c r="AS289" s="265"/>
      <c r="AT289" s="254" t="str">
        <f t="shared" si="252"/>
        <v/>
      </c>
      <c r="AU289" s="269"/>
      <c r="AV289" s="269"/>
      <c r="AW289" s="206" t="str">
        <f t="shared" ref="AW289:BB289" si="255">AW34</f>
        <v>#REF!</v>
      </c>
      <c r="AX289" s="206">
        <f t="shared" si="255"/>
        <v>5</v>
      </c>
      <c r="AY289" s="206">
        <f t="shared" si="255"/>
        <v>5</v>
      </c>
      <c r="AZ289" s="206">
        <f t="shared" si="255"/>
        <v>3</v>
      </c>
      <c r="BA289" s="464">
        <f t="shared" si="255"/>
        <v>1</v>
      </c>
      <c r="BB289" s="206">
        <f t="shared" si="255"/>
        <v>1</v>
      </c>
      <c r="BC289" s="465">
        <f t="shared" si="222"/>
        <v>120</v>
      </c>
      <c r="BD289" s="206"/>
      <c r="BE289" s="466"/>
    </row>
    <row r="290">
      <c r="A290" s="94"/>
      <c r="B290" s="349" t="s">
        <v>669</v>
      </c>
      <c r="C290" s="350" t="s">
        <v>649</v>
      </c>
      <c r="D290" s="323"/>
      <c r="E290" s="259"/>
      <c r="F290" s="356" t="s">
        <v>423</v>
      </c>
      <c r="G290" s="298"/>
      <c r="H290" s="357" t="s">
        <v>420</v>
      </c>
      <c r="I290" s="298"/>
      <c r="J290" s="293" t="s">
        <v>421</v>
      </c>
      <c r="K290" s="298"/>
      <c r="L290" s="261"/>
      <c r="M290" s="324"/>
      <c r="N290" s="298"/>
      <c r="O290" s="253" t="s">
        <v>417</v>
      </c>
      <c r="P290" s="298"/>
      <c r="Q290" s="293" t="s">
        <v>424</v>
      </c>
      <c r="R290" s="298"/>
      <c r="S290" s="261"/>
      <c r="T290" s="312"/>
      <c r="U290" s="298"/>
      <c r="V290" s="253" t="s">
        <v>417</v>
      </c>
      <c r="W290" s="298"/>
      <c r="X290" s="355" t="s">
        <v>670</v>
      </c>
      <c r="Y290" s="298"/>
      <c r="Z290" s="261"/>
      <c r="AA290" s="324"/>
      <c r="AB290" s="298"/>
      <c r="AC290" s="293" t="s">
        <v>426</v>
      </c>
      <c r="AD290" s="298"/>
      <c r="AE290" s="293" t="s">
        <v>422</v>
      </c>
      <c r="AF290" s="298"/>
      <c r="AG290" s="261"/>
      <c r="AH290" s="293" t="s">
        <v>426</v>
      </c>
      <c r="AI290" s="298"/>
      <c r="AJ290" s="253" t="s">
        <v>417</v>
      </c>
      <c r="AK290" s="298"/>
      <c r="AL290" s="293" t="s">
        <v>421</v>
      </c>
      <c r="AM290" s="298"/>
      <c r="AN290" s="261"/>
      <c r="AO290" s="324"/>
      <c r="AP290" s="298"/>
      <c r="AQ290" s="293" t="s">
        <v>426</v>
      </c>
      <c r="AR290" s="298"/>
      <c r="AS290" s="293" t="s">
        <v>422</v>
      </c>
      <c r="AT290" s="254" t="str">
        <f t="shared" si="252"/>
        <v/>
      </c>
      <c r="AU290" s="269"/>
      <c r="AV290" s="269"/>
      <c r="AW290" s="206" t="str">
        <f t="shared" ref="AW290:BB290" si="256">AW35</f>
        <v>#REF!</v>
      </c>
      <c r="AX290" s="206">
        <f t="shared" si="256"/>
        <v>5</v>
      </c>
      <c r="AY290" s="206">
        <f t="shared" si="256"/>
        <v>5</v>
      </c>
      <c r="AZ290" s="206">
        <f t="shared" si="256"/>
        <v>3</v>
      </c>
      <c r="BA290" s="464">
        <f t="shared" si="256"/>
        <v>1</v>
      </c>
      <c r="BB290" s="206">
        <f t="shared" si="256"/>
        <v>1</v>
      </c>
      <c r="BC290" s="465">
        <f t="shared" si="222"/>
        <v>120</v>
      </c>
      <c r="BD290" s="206"/>
      <c r="BE290" s="466"/>
    </row>
    <row r="291">
      <c r="A291" s="234"/>
      <c r="B291" s="296" t="s">
        <v>650</v>
      </c>
      <c r="C291" s="297" t="s">
        <v>649</v>
      </c>
      <c r="D291" s="330"/>
      <c r="E291" s="259"/>
      <c r="F291" s="299"/>
      <c r="G291" s="298"/>
      <c r="H291" s="358" t="s">
        <v>397</v>
      </c>
      <c r="I291" s="298"/>
      <c r="J291" s="319"/>
      <c r="K291" s="298"/>
      <c r="L291" s="261"/>
      <c r="M291" s="250"/>
      <c r="N291" s="298"/>
      <c r="O291" s="319"/>
      <c r="P291" s="298"/>
      <c r="Q291" s="319"/>
      <c r="R291" s="298"/>
      <c r="S291" s="261"/>
      <c r="T291" s="312"/>
      <c r="U291" s="298"/>
      <c r="V291" s="319"/>
      <c r="W291" s="298"/>
      <c r="X291" s="319"/>
      <c r="Y291" s="298"/>
      <c r="Z291" s="261"/>
      <c r="AA291" s="250"/>
      <c r="AB291" s="298"/>
      <c r="AC291" s="319"/>
      <c r="AD291" s="298"/>
      <c r="AE291" s="319"/>
      <c r="AF291" s="298"/>
      <c r="AG291" s="261"/>
      <c r="AH291" s="319"/>
      <c r="AI291" s="298"/>
      <c r="AJ291" s="358" t="s">
        <v>397</v>
      </c>
      <c r="AK291" s="298"/>
      <c r="AL291" s="293" t="s">
        <v>422</v>
      </c>
      <c r="AM291" s="298"/>
      <c r="AN291" s="261"/>
      <c r="AO291" s="250"/>
      <c r="AP291" s="298"/>
      <c r="AQ291" s="359"/>
      <c r="AR291" s="298"/>
      <c r="AS291" s="359"/>
      <c r="AT291" s="254" t="str">
        <f>IF(COUNTIF($AO$85:$AT$87, AS291) &gt; 0, "X", "")</f>
        <v/>
      </c>
      <c r="AU291" s="269"/>
      <c r="AV291" s="269"/>
      <c r="AW291" s="206" t="str">
        <f t="shared" ref="AW291:BB291" si="257">AW36</f>
        <v>#REF!</v>
      </c>
      <c r="AX291" s="206">
        <f t="shared" si="257"/>
        <v>5</v>
      </c>
      <c r="AY291" s="206">
        <f t="shared" si="257"/>
        <v>5</v>
      </c>
      <c r="AZ291" s="206">
        <f t="shared" si="257"/>
        <v>3</v>
      </c>
      <c r="BA291" s="464">
        <f t="shared" si="257"/>
        <v>1</v>
      </c>
      <c r="BB291" s="206">
        <f t="shared" si="257"/>
        <v>1</v>
      </c>
      <c r="BC291" s="465">
        <f t="shared" si="222"/>
        <v>120</v>
      </c>
      <c r="BD291" s="206"/>
      <c r="BE291" s="466"/>
    </row>
    <row r="292">
      <c r="A292" s="94"/>
      <c r="B292" s="301" t="s">
        <v>651</v>
      </c>
      <c r="C292" s="302" t="s">
        <v>652</v>
      </c>
      <c r="D292" s="363"/>
      <c r="E292" s="259"/>
      <c r="F292" s="303"/>
      <c r="G292" s="298"/>
      <c r="H292" s="360" t="s">
        <v>835</v>
      </c>
      <c r="I292" s="298"/>
      <c r="J292" s="511" t="s">
        <v>854</v>
      </c>
      <c r="K292" s="298"/>
      <c r="L292" s="261"/>
      <c r="M292" s="324"/>
      <c r="N292" s="298"/>
      <c r="O292" s="576"/>
      <c r="P292" s="298"/>
      <c r="Q292" s="321"/>
      <c r="R292" s="298"/>
      <c r="S292" s="261"/>
      <c r="T292" s="312"/>
      <c r="U292" s="298"/>
      <c r="V292" s="303"/>
      <c r="W292" s="298"/>
      <c r="X292" s="511" t="s">
        <v>853</v>
      </c>
      <c r="Y292" s="298"/>
      <c r="Z292" s="261"/>
      <c r="AA292" s="324"/>
      <c r="AB292" s="298"/>
      <c r="AC292" s="304"/>
      <c r="AD292" s="298"/>
      <c r="AE292" s="321"/>
      <c r="AF292" s="298"/>
      <c r="AG292" s="261"/>
      <c r="AH292" s="303"/>
      <c r="AI292" s="298"/>
      <c r="AJ292" s="360" t="s">
        <v>835</v>
      </c>
      <c r="AK292" s="298"/>
      <c r="AL292" s="629" t="s">
        <v>854</v>
      </c>
      <c r="AM292" s="298"/>
      <c r="AN292" s="261"/>
      <c r="AO292" s="324"/>
      <c r="AP292" s="298"/>
      <c r="AQ292" s="303"/>
      <c r="AR292" s="298"/>
      <c r="AS292" s="303"/>
      <c r="AT292" s="254" t="str">
        <f t="shared" ref="AT292:AT293" si="259">IF(COUNTIF($AO$85:$AT$87, #REF!) &gt; 0, "X", "")</f>
        <v/>
      </c>
      <c r="AU292" s="269"/>
      <c r="AV292" s="269"/>
      <c r="AW292" s="206" t="str">
        <f t="shared" ref="AW292:BB292" si="258">AW37</f>
        <v>#REF!</v>
      </c>
      <c r="AX292" s="206">
        <f t="shared" si="258"/>
        <v>5</v>
      </c>
      <c r="AY292" s="206">
        <f t="shared" si="258"/>
        <v>5</v>
      </c>
      <c r="AZ292" s="206">
        <f t="shared" si="258"/>
        <v>3</v>
      </c>
      <c r="BA292" s="464">
        <f t="shared" si="258"/>
        <v>1</v>
      </c>
      <c r="BB292" s="206">
        <f t="shared" si="258"/>
        <v>1</v>
      </c>
      <c r="BC292" s="465">
        <f t="shared" si="222"/>
        <v>120</v>
      </c>
      <c r="BD292" s="206"/>
      <c r="BE292" s="466"/>
    </row>
    <row r="293">
      <c r="A293" s="94"/>
      <c r="B293" s="361" t="s">
        <v>673</v>
      </c>
      <c r="C293" s="362" t="s">
        <v>674</v>
      </c>
      <c r="D293" s="369"/>
      <c r="E293" s="259"/>
      <c r="F293" s="251" t="s">
        <v>433</v>
      </c>
      <c r="G293" s="246"/>
      <c r="H293" s="336" t="s">
        <v>412</v>
      </c>
      <c r="I293" s="246"/>
      <c r="J293" s="336" t="s">
        <v>398</v>
      </c>
      <c r="K293" s="246"/>
      <c r="L293" s="261"/>
      <c r="M293" s="250"/>
      <c r="N293" s="246"/>
      <c r="O293" s="336" t="s">
        <v>412</v>
      </c>
      <c r="P293" s="246"/>
      <c r="Q293" s="336" t="s">
        <v>398</v>
      </c>
      <c r="R293" s="246"/>
      <c r="S293" s="261"/>
      <c r="T293" s="312"/>
      <c r="U293" s="246"/>
      <c r="V293" s="336" t="s">
        <v>412</v>
      </c>
      <c r="W293" s="246"/>
      <c r="X293" s="251" t="s">
        <v>433</v>
      </c>
      <c r="Y293" s="246"/>
      <c r="Z293" s="261"/>
      <c r="AA293" s="250"/>
      <c r="AB293" s="246"/>
      <c r="AC293" s="336" t="s">
        <v>412</v>
      </c>
      <c r="AD293" s="246"/>
      <c r="AE293" s="251" t="s">
        <v>457</v>
      </c>
      <c r="AF293" s="246"/>
      <c r="AG293" s="261"/>
      <c r="AH293" s="251" t="s">
        <v>433</v>
      </c>
      <c r="AI293" s="246"/>
      <c r="AJ293" s="336" t="s">
        <v>412</v>
      </c>
      <c r="AK293" s="246"/>
      <c r="AL293" s="251" t="s">
        <v>457</v>
      </c>
      <c r="AM293" s="246"/>
      <c r="AN293" s="261"/>
      <c r="AO293" s="250"/>
      <c r="AP293" s="246"/>
      <c r="AQ293" s="251" t="s">
        <v>457</v>
      </c>
      <c r="AR293" s="246"/>
      <c r="AS293" s="365" t="s">
        <v>433</v>
      </c>
      <c r="AT293" s="254" t="str">
        <f t="shared" si="259"/>
        <v/>
      </c>
      <c r="AU293" s="269"/>
      <c r="AV293" s="269"/>
      <c r="AW293" s="206" t="str">
        <f t="shared" ref="AW293:BB293" si="260">AW38</f>
        <v>#REF!</v>
      </c>
      <c r="AX293" s="206">
        <f t="shared" si="260"/>
        <v>5</v>
      </c>
      <c r="AY293" s="206">
        <f t="shared" si="260"/>
        <v>5</v>
      </c>
      <c r="AZ293" s="206">
        <f t="shared" si="260"/>
        <v>3</v>
      </c>
      <c r="BA293" s="464">
        <f t="shared" si="260"/>
        <v>1</v>
      </c>
      <c r="BB293" s="206">
        <f t="shared" si="260"/>
        <v>1</v>
      </c>
      <c r="BC293" s="465">
        <f t="shared" si="222"/>
        <v>120</v>
      </c>
      <c r="BD293" s="206"/>
      <c r="BE293" s="466"/>
    </row>
    <row r="294">
      <c r="A294" s="94"/>
      <c r="B294" s="367" t="s">
        <v>677</v>
      </c>
      <c r="C294" s="368" t="s">
        <v>674</v>
      </c>
      <c r="D294" s="330"/>
      <c r="E294" s="259"/>
      <c r="F294" s="282"/>
      <c r="G294" s="246"/>
      <c r="H294" s="282"/>
      <c r="I294" s="246"/>
      <c r="K294" s="246"/>
      <c r="L294" s="261"/>
      <c r="M294" s="333"/>
      <c r="N294" s="246"/>
      <c r="P294" s="246"/>
      <c r="Q294" s="282"/>
      <c r="R294" s="246"/>
      <c r="S294" s="261"/>
      <c r="T294" s="312"/>
      <c r="U294" s="246"/>
      <c r="V294" s="282"/>
      <c r="W294" s="246"/>
      <c r="Y294" s="246"/>
      <c r="Z294" s="261"/>
      <c r="AA294" s="333"/>
      <c r="AB294" s="246"/>
      <c r="AC294" s="282"/>
      <c r="AD294" s="246"/>
      <c r="AE294" s="282"/>
      <c r="AF294" s="246"/>
      <c r="AG294" s="261"/>
      <c r="AH294" s="371"/>
      <c r="AI294" s="246"/>
      <c r="AK294" s="246"/>
      <c r="AL294" s="282"/>
      <c r="AM294" s="246"/>
      <c r="AN294" s="261"/>
      <c r="AO294" s="333"/>
      <c r="AP294" s="246"/>
      <c r="AQ294" s="282"/>
      <c r="AR294" s="246"/>
      <c r="AS294" s="282"/>
      <c r="AT294" s="254" t="str">
        <f>IF(COUNTIF($AO$85:$AT$87, AS293) &gt; 0, "X", "")</f>
        <v/>
      </c>
      <c r="AU294" s="269"/>
      <c r="AV294" s="269"/>
      <c r="AW294" s="206" t="str">
        <f t="shared" ref="AW294:BB294" si="261">AW39</f>
        <v>#REF!</v>
      </c>
      <c r="AX294" s="206">
        <f t="shared" si="261"/>
        <v>5</v>
      </c>
      <c r="AY294" s="206">
        <f t="shared" si="261"/>
        <v>5</v>
      </c>
      <c r="AZ294" s="206">
        <f t="shared" si="261"/>
        <v>3</v>
      </c>
      <c r="BA294" s="464">
        <f t="shared" si="261"/>
        <v>1</v>
      </c>
      <c r="BB294" s="206">
        <f t="shared" si="261"/>
        <v>1</v>
      </c>
      <c r="BC294" s="465">
        <f t="shared" si="222"/>
        <v>120</v>
      </c>
      <c r="BD294" s="206"/>
      <c r="BE294" s="466"/>
    </row>
    <row r="295">
      <c r="A295" s="94"/>
      <c r="B295" s="256" t="s">
        <v>679</v>
      </c>
      <c r="C295" s="257" t="s">
        <v>680</v>
      </c>
      <c r="D295" s="330"/>
      <c r="E295" s="259"/>
      <c r="F295" s="311" t="s">
        <v>393</v>
      </c>
      <c r="G295" s="246"/>
      <c r="H295" s="374" t="s">
        <v>436</v>
      </c>
      <c r="I295" s="246"/>
      <c r="J295" s="274" t="s">
        <v>437</v>
      </c>
      <c r="K295" s="246"/>
      <c r="L295" s="261"/>
      <c r="M295" s="346"/>
      <c r="N295" s="246"/>
      <c r="O295" s="374" t="s">
        <v>436</v>
      </c>
      <c r="P295" s="246"/>
      <c r="Q295" s="274" t="s">
        <v>443</v>
      </c>
      <c r="R295" s="246"/>
      <c r="S295" s="261"/>
      <c r="T295" s="312"/>
      <c r="U295" s="246"/>
      <c r="V295" s="311" t="s">
        <v>436</v>
      </c>
      <c r="W295" s="246"/>
      <c r="X295" s="274" t="s">
        <v>437</v>
      </c>
      <c r="Y295" s="246"/>
      <c r="Z295" s="261"/>
      <c r="AA295" s="346"/>
      <c r="AB295" s="246"/>
      <c r="AC295" s="274" t="s">
        <v>439</v>
      </c>
      <c r="AD295" s="246"/>
      <c r="AE295" s="365" t="s">
        <v>433</v>
      </c>
      <c r="AF295" s="246"/>
      <c r="AG295" s="261"/>
      <c r="AH295" s="311" t="s">
        <v>393</v>
      </c>
      <c r="AI295" s="246"/>
      <c r="AJ295" s="374" t="s">
        <v>436</v>
      </c>
      <c r="AK295" s="246"/>
      <c r="AL295" s="274" t="s">
        <v>443</v>
      </c>
      <c r="AM295" s="246"/>
      <c r="AN295" s="261"/>
      <c r="AO295" s="346"/>
      <c r="AP295" s="246"/>
      <c r="AQ295" s="274" t="s">
        <v>406</v>
      </c>
      <c r="AR295" s="246"/>
      <c r="AS295" s="311" t="s">
        <v>436</v>
      </c>
      <c r="AT295" s="254" t="str">
        <f t="shared" ref="AT295:AT299" si="263">IF(COUNTIF($AO$85:$AT$87, #REF!) &gt; 0, "X", "")</f>
        <v/>
      </c>
      <c r="AU295" s="269"/>
      <c r="AV295" s="269"/>
      <c r="AW295" s="206" t="str">
        <f t="shared" ref="AW295:BB295" si="262">AW40</f>
        <v>#REF!</v>
      </c>
      <c r="AX295" s="206">
        <f t="shared" si="262"/>
        <v>5</v>
      </c>
      <c r="AY295" s="206">
        <f t="shared" si="262"/>
        <v>5</v>
      </c>
      <c r="AZ295" s="206">
        <f t="shared" si="262"/>
        <v>3</v>
      </c>
      <c r="BA295" s="464">
        <f t="shared" si="262"/>
        <v>1</v>
      </c>
      <c r="BB295" s="206">
        <f t="shared" si="262"/>
        <v>1</v>
      </c>
      <c r="BC295" s="465">
        <f t="shared" si="222"/>
        <v>120</v>
      </c>
      <c r="BD295" s="206"/>
      <c r="BE295" s="466"/>
    </row>
    <row r="296">
      <c r="A296" s="372"/>
      <c r="B296" s="328" t="s">
        <v>679</v>
      </c>
      <c r="C296" s="329" t="s">
        <v>652</v>
      </c>
      <c r="D296" s="330"/>
      <c r="E296" s="259"/>
      <c r="F296" s="282"/>
      <c r="G296" s="246"/>
      <c r="H296" s="251" t="s">
        <v>407</v>
      </c>
      <c r="I296" s="246"/>
      <c r="K296" s="246"/>
      <c r="L296" s="261"/>
      <c r="M296" s="341"/>
      <c r="N296" s="246"/>
      <c r="P296" s="246"/>
      <c r="Q296" s="282"/>
      <c r="R296" s="246"/>
      <c r="S296" s="261"/>
      <c r="T296" s="312"/>
      <c r="U296" s="246"/>
      <c r="W296" s="246"/>
      <c r="X296" s="604" t="s">
        <v>466</v>
      </c>
      <c r="Y296" s="246"/>
      <c r="Z296" s="261"/>
      <c r="AA296" s="341"/>
      <c r="AB296" s="246"/>
      <c r="AD296" s="246"/>
      <c r="AE296" s="274" t="s">
        <v>406</v>
      </c>
      <c r="AF296" s="246"/>
      <c r="AG296" s="261"/>
      <c r="AI296" s="246"/>
      <c r="AK296" s="246"/>
      <c r="AM296" s="246"/>
      <c r="AN296" s="261"/>
      <c r="AO296" s="341"/>
      <c r="AP296" s="246"/>
      <c r="AR296" s="246"/>
      <c r="AS296" s="274" t="s">
        <v>655</v>
      </c>
      <c r="AT296" s="254" t="str">
        <f t="shared" si="263"/>
        <v/>
      </c>
      <c r="AU296" s="269"/>
      <c r="AV296" s="269"/>
      <c r="AW296" s="206" t="str">
        <f t="shared" ref="AW296:BB296" si="264">AW41</f>
        <v>#REF!</v>
      </c>
      <c r="AX296" s="206">
        <f t="shared" si="264"/>
        <v>5</v>
      </c>
      <c r="AY296" s="206">
        <f t="shared" si="264"/>
        <v>5</v>
      </c>
      <c r="AZ296" s="206">
        <f t="shared" si="264"/>
        <v>3</v>
      </c>
      <c r="BA296" s="464">
        <f t="shared" si="264"/>
        <v>1</v>
      </c>
      <c r="BB296" s="206">
        <f t="shared" si="264"/>
        <v>1</v>
      </c>
      <c r="BC296" s="465">
        <f t="shared" si="222"/>
        <v>120</v>
      </c>
      <c r="BD296" s="206"/>
      <c r="BE296" s="466"/>
    </row>
    <row r="297">
      <c r="A297" s="94"/>
      <c r="B297" s="328" t="s">
        <v>679</v>
      </c>
      <c r="C297" s="329" t="s">
        <v>683</v>
      </c>
      <c r="D297" s="379"/>
      <c r="E297" s="380"/>
      <c r="F297" s="376" t="s">
        <v>453</v>
      </c>
      <c r="G297" s="246"/>
      <c r="H297" s="274" t="s">
        <v>406</v>
      </c>
      <c r="I297" s="246"/>
      <c r="K297" s="246"/>
      <c r="L297" s="381"/>
      <c r="M297" s="341"/>
      <c r="N297" s="246"/>
      <c r="O297" s="274" t="s">
        <v>406</v>
      </c>
      <c r="P297" s="246"/>
      <c r="Q297" s="290" t="s">
        <v>455</v>
      </c>
      <c r="R297" s="246"/>
      <c r="S297" s="381"/>
      <c r="T297" s="312"/>
      <c r="U297" s="246"/>
      <c r="V297" s="251" t="s">
        <v>407</v>
      </c>
      <c r="W297" s="246"/>
      <c r="Y297" s="246"/>
      <c r="Z297" s="381"/>
      <c r="AA297" s="341"/>
      <c r="AB297" s="246"/>
      <c r="AC297" s="251" t="s">
        <v>397</v>
      </c>
      <c r="AD297" s="246"/>
      <c r="AF297" s="246"/>
      <c r="AG297" s="381"/>
      <c r="AH297" s="274" t="s">
        <v>406</v>
      </c>
      <c r="AI297" s="246"/>
      <c r="AJ297" s="336" t="s">
        <v>398</v>
      </c>
      <c r="AK297" s="246"/>
      <c r="AM297" s="246"/>
      <c r="AN297" s="381"/>
      <c r="AO297" s="341"/>
      <c r="AP297" s="246"/>
      <c r="AQ297" s="251" t="s">
        <v>397</v>
      </c>
      <c r="AR297" s="246"/>
      <c r="AS297" s="274" t="s">
        <v>443</v>
      </c>
      <c r="AT297" s="254" t="str">
        <f t="shared" si="263"/>
        <v/>
      </c>
      <c r="AU297" s="269"/>
      <c r="AV297" s="269"/>
      <c r="AW297" s="206" t="str">
        <f t="shared" ref="AW297:BB297" si="265">AW42</f>
        <v>#REF!</v>
      </c>
      <c r="AX297" s="206">
        <f t="shared" si="265"/>
        <v>5</v>
      </c>
      <c r="AY297" s="206">
        <f t="shared" si="265"/>
        <v>5</v>
      </c>
      <c r="AZ297" s="206">
        <f t="shared" si="265"/>
        <v>3</v>
      </c>
      <c r="BA297" s="464">
        <f t="shared" si="265"/>
        <v>1</v>
      </c>
      <c r="BB297" s="206">
        <f t="shared" si="265"/>
        <v>1</v>
      </c>
      <c r="BC297" s="465">
        <f t="shared" si="222"/>
        <v>120</v>
      </c>
      <c r="BD297" s="206"/>
      <c r="BE297" s="466"/>
    </row>
    <row r="298">
      <c r="A298" s="94"/>
      <c r="B298" s="377" t="s">
        <v>684</v>
      </c>
      <c r="C298" s="378" t="s">
        <v>685</v>
      </c>
      <c r="D298" s="363"/>
      <c r="E298" s="259"/>
      <c r="G298" s="246"/>
      <c r="H298" s="282"/>
      <c r="I298" s="246"/>
      <c r="J298" s="311" t="s">
        <v>410</v>
      </c>
      <c r="K298" s="246"/>
      <c r="L298" s="261"/>
      <c r="M298" s="341"/>
      <c r="N298" s="246"/>
      <c r="P298" s="246"/>
      <c r="Q298" s="287" t="s">
        <v>405</v>
      </c>
      <c r="R298" s="246"/>
      <c r="S298" s="261"/>
      <c r="T298" s="312"/>
      <c r="U298" s="246"/>
      <c r="V298" s="282"/>
      <c r="W298" s="246"/>
      <c r="X298" s="311" t="s">
        <v>410</v>
      </c>
      <c r="Y298" s="246"/>
      <c r="Z298" s="261"/>
      <c r="AA298" s="341"/>
      <c r="AB298" s="246"/>
      <c r="AC298" s="282"/>
      <c r="AD298" s="246"/>
      <c r="AE298" s="290" t="s">
        <v>455</v>
      </c>
      <c r="AF298" s="246"/>
      <c r="AG298" s="261"/>
      <c r="AI298" s="246"/>
      <c r="AK298" s="246"/>
      <c r="AL298" s="287" t="s">
        <v>405</v>
      </c>
      <c r="AM298" s="246"/>
      <c r="AN298" s="261"/>
      <c r="AO298" s="341"/>
      <c r="AP298" s="246"/>
      <c r="AQ298" s="282"/>
      <c r="AR298" s="246"/>
      <c r="AS298" s="282"/>
      <c r="AT298" s="254" t="str">
        <f t="shared" si="263"/>
        <v/>
      </c>
      <c r="AU298" s="269"/>
      <c r="AV298" s="269"/>
      <c r="AW298" s="206" t="str">
        <f t="shared" ref="AW298:BB298" si="266">AW43</f>
        <v>#REF!</v>
      </c>
      <c r="AX298" s="206">
        <f t="shared" si="266"/>
        <v>5</v>
      </c>
      <c r="AY298" s="206">
        <f t="shared" si="266"/>
        <v>5</v>
      </c>
      <c r="AZ298" s="206">
        <f t="shared" si="266"/>
        <v>3</v>
      </c>
      <c r="BA298" s="464">
        <f t="shared" si="266"/>
        <v>1</v>
      </c>
      <c r="BB298" s="206">
        <f t="shared" si="266"/>
        <v>1</v>
      </c>
      <c r="BC298" s="465">
        <f t="shared" si="222"/>
        <v>120</v>
      </c>
      <c r="BD298" s="206"/>
      <c r="BE298" s="466"/>
    </row>
    <row r="299">
      <c r="A299" s="270"/>
      <c r="B299" s="382" t="s">
        <v>686</v>
      </c>
      <c r="C299" s="242" t="s">
        <v>652</v>
      </c>
      <c r="D299" s="330"/>
      <c r="E299" s="259"/>
      <c r="F299" s="311" t="s">
        <v>455</v>
      </c>
      <c r="G299" s="246"/>
      <c r="H299" s="251" t="s">
        <v>435</v>
      </c>
      <c r="I299" s="246"/>
      <c r="J299" s="251" t="s">
        <v>429</v>
      </c>
      <c r="K299" s="246"/>
      <c r="L299" s="261"/>
      <c r="M299" s="250"/>
      <c r="N299" s="246"/>
      <c r="O299" s="385" t="s">
        <v>428</v>
      </c>
      <c r="P299" s="246"/>
      <c r="Q299" s="251" t="s">
        <v>429</v>
      </c>
      <c r="R299" s="246"/>
      <c r="S299" s="261"/>
      <c r="T299" s="312"/>
      <c r="U299" s="246"/>
      <c r="V299" s="290" t="s">
        <v>455</v>
      </c>
      <c r="W299" s="246"/>
      <c r="X299" s="376" t="s">
        <v>453</v>
      </c>
      <c r="Y299" s="246"/>
      <c r="Z299" s="261"/>
      <c r="AA299" s="250"/>
      <c r="AB299" s="246"/>
      <c r="AC299" s="376" t="s">
        <v>453</v>
      </c>
      <c r="AD299" s="246"/>
      <c r="AE299" s="251" t="s">
        <v>429</v>
      </c>
      <c r="AF299" s="246"/>
      <c r="AG299" s="261"/>
      <c r="AH299" s="251" t="s">
        <v>429</v>
      </c>
      <c r="AI299" s="246"/>
      <c r="AJ299" s="385" t="s">
        <v>428</v>
      </c>
      <c r="AK299" s="246"/>
      <c r="AL299" s="376" t="s">
        <v>453</v>
      </c>
      <c r="AM299" s="246"/>
      <c r="AN299" s="261"/>
      <c r="AO299" s="250"/>
      <c r="AP299" s="246"/>
      <c r="AQ299" s="385" t="s">
        <v>428</v>
      </c>
      <c r="AR299" s="246"/>
      <c r="AS299" s="376" t="s">
        <v>466</v>
      </c>
      <c r="AT299" s="254" t="str">
        <f t="shared" si="263"/>
        <v/>
      </c>
      <c r="AU299" s="269"/>
      <c r="AV299" s="269"/>
      <c r="AW299" s="206" t="str">
        <f t="shared" ref="AW299:BB299" si="267">AW44</f>
        <v>#REF!</v>
      </c>
      <c r="AX299" s="206">
        <f t="shared" si="267"/>
        <v>5</v>
      </c>
      <c r="AY299" s="206">
        <f t="shared" si="267"/>
        <v>5</v>
      </c>
      <c r="AZ299" s="206">
        <f t="shared" si="267"/>
        <v>3</v>
      </c>
      <c r="BA299" s="464">
        <f t="shared" si="267"/>
        <v>1</v>
      </c>
      <c r="BB299" s="206">
        <f t="shared" si="267"/>
        <v>1</v>
      </c>
      <c r="BC299" s="465">
        <f t="shared" si="222"/>
        <v>120</v>
      </c>
      <c r="BD299" s="206"/>
      <c r="BE299" s="466"/>
    </row>
    <row r="300">
      <c r="A300" s="234"/>
      <c r="B300" s="337" t="s">
        <v>686</v>
      </c>
      <c r="C300" s="338" t="s">
        <v>687</v>
      </c>
      <c r="D300" s="330"/>
      <c r="E300" s="259"/>
      <c r="G300" s="246"/>
      <c r="H300" s="603" t="s">
        <v>428</v>
      </c>
      <c r="I300" s="246"/>
      <c r="J300" s="604" t="s">
        <v>466</v>
      </c>
      <c r="K300" s="246"/>
      <c r="L300" s="261"/>
      <c r="M300" s="262"/>
      <c r="N300" s="246"/>
      <c r="O300" s="287" t="s">
        <v>435</v>
      </c>
      <c r="P300" s="246"/>
      <c r="R300" s="246"/>
      <c r="S300" s="261"/>
      <c r="T300" s="312"/>
      <c r="U300" s="246"/>
      <c r="V300" s="581" t="s">
        <v>428</v>
      </c>
      <c r="W300" s="246"/>
      <c r="X300" s="287" t="s">
        <v>429</v>
      </c>
      <c r="Y300" s="246"/>
      <c r="Z300" s="261"/>
      <c r="AA300" s="262"/>
      <c r="AB300" s="246"/>
      <c r="AC300" s="604" t="s">
        <v>466</v>
      </c>
      <c r="AD300" s="246"/>
      <c r="AF300" s="246"/>
      <c r="AG300" s="261"/>
      <c r="AI300" s="246"/>
      <c r="AJ300" s="604" t="s">
        <v>466</v>
      </c>
      <c r="AK300" s="246"/>
      <c r="AL300" s="311" t="s">
        <v>455</v>
      </c>
      <c r="AM300" s="246"/>
      <c r="AN300" s="261"/>
      <c r="AO300" s="262"/>
      <c r="AP300" s="246"/>
      <c r="AQ300" s="604" t="s">
        <v>453</v>
      </c>
      <c r="AR300" s="246"/>
      <c r="AS300" s="287" t="s">
        <v>429</v>
      </c>
      <c r="AT300" s="254" t="str">
        <f>IF(COUNTIF($AO$85:$AT$87, AS298) &gt; 0, "X", "")</f>
        <v/>
      </c>
      <c r="AU300" s="269"/>
      <c r="AV300" s="269"/>
      <c r="AW300" s="206" t="str">
        <f t="shared" ref="AW300:BB300" si="268">AW45</f>
        <v>#REF!</v>
      </c>
      <c r="AX300" s="206">
        <f t="shared" si="268"/>
        <v>5</v>
      </c>
      <c r="AY300" s="206">
        <f t="shared" si="268"/>
        <v>5</v>
      </c>
      <c r="AZ300" s="206">
        <f t="shared" si="268"/>
        <v>3</v>
      </c>
      <c r="BA300" s="464">
        <f t="shared" si="268"/>
        <v>1</v>
      </c>
      <c r="BB300" s="206">
        <f t="shared" si="268"/>
        <v>1</v>
      </c>
      <c r="BC300" s="465">
        <f t="shared" si="222"/>
        <v>120</v>
      </c>
      <c r="BD300" s="206"/>
      <c r="BE300" s="466"/>
    </row>
    <row r="301">
      <c r="A301" s="94"/>
      <c r="B301" s="337" t="s">
        <v>688</v>
      </c>
      <c r="C301" s="285" t="s">
        <v>687</v>
      </c>
      <c r="D301" s="389"/>
      <c r="E301" s="259"/>
      <c r="F301" s="282"/>
      <c r="G301" s="246"/>
      <c r="H301" s="282"/>
      <c r="I301" s="246"/>
      <c r="J301" s="282"/>
      <c r="K301" s="246"/>
      <c r="L301" s="261"/>
      <c r="M301" s="250"/>
      <c r="N301" s="246"/>
      <c r="O301" s="282"/>
      <c r="P301" s="246"/>
      <c r="R301" s="246"/>
      <c r="S301" s="261"/>
      <c r="T301" s="312"/>
      <c r="U301" s="246"/>
      <c r="V301" s="282"/>
      <c r="W301" s="246"/>
      <c r="Y301" s="246"/>
      <c r="Z301" s="261"/>
      <c r="AA301" s="250"/>
      <c r="AB301" s="246"/>
      <c r="AC301" s="282"/>
      <c r="AD301" s="246"/>
      <c r="AE301" s="282"/>
      <c r="AF301" s="246"/>
      <c r="AG301" s="261"/>
      <c r="AH301" s="282"/>
      <c r="AI301" s="246"/>
      <c r="AJ301" s="282"/>
      <c r="AK301" s="246"/>
      <c r="AL301" s="282"/>
      <c r="AM301" s="246"/>
      <c r="AN301" s="261"/>
      <c r="AO301" s="250"/>
      <c r="AP301" s="246"/>
      <c r="AQ301" s="282"/>
      <c r="AR301" s="246"/>
      <c r="AS301" s="282"/>
      <c r="AT301" s="254" t="str">
        <f>IF(COUNTIF($AO$85:$AT$87, #REF!) &gt; 0, "X", "")</f>
        <v/>
      </c>
      <c r="AU301" s="269"/>
      <c r="AV301" s="269"/>
      <c r="AW301" s="206" t="str">
        <f t="shared" ref="AW301:BB301" si="269">AW46</f>
        <v>#REF!</v>
      </c>
      <c r="AX301" s="206">
        <f t="shared" si="269"/>
        <v>5</v>
      </c>
      <c r="AY301" s="206">
        <f t="shared" si="269"/>
        <v>5</v>
      </c>
      <c r="AZ301" s="206">
        <f t="shared" si="269"/>
        <v>3</v>
      </c>
      <c r="BA301" s="464">
        <f t="shared" si="269"/>
        <v>1</v>
      </c>
      <c r="BB301" s="206">
        <f t="shared" si="269"/>
        <v>1</v>
      </c>
      <c r="BC301" s="465">
        <f t="shared" si="222"/>
        <v>120</v>
      </c>
      <c r="BD301" s="206"/>
      <c r="BE301" s="466"/>
    </row>
    <row r="302">
      <c r="A302" s="94"/>
      <c r="B302" s="387" t="s">
        <v>690</v>
      </c>
      <c r="C302" s="388" t="s">
        <v>649</v>
      </c>
      <c r="D302" s="323"/>
      <c r="E302" s="259"/>
      <c r="F302" s="390"/>
      <c r="G302" s="246"/>
      <c r="H302" s="390"/>
      <c r="I302" s="246"/>
      <c r="J302" s="390"/>
      <c r="K302" s="246"/>
      <c r="L302" s="261"/>
      <c r="M302" s="250"/>
      <c r="N302" s="246"/>
      <c r="O302" s="357" t="s">
        <v>420</v>
      </c>
      <c r="P302" s="246"/>
      <c r="Q302" s="390"/>
      <c r="R302" s="246"/>
      <c r="S302" s="261"/>
      <c r="T302" s="312"/>
      <c r="U302" s="246"/>
      <c r="V302" s="390"/>
      <c r="W302" s="246"/>
      <c r="X302" s="357" t="s">
        <v>420</v>
      </c>
      <c r="Y302" s="246"/>
      <c r="Z302" s="261"/>
      <c r="AA302" s="250"/>
      <c r="AB302" s="246"/>
      <c r="AC302" s="357" t="s">
        <v>420</v>
      </c>
      <c r="AD302" s="246"/>
      <c r="AE302" s="390"/>
      <c r="AF302" s="246"/>
      <c r="AG302" s="261"/>
      <c r="AH302" s="390"/>
      <c r="AI302" s="246"/>
      <c r="AJ302" s="390"/>
      <c r="AK302" s="246"/>
      <c r="AL302" s="390"/>
      <c r="AM302" s="246"/>
      <c r="AN302" s="261"/>
      <c r="AO302" s="250"/>
      <c r="AP302" s="246"/>
      <c r="AQ302" s="390"/>
      <c r="AR302" s="246"/>
      <c r="AS302" s="390"/>
      <c r="AT302" s="254" t="str">
        <f t="shared" ref="AT302:AT309" si="271">IF(COUNTIF($AO$85:$AT$87, AS302) &gt; 0, "X", "")</f>
        <v/>
      </c>
      <c r="AU302" s="269"/>
      <c r="AV302" s="269"/>
      <c r="AW302" s="206" t="str">
        <f t="shared" ref="AW302:BB302" si="270">AW47</f>
        <v>#REF!</v>
      </c>
      <c r="AX302" s="206">
        <f t="shared" si="270"/>
        <v>5</v>
      </c>
      <c r="AY302" s="206">
        <f t="shared" si="270"/>
        <v>5</v>
      </c>
      <c r="AZ302" s="206">
        <f t="shared" si="270"/>
        <v>3</v>
      </c>
      <c r="BA302" s="464">
        <f t="shared" si="270"/>
        <v>1</v>
      </c>
      <c r="BB302" s="206">
        <f t="shared" si="270"/>
        <v>1</v>
      </c>
      <c r="BC302" s="465">
        <f t="shared" si="222"/>
        <v>120</v>
      </c>
      <c r="BD302" s="206"/>
      <c r="BE302" s="466"/>
    </row>
    <row r="303">
      <c r="A303" s="94"/>
      <c r="B303" s="296" t="s">
        <v>650</v>
      </c>
      <c r="C303" s="297" t="s">
        <v>649</v>
      </c>
      <c r="D303" s="323"/>
      <c r="E303" s="261"/>
      <c r="F303" s="300"/>
      <c r="G303" s="246"/>
      <c r="H303" s="319"/>
      <c r="I303" s="246"/>
      <c r="J303" s="300"/>
      <c r="K303" s="246"/>
      <c r="L303" s="261"/>
      <c r="M303" s="250"/>
      <c r="N303" s="246"/>
      <c r="O303" s="300"/>
      <c r="P303" s="246"/>
      <c r="Q303" s="300"/>
      <c r="R303" s="246"/>
      <c r="S303" s="261"/>
      <c r="T303" s="312"/>
      <c r="U303" s="246"/>
      <c r="V303" s="300"/>
      <c r="W303" s="246"/>
      <c r="X303" s="300"/>
      <c r="Y303" s="246"/>
      <c r="Z303" s="261"/>
      <c r="AA303" s="250"/>
      <c r="AB303" s="246"/>
      <c r="AC303" s="300"/>
      <c r="AD303" s="246"/>
      <c r="AE303" s="300"/>
      <c r="AF303" s="246"/>
      <c r="AG303" s="261"/>
      <c r="AH303" s="300"/>
      <c r="AI303" s="246"/>
      <c r="AJ303" s="300"/>
      <c r="AK303" s="246"/>
      <c r="AL303" s="300"/>
      <c r="AM303" s="246"/>
      <c r="AN303" s="261"/>
      <c r="AO303" s="250"/>
      <c r="AP303" s="246"/>
      <c r="AQ303" s="300"/>
      <c r="AR303" s="246"/>
      <c r="AS303" s="300"/>
      <c r="AT303" s="254" t="str">
        <f t="shared" si="271"/>
        <v/>
      </c>
      <c r="AU303" s="269"/>
      <c r="AV303" s="269"/>
      <c r="AW303" s="206" t="str">
        <f t="shared" ref="AW303:BB303" si="272">AW48</f>
        <v>#REF!</v>
      </c>
      <c r="AX303" s="206">
        <f t="shared" si="272"/>
        <v>5</v>
      </c>
      <c r="AY303" s="206">
        <f t="shared" si="272"/>
        <v>5</v>
      </c>
      <c r="AZ303" s="206">
        <f t="shared" si="272"/>
        <v>3</v>
      </c>
      <c r="BA303" s="464">
        <f t="shared" si="272"/>
        <v>1</v>
      </c>
      <c r="BB303" s="206">
        <f t="shared" si="272"/>
        <v>1</v>
      </c>
      <c r="BC303" s="465">
        <f t="shared" si="222"/>
        <v>120</v>
      </c>
      <c r="BD303" s="206"/>
      <c r="BE303" s="466"/>
    </row>
    <row r="304">
      <c r="A304" s="94"/>
      <c r="B304" s="301" t="s">
        <v>651</v>
      </c>
      <c r="C304" s="391" t="s">
        <v>652</v>
      </c>
      <c r="D304" s="323"/>
      <c r="E304" s="259"/>
      <c r="F304" s="304"/>
      <c r="G304" s="246"/>
      <c r="H304" s="304"/>
      <c r="I304" s="246"/>
      <c r="J304" s="304"/>
      <c r="K304" s="246"/>
      <c r="L304" s="261"/>
      <c r="M304" s="250"/>
      <c r="N304" s="246"/>
      <c r="O304" s="360" t="s">
        <v>835</v>
      </c>
      <c r="P304" s="246"/>
      <c r="Q304" s="304"/>
      <c r="R304" s="246"/>
      <c r="S304" s="261"/>
      <c r="T304" s="312"/>
      <c r="U304" s="246"/>
      <c r="V304" s="576"/>
      <c r="W304" s="246"/>
      <c r="X304" s="360" t="s">
        <v>835</v>
      </c>
      <c r="Y304" s="246"/>
      <c r="Z304" s="261"/>
      <c r="AA304" s="250"/>
      <c r="AB304" s="246"/>
      <c r="AC304" s="360" t="s">
        <v>835</v>
      </c>
      <c r="AD304" s="246"/>
      <c r="AE304" s="304"/>
      <c r="AF304" s="246"/>
      <c r="AG304" s="261"/>
      <c r="AH304" s="304"/>
      <c r="AI304" s="246"/>
      <c r="AJ304" s="304"/>
      <c r="AK304" s="246"/>
      <c r="AL304" s="304"/>
      <c r="AM304" s="246"/>
      <c r="AN304" s="261"/>
      <c r="AO304" s="250"/>
      <c r="AP304" s="246"/>
      <c r="AQ304" s="304"/>
      <c r="AR304" s="246"/>
      <c r="AS304" s="304"/>
      <c r="AT304" s="254" t="str">
        <f t="shared" si="271"/>
        <v/>
      </c>
      <c r="AU304" s="269"/>
      <c r="AV304" s="269"/>
      <c r="AW304" s="206" t="str">
        <f t="shared" ref="AW304:BB304" si="273">AW49</f>
        <v>#REF!</v>
      </c>
      <c r="AX304" s="206">
        <f t="shared" si="273"/>
        <v>5</v>
      </c>
      <c r="AY304" s="206">
        <f t="shared" si="273"/>
        <v>5</v>
      </c>
      <c r="AZ304" s="206">
        <f t="shared" si="273"/>
        <v>3</v>
      </c>
      <c r="BA304" s="464">
        <f t="shared" si="273"/>
        <v>1</v>
      </c>
      <c r="BB304" s="206">
        <f t="shared" si="273"/>
        <v>1</v>
      </c>
      <c r="BC304" s="465">
        <f t="shared" si="222"/>
        <v>120</v>
      </c>
      <c r="BD304" s="206"/>
      <c r="BE304" s="466"/>
    </row>
    <row r="305">
      <c r="A305" s="94"/>
      <c r="B305" s="392" t="s">
        <v>691</v>
      </c>
      <c r="C305" s="393" t="s">
        <v>652</v>
      </c>
      <c r="D305" s="330"/>
      <c r="E305" s="259"/>
      <c r="F305" s="307"/>
      <c r="G305" s="246"/>
      <c r="H305" s="307"/>
      <c r="I305" s="246"/>
      <c r="J305" s="307"/>
      <c r="K305" s="246"/>
      <c r="L305" s="261"/>
      <c r="M305" s="250"/>
      <c r="N305" s="246"/>
      <c r="O305" s="394" t="s">
        <v>397</v>
      </c>
      <c r="P305" s="246"/>
      <c r="Q305" s="307"/>
      <c r="R305" s="246"/>
      <c r="S305" s="261"/>
      <c r="T305" s="312"/>
      <c r="U305" s="246"/>
      <c r="W305" s="246"/>
      <c r="X305" s="394" t="s">
        <v>397</v>
      </c>
      <c r="Y305" s="246"/>
      <c r="Z305" s="261"/>
      <c r="AA305" s="250"/>
      <c r="AB305" s="246"/>
      <c r="AC305" s="395" t="s">
        <v>398</v>
      </c>
      <c r="AD305" s="246"/>
      <c r="AE305" s="307"/>
      <c r="AF305" s="246"/>
      <c r="AG305" s="261"/>
      <c r="AH305" s="307"/>
      <c r="AI305" s="246"/>
      <c r="AJ305" s="307"/>
      <c r="AK305" s="246"/>
      <c r="AL305" s="307"/>
      <c r="AM305" s="246"/>
      <c r="AN305" s="261"/>
      <c r="AO305" s="250"/>
      <c r="AP305" s="246"/>
      <c r="AQ305" s="307"/>
      <c r="AR305" s="246"/>
      <c r="AS305" s="307"/>
      <c r="AT305" s="254" t="str">
        <f t="shared" si="271"/>
        <v/>
      </c>
      <c r="AU305" s="269"/>
      <c r="AV305" s="269"/>
      <c r="AW305" s="206" t="str">
        <f t="shared" ref="AW305:BB305" si="274">AW50</f>
        <v>#REF!</v>
      </c>
      <c r="AX305" s="206">
        <f t="shared" si="274"/>
        <v>5</v>
      </c>
      <c r="AY305" s="206">
        <f t="shared" si="274"/>
        <v>5</v>
      </c>
      <c r="AZ305" s="206">
        <f t="shared" si="274"/>
        <v>3</v>
      </c>
      <c r="BA305" s="464">
        <f t="shared" si="274"/>
        <v>1</v>
      </c>
      <c r="BB305" s="206">
        <f t="shared" si="274"/>
        <v>1</v>
      </c>
      <c r="BC305" s="465">
        <f t="shared" si="222"/>
        <v>120</v>
      </c>
      <c r="BD305" s="206"/>
      <c r="BE305" s="466"/>
    </row>
    <row r="306">
      <c r="A306" s="94"/>
      <c r="B306" s="328" t="s">
        <v>692</v>
      </c>
      <c r="C306" s="329" t="s">
        <v>652</v>
      </c>
      <c r="D306" s="369"/>
      <c r="E306" s="259"/>
      <c r="F306" s="371"/>
      <c r="G306" s="246"/>
      <c r="H306" s="371"/>
      <c r="I306" s="246"/>
      <c r="J306" s="282"/>
      <c r="K306" s="246"/>
      <c r="L306" s="261"/>
      <c r="M306" s="250"/>
      <c r="N306" s="246"/>
      <c r="O306" s="371"/>
      <c r="P306" s="246"/>
      <c r="Q306" s="371"/>
      <c r="R306" s="246"/>
      <c r="S306" s="261"/>
      <c r="T306" s="312"/>
      <c r="U306" s="246"/>
      <c r="V306" s="371"/>
      <c r="W306" s="246"/>
      <c r="X306" s="371"/>
      <c r="Y306" s="246"/>
      <c r="Z306" s="261"/>
      <c r="AA306" s="250"/>
      <c r="AB306" s="246"/>
      <c r="AC306" s="371"/>
      <c r="AD306" s="246"/>
      <c r="AE306" s="371"/>
      <c r="AF306" s="246"/>
      <c r="AG306" s="261"/>
      <c r="AH306" s="371"/>
      <c r="AI306" s="246"/>
      <c r="AJ306" s="371"/>
      <c r="AK306" s="246"/>
      <c r="AL306" s="371"/>
      <c r="AM306" s="246"/>
      <c r="AN306" s="261"/>
      <c r="AO306" s="250"/>
      <c r="AP306" s="246"/>
      <c r="AQ306" s="371"/>
      <c r="AR306" s="246"/>
      <c r="AS306" s="282"/>
      <c r="AT306" s="254" t="str">
        <f t="shared" si="271"/>
        <v/>
      </c>
      <c r="AU306" s="269"/>
      <c r="AV306" s="269"/>
      <c r="AW306" s="206" t="str">
        <f t="shared" ref="AW306:BB306" si="275">AW51</f>
        <v>#REF!</v>
      </c>
      <c r="AX306" s="206">
        <f t="shared" si="275"/>
        <v>5</v>
      </c>
      <c r="AY306" s="206">
        <f t="shared" si="275"/>
        <v>5</v>
      </c>
      <c r="AZ306" s="206">
        <f t="shared" si="275"/>
        <v>3</v>
      </c>
      <c r="BA306" s="464">
        <f t="shared" si="275"/>
        <v>1</v>
      </c>
      <c r="BB306" s="206">
        <f t="shared" si="275"/>
        <v>1</v>
      </c>
      <c r="BC306" s="465">
        <f t="shared" si="222"/>
        <v>120</v>
      </c>
      <c r="BD306" s="206"/>
      <c r="BE306" s="466"/>
    </row>
    <row r="307">
      <c r="A307" s="94"/>
      <c r="B307" s="397" t="s">
        <v>692</v>
      </c>
      <c r="C307" s="398" t="s">
        <v>687</v>
      </c>
      <c r="D307" s="389"/>
      <c r="E307" s="259"/>
      <c r="F307" s="399"/>
      <c r="G307" s="246"/>
      <c r="H307" s="399"/>
      <c r="I307" s="246"/>
      <c r="J307" s="399"/>
      <c r="K307" s="246"/>
      <c r="L307" s="261"/>
      <c r="M307" s="250"/>
      <c r="N307" s="246"/>
      <c r="P307" s="246"/>
      <c r="Q307" s="282"/>
      <c r="R307" s="246"/>
      <c r="S307" s="261"/>
      <c r="T307" s="312"/>
      <c r="U307" s="246"/>
      <c r="V307" s="282"/>
      <c r="W307" s="246"/>
      <c r="X307" s="399"/>
      <c r="Y307" s="246"/>
      <c r="Z307" s="261"/>
      <c r="AA307" s="250"/>
      <c r="AB307" s="246"/>
      <c r="AC307" s="399"/>
      <c r="AD307" s="246"/>
      <c r="AE307" s="399"/>
      <c r="AF307" s="246"/>
      <c r="AG307" s="261"/>
      <c r="AH307" s="399"/>
      <c r="AI307" s="246"/>
      <c r="AJ307" s="399"/>
      <c r="AK307" s="246"/>
      <c r="AL307" s="399"/>
      <c r="AM307" s="246"/>
      <c r="AN307" s="261"/>
      <c r="AO307" s="250"/>
      <c r="AP307" s="246"/>
      <c r="AQ307" s="399"/>
      <c r="AR307" s="246"/>
      <c r="AS307" s="399"/>
      <c r="AT307" s="254" t="str">
        <f t="shared" si="271"/>
        <v/>
      </c>
      <c r="AU307" s="269"/>
      <c r="AV307" s="269"/>
      <c r="AW307" s="206" t="str">
        <f t="shared" ref="AW307:BB307" si="276">AW52</f>
        <v>#REF!</v>
      </c>
      <c r="AX307" s="206">
        <f t="shared" si="276"/>
        <v>5</v>
      </c>
      <c r="AY307" s="206">
        <f t="shared" si="276"/>
        <v>5</v>
      </c>
      <c r="AZ307" s="206">
        <f t="shared" si="276"/>
        <v>3</v>
      </c>
      <c r="BA307" s="464">
        <f t="shared" si="276"/>
        <v>1</v>
      </c>
      <c r="BB307" s="206">
        <f t="shared" si="276"/>
        <v>1</v>
      </c>
      <c r="BC307" s="465">
        <f t="shared" si="222"/>
        <v>120</v>
      </c>
      <c r="BD307" s="206"/>
      <c r="BE307" s="466"/>
    </row>
    <row r="308">
      <c r="A308" s="94"/>
      <c r="B308" s="387" t="s">
        <v>694</v>
      </c>
      <c r="C308" s="388" t="s">
        <v>649</v>
      </c>
      <c r="D308" s="323"/>
      <c r="E308" s="259"/>
      <c r="F308" s="390"/>
      <c r="G308" s="298"/>
      <c r="H308" s="390"/>
      <c r="I308" s="298"/>
      <c r="J308" s="390"/>
      <c r="K308" s="298"/>
      <c r="L308" s="261"/>
      <c r="M308" s="250"/>
      <c r="N308" s="298"/>
      <c r="O308" s="390"/>
      <c r="P308" s="298"/>
      <c r="Q308" s="357" t="s">
        <v>425</v>
      </c>
      <c r="R308" s="298"/>
      <c r="S308" s="261"/>
      <c r="T308" s="312"/>
      <c r="U308" s="298"/>
      <c r="V308" s="390"/>
      <c r="W308" s="298"/>
      <c r="X308" s="357" t="s">
        <v>425</v>
      </c>
      <c r="Y308" s="298"/>
      <c r="Z308" s="261"/>
      <c r="AA308" s="250"/>
      <c r="AB308" s="298"/>
      <c r="AC308" s="390"/>
      <c r="AD308" s="298"/>
      <c r="AE308" s="357" t="s">
        <v>425</v>
      </c>
      <c r="AF308" s="298"/>
      <c r="AG308" s="261"/>
      <c r="AH308" s="390"/>
      <c r="AI308" s="298"/>
      <c r="AJ308" s="390"/>
      <c r="AK308" s="298"/>
      <c r="AL308" s="357" t="s">
        <v>425</v>
      </c>
      <c r="AM308" s="298"/>
      <c r="AN308" s="261"/>
      <c r="AO308" s="250"/>
      <c r="AP308" s="298"/>
      <c r="AQ308" s="390"/>
      <c r="AR308" s="298"/>
      <c r="AS308" s="357" t="s">
        <v>425</v>
      </c>
      <c r="AT308" s="254" t="str">
        <f t="shared" si="271"/>
        <v/>
      </c>
      <c r="AU308" s="269"/>
      <c r="AV308" s="269"/>
      <c r="AW308" s="206" t="str">
        <f t="shared" ref="AW308:BB308" si="277">AW53</f>
        <v>#REF!</v>
      </c>
      <c r="AX308" s="206">
        <f t="shared" si="277"/>
        <v>5</v>
      </c>
      <c r="AY308" s="206">
        <f t="shared" si="277"/>
        <v>5</v>
      </c>
      <c r="AZ308" s="206">
        <f t="shared" si="277"/>
        <v>3</v>
      </c>
      <c r="BA308" s="464">
        <f t="shared" si="277"/>
        <v>1</v>
      </c>
      <c r="BB308" s="206">
        <f t="shared" si="277"/>
        <v>1</v>
      </c>
      <c r="BC308" s="465">
        <f t="shared" si="222"/>
        <v>120</v>
      </c>
      <c r="BD308" s="206"/>
      <c r="BE308" s="466"/>
    </row>
    <row r="309">
      <c r="A309" s="94"/>
      <c r="B309" s="296" t="s">
        <v>650</v>
      </c>
      <c r="C309" s="297" t="s">
        <v>649</v>
      </c>
      <c r="D309" s="323"/>
      <c r="E309" s="261"/>
      <c r="F309" s="300"/>
      <c r="G309" s="298"/>
      <c r="H309" s="300"/>
      <c r="I309" s="298"/>
      <c r="J309" s="300"/>
      <c r="K309" s="298"/>
      <c r="L309" s="261"/>
      <c r="M309" s="250"/>
      <c r="N309" s="298"/>
      <c r="O309" s="300"/>
      <c r="P309" s="298"/>
      <c r="Q309" s="319"/>
      <c r="R309" s="298"/>
      <c r="S309" s="261"/>
      <c r="T309" s="312"/>
      <c r="U309" s="298"/>
      <c r="V309" s="300"/>
      <c r="W309" s="298"/>
      <c r="X309" s="300"/>
      <c r="Y309" s="298"/>
      <c r="Z309" s="261"/>
      <c r="AA309" s="250"/>
      <c r="AB309" s="298"/>
      <c r="AC309" s="300"/>
      <c r="AD309" s="298"/>
      <c r="AE309" s="300"/>
      <c r="AF309" s="298"/>
      <c r="AG309" s="261"/>
      <c r="AH309" s="300"/>
      <c r="AI309" s="298"/>
      <c r="AJ309" s="300"/>
      <c r="AK309" s="298"/>
      <c r="AL309" s="300"/>
      <c r="AM309" s="298"/>
      <c r="AN309" s="261"/>
      <c r="AO309" s="250"/>
      <c r="AP309" s="298"/>
      <c r="AQ309" s="300"/>
      <c r="AR309" s="298"/>
      <c r="AS309" s="300"/>
      <c r="AT309" s="254" t="str">
        <f t="shared" si="271"/>
        <v/>
      </c>
      <c r="AU309" s="269"/>
      <c r="AV309" s="269"/>
      <c r="AW309" s="206" t="str">
        <f t="shared" ref="AW309:BB309" si="278">AW54</f>
        <v>#REF!</v>
      </c>
      <c r="AX309" s="206">
        <f t="shared" si="278"/>
        <v>5</v>
      </c>
      <c r="AY309" s="206">
        <f t="shared" si="278"/>
        <v>5</v>
      </c>
      <c r="AZ309" s="206">
        <f t="shared" si="278"/>
        <v>3</v>
      </c>
      <c r="BA309" s="464">
        <f t="shared" si="278"/>
        <v>1</v>
      </c>
      <c r="BB309" s="206">
        <f t="shared" si="278"/>
        <v>1</v>
      </c>
      <c r="BC309" s="465">
        <f t="shared" si="222"/>
        <v>120</v>
      </c>
      <c r="BD309" s="206"/>
      <c r="BE309" s="466"/>
    </row>
    <row r="310">
      <c r="A310" s="94"/>
      <c r="B310" s="301" t="s">
        <v>651</v>
      </c>
      <c r="C310" s="391" t="s">
        <v>652</v>
      </c>
      <c r="D310" s="323"/>
      <c r="E310" s="259"/>
      <c r="F310" s="304"/>
      <c r="G310" s="298"/>
      <c r="H310" s="304"/>
      <c r="I310" s="298"/>
      <c r="J310" s="304"/>
      <c r="K310" s="298"/>
      <c r="L310" s="261"/>
      <c r="M310" s="250"/>
      <c r="N310" s="298"/>
      <c r="O310" s="304"/>
      <c r="P310" s="298"/>
      <c r="Q310" s="304"/>
      <c r="R310" s="298"/>
      <c r="S310" s="261"/>
      <c r="T310" s="312"/>
      <c r="U310" s="298"/>
      <c r="V310" s="304"/>
      <c r="W310" s="298"/>
      <c r="X310" s="583" t="s">
        <v>838</v>
      </c>
      <c r="Y310" s="298"/>
      <c r="Z310" s="261"/>
      <c r="AA310" s="250"/>
      <c r="AB310" s="298"/>
      <c r="AC310" s="304"/>
      <c r="AD310" s="298"/>
      <c r="AE310" s="583" t="s">
        <v>838</v>
      </c>
      <c r="AF310" s="298"/>
      <c r="AG310" s="261"/>
      <c r="AH310" s="304"/>
      <c r="AI310" s="298"/>
      <c r="AJ310" s="304"/>
      <c r="AK310" s="298"/>
      <c r="AL310" s="583" t="s">
        <v>838</v>
      </c>
      <c r="AM310" s="298"/>
      <c r="AN310" s="261"/>
      <c r="AO310" s="250"/>
      <c r="AP310" s="298"/>
      <c r="AQ310" s="304"/>
      <c r="AR310" s="298"/>
      <c r="AS310" s="583" t="s">
        <v>838</v>
      </c>
      <c r="AT310" s="254" t="str">
        <f t="shared" ref="AT310:AT311" si="280">IF(COUNTIF($AO$85:$AT$87, #REF!) &gt; 0, "X", "")</f>
        <v/>
      </c>
      <c r="AU310" s="269"/>
      <c r="AV310" s="269"/>
      <c r="AW310" s="206" t="str">
        <f t="shared" ref="AW310:BB310" si="279">AW55</f>
        <v>#REF!</v>
      </c>
      <c r="AX310" s="206">
        <f t="shared" si="279"/>
        <v>5</v>
      </c>
      <c r="AY310" s="206">
        <f t="shared" si="279"/>
        <v>5</v>
      </c>
      <c r="AZ310" s="206">
        <f t="shared" si="279"/>
        <v>3</v>
      </c>
      <c r="BA310" s="464">
        <f t="shared" si="279"/>
        <v>1</v>
      </c>
      <c r="BB310" s="206">
        <f t="shared" si="279"/>
        <v>1</v>
      </c>
      <c r="BC310" s="465">
        <f t="shared" si="222"/>
        <v>120</v>
      </c>
      <c r="BD310" s="206"/>
      <c r="BE310" s="466"/>
    </row>
    <row r="311">
      <c r="A311" s="94"/>
      <c r="B311" s="392" t="s">
        <v>691</v>
      </c>
      <c r="C311" s="393" t="s">
        <v>652</v>
      </c>
      <c r="D311" s="330"/>
      <c r="E311" s="259"/>
      <c r="F311" s="307"/>
      <c r="G311" s="246"/>
      <c r="H311" s="307"/>
      <c r="I311" s="246"/>
      <c r="J311" s="307"/>
      <c r="K311" s="246"/>
      <c r="L311" s="261"/>
      <c r="M311" s="250"/>
      <c r="N311" s="246"/>
      <c r="O311" s="307"/>
      <c r="P311" s="246"/>
      <c r="Q311" s="307"/>
      <c r="R311" s="246"/>
      <c r="S311" s="261"/>
      <c r="T311" s="312"/>
      <c r="U311" s="246"/>
      <c r="V311" s="307"/>
      <c r="W311" s="246"/>
      <c r="X311" s="395" t="s">
        <v>430</v>
      </c>
      <c r="Y311" s="246"/>
      <c r="Z311" s="261"/>
      <c r="AA311" s="250"/>
      <c r="AB311" s="246"/>
      <c r="AC311" s="307"/>
      <c r="AD311" s="246"/>
      <c r="AE311" s="395" t="s">
        <v>430</v>
      </c>
      <c r="AF311" s="246"/>
      <c r="AG311" s="261"/>
      <c r="AH311" s="307"/>
      <c r="AI311" s="246"/>
      <c r="AJ311" s="307"/>
      <c r="AK311" s="246"/>
      <c r="AL311" s="308" t="s">
        <v>445</v>
      </c>
      <c r="AM311" s="246"/>
      <c r="AN311" s="261"/>
      <c r="AO311" s="250"/>
      <c r="AP311" s="246"/>
      <c r="AQ311" s="307"/>
      <c r="AR311" s="246"/>
      <c r="AS311" s="308" t="s">
        <v>445</v>
      </c>
      <c r="AT311" s="254" t="str">
        <f t="shared" si="280"/>
        <v/>
      </c>
      <c r="AU311" s="269"/>
      <c r="AV311" s="269"/>
      <c r="AW311" s="206" t="str">
        <f t="shared" ref="AW311:BB311" si="281">AW56</f>
        <v>#REF!</v>
      </c>
      <c r="AX311" s="206">
        <f t="shared" si="281"/>
        <v>5</v>
      </c>
      <c r="AY311" s="206">
        <f t="shared" si="281"/>
        <v>5</v>
      </c>
      <c r="AZ311" s="206">
        <f t="shared" si="281"/>
        <v>3</v>
      </c>
      <c r="BA311" s="464">
        <f t="shared" si="281"/>
        <v>1</v>
      </c>
      <c r="BB311" s="206">
        <f t="shared" si="281"/>
        <v>1</v>
      </c>
      <c r="BC311" s="465">
        <f t="shared" si="222"/>
        <v>120</v>
      </c>
      <c r="BD311" s="206"/>
      <c r="BE311" s="466"/>
    </row>
    <row r="312">
      <c r="A312" s="94"/>
      <c r="B312" s="328" t="s">
        <v>692</v>
      </c>
      <c r="C312" s="329" t="s">
        <v>652</v>
      </c>
      <c r="D312" s="369"/>
      <c r="E312" s="259"/>
      <c r="F312" s="371"/>
      <c r="G312" s="246"/>
      <c r="H312" s="371"/>
      <c r="I312" s="246"/>
      <c r="J312" s="371"/>
      <c r="K312" s="246"/>
      <c r="L312" s="261"/>
      <c r="M312" s="250"/>
      <c r="N312" s="246"/>
      <c r="O312" s="371"/>
      <c r="P312" s="246"/>
      <c r="Q312" s="371"/>
      <c r="R312" s="246"/>
      <c r="S312" s="261"/>
      <c r="T312" s="312"/>
      <c r="U312" s="246"/>
      <c r="V312" s="371"/>
      <c r="W312" s="246"/>
      <c r="X312" s="282"/>
      <c r="Y312" s="246"/>
      <c r="Z312" s="261"/>
      <c r="AA312" s="250"/>
      <c r="AB312" s="246"/>
      <c r="AC312" s="282"/>
      <c r="AD312" s="246"/>
      <c r="AE312" s="584"/>
      <c r="AF312" s="246"/>
      <c r="AG312" s="261"/>
      <c r="AH312" s="371"/>
      <c r="AI312" s="246"/>
      <c r="AJ312" s="371"/>
      <c r="AK312" s="246"/>
      <c r="AL312" s="282"/>
      <c r="AM312" s="246"/>
      <c r="AN312" s="261"/>
      <c r="AO312" s="250"/>
      <c r="AP312" s="246"/>
      <c r="AQ312" s="371"/>
      <c r="AR312" s="246"/>
      <c r="AS312" s="282"/>
      <c r="AT312" s="254" t="str">
        <f t="shared" ref="AT312:AT315" si="283">IF(COUNTIF($AO$85:$AT$87, AS312) &gt; 0, "X", "")</f>
        <v/>
      </c>
      <c r="AU312" s="269"/>
      <c r="AV312" s="269"/>
      <c r="AW312" s="206" t="str">
        <f t="shared" ref="AW312:BB312" si="282">AW57</f>
        <v>#REF!</v>
      </c>
      <c r="AX312" s="206">
        <f t="shared" si="282"/>
        <v>5</v>
      </c>
      <c r="AY312" s="206">
        <f t="shared" si="282"/>
        <v>5</v>
      </c>
      <c r="AZ312" s="206">
        <f t="shared" si="282"/>
        <v>3</v>
      </c>
      <c r="BA312" s="464">
        <f t="shared" si="282"/>
        <v>1</v>
      </c>
      <c r="BB312" s="206">
        <f t="shared" si="282"/>
        <v>1</v>
      </c>
      <c r="BC312" s="465">
        <f t="shared" si="222"/>
        <v>120</v>
      </c>
      <c r="BD312" s="206"/>
      <c r="BE312" s="466"/>
    </row>
    <row r="313">
      <c r="A313" s="94"/>
      <c r="B313" s="397" t="s">
        <v>692</v>
      </c>
      <c r="C313" s="398" t="s">
        <v>687</v>
      </c>
      <c r="D313" s="404"/>
      <c r="E313" s="259"/>
      <c r="F313" s="399"/>
      <c r="G313" s="246"/>
      <c r="H313" s="399"/>
      <c r="I313" s="246"/>
      <c r="J313" s="399"/>
      <c r="K313" s="246"/>
      <c r="L313" s="261"/>
      <c r="M313" s="250"/>
      <c r="N313" s="246"/>
      <c r="O313" s="399"/>
      <c r="P313" s="246"/>
      <c r="Q313" s="282"/>
      <c r="R313" s="246"/>
      <c r="S313" s="261"/>
      <c r="T313" s="312"/>
      <c r="U313" s="246"/>
      <c r="V313" s="399"/>
      <c r="W313" s="246"/>
      <c r="X313" s="399"/>
      <c r="Y313" s="246"/>
      <c r="Z313" s="261"/>
      <c r="AA313" s="250"/>
      <c r="AB313" s="246"/>
      <c r="AC313" s="282"/>
      <c r="AD313" s="246"/>
      <c r="AF313" s="246"/>
      <c r="AG313" s="261"/>
      <c r="AH313" s="399"/>
      <c r="AI313" s="246"/>
      <c r="AJ313" s="399"/>
      <c r="AK313" s="246"/>
      <c r="AL313" s="399"/>
      <c r="AM313" s="246"/>
      <c r="AN313" s="261"/>
      <c r="AO313" s="250"/>
      <c r="AP313" s="246"/>
      <c r="AQ313" s="399"/>
      <c r="AR313" s="246"/>
      <c r="AS313" s="399"/>
      <c r="AT313" s="254" t="str">
        <f t="shared" si="283"/>
        <v/>
      </c>
      <c r="AU313" s="269"/>
      <c r="AV313" s="269"/>
      <c r="AW313" s="206" t="str">
        <f t="shared" ref="AW313:BB313" si="284">AW58</f>
        <v>#REF!</v>
      </c>
      <c r="AX313" s="206">
        <f t="shared" si="284"/>
        <v>5</v>
      </c>
      <c r="AY313" s="206">
        <f t="shared" si="284"/>
        <v>5</v>
      </c>
      <c r="AZ313" s="206">
        <f t="shared" si="284"/>
        <v>3</v>
      </c>
      <c r="BA313" s="464">
        <f t="shared" si="284"/>
        <v>1</v>
      </c>
      <c r="BB313" s="206">
        <f t="shared" si="284"/>
        <v>1</v>
      </c>
      <c r="BC313" s="465">
        <f t="shared" si="222"/>
        <v>120</v>
      </c>
      <c r="BD313" s="206"/>
      <c r="BE313" s="466"/>
    </row>
    <row r="314">
      <c r="A314" s="270"/>
      <c r="B314" s="402" t="s">
        <v>699</v>
      </c>
      <c r="C314" s="403" t="s">
        <v>649</v>
      </c>
      <c r="D314" s="330"/>
      <c r="E314" s="259"/>
      <c r="F314" s="294"/>
      <c r="G314" s="246"/>
      <c r="H314" s="294"/>
      <c r="I314" s="246"/>
      <c r="J314" s="294"/>
      <c r="K314" s="246"/>
      <c r="L314" s="261"/>
      <c r="M314" s="250"/>
      <c r="N314" s="246"/>
      <c r="O314" s="294"/>
      <c r="P314" s="246"/>
      <c r="Q314" s="293" t="s">
        <v>426</v>
      </c>
      <c r="R314" s="246"/>
      <c r="S314" s="261"/>
      <c r="T314" s="312"/>
      <c r="U314" s="246"/>
      <c r="V314" s="294"/>
      <c r="W314" s="246"/>
      <c r="X314" s="294"/>
      <c r="Y314" s="246"/>
      <c r="Z314" s="261"/>
      <c r="AA314" s="250"/>
      <c r="AB314" s="246"/>
      <c r="AC314" s="294"/>
      <c r="AD314" s="246"/>
      <c r="AE314" s="293" t="s">
        <v>416</v>
      </c>
      <c r="AF314" s="246"/>
      <c r="AG314" s="261"/>
      <c r="AH314" s="294"/>
      <c r="AI314" s="246"/>
      <c r="AJ314" s="294"/>
      <c r="AK314" s="246"/>
      <c r="AL314" s="294"/>
      <c r="AM314" s="246"/>
      <c r="AN314" s="261"/>
      <c r="AO314" s="250"/>
      <c r="AP314" s="246"/>
      <c r="AQ314" s="294"/>
      <c r="AR314" s="246"/>
      <c r="AS314" s="294"/>
      <c r="AT314" s="254" t="str">
        <f t="shared" si="283"/>
        <v/>
      </c>
      <c r="AU314" s="269"/>
      <c r="AV314" s="269"/>
      <c r="AW314" s="206" t="str">
        <f t="shared" ref="AW314:BB314" si="285">AW59</f>
        <v>#REF!</v>
      </c>
      <c r="AX314" s="206">
        <f t="shared" si="285"/>
        <v>5</v>
      </c>
      <c r="AY314" s="206">
        <f t="shared" si="285"/>
        <v>5</v>
      </c>
      <c r="AZ314" s="206">
        <f t="shared" si="285"/>
        <v>3</v>
      </c>
      <c r="BA314" s="464">
        <f t="shared" si="285"/>
        <v>1</v>
      </c>
      <c r="BB314" s="206">
        <f t="shared" si="285"/>
        <v>1</v>
      </c>
      <c r="BC314" s="465">
        <f t="shared" si="222"/>
        <v>120</v>
      </c>
      <c r="BD314" s="206"/>
      <c r="BE314" s="466"/>
    </row>
    <row r="315">
      <c r="A315" s="94"/>
      <c r="B315" s="328" t="s">
        <v>700</v>
      </c>
      <c r="C315" s="329" t="s">
        <v>657</v>
      </c>
      <c r="D315" s="330"/>
      <c r="E315" s="259"/>
      <c r="F315" s="264"/>
      <c r="G315" s="246"/>
      <c r="H315" s="265"/>
      <c r="I315" s="246"/>
      <c r="J315" s="264"/>
      <c r="K315" s="246"/>
      <c r="L315" s="261"/>
      <c r="M315" s="262"/>
      <c r="N315" s="246"/>
      <c r="O315" s="264"/>
      <c r="P315" s="246"/>
      <c r="Q315" s="340" t="s">
        <v>437</v>
      </c>
      <c r="R315" s="246"/>
      <c r="S315" s="261"/>
      <c r="T315" s="312"/>
      <c r="U315" s="246"/>
      <c r="V315" s="264"/>
      <c r="W315" s="246"/>
      <c r="X315" s="264"/>
      <c r="Y315" s="246"/>
      <c r="Z315" s="261"/>
      <c r="AA315" s="262"/>
      <c r="AB315" s="246"/>
      <c r="AC315" s="264"/>
      <c r="AD315" s="246"/>
      <c r="AE315" s="573" t="s">
        <v>437</v>
      </c>
      <c r="AF315" s="246"/>
      <c r="AG315" s="261"/>
      <c r="AH315" s="264"/>
      <c r="AI315" s="246"/>
      <c r="AJ315" s="264"/>
      <c r="AK315" s="246"/>
      <c r="AL315" s="264"/>
      <c r="AM315" s="246"/>
      <c r="AN315" s="261"/>
      <c r="AO315" s="262"/>
      <c r="AP315" s="246"/>
      <c r="AQ315" s="265"/>
      <c r="AR315" s="246"/>
      <c r="AS315" s="264"/>
      <c r="AT315" s="254" t="str">
        <f t="shared" si="283"/>
        <v/>
      </c>
      <c r="AU315" s="269"/>
      <c r="AV315" s="269"/>
      <c r="AW315" s="206" t="str">
        <f t="shared" ref="AW315:BB315" si="286">AW60</f>
        <v>#REF!</v>
      </c>
      <c r="AX315" s="206">
        <f t="shared" si="286"/>
        <v>5</v>
      </c>
      <c r="AY315" s="206">
        <f t="shared" si="286"/>
        <v>5</v>
      </c>
      <c r="AZ315" s="206">
        <f t="shared" si="286"/>
        <v>3</v>
      </c>
      <c r="BA315" s="464">
        <f t="shared" si="286"/>
        <v>1</v>
      </c>
      <c r="BB315" s="206">
        <f t="shared" si="286"/>
        <v>1</v>
      </c>
      <c r="BC315" s="465">
        <f t="shared" si="222"/>
        <v>120</v>
      </c>
      <c r="BD315" s="206"/>
      <c r="BE315" s="466"/>
    </row>
    <row r="316">
      <c r="A316" s="94"/>
      <c r="B316" s="328" t="s">
        <v>700</v>
      </c>
      <c r="C316" s="329" t="s">
        <v>657</v>
      </c>
      <c r="D316" s="330"/>
      <c r="E316" s="259"/>
      <c r="F316" s="371"/>
      <c r="G316" s="246"/>
      <c r="H316" s="282"/>
      <c r="I316" s="246"/>
      <c r="J316" s="371"/>
      <c r="K316" s="246"/>
      <c r="L316" s="261"/>
      <c r="M316" s="250"/>
      <c r="N316" s="246"/>
      <c r="O316" s="282"/>
      <c r="P316" s="246"/>
      <c r="Q316" s="522" t="s">
        <v>462</v>
      </c>
      <c r="R316" s="246"/>
      <c r="S316" s="261"/>
      <c r="T316" s="312"/>
      <c r="U316" s="246"/>
      <c r="V316" s="371"/>
      <c r="W316" s="246"/>
      <c r="X316" s="371"/>
      <c r="Y316" s="246"/>
      <c r="Z316" s="261"/>
      <c r="AA316" s="250"/>
      <c r="AB316" s="246"/>
      <c r="AC316" s="371"/>
      <c r="AD316" s="246"/>
      <c r="AE316" s="522" t="s">
        <v>462</v>
      </c>
      <c r="AF316" s="246"/>
      <c r="AG316" s="261"/>
      <c r="AH316" s="371"/>
      <c r="AI316" s="246"/>
      <c r="AJ316" s="371"/>
      <c r="AK316" s="246"/>
      <c r="AL316" s="371"/>
      <c r="AM316" s="246"/>
      <c r="AN316" s="261"/>
      <c r="AO316" s="250"/>
      <c r="AP316" s="246"/>
      <c r="AQ316" s="371"/>
      <c r="AR316" s="246"/>
      <c r="AS316" s="371"/>
      <c r="AT316" s="254" t="str">
        <f>IF(COUNTIF($AO$85:$AT$87, #REF!) &gt; 0, "X", "")</f>
        <v/>
      </c>
      <c r="AU316" s="269"/>
      <c r="AV316" s="269"/>
      <c r="AW316" s="206" t="str">
        <f t="shared" ref="AW316:BB316" si="287">AW61</f>
        <v>#REF!</v>
      </c>
      <c r="AX316" s="206">
        <f t="shared" si="287"/>
        <v>5</v>
      </c>
      <c r="AY316" s="206">
        <f t="shared" si="287"/>
        <v>5</v>
      </c>
      <c r="AZ316" s="206">
        <f t="shared" si="287"/>
        <v>3</v>
      </c>
      <c r="BA316" s="464">
        <f t="shared" si="287"/>
        <v>1</v>
      </c>
      <c r="BB316" s="206">
        <f t="shared" si="287"/>
        <v>1</v>
      </c>
      <c r="BC316" s="465">
        <f t="shared" si="222"/>
        <v>120</v>
      </c>
      <c r="BD316" s="206"/>
      <c r="BE316" s="466"/>
    </row>
    <row r="317">
      <c r="A317" s="94"/>
      <c r="B317" s="328" t="s">
        <v>700</v>
      </c>
      <c r="C317" s="329" t="s">
        <v>657</v>
      </c>
      <c r="D317" s="351"/>
      <c r="E317" s="259"/>
      <c r="F317" s="265"/>
      <c r="G317" s="246"/>
      <c r="H317" s="265"/>
      <c r="I317" s="246"/>
      <c r="K317" s="246"/>
      <c r="L317" s="261"/>
      <c r="M317" s="262"/>
      <c r="N317" s="246"/>
      <c r="O317" s="265"/>
      <c r="P317" s="246"/>
      <c r="R317" s="246"/>
      <c r="S317" s="261"/>
      <c r="T317" s="312"/>
      <c r="U317" s="246"/>
      <c r="V317" s="265"/>
      <c r="W317" s="246"/>
      <c r="X317" s="265"/>
      <c r="Y317" s="246"/>
      <c r="Z317" s="261"/>
      <c r="AA317" s="262"/>
      <c r="AB317" s="246"/>
      <c r="AD317" s="246"/>
      <c r="AE317" s="265"/>
      <c r="AF317" s="246"/>
      <c r="AG317" s="261"/>
      <c r="AH317" s="264"/>
      <c r="AI317" s="246"/>
      <c r="AJ317" s="265"/>
      <c r="AK317" s="246"/>
      <c r="AL317" s="289"/>
      <c r="AM317" s="246"/>
      <c r="AN317" s="261"/>
      <c r="AO317" s="262"/>
      <c r="AP317" s="246"/>
      <c r="AQ317" s="264"/>
      <c r="AR317" s="246"/>
      <c r="AS317" s="265"/>
      <c r="AT317" s="254" t="str">
        <f t="shared" ref="AT317:AT318" si="289">IF(COUNTIF($AO$85:$AT$87, AS317) &gt; 0, "X", "")</f>
        <v/>
      </c>
      <c r="AU317" s="269"/>
      <c r="AV317" s="269"/>
      <c r="AW317" s="206" t="str">
        <f t="shared" ref="AW317:BB317" si="288">AW62</f>
        <v>#REF!</v>
      </c>
      <c r="AX317" s="206">
        <f t="shared" si="288"/>
        <v>5</v>
      </c>
      <c r="AY317" s="206">
        <f t="shared" si="288"/>
        <v>5</v>
      </c>
      <c r="AZ317" s="206">
        <f t="shared" si="288"/>
        <v>3</v>
      </c>
      <c r="BA317" s="464">
        <f t="shared" si="288"/>
        <v>1</v>
      </c>
      <c r="BB317" s="206">
        <f t="shared" si="288"/>
        <v>1</v>
      </c>
      <c r="BC317" s="465">
        <f t="shared" si="222"/>
        <v>120</v>
      </c>
      <c r="BD317" s="206"/>
      <c r="BE317" s="466"/>
    </row>
    <row r="318">
      <c r="A318" s="94"/>
      <c r="B318" s="408" t="s">
        <v>702</v>
      </c>
      <c r="C318" s="409" t="s">
        <v>652</v>
      </c>
      <c r="D318" s="323"/>
      <c r="E318" s="259"/>
      <c r="F318" s="411"/>
      <c r="G318" s="246"/>
      <c r="H318" s="411"/>
      <c r="I318" s="246"/>
      <c r="J318" s="411"/>
      <c r="K318" s="246"/>
      <c r="L318" s="261"/>
      <c r="M318" s="262"/>
      <c r="N318" s="246"/>
      <c r="O318" s="411"/>
      <c r="P318" s="246"/>
      <c r="Q318" s="411"/>
      <c r="R318" s="246"/>
      <c r="S318" s="261"/>
      <c r="T318" s="312"/>
      <c r="U318" s="246"/>
      <c r="V318" s="411"/>
      <c r="W318" s="246"/>
      <c r="X318" s="411"/>
      <c r="Y318" s="246"/>
      <c r="Z318" s="261"/>
      <c r="AA318" s="262"/>
      <c r="AB318" s="246"/>
      <c r="AC318" s="411"/>
      <c r="AD318" s="246"/>
      <c r="AE318" s="411"/>
      <c r="AF318" s="246"/>
      <c r="AG318" s="261"/>
      <c r="AH318" s="411"/>
      <c r="AI318" s="246"/>
      <c r="AJ318" s="411"/>
      <c r="AK318" s="246"/>
      <c r="AL318" s="411"/>
      <c r="AM318" s="246"/>
      <c r="AN318" s="261"/>
      <c r="AO318" s="262"/>
      <c r="AP318" s="246"/>
      <c r="AQ318" s="411"/>
      <c r="AR318" s="246"/>
      <c r="AS318" s="411"/>
      <c r="AT318" s="254" t="str">
        <f t="shared" si="289"/>
        <v/>
      </c>
      <c r="AU318" s="269"/>
      <c r="AV318" s="269"/>
      <c r="AW318" s="206" t="str">
        <f t="shared" ref="AW318:BB318" si="290">AW63</f>
        <v>#REF!</v>
      </c>
      <c r="AX318" s="206">
        <f t="shared" si="290"/>
        <v>5</v>
      </c>
      <c r="AY318" s="206">
        <f t="shared" si="290"/>
        <v>5</v>
      </c>
      <c r="AZ318" s="206">
        <f t="shared" si="290"/>
        <v>3</v>
      </c>
      <c r="BA318" s="464">
        <f t="shared" si="290"/>
        <v>1</v>
      </c>
      <c r="BB318" s="206">
        <f t="shared" si="290"/>
        <v>1</v>
      </c>
      <c r="BC318" s="465">
        <f t="shared" si="222"/>
        <v>120</v>
      </c>
      <c r="BD318" s="206"/>
      <c r="BE318" s="466"/>
    </row>
    <row r="319">
      <c r="A319" s="234"/>
      <c r="B319" s="401" t="s">
        <v>703</v>
      </c>
      <c r="C319" s="412" t="s">
        <v>704</v>
      </c>
      <c r="D319" s="330"/>
      <c r="E319" s="259"/>
      <c r="F319" s="307"/>
      <c r="G319" s="246"/>
      <c r="H319" s="307"/>
      <c r="I319" s="246"/>
      <c r="J319" s="307"/>
      <c r="K319" s="246"/>
      <c r="L319" s="261"/>
      <c r="M319" s="341"/>
      <c r="N319" s="246"/>
      <c r="O319" s="307"/>
      <c r="P319" s="246"/>
      <c r="Q319" s="307"/>
      <c r="R319" s="246"/>
      <c r="S319" s="261"/>
      <c r="T319" s="312"/>
      <c r="U319" s="246"/>
      <c r="V319" s="307"/>
      <c r="W319" s="246"/>
      <c r="X319" s="307"/>
      <c r="Y319" s="246"/>
      <c r="Z319" s="261"/>
      <c r="AA319" s="341"/>
      <c r="AB319" s="246"/>
      <c r="AC319" s="307"/>
      <c r="AD319" s="246"/>
      <c r="AE319" s="307"/>
      <c r="AF319" s="246"/>
      <c r="AG319" s="261"/>
      <c r="AH319" s="307"/>
      <c r="AI319" s="246"/>
      <c r="AJ319" s="307"/>
      <c r="AK319" s="246"/>
      <c r="AL319" s="307"/>
      <c r="AM319" s="246"/>
      <c r="AN319" s="261"/>
      <c r="AO319" s="341"/>
      <c r="AP319" s="246"/>
      <c r="AQ319" s="307"/>
      <c r="AR319" s="246"/>
      <c r="AS319" s="307"/>
      <c r="AT319" s="254" t="str">
        <f t="shared" ref="AT319:AT321" si="292">IF(COUNTIF($AO$85:$AT$87, #REF!) &gt; 0, "X", "")</f>
        <v/>
      </c>
      <c r="AU319" s="269"/>
      <c r="AV319" s="269"/>
      <c r="AW319" s="206" t="str">
        <f t="shared" ref="AW319:BB319" si="291">AW64</f>
        <v>#REF!</v>
      </c>
      <c r="AX319" s="206">
        <f t="shared" si="291"/>
        <v>5</v>
      </c>
      <c r="AY319" s="206">
        <f t="shared" si="291"/>
        <v>5</v>
      </c>
      <c r="AZ319" s="206">
        <f t="shared" si="291"/>
        <v>3</v>
      </c>
      <c r="BA319" s="464">
        <f t="shared" si="291"/>
        <v>1</v>
      </c>
      <c r="BB319" s="206">
        <f t="shared" si="291"/>
        <v>1</v>
      </c>
      <c r="BC319" s="465">
        <f t="shared" si="222"/>
        <v>120</v>
      </c>
      <c r="BD319" s="206"/>
      <c r="BE319" s="466"/>
    </row>
    <row r="320">
      <c r="A320" s="234"/>
      <c r="B320" s="414" t="s">
        <v>705</v>
      </c>
      <c r="C320" s="415" t="s">
        <v>704</v>
      </c>
      <c r="D320" s="330"/>
      <c r="E320" s="259"/>
      <c r="G320" s="246"/>
      <c r="H320" s="311" t="s">
        <v>394</v>
      </c>
      <c r="I320" s="246"/>
      <c r="J320" s="586" t="s">
        <v>452</v>
      </c>
      <c r="K320" s="246"/>
      <c r="L320" s="261"/>
      <c r="M320" s="341"/>
      <c r="N320" s="246"/>
      <c r="O320" s="311" t="s">
        <v>438</v>
      </c>
      <c r="P320" s="246"/>
      <c r="Q320" s="251" t="s">
        <v>432</v>
      </c>
      <c r="R320" s="246"/>
      <c r="S320" s="261"/>
      <c r="T320" s="312"/>
      <c r="U320" s="246"/>
      <c r="V320" s="374" t="s">
        <v>394</v>
      </c>
      <c r="W320" s="246"/>
      <c r="X320" s="251" t="s">
        <v>706</v>
      </c>
      <c r="Y320" s="246"/>
      <c r="Z320" s="261"/>
      <c r="AA320" s="251" t="s">
        <v>410</v>
      </c>
      <c r="AB320" s="246"/>
      <c r="AC320" s="251" t="s">
        <v>407</v>
      </c>
      <c r="AD320" s="246"/>
      <c r="AE320" s="251" t="s">
        <v>706</v>
      </c>
      <c r="AF320" s="246"/>
      <c r="AG320" s="261"/>
      <c r="AH320" s="282"/>
      <c r="AI320" s="246"/>
      <c r="AJ320" s="606" t="s">
        <v>394</v>
      </c>
      <c r="AK320" s="246"/>
      <c r="AL320" s="251" t="s">
        <v>432</v>
      </c>
      <c r="AM320" s="246"/>
      <c r="AN320" s="261"/>
      <c r="AO320" s="341"/>
      <c r="AP320" s="246"/>
      <c r="AQ320" s="311" t="s">
        <v>394</v>
      </c>
      <c r="AR320" s="246"/>
      <c r="AS320" s="374" t="s">
        <v>410</v>
      </c>
      <c r="AT320" s="254" t="str">
        <f t="shared" si="292"/>
        <v/>
      </c>
      <c r="AU320" s="269"/>
      <c r="AV320" s="269"/>
      <c r="AW320" s="206" t="str">
        <f t="shared" ref="AW320:BB320" si="293">AW65</f>
        <v>#REF!</v>
      </c>
      <c r="AX320" s="206">
        <f t="shared" si="293"/>
        <v>5</v>
      </c>
      <c r="AY320" s="206">
        <f t="shared" si="293"/>
        <v>5</v>
      </c>
      <c r="AZ320" s="206">
        <f t="shared" si="293"/>
        <v>3</v>
      </c>
      <c r="BA320" s="464">
        <f t="shared" si="293"/>
        <v>1</v>
      </c>
      <c r="BB320" s="206">
        <f t="shared" si="293"/>
        <v>1</v>
      </c>
      <c r="BC320" s="465">
        <f t="shared" si="222"/>
        <v>120</v>
      </c>
      <c r="BD320" s="206"/>
      <c r="BE320" s="466"/>
    </row>
    <row r="321">
      <c r="A321" s="94"/>
      <c r="B321" s="328" t="s">
        <v>705</v>
      </c>
      <c r="C321" s="257" t="s">
        <v>657</v>
      </c>
      <c r="D321" s="330"/>
      <c r="E321" s="259"/>
      <c r="F321" s="251" t="s">
        <v>706</v>
      </c>
      <c r="G321" s="246"/>
      <c r="H321" s="325" t="s">
        <v>841</v>
      </c>
      <c r="I321" s="246"/>
      <c r="J321" s="251" t="s">
        <v>432</v>
      </c>
      <c r="K321" s="246"/>
      <c r="L321" s="261"/>
      <c r="M321" s="341"/>
      <c r="N321" s="246"/>
      <c r="O321" s="374" t="s">
        <v>394</v>
      </c>
      <c r="P321" s="246"/>
      <c r="Q321" s="311" t="s">
        <v>410</v>
      </c>
      <c r="R321" s="246"/>
      <c r="S321" s="261"/>
      <c r="T321" s="312"/>
      <c r="U321" s="246"/>
      <c r="V321" s="311" t="s">
        <v>438</v>
      </c>
      <c r="W321" s="246"/>
      <c r="X321" s="311" t="s">
        <v>467</v>
      </c>
      <c r="Y321" s="246"/>
      <c r="Z321" s="261"/>
      <c r="AA321" s="341"/>
      <c r="AB321" s="246"/>
      <c r="AC321" s="251" t="s">
        <v>440</v>
      </c>
      <c r="AD321" s="246"/>
      <c r="AE321" s="311" t="s">
        <v>467</v>
      </c>
      <c r="AF321" s="246"/>
      <c r="AG321" s="261"/>
      <c r="AH321" s="251" t="s">
        <v>706</v>
      </c>
      <c r="AI321" s="246"/>
      <c r="AJ321" s="311" t="s">
        <v>440</v>
      </c>
      <c r="AK321" s="246"/>
      <c r="AL321" s="586" t="s">
        <v>452</v>
      </c>
      <c r="AM321" s="246"/>
      <c r="AN321" s="261"/>
      <c r="AO321" s="341"/>
      <c r="AP321" s="246"/>
      <c r="AR321" s="246"/>
      <c r="AS321" s="586" t="s">
        <v>452</v>
      </c>
      <c r="AT321" s="254" t="str">
        <f t="shared" si="292"/>
        <v/>
      </c>
      <c r="AU321" s="269"/>
      <c r="AV321" s="269"/>
      <c r="AW321" s="206" t="str">
        <f t="shared" ref="AW321:BB321" si="294">AW66</f>
        <v>#REF!</v>
      </c>
      <c r="AX321" s="206">
        <f t="shared" si="294"/>
        <v>5</v>
      </c>
      <c r="AY321" s="206">
        <f t="shared" si="294"/>
        <v>5</v>
      </c>
      <c r="AZ321" s="206">
        <f t="shared" si="294"/>
        <v>3</v>
      </c>
      <c r="BA321" s="464">
        <f t="shared" si="294"/>
        <v>1</v>
      </c>
      <c r="BB321" s="206">
        <f t="shared" si="294"/>
        <v>1</v>
      </c>
      <c r="BC321" s="465">
        <f t="shared" si="222"/>
        <v>120</v>
      </c>
      <c r="BD321" s="206"/>
      <c r="BE321" s="466"/>
    </row>
    <row r="322">
      <c r="A322" s="94"/>
      <c r="B322" s="277" t="s">
        <v>705</v>
      </c>
      <c r="C322" s="329" t="s">
        <v>685</v>
      </c>
      <c r="D322" s="369"/>
      <c r="E322" s="259"/>
      <c r="F322" s="311" t="s">
        <v>470</v>
      </c>
      <c r="G322" s="246"/>
      <c r="H322" s="251" t="s">
        <v>440</v>
      </c>
      <c r="I322" s="246"/>
      <c r="J322" s="311" t="s">
        <v>467</v>
      </c>
      <c r="K322" s="246"/>
      <c r="L322" s="261"/>
      <c r="M322" s="341"/>
      <c r="N322" s="246"/>
      <c r="O322" s="251" t="s">
        <v>407</v>
      </c>
      <c r="P322" s="246"/>
      <c r="Q322" s="311" t="s">
        <v>470</v>
      </c>
      <c r="R322" s="246"/>
      <c r="S322" s="261"/>
      <c r="T322" s="312"/>
      <c r="U322" s="246"/>
      <c r="V322" s="311" t="s">
        <v>440</v>
      </c>
      <c r="W322" s="246"/>
      <c r="X322" s="586" t="s">
        <v>452</v>
      </c>
      <c r="Y322" s="246"/>
      <c r="Z322" s="261"/>
      <c r="AA322" s="341"/>
      <c r="AB322" s="246"/>
      <c r="AC322" s="311" t="s">
        <v>470</v>
      </c>
      <c r="AD322" s="246"/>
      <c r="AE322" s="287" t="s">
        <v>405</v>
      </c>
      <c r="AF322" s="246"/>
      <c r="AG322" s="261"/>
      <c r="AH322" s="311" t="s">
        <v>470</v>
      </c>
      <c r="AI322" s="246"/>
      <c r="AJ322" s="251" t="s">
        <v>407</v>
      </c>
      <c r="AK322" s="246"/>
      <c r="AL322" s="311" t="s">
        <v>467</v>
      </c>
      <c r="AM322" s="246"/>
      <c r="AN322" s="261"/>
      <c r="AO322" s="341"/>
      <c r="AP322" s="246"/>
      <c r="AQ322" s="325" t="s">
        <v>857</v>
      </c>
      <c r="AR322" s="246"/>
      <c r="AS322" s="251" t="s">
        <v>706</v>
      </c>
      <c r="AT322" s="254" t="str">
        <f>IF(COUNTIF($AO$85:$AT$87, AO321) &gt; 0, "X", "")</f>
        <v/>
      </c>
      <c r="AU322" s="269"/>
      <c r="AV322" s="269"/>
      <c r="AW322" s="206" t="str">
        <f t="shared" ref="AW322:BB322" si="295">AW67</f>
        <v>#REF!</v>
      </c>
      <c r="AX322" s="206">
        <f t="shared" si="295"/>
        <v>5</v>
      </c>
      <c r="AY322" s="206">
        <f t="shared" si="295"/>
        <v>5</v>
      </c>
      <c r="AZ322" s="206">
        <f t="shared" si="295"/>
        <v>3</v>
      </c>
      <c r="BA322" s="464">
        <f t="shared" si="295"/>
        <v>1</v>
      </c>
      <c r="BB322" s="206">
        <f t="shared" si="295"/>
        <v>1</v>
      </c>
      <c r="BC322" s="465">
        <f t="shared" si="222"/>
        <v>120</v>
      </c>
      <c r="BD322" s="206"/>
      <c r="BE322" s="466"/>
    </row>
    <row r="323">
      <c r="A323" s="94"/>
      <c r="B323" s="271" t="s">
        <v>705</v>
      </c>
      <c r="C323" s="272" t="s">
        <v>687</v>
      </c>
      <c r="D323" s="330"/>
      <c r="E323" s="259"/>
      <c r="F323" s="282"/>
      <c r="G323" s="246"/>
      <c r="H323" s="282"/>
      <c r="I323" s="246"/>
      <c r="J323" s="282"/>
      <c r="K323" s="246"/>
      <c r="L323" s="261"/>
      <c r="M323" s="341"/>
      <c r="N323" s="246"/>
      <c r="O323" s="282"/>
      <c r="P323" s="246"/>
      <c r="R323" s="246"/>
      <c r="S323" s="261"/>
      <c r="T323" s="312"/>
      <c r="U323" s="246"/>
      <c r="W323" s="246"/>
      <c r="Y323" s="246"/>
      <c r="Z323" s="261"/>
      <c r="AA323" s="341"/>
      <c r="AB323" s="246"/>
      <c r="AC323" s="282"/>
      <c r="AD323" s="246"/>
      <c r="AF323" s="246"/>
      <c r="AG323" s="261"/>
      <c r="AH323" s="282"/>
      <c r="AI323" s="246"/>
      <c r="AJ323" s="325" t="s">
        <v>841</v>
      </c>
      <c r="AK323" s="246"/>
      <c r="AL323" s="282"/>
      <c r="AM323" s="246"/>
      <c r="AN323" s="261"/>
      <c r="AO323" s="341"/>
      <c r="AP323" s="246"/>
      <c r="AQ323" s="325" t="s">
        <v>841</v>
      </c>
      <c r="AR323" s="246"/>
      <c r="AS323" s="282"/>
      <c r="AT323" s="254" t="str">
        <f>IF(COUNTIF($AO$85:$AT$87, #REF!) &gt; 0, "X", "")</f>
        <v/>
      </c>
      <c r="AU323" s="269"/>
      <c r="AV323" s="269"/>
      <c r="AW323" s="206" t="str">
        <f t="shared" ref="AW323:BB323" si="296">AW68</f>
        <v>#REF!</v>
      </c>
      <c r="AX323" s="206">
        <f t="shared" si="296"/>
        <v>5</v>
      </c>
      <c r="AY323" s="206">
        <f t="shared" si="296"/>
        <v>5</v>
      </c>
      <c r="AZ323" s="206">
        <f t="shared" si="296"/>
        <v>3</v>
      </c>
      <c r="BA323" s="464">
        <f t="shared" si="296"/>
        <v>1</v>
      </c>
      <c r="BB323" s="206">
        <f t="shared" si="296"/>
        <v>1</v>
      </c>
      <c r="BC323" s="465">
        <f t="shared" si="222"/>
        <v>120</v>
      </c>
      <c r="BD323" s="206"/>
      <c r="BE323" s="466"/>
    </row>
    <row r="324">
      <c r="A324" s="270"/>
      <c r="B324" s="397" t="s">
        <v>708</v>
      </c>
      <c r="C324" s="398" t="s">
        <v>654</v>
      </c>
      <c r="D324" s="330"/>
      <c r="E324" s="259"/>
      <c r="F324" s="275"/>
      <c r="G324" s="246"/>
      <c r="H324" s="384" t="s">
        <v>441</v>
      </c>
      <c r="I324" s="246"/>
      <c r="J324" s="374" t="s">
        <v>446</v>
      </c>
      <c r="K324" s="246"/>
      <c r="L324" s="261"/>
      <c r="M324" s="286"/>
      <c r="N324" s="246"/>
      <c r="O324" s="384" t="s">
        <v>441</v>
      </c>
      <c r="P324" s="246"/>
      <c r="Q324" s="374" t="s">
        <v>446</v>
      </c>
      <c r="R324" s="246"/>
      <c r="S324" s="261"/>
      <c r="T324" s="312"/>
      <c r="U324" s="246"/>
      <c r="V324" s="365" t="s">
        <v>469</v>
      </c>
      <c r="W324" s="246"/>
      <c r="X324" s="384" t="s">
        <v>441</v>
      </c>
      <c r="Y324" s="246"/>
      <c r="Z324" s="261"/>
      <c r="AA324" s="286"/>
      <c r="AB324" s="246"/>
      <c r="AC324" s="384" t="s">
        <v>441</v>
      </c>
      <c r="AD324" s="246"/>
      <c r="AE324" s="311" t="s">
        <v>446</v>
      </c>
      <c r="AF324" s="246"/>
      <c r="AG324" s="261"/>
      <c r="AH324" s="275"/>
      <c r="AI324" s="246"/>
      <c r="AJ324" s="384" t="s">
        <v>441</v>
      </c>
      <c r="AK324" s="246"/>
      <c r="AL324" s="374" t="s">
        <v>446</v>
      </c>
      <c r="AM324" s="246"/>
      <c r="AN324" s="261"/>
      <c r="AO324" s="286"/>
      <c r="AP324" s="246"/>
      <c r="AQ324" s="365" t="s">
        <v>469</v>
      </c>
      <c r="AR324" s="246"/>
      <c r="AS324" s="374" t="s">
        <v>446</v>
      </c>
      <c r="AT324" s="254" t="str">
        <f t="shared" ref="AT324:AT325" si="298">IF(COUNTIF($AO$85:$AT$87, AS324) &gt; 0, "X", "")</f>
        <v/>
      </c>
      <c r="AU324" s="269"/>
      <c r="AV324" s="269"/>
      <c r="AW324" s="206" t="str">
        <f t="shared" ref="AW324:BB324" si="297">AW69</f>
        <v>#REF!</v>
      </c>
      <c r="AX324" s="206">
        <f t="shared" si="297"/>
        <v>5</v>
      </c>
      <c r="AY324" s="206">
        <f t="shared" si="297"/>
        <v>5</v>
      </c>
      <c r="AZ324" s="206">
        <f t="shared" si="297"/>
        <v>3</v>
      </c>
      <c r="BA324" s="464">
        <f t="shared" si="297"/>
        <v>1</v>
      </c>
      <c r="BB324" s="206">
        <f t="shared" si="297"/>
        <v>1</v>
      </c>
      <c r="BC324" s="465">
        <f t="shared" si="222"/>
        <v>120</v>
      </c>
      <c r="BD324" s="206"/>
      <c r="BE324" s="466"/>
    </row>
    <row r="325">
      <c r="A325" s="94"/>
      <c r="B325" s="277" t="s">
        <v>709</v>
      </c>
      <c r="C325" s="278" t="s">
        <v>710</v>
      </c>
      <c r="D325" s="323"/>
      <c r="E325" s="259"/>
      <c r="F325" s="281"/>
      <c r="G325" s="246"/>
      <c r="H325" s="282"/>
      <c r="I325" s="246"/>
      <c r="J325" s="281"/>
      <c r="K325" s="246"/>
      <c r="L325" s="261"/>
      <c r="M325" s="341"/>
      <c r="N325" s="246"/>
      <c r="O325" s="281"/>
      <c r="P325" s="246"/>
      <c r="Q325" s="311" t="s">
        <v>440</v>
      </c>
      <c r="R325" s="246"/>
      <c r="S325" s="261"/>
      <c r="T325" s="312"/>
      <c r="U325" s="246"/>
      <c r="V325" s="282"/>
      <c r="W325" s="246"/>
      <c r="X325" s="282"/>
      <c r="Y325" s="246"/>
      <c r="Z325" s="261"/>
      <c r="AA325" s="341"/>
      <c r="AB325" s="246"/>
      <c r="AC325" s="282"/>
      <c r="AD325" s="246"/>
      <c r="AE325" s="282"/>
      <c r="AF325" s="246"/>
      <c r="AG325" s="261"/>
      <c r="AH325" s="281"/>
      <c r="AI325" s="246"/>
      <c r="AJ325" s="74"/>
      <c r="AK325" s="246"/>
      <c r="AL325" s="282"/>
      <c r="AM325" s="246"/>
      <c r="AN325" s="261"/>
      <c r="AO325" s="341"/>
      <c r="AP325" s="246"/>
      <c r="AQ325" s="281"/>
      <c r="AR325" s="246"/>
      <c r="AS325" s="281"/>
      <c r="AT325" s="254" t="str">
        <f t="shared" si="298"/>
        <v/>
      </c>
      <c r="AU325" s="269"/>
      <c r="AV325" s="269"/>
      <c r="AW325" s="206" t="str">
        <f t="shared" ref="AW325:BB325" si="299">AW70</f>
        <v>#REF!</v>
      </c>
      <c r="AX325" s="206">
        <f t="shared" si="299"/>
        <v>5</v>
      </c>
      <c r="AY325" s="206">
        <f t="shared" si="299"/>
        <v>5</v>
      </c>
      <c r="AZ325" s="206">
        <f t="shared" si="299"/>
        <v>3</v>
      </c>
      <c r="BA325" s="464">
        <f t="shared" si="299"/>
        <v>1</v>
      </c>
      <c r="BB325" s="206">
        <f t="shared" si="299"/>
        <v>1</v>
      </c>
      <c r="BC325" s="465">
        <f t="shared" si="222"/>
        <v>120</v>
      </c>
      <c r="BD325" s="206"/>
      <c r="BE325" s="466"/>
    </row>
    <row r="326">
      <c r="A326" s="94"/>
      <c r="B326" s="271" t="s">
        <v>712</v>
      </c>
      <c r="C326" s="272" t="s">
        <v>710</v>
      </c>
      <c r="D326" s="431"/>
      <c r="E326" s="259"/>
      <c r="G326" s="246"/>
      <c r="I326" s="246"/>
      <c r="K326" s="432"/>
      <c r="L326" s="462"/>
      <c r="M326" s="341"/>
      <c r="N326" s="246"/>
      <c r="P326" s="246"/>
      <c r="R326" s="432"/>
      <c r="S326" s="462"/>
      <c r="T326" s="312"/>
      <c r="U326" s="246"/>
      <c r="W326" s="246"/>
      <c r="Y326" s="432"/>
      <c r="Z326" s="462"/>
      <c r="AA326" s="341"/>
      <c r="AB326" s="246"/>
      <c r="AD326" s="246"/>
      <c r="AF326" s="432"/>
      <c r="AG326" s="462"/>
      <c r="AI326" s="246"/>
      <c r="AK326" s="246"/>
      <c r="AM326" s="432"/>
      <c r="AN326" s="462"/>
      <c r="AO326" s="341"/>
      <c r="AP326" s="246"/>
      <c r="AR326" s="246"/>
      <c r="AT326" s="430"/>
      <c r="AU326" s="269"/>
      <c r="AV326" s="269"/>
      <c r="AW326" s="206" t="str">
        <f t="shared" ref="AW326:BB326" si="300">AW71</f>
        <v>#REF!</v>
      </c>
      <c r="AX326" s="206">
        <f t="shared" si="300"/>
        <v>5</v>
      </c>
      <c r="AY326" s="206">
        <f t="shared" si="300"/>
        <v>5</v>
      </c>
      <c r="AZ326" s="206">
        <f t="shared" si="300"/>
        <v>3</v>
      </c>
      <c r="BA326" s="464">
        <f t="shared" si="300"/>
        <v>1</v>
      </c>
      <c r="BB326" s="206">
        <f t="shared" si="300"/>
        <v>1</v>
      </c>
      <c r="BC326" s="465">
        <f t="shared" si="222"/>
        <v>120</v>
      </c>
      <c r="BD326" s="206"/>
      <c r="BE326" s="466"/>
    </row>
    <row r="327">
      <c r="A327" s="94"/>
      <c r="B327" s="429" t="s">
        <v>714</v>
      </c>
      <c r="C327" s="430"/>
      <c r="D327" s="323"/>
      <c r="E327" s="259"/>
      <c r="F327" s="5"/>
      <c r="G327" s="432"/>
      <c r="H327" s="5"/>
      <c r="I327" s="432"/>
      <c r="J327" s="589"/>
      <c r="K327" s="246"/>
      <c r="L327" s="261"/>
      <c r="M327" s="432"/>
      <c r="N327" s="433"/>
      <c r="O327" s="5"/>
      <c r="P327" s="432"/>
      <c r="Q327" s="5"/>
      <c r="R327" s="246"/>
      <c r="S327" s="261"/>
      <c r="T327" s="5"/>
      <c r="U327" s="433"/>
      <c r="V327" s="591"/>
      <c r="W327" s="432"/>
      <c r="X327" s="5"/>
      <c r="Y327" s="246"/>
      <c r="Z327" s="261"/>
      <c r="AA327" s="432"/>
      <c r="AB327" s="433"/>
      <c r="AC327" s="5"/>
      <c r="AD327" s="432"/>
      <c r="AE327" s="5"/>
      <c r="AF327" s="246"/>
      <c r="AG327" s="261"/>
      <c r="AH327" s="5"/>
      <c r="AI327" s="433"/>
      <c r="AJ327" s="432"/>
      <c r="AK327" s="432"/>
      <c r="AL327" s="589"/>
      <c r="AM327" s="246"/>
      <c r="AN327" s="261"/>
      <c r="AO327" s="432"/>
      <c r="AP327" s="433"/>
      <c r="AQ327" s="589"/>
      <c r="AR327" s="432"/>
      <c r="AS327" s="5"/>
      <c r="AT327" s="254" t="str">
        <f>IF(COUNTIF($AO$85:$AT$87, #REF!) &gt; 0, "X", "")</f>
        <v/>
      </c>
      <c r="AU327" s="269"/>
      <c r="AV327" s="269"/>
      <c r="AW327" s="206" t="str">
        <f t="shared" ref="AW327:BB327" si="301">AW72</f>
        <v>#REF!</v>
      </c>
      <c r="AX327" s="206">
        <f t="shared" si="301"/>
        <v>5</v>
      </c>
      <c r="AY327" s="206">
        <f t="shared" si="301"/>
        <v>5</v>
      </c>
      <c r="AZ327" s="206">
        <f t="shared" si="301"/>
        <v>3</v>
      </c>
      <c r="BA327" s="464">
        <f t="shared" si="301"/>
        <v>1</v>
      </c>
      <c r="BB327" s="206">
        <f t="shared" si="301"/>
        <v>1</v>
      </c>
      <c r="BC327" s="465">
        <f t="shared" si="222"/>
        <v>120</v>
      </c>
      <c r="BD327" s="206"/>
      <c r="BE327" s="466"/>
    </row>
    <row r="328">
      <c r="A328" s="94"/>
      <c r="B328" s="401" t="s">
        <v>715</v>
      </c>
      <c r="C328" s="412" t="s">
        <v>716</v>
      </c>
      <c r="D328" s="323"/>
      <c r="E328" s="259"/>
      <c r="F328" s="619"/>
      <c r="G328" s="246"/>
      <c r="I328" s="246"/>
      <c r="J328" s="434"/>
      <c r="K328" s="246"/>
      <c r="L328" s="261"/>
      <c r="M328" s="619"/>
      <c r="N328" s="246"/>
      <c r="O328" s="434" t="s">
        <v>403</v>
      </c>
      <c r="P328" s="246"/>
      <c r="Q328" s="406" t="s">
        <v>858</v>
      </c>
      <c r="R328" s="246"/>
      <c r="S328" s="261"/>
      <c r="T328" s="619"/>
      <c r="U328" s="246"/>
      <c r="V328" s="434" t="s">
        <v>403</v>
      </c>
      <c r="W328" s="246"/>
      <c r="X328" s="406" t="s">
        <v>858</v>
      </c>
      <c r="Y328" s="246"/>
      <c r="Z328" s="261"/>
      <c r="AA328" s="619"/>
      <c r="AB328" s="246"/>
      <c r="AD328" s="246"/>
      <c r="AE328" s="434"/>
      <c r="AF328" s="246"/>
      <c r="AG328" s="261"/>
      <c r="AH328" s="619"/>
      <c r="AI328" s="246"/>
      <c r="AJ328" s="434" t="s">
        <v>403</v>
      </c>
      <c r="AK328" s="246"/>
      <c r="AL328" s="406" t="s">
        <v>858</v>
      </c>
      <c r="AM328" s="246"/>
      <c r="AN328" s="261"/>
      <c r="AO328" s="619"/>
      <c r="AP328" s="246"/>
      <c r="AR328" s="246"/>
      <c r="AS328" s="434"/>
      <c r="AT328" s="254" t="str">
        <f t="shared" ref="AT328:AT339" si="303">IF(COUNTIF($AO$85:$AT$87, AS328) &gt; 0, "X", "")</f>
        <v/>
      </c>
      <c r="AU328" s="269"/>
      <c r="AV328" s="269"/>
      <c r="AW328" s="206" t="str">
        <f t="shared" ref="AW328:BB328" si="302">AW73</f>
        <v>#REF!</v>
      </c>
      <c r="AX328" s="206">
        <f t="shared" si="302"/>
        <v>5</v>
      </c>
      <c r="AY328" s="206">
        <f t="shared" si="302"/>
        <v>5</v>
      </c>
      <c r="AZ328" s="206">
        <f t="shared" si="302"/>
        <v>3</v>
      </c>
      <c r="BA328" s="464">
        <f t="shared" si="302"/>
        <v>1</v>
      </c>
      <c r="BB328" s="206">
        <f t="shared" si="302"/>
        <v>1</v>
      </c>
      <c r="BC328" s="465">
        <f t="shared" si="222"/>
        <v>120</v>
      </c>
      <c r="BD328" s="206"/>
      <c r="BE328" s="466"/>
    </row>
    <row r="329">
      <c r="A329" s="94"/>
      <c r="B329" s="401" t="s">
        <v>843</v>
      </c>
      <c r="C329" s="412" t="s">
        <v>716</v>
      </c>
      <c r="D329" s="363"/>
      <c r="E329" s="259"/>
      <c r="F329" s="619"/>
      <c r="G329" s="246"/>
      <c r="H329" s="434" t="s">
        <v>465</v>
      </c>
      <c r="I329" s="246"/>
      <c r="J329" s="406"/>
      <c r="K329" s="246"/>
      <c r="L329" s="261"/>
      <c r="M329" s="619"/>
      <c r="N329" s="246"/>
      <c r="O329" s="434" t="s">
        <v>465</v>
      </c>
      <c r="P329" s="246"/>
      <c r="Q329" s="406"/>
      <c r="R329" s="246"/>
      <c r="S329" s="261"/>
      <c r="T329" s="619"/>
      <c r="U329" s="246"/>
      <c r="W329" s="246"/>
      <c r="X329" s="406"/>
      <c r="Y329" s="246"/>
      <c r="Z329" s="261"/>
      <c r="AA329" s="619"/>
      <c r="AB329" s="246"/>
      <c r="AC329" s="434" t="s">
        <v>465</v>
      </c>
      <c r="AD329" s="246"/>
      <c r="AE329" s="406"/>
      <c r="AF329" s="246"/>
      <c r="AG329" s="261"/>
      <c r="AH329" s="619"/>
      <c r="AI329" s="246"/>
      <c r="AJ329" s="434" t="str">
        <f>TEAM!B71</f>
        <v>#REF!</v>
      </c>
      <c r="AK329" s="246"/>
      <c r="AL329" s="406"/>
      <c r="AM329" s="246"/>
      <c r="AN329" s="261"/>
      <c r="AO329" s="619"/>
      <c r="AP329" s="246"/>
      <c r="AQ329" s="434" t="s">
        <v>465</v>
      </c>
      <c r="AR329" s="246"/>
      <c r="AS329" s="406"/>
      <c r="AT329" s="254" t="str">
        <f t="shared" si="303"/>
        <v/>
      </c>
      <c r="AU329" s="269"/>
      <c r="AV329" s="269"/>
      <c r="AW329" s="206" t="str">
        <f t="shared" ref="AW329:BB329" si="304">AW74</f>
        <v>#REF!</v>
      </c>
      <c r="AX329" s="206">
        <f t="shared" si="304"/>
        <v>5</v>
      </c>
      <c r="AY329" s="206">
        <f t="shared" si="304"/>
        <v>5</v>
      </c>
      <c r="AZ329" s="206">
        <f t="shared" si="304"/>
        <v>3</v>
      </c>
      <c r="BA329" s="464">
        <f t="shared" si="304"/>
        <v>1</v>
      </c>
      <c r="BB329" s="206">
        <f t="shared" si="304"/>
        <v>1</v>
      </c>
      <c r="BC329" s="465">
        <f t="shared" si="222"/>
        <v>120</v>
      </c>
      <c r="BD329" s="206"/>
      <c r="BE329" s="466"/>
    </row>
    <row r="330">
      <c r="A330" s="94"/>
      <c r="B330" s="435" t="s">
        <v>717</v>
      </c>
      <c r="C330" s="415" t="s">
        <v>718</v>
      </c>
      <c r="D330" s="330"/>
      <c r="E330" s="259"/>
      <c r="F330" s="619"/>
      <c r="G330" s="246"/>
      <c r="H330" s="406" t="s">
        <v>442</v>
      </c>
      <c r="I330" s="246"/>
      <c r="J330" s="406"/>
      <c r="K330" s="246"/>
      <c r="L330" s="261"/>
      <c r="M330" s="619"/>
      <c r="N330" s="246"/>
      <c r="O330" s="406" t="s">
        <v>442</v>
      </c>
      <c r="P330" s="246"/>
      <c r="Q330" s="406"/>
      <c r="R330" s="246"/>
      <c r="S330" s="261"/>
      <c r="T330" s="619"/>
      <c r="U330" s="246"/>
      <c r="V330" s="406" t="s">
        <v>442</v>
      </c>
      <c r="W330" s="246"/>
      <c r="X330" s="406"/>
      <c r="Y330" s="246"/>
      <c r="Z330" s="261"/>
      <c r="AA330" s="619"/>
      <c r="AB330" s="246"/>
      <c r="AC330" s="406" t="s">
        <v>442</v>
      </c>
      <c r="AD330" s="246"/>
      <c r="AE330" s="406"/>
      <c r="AF330" s="246"/>
      <c r="AG330" s="261"/>
      <c r="AH330" s="619"/>
      <c r="AI330" s="246"/>
      <c r="AJ330" s="406" t="s">
        <v>442</v>
      </c>
      <c r="AK330" s="246"/>
      <c r="AM330" s="246"/>
      <c r="AN330" s="261"/>
      <c r="AO330" s="619"/>
      <c r="AP330" s="246"/>
      <c r="AQ330" s="406" t="s">
        <v>454</v>
      </c>
      <c r="AR330" s="246"/>
      <c r="AS330" s="406"/>
      <c r="AT330" s="254" t="str">
        <f t="shared" si="303"/>
        <v/>
      </c>
      <c r="AU330" s="269"/>
      <c r="AV330" s="269"/>
      <c r="AW330" s="206" t="str">
        <f t="shared" ref="AW330:BB330" si="305">AW75</f>
        <v>#REF!</v>
      </c>
      <c r="AX330" s="206">
        <f t="shared" si="305"/>
        <v>5</v>
      </c>
      <c r="AY330" s="206">
        <f t="shared" si="305"/>
        <v>5</v>
      </c>
      <c r="AZ330" s="206">
        <f t="shared" si="305"/>
        <v>3</v>
      </c>
      <c r="BA330" s="464">
        <f t="shared" si="305"/>
        <v>1</v>
      </c>
      <c r="BB330" s="206">
        <f t="shared" si="305"/>
        <v>1</v>
      </c>
      <c r="BC330" s="465">
        <f t="shared" si="222"/>
        <v>120</v>
      </c>
      <c r="BD330" s="206"/>
      <c r="BE330" s="466"/>
    </row>
    <row r="331">
      <c r="A331" s="94"/>
      <c r="B331" s="436" t="s">
        <v>719</v>
      </c>
      <c r="C331" s="437" t="s">
        <v>720</v>
      </c>
      <c r="D331" s="330"/>
      <c r="E331" s="259"/>
      <c r="F331" s="619"/>
      <c r="G331" s="246"/>
      <c r="H331" s="406" t="s">
        <v>463</v>
      </c>
      <c r="I331" s="246"/>
      <c r="J331" s="406"/>
      <c r="K331" s="246"/>
      <c r="L331" s="261"/>
      <c r="M331" s="619"/>
      <c r="N331" s="246"/>
      <c r="O331" s="406" t="s">
        <v>463</v>
      </c>
      <c r="P331" s="246"/>
      <c r="Q331" s="406"/>
      <c r="R331" s="246"/>
      <c r="S331" s="261"/>
      <c r="T331" s="619"/>
      <c r="U331" s="246"/>
      <c r="V331" s="406" t="s">
        <v>463</v>
      </c>
      <c r="W331" s="246"/>
      <c r="X331" s="406"/>
      <c r="Y331" s="246"/>
      <c r="Z331" s="261"/>
      <c r="AA331" s="619"/>
      <c r="AB331" s="246"/>
      <c r="AC331" s="406" t="s">
        <v>454</v>
      </c>
      <c r="AD331" s="246"/>
      <c r="AE331" s="406"/>
      <c r="AF331" s="246"/>
      <c r="AG331" s="261"/>
      <c r="AH331" s="619"/>
      <c r="AI331" s="246"/>
      <c r="AJ331" s="406" t="s">
        <v>454</v>
      </c>
      <c r="AK331" s="246"/>
      <c r="AL331" s="406"/>
      <c r="AM331" s="246"/>
      <c r="AN331" s="261"/>
      <c r="AO331" s="619"/>
      <c r="AP331" s="246"/>
      <c r="AQ331" s="406"/>
      <c r="AR331" s="246"/>
      <c r="AS331" s="406"/>
      <c r="AT331" s="254" t="str">
        <f t="shared" si="303"/>
        <v/>
      </c>
      <c r="AU331" s="269"/>
      <c r="AV331" s="269"/>
      <c r="AW331" s="206" t="str">
        <f t="shared" ref="AW331:BB331" si="306">AW76</f>
        <v>#REF!</v>
      </c>
      <c r="AX331" s="206">
        <f t="shared" si="306"/>
        <v>5</v>
      </c>
      <c r="AY331" s="206">
        <f t="shared" si="306"/>
        <v>5</v>
      </c>
      <c r="AZ331" s="206">
        <f t="shared" si="306"/>
        <v>3</v>
      </c>
      <c r="BA331" s="464">
        <f t="shared" si="306"/>
        <v>1</v>
      </c>
      <c r="BB331" s="206">
        <f t="shared" si="306"/>
        <v>1</v>
      </c>
      <c r="BC331" s="465">
        <f t="shared" si="222"/>
        <v>120</v>
      </c>
      <c r="BD331" s="206"/>
      <c r="BE331" s="466"/>
    </row>
    <row r="332">
      <c r="A332" s="94"/>
      <c r="B332" s="439" t="s">
        <v>721</v>
      </c>
      <c r="C332" s="440" t="s">
        <v>722</v>
      </c>
      <c r="D332" s="330"/>
      <c r="E332" s="259"/>
      <c r="F332" s="619"/>
      <c r="G332" s="246"/>
      <c r="H332" s="206" t="s">
        <v>844</v>
      </c>
      <c r="I332" s="246"/>
      <c r="J332" s="406" t="s">
        <v>858</v>
      </c>
      <c r="K332" s="246"/>
      <c r="L332" s="261"/>
      <c r="M332" s="434"/>
      <c r="N332" s="246"/>
      <c r="O332" s="206" t="s">
        <v>844</v>
      </c>
      <c r="P332" s="246"/>
      <c r="Q332" s="441"/>
      <c r="R332" s="246"/>
      <c r="S332" s="261"/>
      <c r="T332" s="619"/>
      <c r="U332" s="246"/>
      <c r="V332" s="206" t="s">
        <v>844</v>
      </c>
      <c r="W332" s="246"/>
      <c r="X332" s="441"/>
      <c r="Y332" s="246"/>
      <c r="Z332" s="261"/>
      <c r="AA332" s="619"/>
      <c r="AB332" s="246"/>
      <c r="AC332" s="206" t="s">
        <v>844</v>
      </c>
      <c r="AD332" s="246"/>
      <c r="AE332" s="441"/>
      <c r="AF332" s="246"/>
      <c r="AG332" s="261"/>
      <c r="AH332" s="619"/>
      <c r="AI332" s="246"/>
      <c r="AJ332" s="495" t="s">
        <v>844</v>
      </c>
      <c r="AK332" s="246"/>
      <c r="AL332" s="441"/>
      <c r="AM332" s="246"/>
      <c r="AN332" s="261"/>
      <c r="AO332" s="619"/>
      <c r="AP332" s="246"/>
      <c r="AQ332" s="406"/>
      <c r="AR332" s="246"/>
      <c r="AS332" s="441"/>
      <c r="AT332" s="254" t="str">
        <f t="shared" si="303"/>
        <v/>
      </c>
      <c r="AU332" s="269"/>
      <c r="AV332" s="269"/>
      <c r="AW332" s="206" t="str">
        <f t="shared" ref="AW332:BB332" si="307">AW77</f>
        <v>#REF!</v>
      </c>
      <c r="AX332" s="206">
        <f t="shared" si="307"/>
        <v>5</v>
      </c>
      <c r="AY332" s="206">
        <f t="shared" si="307"/>
        <v>5</v>
      </c>
      <c r="AZ332" s="206">
        <f t="shared" si="307"/>
        <v>3</v>
      </c>
      <c r="BA332" s="464">
        <f t="shared" si="307"/>
        <v>1</v>
      </c>
      <c r="BB332" s="206">
        <f t="shared" si="307"/>
        <v>1</v>
      </c>
      <c r="BC332" s="465">
        <f t="shared" si="222"/>
        <v>120</v>
      </c>
      <c r="BD332" s="206"/>
      <c r="BE332" s="466"/>
    </row>
    <row r="333">
      <c r="A333" s="94"/>
      <c r="B333" s="439" t="s">
        <v>723</v>
      </c>
      <c r="C333" s="440" t="s">
        <v>724</v>
      </c>
      <c r="D333" s="330"/>
      <c r="E333" s="259"/>
      <c r="F333" s="619"/>
      <c r="G333" s="246"/>
      <c r="H333" s="406" t="s">
        <v>845</v>
      </c>
      <c r="I333" s="246"/>
      <c r="J333" s="441"/>
      <c r="K333" s="246"/>
      <c r="L333" s="261"/>
      <c r="M333" s="619"/>
      <c r="N333" s="246"/>
      <c r="O333" s="406" t="s">
        <v>454</v>
      </c>
      <c r="P333" s="246"/>
      <c r="Q333" s="441"/>
      <c r="R333" s="246"/>
      <c r="S333" s="261"/>
      <c r="T333" s="619"/>
      <c r="U333" s="246"/>
      <c r="V333" s="406" t="s">
        <v>454</v>
      </c>
      <c r="W333" s="246"/>
      <c r="X333" s="441"/>
      <c r="Y333" s="246"/>
      <c r="Z333" s="261"/>
      <c r="AA333" s="619"/>
      <c r="AB333" s="246"/>
      <c r="AC333" s="434" t="s">
        <v>403</v>
      </c>
      <c r="AD333" s="246"/>
      <c r="AE333" s="406" t="s">
        <v>858</v>
      </c>
      <c r="AF333" s="246"/>
      <c r="AG333" s="261"/>
      <c r="AH333" s="619"/>
      <c r="AI333" s="246"/>
      <c r="AJ333" s="406" t="s">
        <v>463</v>
      </c>
      <c r="AK333" s="246"/>
      <c r="AL333" s="441"/>
      <c r="AM333" s="246"/>
      <c r="AN333" s="261"/>
      <c r="AO333" s="619"/>
      <c r="AP333" s="246"/>
      <c r="AQ333" s="441"/>
      <c r="AR333" s="246"/>
      <c r="AS333" s="441"/>
      <c r="AT333" s="254" t="str">
        <f t="shared" si="303"/>
        <v/>
      </c>
      <c r="AU333" s="269"/>
      <c r="AV333" s="269"/>
      <c r="AW333" s="206" t="str">
        <f t="shared" ref="AW333:BB333" si="308">AW78</f>
        <v>#REF!</v>
      </c>
      <c r="AX333" s="206">
        <f t="shared" si="308"/>
        <v>5</v>
      </c>
      <c r="AY333" s="206">
        <f t="shared" si="308"/>
        <v>5</v>
      </c>
      <c r="AZ333" s="206">
        <f t="shared" si="308"/>
        <v>3</v>
      </c>
      <c r="BA333" s="464">
        <f t="shared" si="308"/>
        <v>1</v>
      </c>
      <c r="BB333" s="206">
        <f t="shared" si="308"/>
        <v>1</v>
      </c>
      <c r="BC333" s="465">
        <f t="shared" si="222"/>
        <v>120</v>
      </c>
      <c r="BD333" s="206"/>
      <c r="BE333" s="466"/>
    </row>
    <row r="334">
      <c r="A334" s="94"/>
      <c r="B334" s="439" t="s">
        <v>725</v>
      </c>
      <c r="C334" s="442" t="s">
        <v>726</v>
      </c>
      <c r="D334" s="330"/>
      <c r="E334" s="259"/>
      <c r="F334" s="621"/>
      <c r="G334" s="246"/>
      <c r="H334" s="406" t="s">
        <v>460</v>
      </c>
      <c r="I334" s="246"/>
      <c r="J334" s="441"/>
      <c r="K334" s="246"/>
      <c r="L334" s="261"/>
      <c r="M334" s="619"/>
      <c r="N334" s="246"/>
      <c r="O334" s="406" t="s">
        <v>845</v>
      </c>
      <c r="P334" s="246"/>
      <c r="Q334" s="441"/>
      <c r="R334" s="246"/>
      <c r="S334" s="261"/>
      <c r="T334" s="621"/>
      <c r="U334" s="246"/>
      <c r="V334" s="406" t="s">
        <v>847</v>
      </c>
      <c r="W334" s="246"/>
      <c r="X334" s="441"/>
      <c r="Y334" s="246"/>
      <c r="Z334" s="261"/>
      <c r="AA334" s="621"/>
      <c r="AB334" s="246"/>
      <c r="AC334" s="434" t="s">
        <v>847</v>
      </c>
      <c r="AD334" s="246"/>
      <c r="AE334" s="441"/>
      <c r="AF334" s="246"/>
      <c r="AG334" s="261"/>
      <c r="AH334" s="621"/>
      <c r="AI334" s="246"/>
      <c r="AJ334" s="406" t="s">
        <v>845</v>
      </c>
      <c r="AK334" s="246"/>
      <c r="AL334" s="441"/>
      <c r="AM334" s="246"/>
      <c r="AN334" s="261"/>
      <c r="AO334" s="621"/>
      <c r="AP334" s="246"/>
      <c r="AQ334" s="406" t="s">
        <v>463</v>
      </c>
      <c r="AR334" s="246"/>
      <c r="AS334" s="441"/>
      <c r="AT334" s="254" t="str">
        <f t="shared" si="303"/>
        <v/>
      </c>
      <c r="AU334" s="269"/>
      <c r="AV334" s="269"/>
      <c r="AW334" s="206" t="str">
        <f t="shared" ref="AW334:BB334" si="309">AW79</f>
        <v>#REF!</v>
      </c>
      <c r="AX334" s="206">
        <f t="shared" si="309"/>
        <v>5</v>
      </c>
      <c r="AY334" s="206">
        <f t="shared" si="309"/>
        <v>5</v>
      </c>
      <c r="AZ334" s="206">
        <f t="shared" si="309"/>
        <v>3</v>
      </c>
      <c r="BA334" s="464">
        <f t="shared" si="309"/>
        <v>1</v>
      </c>
      <c r="BB334" s="206">
        <f t="shared" si="309"/>
        <v>1</v>
      </c>
      <c r="BC334" s="465">
        <f t="shared" si="222"/>
        <v>120</v>
      </c>
      <c r="BD334" s="206"/>
      <c r="BE334" s="466"/>
    </row>
    <row r="335">
      <c r="A335" s="94"/>
      <c r="B335" s="447" t="s">
        <v>729</v>
      </c>
      <c r="C335" s="448" t="s">
        <v>730</v>
      </c>
      <c r="D335" s="363"/>
      <c r="E335" s="259"/>
      <c r="F335" s="622"/>
      <c r="G335" s="246"/>
      <c r="H335" s="441"/>
      <c r="I335" s="246"/>
      <c r="J335" s="206"/>
      <c r="K335" s="246"/>
      <c r="L335" s="261"/>
      <c r="M335" s="622"/>
      <c r="N335" s="246"/>
      <c r="O335" s="441"/>
      <c r="P335" s="246"/>
      <c r="Q335" s="206"/>
      <c r="R335" s="246"/>
      <c r="S335" s="261"/>
      <c r="T335" s="622"/>
      <c r="U335" s="246"/>
      <c r="V335" s="441"/>
      <c r="W335" s="246"/>
      <c r="X335" s="206"/>
      <c r="Y335" s="246"/>
      <c r="Z335" s="261"/>
      <c r="AA335" s="622"/>
      <c r="AB335" s="246"/>
      <c r="AC335" s="406" t="s">
        <v>845</v>
      </c>
      <c r="AD335" s="246"/>
      <c r="AE335" s="206"/>
      <c r="AF335" s="246"/>
      <c r="AG335" s="261"/>
      <c r="AH335" s="622"/>
      <c r="AI335" s="246"/>
      <c r="AJ335" s="441"/>
      <c r="AK335" s="246"/>
      <c r="AL335" s="206"/>
      <c r="AM335" s="246"/>
      <c r="AN335" s="261"/>
      <c r="AO335" s="622"/>
      <c r="AP335" s="246"/>
      <c r="AQ335" s="441"/>
      <c r="AR335" s="246"/>
      <c r="AS335" s="206"/>
      <c r="AT335" s="254" t="str">
        <f t="shared" si="303"/>
        <v/>
      </c>
      <c r="AU335" s="269"/>
      <c r="AV335" s="269"/>
      <c r="AW335" s="206" t="str">
        <f t="shared" ref="AW335:BB335" si="310">AW80</f>
        <v>#REF!</v>
      </c>
      <c r="AX335" s="206">
        <f t="shared" si="310"/>
        <v>5</v>
      </c>
      <c r="AY335" s="206">
        <f t="shared" si="310"/>
        <v>5</v>
      </c>
      <c r="AZ335" s="206">
        <f t="shared" si="310"/>
        <v>3</v>
      </c>
      <c r="BA335" s="464">
        <f t="shared" si="310"/>
        <v>1</v>
      </c>
      <c r="BB335" s="206">
        <f t="shared" si="310"/>
        <v>1</v>
      </c>
      <c r="BC335" s="465">
        <f t="shared" si="222"/>
        <v>120</v>
      </c>
      <c r="BD335" s="206"/>
      <c r="BE335" s="466"/>
    </row>
    <row r="336">
      <c r="A336" s="94"/>
      <c r="B336" s="450" t="s">
        <v>731</v>
      </c>
      <c r="C336" s="451" t="s">
        <v>732</v>
      </c>
      <c r="D336" s="363"/>
      <c r="E336" s="259"/>
      <c r="F336" s="623"/>
      <c r="G336" s="246"/>
      <c r="H336" s="593" t="s">
        <v>847</v>
      </c>
      <c r="I336" s="246"/>
      <c r="J336" s="74"/>
      <c r="K336" s="246"/>
      <c r="L336" s="261"/>
      <c r="M336" s="623"/>
      <c r="N336" s="246"/>
      <c r="O336" s="593" t="s">
        <v>847</v>
      </c>
      <c r="P336" s="246"/>
      <c r="Q336" s="74"/>
      <c r="R336" s="246"/>
      <c r="S336" s="261"/>
      <c r="T336" s="623"/>
      <c r="U336" s="246"/>
      <c r="V336" s="406" t="s">
        <v>460</v>
      </c>
      <c r="W336" s="246"/>
      <c r="X336" s="74"/>
      <c r="Y336" s="246"/>
      <c r="Z336" s="261"/>
      <c r="AA336" s="623"/>
      <c r="AB336" s="246"/>
      <c r="AC336" s="406" t="s">
        <v>460</v>
      </c>
      <c r="AD336" s="246"/>
      <c r="AE336" s="74"/>
      <c r="AF336" s="246"/>
      <c r="AG336" s="261"/>
      <c r="AH336" s="623"/>
      <c r="AI336" s="246"/>
      <c r="AJ336" s="406" t="s">
        <v>460</v>
      </c>
      <c r="AK336" s="246"/>
      <c r="AL336" s="74"/>
      <c r="AM336" s="246"/>
      <c r="AN336" s="261"/>
      <c r="AO336" s="623"/>
      <c r="AP336" s="246"/>
      <c r="AQ336" s="206"/>
      <c r="AR336" s="246"/>
      <c r="AS336" s="74"/>
      <c r="AT336" s="254" t="str">
        <f t="shared" si="303"/>
        <v/>
      </c>
      <c r="AU336" s="269"/>
      <c r="AV336" s="269"/>
      <c r="AW336" s="206" t="str">
        <f t="shared" ref="AW336:BB336" si="311">AW81</f>
        <v>#REF!</v>
      </c>
      <c r="AX336" s="206">
        <f t="shared" si="311"/>
        <v>5</v>
      </c>
      <c r="AY336" s="206">
        <f t="shared" si="311"/>
        <v>5</v>
      </c>
      <c r="AZ336" s="206">
        <f t="shared" si="311"/>
        <v>3</v>
      </c>
      <c r="BA336" s="464">
        <f t="shared" si="311"/>
        <v>1</v>
      </c>
      <c r="BB336" s="206">
        <f t="shared" si="311"/>
        <v>1</v>
      </c>
      <c r="BC336" s="465">
        <f t="shared" si="222"/>
        <v>120</v>
      </c>
      <c r="BD336" s="206"/>
      <c r="BE336" s="466"/>
    </row>
    <row r="337">
      <c r="A337" s="94"/>
      <c r="B337" s="452" t="s">
        <v>733</v>
      </c>
      <c r="C337" s="453" t="s">
        <v>734</v>
      </c>
      <c r="D337" s="363"/>
      <c r="E337" s="259"/>
      <c r="F337" s="621"/>
      <c r="G337" s="246"/>
      <c r="H337" s="594" t="s">
        <v>395</v>
      </c>
      <c r="I337" s="246"/>
      <c r="J337" s="522" t="s">
        <v>462</v>
      </c>
      <c r="K337" s="246"/>
      <c r="L337" s="261"/>
      <c r="M337" s="621"/>
      <c r="N337" s="246"/>
      <c r="O337" s="594" t="s">
        <v>395</v>
      </c>
      <c r="P337" s="246"/>
      <c r="Q337" s="441"/>
      <c r="R337" s="246"/>
      <c r="S337" s="261"/>
      <c r="T337" s="621"/>
      <c r="U337" s="246"/>
      <c r="V337" s="594" t="s">
        <v>395</v>
      </c>
      <c r="W337" s="246"/>
      <c r="X337" s="522" t="s">
        <v>462</v>
      </c>
      <c r="Y337" s="246"/>
      <c r="Z337" s="261"/>
      <c r="AA337" s="621"/>
      <c r="AB337" s="246"/>
      <c r="AC337" s="594" t="s">
        <v>395</v>
      </c>
      <c r="AD337" s="246"/>
      <c r="AE337" s="441"/>
      <c r="AF337" s="246"/>
      <c r="AG337" s="261"/>
      <c r="AH337" s="621"/>
      <c r="AI337" s="246"/>
      <c r="AJ337" s="594" t="s">
        <v>395</v>
      </c>
      <c r="AK337" s="246"/>
      <c r="AL337" s="522" t="s">
        <v>462</v>
      </c>
      <c r="AM337" s="246"/>
      <c r="AN337" s="261"/>
      <c r="AO337" s="621"/>
      <c r="AP337" s="246"/>
      <c r="AQ337" s="406" t="s">
        <v>845</v>
      </c>
      <c r="AR337" s="246"/>
      <c r="AS337" s="441"/>
      <c r="AT337" s="254" t="str">
        <f t="shared" si="303"/>
        <v/>
      </c>
      <c r="AU337" s="269"/>
      <c r="AV337" s="269"/>
      <c r="AW337" s="206" t="str">
        <f t="shared" ref="AW337:BB337" si="312">AW82</f>
        <v>#REF!</v>
      </c>
      <c r="AX337" s="206">
        <f t="shared" si="312"/>
        <v>5</v>
      </c>
      <c r="AY337" s="206">
        <f t="shared" si="312"/>
        <v>5</v>
      </c>
      <c r="AZ337" s="206">
        <f t="shared" si="312"/>
        <v>3</v>
      </c>
      <c r="BA337" s="464">
        <f t="shared" si="312"/>
        <v>1</v>
      </c>
      <c r="BB337" s="206">
        <f t="shared" si="312"/>
        <v>1</v>
      </c>
      <c r="BC337" s="465">
        <f t="shared" si="222"/>
        <v>120</v>
      </c>
      <c r="BD337" s="206"/>
      <c r="BE337" s="466"/>
    </row>
    <row r="338">
      <c r="A338" s="94"/>
      <c r="B338" s="454" t="s">
        <v>735</v>
      </c>
      <c r="C338" s="455" t="s">
        <v>736</v>
      </c>
      <c r="D338" s="363"/>
      <c r="E338" s="259"/>
      <c r="F338" s="621"/>
      <c r="G338" s="246"/>
      <c r="H338" s="456"/>
      <c r="I338" s="246"/>
      <c r="J338" s="456"/>
      <c r="K338" s="246"/>
      <c r="L338" s="261"/>
      <c r="M338" s="621"/>
      <c r="N338" s="246"/>
      <c r="O338" s="456"/>
      <c r="P338" s="246"/>
      <c r="Q338" s="456"/>
      <c r="R338" s="246"/>
      <c r="S338" s="261"/>
      <c r="T338" s="621"/>
      <c r="U338" s="246"/>
      <c r="V338" s="456"/>
      <c r="W338" s="246"/>
      <c r="X338" s="456"/>
      <c r="Y338" s="246"/>
      <c r="Z338" s="261"/>
      <c r="AA338" s="621"/>
      <c r="AB338" s="246"/>
      <c r="AC338" s="456"/>
      <c r="AD338" s="246"/>
      <c r="AE338" s="456"/>
      <c r="AF338" s="246"/>
      <c r="AG338" s="261"/>
      <c r="AH338" s="621"/>
      <c r="AI338" s="246"/>
      <c r="AJ338" s="456"/>
      <c r="AK338" s="246"/>
      <c r="AL338" s="456"/>
      <c r="AM338" s="246"/>
      <c r="AN338" s="261"/>
      <c r="AO338" s="621"/>
      <c r="AP338" s="246"/>
      <c r="AQ338" s="456"/>
      <c r="AR338" s="246"/>
      <c r="AS338" s="456"/>
      <c r="AT338" s="254" t="str">
        <f t="shared" si="303"/>
        <v/>
      </c>
      <c r="AU338" s="269"/>
      <c r="AV338" s="269"/>
      <c r="AW338" s="206" t="str">
        <f t="shared" ref="AW338:BB338" si="313">AW83</f>
        <v>#REF!</v>
      </c>
      <c r="AX338" s="206">
        <f t="shared" si="313"/>
        <v>5</v>
      </c>
      <c r="AY338" s="206">
        <f t="shared" si="313"/>
        <v>5</v>
      </c>
      <c r="AZ338" s="206">
        <f t="shared" si="313"/>
        <v>3</v>
      </c>
      <c r="BA338" s="464">
        <f t="shared" si="313"/>
        <v>1</v>
      </c>
      <c r="BB338" s="206">
        <f t="shared" si="313"/>
        <v>1</v>
      </c>
      <c r="BC338" s="465">
        <f t="shared" si="222"/>
        <v>120</v>
      </c>
      <c r="BD338" s="206"/>
      <c r="BE338" s="466"/>
    </row>
    <row r="339">
      <c r="A339" s="94"/>
      <c r="B339" s="454" t="s">
        <v>735</v>
      </c>
      <c r="C339" s="442" t="s">
        <v>736</v>
      </c>
      <c r="D339" s="363"/>
      <c r="E339" s="259"/>
      <c r="F339" s="619"/>
      <c r="G339" s="246"/>
      <c r="H339" s="406"/>
      <c r="I339" s="246"/>
      <c r="J339" s="406"/>
      <c r="K339" s="246"/>
      <c r="L339" s="261"/>
      <c r="M339" s="619"/>
      <c r="N339" s="246"/>
      <c r="O339" s="406"/>
      <c r="P339" s="246"/>
      <c r="Q339" s="406"/>
      <c r="R339" s="246"/>
      <c r="S339" s="261"/>
      <c r="T339" s="619"/>
      <c r="U339" s="246"/>
      <c r="V339" s="406"/>
      <c r="W339" s="246"/>
      <c r="X339" s="406"/>
      <c r="Y339" s="246"/>
      <c r="Z339" s="261"/>
      <c r="AA339" s="619"/>
      <c r="AB339" s="246"/>
      <c r="AC339" s="406"/>
      <c r="AD339" s="246"/>
      <c r="AE339" s="406"/>
      <c r="AF339" s="246"/>
      <c r="AG339" s="261"/>
      <c r="AH339" s="619"/>
      <c r="AI339" s="246"/>
      <c r="AJ339" s="406"/>
      <c r="AK339" s="246"/>
      <c r="AL339" s="406"/>
      <c r="AM339" s="246"/>
      <c r="AN339" s="261"/>
      <c r="AO339" s="619"/>
      <c r="AP339" s="246"/>
      <c r="AQ339" s="406"/>
      <c r="AR339" s="246"/>
      <c r="AS339" s="406"/>
      <c r="AT339" s="254" t="str">
        <f t="shared" si="303"/>
        <v/>
      </c>
      <c r="AU339" s="269"/>
      <c r="AV339" s="269"/>
      <c r="AW339" s="206" t="str">
        <f t="shared" ref="AW339:BB339" si="314">AW84</f>
        <v>#REF!</v>
      </c>
      <c r="AX339" s="206">
        <f t="shared" si="314"/>
        <v>5</v>
      </c>
      <c r="AY339" s="206">
        <f t="shared" si="314"/>
        <v>5</v>
      </c>
      <c r="AZ339" s="206">
        <f t="shared" si="314"/>
        <v>3</v>
      </c>
      <c r="BA339" s="464">
        <f t="shared" si="314"/>
        <v>1</v>
      </c>
      <c r="BB339" s="206">
        <f t="shared" si="314"/>
        <v>1</v>
      </c>
      <c r="BC339" s="465">
        <f t="shared" si="222"/>
        <v>120</v>
      </c>
      <c r="BD339" s="206"/>
      <c r="BE339" s="466"/>
    </row>
    <row r="340">
      <c r="A340" s="94"/>
      <c r="B340" s="459"/>
      <c r="C340" s="460" t="s">
        <v>738</v>
      </c>
      <c r="D340" s="363"/>
      <c r="E340" s="259"/>
      <c r="F340" s="461" t="s">
        <v>891</v>
      </c>
      <c r="G340" s="246"/>
      <c r="H340" s="132"/>
      <c r="I340" s="246"/>
      <c r="J340" s="132"/>
      <c r="K340" s="246"/>
      <c r="L340" s="462"/>
      <c r="M340" s="461" t="s">
        <v>891</v>
      </c>
      <c r="N340" s="246"/>
      <c r="O340" s="132"/>
      <c r="P340" s="246"/>
      <c r="Q340" s="132"/>
      <c r="R340" s="246"/>
      <c r="S340" s="462"/>
      <c r="T340" s="461" t="s">
        <v>892</v>
      </c>
      <c r="U340" s="246"/>
      <c r="V340" s="132"/>
      <c r="W340" s="246"/>
      <c r="X340" s="132"/>
      <c r="Y340" s="246"/>
      <c r="Z340" s="462"/>
      <c r="AA340" s="461" t="s">
        <v>893</v>
      </c>
      <c r="AB340" s="246"/>
      <c r="AC340" s="132"/>
      <c r="AD340" s="246"/>
      <c r="AE340" s="132"/>
      <c r="AF340" s="246"/>
      <c r="AG340" s="462"/>
      <c r="AH340" s="461" t="s">
        <v>894</v>
      </c>
      <c r="AI340" s="246"/>
      <c r="AJ340" s="132"/>
      <c r="AK340" s="246"/>
      <c r="AL340" s="132"/>
      <c r="AM340" s="246"/>
      <c r="AN340" s="462"/>
      <c r="AO340" s="461" t="s">
        <v>895</v>
      </c>
      <c r="AP340" s="246"/>
      <c r="AQ340" s="132"/>
      <c r="AR340" s="246"/>
      <c r="AS340" s="132"/>
      <c r="AT340" s="460"/>
      <c r="AU340" s="269"/>
      <c r="AV340" s="269"/>
      <c r="AW340" s="206" t="str">
        <f t="shared" ref="AW340:BB340" si="315">AW85</f>
        <v>#REF!</v>
      </c>
      <c r="AX340" s="206">
        <f t="shared" si="315"/>
        <v>5</v>
      </c>
      <c r="AY340" s="206">
        <f t="shared" si="315"/>
        <v>5</v>
      </c>
      <c r="AZ340" s="206">
        <f t="shared" si="315"/>
        <v>3</v>
      </c>
      <c r="BA340" s="464">
        <f t="shared" si="315"/>
        <v>1</v>
      </c>
      <c r="BB340" s="206">
        <f t="shared" si="315"/>
        <v>1</v>
      </c>
      <c r="BC340" s="465">
        <f t="shared" si="222"/>
        <v>120</v>
      </c>
      <c r="BD340" s="206"/>
      <c r="BE340" s="466"/>
    </row>
    <row r="341">
      <c r="A341" s="270"/>
      <c r="B341" s="459"/>
      <c r="C341" s="460" t="s">
        <v>738</v>
      </c>
      <c r="D341" s="363"/>
      <c r="E341" s="259"/>
      <c r="F341" s="132"/>
      <c r="G341" s="246"/>
      <c r="H341" s="132"/>
      <c r="I341" s="246"/>
      <c r="J341" s="132"/>
      <c r="K341" s="246"/>
      <c r="L341" s="462"/>
      <c r="M341" s="132"/>
      <c r="N341" s="246"/>
      <c r="O341" s="132"/>
      <c r="P341" s="246"/>
      <c r="Q341" s="132"/>
      <c r="R341" s="246"/>
      <c r="S341" s="462"/>
      <c r="T341" s="132"/>
      <c r="U341" s="246"/>
      <c r="V341" s="132"/>
      <c r="W341" s="246"/>
      <c r="X341" s="132"/>
      <c r="Y341" s="246"/>
      <c r="Z341" s="462"/>
      <c r="AA341" s="132"/>
      <c r="AB341" s="246"/>
      <c r="AC341" s="132"/>
      <c r="AD341" s="246"/>
      <c r="AE341" s="132"/>
      <c r="AF341" s="246"/>
      <c r="AG341" s="462"/>
      <c r="AH341" s="132"/>
      <c r="AI341" s="246"/>
      <c r="AJ341" s="132"/>
      <c r="AK341" s="246"/>
      <c r="AL341" s="132"/>
      <c r="AM341" s="246"/>
      <c r="AN341" s="462"/>
      <c r="AO341" s="132"/>
      <c r="AP341" s="246"/>
      <c r="AQ341" s="132"/>
      <c r="AR341" s="246"/>
      <c r="AS341" s="132"/>
      <c r="AT341" s="460"/>
      <c r="AU341" s="236"/>
      <c r="AV341" s="236"/>
      <c r="AW341" s="206" t="str">
        <f t="shared" ref="AW341:BB341" si="316">AW86</f>
        <v>#REF!</v>
      </c>
      <c r="AX341" s="206">
        <f t="shared" si="316"/>
        <v>5</v>
      </c>
      <c r="AY341" s="206">
        <f t="shared" si="316"/>
        <v>5</v>
      </c>
      <c r="AZ341" s="206">
        <f t="shared" si="316"/>
        <v>3</v>
      </c>
      <c r="BA341" s="464">
        <f t="shared" si="316"/>
        <v>1</v>
      </c>
      <c r="BB341" s="206">
        <f t="shared" si="316"/>
        <v>1</v>
      </c>
      <c r="BC341" s="465">
        <f t="shared" si="222"/>
        <v>120</v>
      </c>
      <c r="BD341" s="206"/>
      <c r="BE341" s="466"/>
    </row>
    <row r="342">
      <c r="A342" s="236"/>
      <c r="B342" s="459"/>
      <c r="C342" s="460" t="s">
        <v>738</v>
      </c>
      <c r="D342" s="363"/>
      <c r="E342" s="259"/>
      <c r="F342" s="461" t="s">
        <v>896</v>
      </c>
      <c r="G342" s="246"/>
      <c r="H342" s="132"/>
      <c r="I342" s="246"/>
      <c r="J342" s="132"/>
      <c r="K342" s="246"/>
      <c r="L342" s="462"/>
      <c r="M342" s="461" t="s">
        <v>523</v>
      </c>
      <c r="N342" s="246"/>
      <c r="O342" s="132"/>
      <c r="P342" s="246"/>
      <c r="Q342" s="132"/>
      <c r="R342" s="246"/>
      <c r="S342" s="462"/>
      <c r="T342" s="461" t="s">
        <v>523</v>
      </c>
      <c r="U342" s="246"/>
      <c r="V342" s="132"/>
      <c r="W342" s="246"/>
      <c r="X342" s="132"/>
      <c r="Y342" s="246"/>
      <c r="Z342" s="462"/>
      <c r="AA342" s="461" t="s">
        <v>523</v>
      </c>
      <c r="AB342" s="246"/>
      <c r="AC342" s="132"/>
      <c r="AD342" s="246"/>
      <c r="AE342" s="132"/>
      <c r="AF342" s="246"/>
      <c r="AG342" s="462"/>
      <c r="AH342" s="132"/>
      <c r="AI342" s="246"/>
      <c r="AJ342" s="132"/>
      <c r="AK342" s="246"/>
      <c r="AL342" s="132"/>
      <c r="AM342" s="246"/>
      <c r="AN342" s="462"/>
      <c r="AO342" s="461"/>
      <c r="AP342" s="246"/>
      <c r="AQ342" s="132"/>
      <c r="AR342" s="246"/>
      <c r="AS342" s="132"/>
      <c r="AT342" s="460"/>
      <c r="AU342" s="236"/>
      <c r="AV342" s="236"/>
      <c r="AW342" s="206" t="str">
        <f t="shared" ref="AW342:BB342" si="317">AW87</f>
        <v>#REF!</v>
      </c>
      <c r="AX342" s="206">
        <f t="shared" si="317"/>
        <v>5</v>
      </c>
      <c r="AY342" s="206">
        <f t="shared" si="317"/>
        <v>5</v>
      </c>
      <c r="AZ342" s="206">
        <f t="shared" si="317"/>
        <v>3</v>
      </c>
      <c r="BA342" s="464">
        <f t="shared" si="317"/>
        <v>1</v>
      </c>
      <c r="BB342" s="206">
        <f t="shared" si="317"/>
        <v>1</v>
      </c>
      <c r="BC342" s="465" t="str">
        <f t="shared" si="222"/>
        <v/>
      </c>
      <c r="BD342" s="206"/>
      <c r="BE342" s="466"/>
    </row>
  </sheetData>
  <mergeCells count="106">
    <mergeCell ref="F88:L88"/>
    <mergeCell ref="M88:S88"/>
    <mergeCell ref="T88:Z88"/>
    <mergeCell ref="AA88:AG88"/>
    <mergeCell ref="AH88:AN88"/>
    <mergeCell ref="AO88:AT88"/>
    <mergeCell ref="F89:L89"/>
    <mergeCell ref="AO89:AT89"/>
    <mergeCell ref="M89:S89"/>
    <mergeCell ref="T89:Z89"/>
    <mergeCell ref="H90:I90"/>
    <mergeCell ref="J90:L90"/>
    <mergeCell ref="Q90:R90"/>
    <mergeCell ref="X90:Y90"/>
    <mergeCell ref="AE90:AF90"/>
    <mergeCell ref="AA174:AG174"/>
    <mergeCell ref="AH174:AN174"/>
    <mergeCell ref="AU177:AV177"/>
    <mergeCell ref="AU178:AV178"/>
    <mergeCell ref="AU179:AV179"/>
    <mergeCell ref="AU180:AV180"/>
    <mergeCell ref="AU181:AV181"/>
    <mergeCell ref="AU182:AV182"/>
    <mergeCell ref="F173:L173"/>
    <mergeCell ref="M173:S173"/>
    <mergeCell ref="T173:Z173"/>
    <mergeCell ref="AA173:AG173"/>
    <mergeCell ref="AH173:AN173"/>
    <mergeCell ref="AO173:AT173"/>
    <mergeCell ref="AO174:AT174"/>
    <mergeCell ref="F174:L174"/>
    <mergeCell ref="H175:I175"/>
    <mergeCell ref="Q175:R175"/>
    <mergeCell ref="X175:Y175"/>
    <mergeCell ref="AE175:AF175"/>
    <mergeCell ref="AL175:AM175"/>
    <mergeCell ref="AS175:AT175"/>
    <mergeCell ref="J175:L175"/>
    <mergeCell ref="F258:L258"/>
    <mergeCell ref="M258:S258"/>
    <mergeCell ref="T258:Z258"/>
    <mergeCell ref="AA258:AG258"/>
    <mergeCell ref="AH258:AN258"/>
    <mergeCell ref="AO258:AT258"/>
    <mergeCell ref="F259:L259"/>
    <mergeCell ref="M259:S259"/>
    <mergeCell ref="T259:Z259"/>
    <mergeCell ref="AA259:AG259"/>
    <mergeCell ref="AH259:AN259"/>
    <mergeCell ref="AO259:AT259"/>
    <mergeCell ref="AW259:BA259"/>
    <mergeCell ref="AU262:AV262"/>
    <mergeCell ref="AU263:AV263"/>
    <mergeCell ref="AU264:AV264"/>
    <mergeCell ref="AU265:AV265"/>
    <mergeCell ref="AU266:AV266"/>
    <mergeCell ref="AU267:AV267"/>
    <mergeCell ref="H260:I260"/>
    <mergeCell ref="J260:L260"/>
    <mergeCell ref="Q260:R260"/>
    <mergeCell ref="X260:Y260"/>
    <mergeCell ref="AE260:AF260"/>
    <mergeCell ref="AL260:AM260"/>
    <mergeCell ref="AS260:AT260"/>
    <mergeCell ref="M1:V2"/>
    <mergeCell ref="W1:AT2"/>
    <mergeCell ref="M3:S3"/>
    <mergeCell ref="T3:Z3"/>
    <mergeCell ref="AA3:AG3"/>
    <mergeCell ref="AH3:AN3"/>
    <mergeCell ref="AO3:AT3"/>
    <mergeCell ref="F3:L3"/>
    <mergeCell ref="M4:S4"/>
    <mergeCell ref="T4:Z4"/>
    <mergeCell ref="AA4:AG4"/>
    <mergeCell ref="AH4:AN4"/>
    <mergeCell ref="AO4:AT4"/>
    <mergeCell ref="AW4:BA4"/>
    <mergeCell ref="AS5:AT5"/>
    <mergeCell ref="AU7:AV7"/>
    <mergeCell ref="AU8:AV8"/>
    <mergeCell ref="AU9:AV9"/>
    <mergeCell ref="AU10:AV10"/>
    <mergeCell ref="AU11:AV11"/>
    <mergeCell ref="AU12:AV12"/>
    <mergeCell ref="F4:L4"/>
    <mergeCell ref="H5:I5"/>
    <mergeCell ref="J5:L5"/>
    <mergeCell ref="Q5:R5"/>
    <mergeCell ref="X5:Y5"/>
    <mergeCell ref="AE5:AF5"/>
    <mergeCell ref="AL5:AM5"/>
    <mergeCell ref="AA89:AG89"/>
    <mergeCell ref="AH89:AN89"/>
    <mergeCell ref="AW89:BA89"/>
    <mergeCell ref="AL90:AM90"/>
    <mergeCell ref="AS90:AT90"/>
    <mergeCell ref="AU92:AV92"/>
    <mergeCell ref="AU93:AV93"/>
    <mergeCell ref="AU94:AV94"/>
    <mergeCell ref="AU95:AV95"/>
    <mergeCell ref="AU96:AV96"/>
    <mergeCell ref="AU97:AV97"/>
    <mergeCell ref="M174:S174"/>
    <mergeCell ref="T174:Z174"/>
    <mergeCell ref="AW174:BA174"/>
  </mergeCells>
  <dataValidations>
    <dataValidation type="list" allowBlank="1" showErrorMessage="1" sqref="C3 C88 C173 C258">
      <formula1>"RTC,RG,PUB,IN PROCESS"</formula1>
    </dataValidation>
  </dataValidations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.5"/>
    <col customWidth="1" min="2" max="2" width="18.0"/>
    <col customWidth="1" min="3" max="3" width="10.88"/>
    <col customWidth="1" min="4" max="4" width="8.0"/>
    <col customWidth="1" min="5" max="5" width="1.75"/>
    <col customWidth="1" min="6" max="6" width="14.75"/>
    <col customWidth="1" min="7" max="7" width="0.88"/>
    <col customWidth="1" min="8" max="8" width="15.13"/>
    <col customWidth="1" min="9" max="9" width="0.88"/>
    <col customWidth="1" min="10" max="10" width="14.75"/>
    <col customWidth="1" min="11" max="11" width="0.88"/>
    <col customWidth="1" min="12" max="12" width="1.75"/>
    <col customWidth="1" min="13" max="13" width="15.63"/>
    <col customWidth="1" min="14" max="14" width="0.88"/>
    <col customWidth="1" min="15" max="15" width="15.63"/>
    <col customWidth="1" min="16" max="16" width="0.88"/>
    <col customWidth="1" min="17" max="17" width="14.75"/>
    <col customWidth="1" min="18" max="18" width="0.88"/>
    <col customWidth="1" min="19" max="19" width="1.75"/>
    <col customWidth="1" min="20" max="20" width="16.38"/>
    <col customWidth="1" min="21" max="21" width="0.88"/>
    <col customWidth="1" min="22" max="22" width="14.25"/>
    <col customWidth="1" min="23" max="23" width="0.88"/>
    <col customWidth="1" min="24" max="24" width="14.75"/>
    <col customWidth="1" min="25" max="25" width="0.88"/>
    <col customWidth="1" min="26" max="26" width="1.75"/>
    <col customWidth="1" min="27" max="27" width="16.38"/>
    <col customWidth="1" min="28" max="28" width="0.88"/>
    <col customWidth="1" min="29" max="29" width="16.38"/>
    <col customWidth="1" min="30" max="30" width="0.88"/>
    <col customWidth="1" min="31" max="31" width="14.75"/>
    <col customWidth="1" min="32" max="32" width="0.88"/>
    <col customWidth="1" min="33" max="33" width="1.75"/>
    <col customWidth="1" min="34" max="34" width="16.38"/>
    <col customWidth="1" min="35" max="35" width="0.88"/>
    <col customWidth="1" min="36" max="36" width="16.38"/>
    <col customWidth="1" min="37" max="37" width="0.88"/>
    <col customWidth="1" min="38" max="38" width="14.75"/>
    <col customWidth="1" min="39" max="39" width="0.88"/>
    <col customWidth="1" min="40" max="40" width="1.75"/>
    <col customWidth="1" min="41" max="41" width="16.38"/>
    <col customWidth="1" min="42" max="42" width="0.88"/>
    <col customWidth="1" min="43" max="43" width="16.38"/>
    <col customWidth="1" min="44" max="44" width="0.88"/>
    <col customWidth="1" min="45" max="45" width="14.75"/>
    <col customWidth="1" min="46" max="46" width="0.88"/>
    <col customWidth="1" min="47" max="47" width="1.5"/>
    <col customWidth="1" min="48" max="48" width="2.75"/>
    <col customWidth="1" min="49" max="49" width="15.5"/>
    <col customWidth="1" min="50" max="54" width="4.13"/>
    <col customWidth="1" min="55" max="55" width="5.25"/>
    <col customWidth="1" min="56" max="57" width="8.25"/>
  </cols>
  <sheetData>
    <row r="1" ht="9.75" customHeight="1">
      <c r="A1" s="172"/>
      <c r="B1" s="173" t="s">
        <v>603</v>
      </c>
      <c r="C1" s="174"/>
      <c r="D1" s="174"/>
      <c r="E1" s="175"/>
      <c r="F1" s="176"/>
      <c r="G1" s="176"/>
      <c r="H1" s="176"/>
      <c r="I1" s="177"/>
      <c r="J1" s="177"/>
      <c r="K1" s="177"/>
      <c r="L1" s="177"/>
      <c r="M1" s="178" t="s">
        <v>476</v>
      </c>
      <c r="W1" s="179"/>
      <c r="AU1" s="176"/>
      <c r="AV1" s="176"/>
      <c r="AW1" s="172"/>
      <c r="AX1" s="176"/>
      <c r="AY1" s="176"/>
      <c r="AZ1" s="176"/>
      <c r="BA1" s="176"/>
      <c r="BB1" s="176"/>
      <c r="BC1" s="176"/>
      <c r="BD1" s="176"/>
      <c r="BE1" s="176"/>
    </row>
    <row r="2" ht="9.75" customHeight="1">
      <c r="A2" s="176"/>
      <c r="B2" s="176"/>
      <c r="C2" s="176"/>
      <c r="D2" s="176"/>
      <c r="E2" s="180"/>
      <c r="F2" s="176"/>
      <c r="G2" s="176"/>
      <c r="H2" s="176"/>
      <c r="I2" s="181"/>
      <c r="J2" s="181"/>
      <c r="K2" s="181"/>
      <c r="L2" s="181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</row>
    <row r="3">
      <c r="A3" s="182"/>
      <c r="B3" s="183" t="s">
        <v>604</v>
      </c>
      <c r="C3" s="184" t="s">
        <v>605</v>
      </c>
      <c r="D3" s="185" t="s">
        <v>486</v>
      </c>
      <c r="E3" s="186"/>
      <c r="F3" s="185" t="s">
        <v>487</v>
      </c>
      <c r="M3" s="185" t="s">
        <v>488</v>
      </c>
      <c r="T3" s="185" t="s">
        <v>489</v>
      </c>
      <c r="AA3" s="185" t="s">
        <v>490</v>
      </c>
      <c r="AH3" s="185" t="s">
        <v>491</v>
      </c>
      <c r="AO3" s="185" t="s">
        <v>492</v>
      </c>
      <c r="AU3" s="182"/>
      <c r="AV3" s="182"/>
      <c r="AW3" s="182"/>
      <c r="AX3" s="182"/>
      <c r="AY3" s="182"/>
      <c r="AZ3" s="182"/>
      <c r="BA3" s="182"/>
      <c r="BB3" s="182"/>
      <c r="BC3" s="182"/>
      <c r="BD3" s="182"/>
      <c r="BE3" s="182"/>
    </row>
    <row r="4">
      <c r="A4" s="182"/>
      <c r="B4" s="187"/>
      <c r="C4" s="187"/>
      <c r="D4" s="188">
        <v>1.0</v>
      </c>
      <c r="E4" s="189"/>
      <c r="F4" s="188">
        <v>2.0</v>
      </c>
      <c r="M4" s="188">
        <v>3.0</v>
      </c>
      <c r="T4" s="188">
        <v>4.0</v>
      </c>
      <c r="AA4" s="188">
        <v>5.0</v>
      </c>
      <c r="AH4" s="188">
        <v>6.0</v>
      </c>
      <c r="AO4" s="188">
        <v>7.0</v>
      </c>
      <c r="AU4" s="182"/>
      <c r="AV4" s="182"/>
      <c r="AW4" s="190" t="s">
        <v>606</v>
      </c>
      <c r="BB4" s="190"/>
      <c r="BC4" s="191" t="s">
        <v>607</v>
      </c>
      <c r="BD4" s="191"/>
      <c r="BE4" s="192"/>
    </row>
    <row r="5">
      <c r="A5" s="182"/>
      <c r="B5" s="193" t="s">
        <v>608</v>
      </c>
      <c r="C5" s="193" t="s">
        <v>609</v>
      </c>
      <c r="D5" s="187"/>
      <c r="E5" s="189"/>
      <c r="F5" s="194" t="s">
        <v>610</v>
      </c>
      <c r="G5" s="195"/>
      <c r="H5" s="193" t="s">
        <v>611</v>
      </c>
      <c r="J5" s="194" t="s">
        <v>612</v>
      </c>
      <c r="M5" s="194" t="s">
        <v>610</v>
      </c>
      <c r="N5" s="195"/>
      <c r="O5" s="193" t="s">
        <v>611</v>
      </c>
      <c r="P5" s="195"/>
      <c r="Q5" s="194" t="s">
        <v>612</v>
      </c>
      <c r="S5" s="193"/>
      <c r="T5" s="194" t="s">
        <v>610</v>
      </c>
      <c r="U5" s="195"/>
      <c r="V5" s="193" t="s">
        <v>611</v>
      </c>
      <c r="W5" s="195"/>
      <c r="X5" s="194" t="s">
        <v>612</v>
      </c>
      <c r="Z5" s="193"/>
      <c r="AA5" s="194" t="s">
        <v>610</v>
      </c>
      <c r="AB5" s="195"/>
      <c r="AC5" s="193" t="s">
        <v>611</v>
      </c>
      <c r="AD5" s="195"/>
      <c r="AE5" s="194" t="s">
        <v>612</v>
      </c>
      <c r="AG5" s="193"/>
      <c r="AH5" s="194" t="s">
        <v>610</v>
      </c>
      <c r="AI5" s="195"/>
      <c r="AJ5" s="193" t="s">
        <v>611</v>
      </c>
      <c r="AK5" s="195"/>
      <c r="AL5" s="194" t="s">
        <v>612</v>
      </c>
      <c r="AN5" s="193"/>
      <c r="AO5" s="194" t="s">
        <v>610</v>
      </c>
      <c r="AP5" s="195"/>
      <c r="AQ5" s="193" t="s">
        <v>611</v>
      </c>
      <c r="AR5" s="195"/>
      <c r="AS5" s="194" t="s">
        <v>612</v>
      </c>
      <c r="AU5" s="182"/>
      <c r="AV5" s="182"/>
      <c r="AW5" s="196" t="s">
        <v>613</v>
      </c>
      <c r="AX5" s="197" t="s">
        <v>614</v>
      </c>
      <c r="AY5" s="197" t="s">
        <v>615</v>
      </c>
      <c r="AZ5" s="197" t="s">
        <v>616</v>
      </c>
      <c r="BA5" s="197" t="s">
        <v>617</v>
      </c>
      <c r="BB5" s="197" t="s">
        <v>618</v>
      </c>
      <c r="BC5" s="197" t="s">
        <v>619</v>
      </c>
      <c r="BD5" s="197"/>
      <c r="BE5" s="198"/>
    </row>
    <row r="6" ht="15.0" customHeight="1">
      <c r="A6" s="199"/>
      <c r="B6" s="200" t="s">
        <v>620</v>
      </c>
      <c r="C6" s="201"/>
      <c r="D6" s="201"/>
      <c r="E6" s="202"/>
      <c r="F6" s="203"/>
      <c r="G6" s="204"/>
      <c r="H6" s="203"/>
      <c r="I6" s="204"/>
      <c r="J6" s="203"/>
      <c r="K6" s="204"/>
      <c r="L6" s="205"/>
      <c r="M6" s="203"/>
      <c r="N6" s="204"/>
      <c r="O6" s="203"/>
      <c r="P6" s="204"/>
      <c r="Q6" s="203"/>
      <c r="R6" s="204"/>
      <c r="S6" s="205"/>
      <c r="T6" s="203"/>
      <c r="U6" s="204"/>
      <c r="V6" s="203"/>
      <c r="W6" s="204"/>
      <c r="X6" s="203"/>
      <c r="Y6" s="204"/>
      <c r="Z6" s="205"/>
      <c r="AA6" s="203"/>
      <c r="AB6" s="204"/>
      <c r="AC6" s="203"/>
      <c r="AD6" s="204"/>
      <c r="AE6" s="203"/>
      <c r="AF6" s="204"/>
      <c r="AG6" s="205"/>
      <c r="AH6" s="203" t="s">
        <v>826</v>
      </c>
      <c r="AI6" s="204"/>
      <c r="AJ6" s="203" t="s">
        <v>827</v>
      </c>
      <c r="AK6" s="204"/>
      <c r="AL6" s="203" t="s">
        <v>749</v>
      </c>
      <c r="AM6" s="204"/>
      <c r="AN6" s="205"/>
      <c r="AO6" s="203"/>
      <c r="AP6" s="204"/>
      <c r="AQ6" s="203"/>
      <c r="AR6" s="204"/>
      <c r="AS6" s="203"/>
      <c r="AT6" s="204"/>
      <c r="AU6" s="199"/>
      <c r="AV6" s="199"/>
      <c r="AW6" s="206" t="str">
        <f t="shared" ref="AW6:AW20" si="1">TEAM!B6</f>
        <v>#REF!</v>
      </c>
      <c r="AX6" s="207">
        <f t="shared" ref="AX6:AX88" si="2">countif($D$14:$AS$85, AW6)</f>
        <v>0</v>
      </c>
      <c r="AY6" s="208">
        <f t="shared" ref="AY6:AY88" si="3">countif(D$100:AS$171, AW6)</f>
        <v>0</v>
      </c>
      <c r="AZ6" s="208">
        <f t="shared" ref="AZ6:AZ88" si="4">countif(D$186:AS$257, AW6)</f>
        <v>0</v>
      </c>
      <c r="BA6" s="208">
        <f t="shared" ref="BA6:BA88" si="5">countif(D$272:AS$343, AW6)</f>
        <v>0</v>
      </c>
      <c r="BB6" s="209">
        <f t="shared" ref="BB6:BB88" si="6">countif(A$358:AS$425, AW6)</f>
        <v>0</v>
      </c>
      <c r="BC6" s="210">
        <f t="shared" ref="BC6:BC88" si="7">sum(AX6:BB6)*8</f>
        <v>0</v>
      </c>
      <c r="BD6" s="211"/>
      <c r="BE6" s="212"/>
    </row>
    <row r="7" ht="15.0" customHeight="1">
      <c r="A7" s="199"/>
      <c r="B7" s="213" t="s">
        <v>623</v>
      </c>
      <c r="C7" s="214"/>
      <c r="D7" s="215"/>
      <c r="E7" s="216"/>
      <c r="F7" s="217" t="s">
        <v>627</v>
      </c>
      <c r="G7" s="218"/>
      <c r="H7" s="223" t="s">
        <v>628</v>
      </c>
      <c r="I7" s="220"/>
      <c r="J7" s="561" t="s">
        <v>626</v>
      </c>
      <c r="K7" s="221"/>
      <c r="L7" s="216"/>
      <c r="M7" s="217"/>
      <c r="N7" s="218"/>
      <c r="O7" s="222" t="s">
        <v>625</v>
      </c>
      <c r="P7" s="220"/>
      <c r="Q7" s="561" t="s">
        <v>626</v>
      </c>
      <c r="R7" s="221"/>
      <c r="S7" s="216"/>
      <c r="T7" s="217"/>
      <c r="U7" s="218"/>
      <c r="V7" s="223" t="s">
        <v>628</v>
      </c>
      <c r="W7" s="220"/>
      <c r="X7" s="561" t="s">
        <v>626</v>
      </c>
      <c r="Y7" s="221"/>
      <c r="Z7" s="216"/>
      <c r="AA7" s="217"/>
      <c r="AB7" s="218"/>
      <c r="AC7" s="222" t="s">
        <v>625</v>
      </c>
      <c r="AD7" s="220"/>
      <c r="AE7" s="561" t="s">
        <v>626</v>
      </c>
      <c r="AF7" s="221"/>
      <c r="AG7" s="216"/>
      <c r="AH7" s="561" t="s">
        <v>626</v>
      </c>
      <c r="AI7" s="218"/>
      <c r="AJ7" s="223" t="s">
        <v>628</v>
      </c>
      <c r="AK7" s="220"/>
      <c r="AL7" s="561" t="s">
        <v>626</v>
      </c>
      <c r="AM7" s="221"/>
      <c r="AN7" s="216"/>
      <c r="AO7" s="217"/>
      <c r="AP7" s="218"/>
      <c r="AQ7" s="222" t="s">
        <v>625</v>
      </c>
      <c r="AR7" s="220"/>
      <c r="AS7" s="561" t="s">
        <v>626</v>
      </c>
      <c r="AT7" s="221"/>
      <c r="AU7" s="225">
        <f>counta(F7:AT7)*20</f>
        <v>280</v>
      </c>
      <c r="AW7" s="206" t="str">
        <f t="shared" si="1"/>
        <v>#REF!</v>
      </c>
      <c r="AX7" s="207">
        <f t="shared" si="2"/>
        <v>0</v>
      </c>
      <c r="AY7" s="208">
        <f t="shared" si="3"/>
        <v>0</v>
      </c>
      <c r="AZ7" s="208">
        <f t="shared" si="4"/>
        <v>0</v>
      </c>
      <c r="BA7" s="208">
        <f t="shared" si="5"/>
        <v>0</v>
      </c>
      <c r="BB7" s="209">
        <f t="shared" si="6"/>
        <v>0</v>
      </c>
      <c r="BC7" s="210">
        <f t="shared" si="7"/>
        <v>0</v>
      </c>
      <c r="BD7" s="211"/>
      <c r="BE7" s="212"/>
    </row>
    <row r="8" ht="15.0" customHeight="1">
      <c r="A8" s="199"/>
      <c r="B8" s="226" t="s">
        <v>629</v>
      </c>
      <c r="C8" s="214"/>
      <c r="D8" s="215"/>
      <c r="E8" s="216"/>
      <c r="F8" s="227">
        <v>4.0</v>
      </c>
      <c r="G8" s="218"/>
      <c r="H8" s="227">
        <v>4.0</v>
      </c>
      <c r="I8" s="220"/>
      <c r="J8" s="227">
        <v>4.0</v>
      </c>
      <c r="K8" s="221"/>
      <c r="L8" s="216"/>
      <c r="M8" s="227"/>
      <c r="N8" s="218"/>
      <c r="O8" s="227">
        <v>4.0</v>
      </c>
      <c r="P8" s="220"/>
      <c r="Q8" s="227">
        <v>6.0</v>
      </c>
      <c r="R8" s="221"/>
      <c r="S8" s="216"/>
      <c r="T8" s="227"/>
      <c r="U8" s="218"/>
      <c r="V8" s="227">
        <v>4.0</v>
      </c>
      <c r="W8" s="220"/>
      <c r="X8" s="227">
        <v>8.0</v>
      </c>
      <c r="Y8" s="221"/>
      <c r="Z8" s="216"/>
      <c r="AA8" s="227"/>
      <c r="AB8" s="218"/>
      <c r="AC8" s="227">
        <v>6.0</v>
      </c>
      <c r="AD8" s="220"/>
      <c r="AE8" s="227">
        <v>8.0</v>
      </c>
      <c r="AF8" s="221"/>
      <c r="AG8" s="216"/>
      <c r="AH8" s="227">
        <v>0.0</v>
      </c>
      <c r="AI8" s="218"/>
      <c r="AJ8" s="227">
        <v>5.0</v>
      </c>
      <c r="AK8" s="220"/>
      <c r="AL8" s="227">
        <v>4.0</v>
      </c>
      <c r="AM8" s="221"/>
      <c r="AN8" s="216"/>
      <c r="AO8" s="227"/>
      <c r="AP8" s="218"/>
      <c r="AQ8" s="227">
        <v>6.0</v>
      </c>
      <c r="AR8" s="220"/>
      <c r="AS8" s="227">
        <v>4.0</v>
      </c>
      <c r="AT8" s="221"/>
      <c r="AU8" s="225">
        <f>sum(F8:AK8)</f>
        <v>53</v>
      </c>
      <c r="AW8" s="206" t="str">
        <f t="shared" si="1"/>
        <v>#REF!</v>
      </c>
      <c r="AX8" s="207">
        <f t="shared" si="2"/>
        <v>0</v>
      </c>
      <c r="AY8" s="208">
        <f t="shared" si="3"/>
        <v>0</v>
      </c>
      <c r="AZ8" s="208">
        <f t="shared" si="4"/>
        <v>0</v>
      </c>
      <c r="BA8" s="208">
        <f t="shared" si="5"/>
        <v>0</v>
      </c>
      <c r="BB8" s="209">
        <f t="shared" si="6"/>
        <v>0</v>
      </c>
      <c r="BC8" s="210">
        <f t="shared" si="7"/>
        <v>0</v>
      </c>
      <c r="BD8" s="211"/>
      <c r="BE8" s="212"/>
    </row>
    <row r="9" ht="15.0" customHeight="1">
      <c r="A9" s="199"/>
      <c r="B9" s="213" t="s">
        <v>630</v>
      </c>
      <c r="C9" s="214"/>
      <c r="D9" s="215"/>
      <c r="E9" s="216"/>
      <c r="F9" s="215"/>
      <c r="G9" s="218"/>
      <c r="H9" s="215"/>
      <c r="I9" s="220"/>
      <c r="J9" s="215"/>
      <c r="K9" s="221"/>
      <c r="L9" s="216"/>
      <c r="M9" s="215"/>
      <c r="N9" s="218"/>
      <c r="O9" s="228" t="s">
        <v>631</v>
      </c>
      <c r="P9" s="220"/>
      <c r="Q9" s="215"/>
      <c r="R9" s="221"/>
      <c r="S9" s="216"/>
      <c r="T9" s="215"/>
      <c r="U9" s="218"/>
      <c r="V9" s="215"/>
      <c r="W9" s="220"/>
      <c r="X9" s="228" t="s">
        <v>631</v>
      </c>
      <c r="Y9" s="221"/>
      <c r="Z9" s="216"/>
      <c r="AA9" s="215"/>
      <c r="AB9" s="218"/>
      <c r="AC9" s="215"/>
      <c r="AD9" s="220"/>
      <c r="AE9" s="215"/>
      <c r="AF9" s="221"/>
      <c r="AG9" s="216"/>
      <c r="AH9" s="215"/>
      <c r="AI9" s="218"/>
      <c r="AJ9" s="228" t="s">
        <v>631</v>
      </c>
      <c r="AK9" s="220"/>
      <c r="AL9" s="215"/>
      <c r="AM9" s="221"/>
      <c r="AN9" s="216"/>
      <c r="AO9" s="215"/>
      <c r="AP9" s="218"/>
      <c r="AQ9" s="215"/>
      <c r="AR9" s="220"/>
      <c r="AS9" s="215"/>
      <c r="AT9" s="221"/>
      <c r="AU9" s="225">
        <f>countA(F9:AJ9)*5</f>
        <v>15</v>
      </c>
      <c r="AW9" s="206" t="str">
        <f t="shared" si="1"/>
        <v>#REF!</v>
      </c>
      <c r="AX9" s="207">
        <f t="shared" si="2"/>
        <v>0</v>
      </c>
      <c r="AY9" s="208">
        <f t="shared" si="3"/>
        <v>0</v>
      </c>
      <c r="AZ9" s="208">
        <f t="shared" si="4"/>
        <v>0</v>
      </c>
      <c r="BA9" s="208">
        <f t="shared" si="5"/>
        <v>0</v>
      </c>
      <c r="BB9" s="209">
        <f t="shared" si="6"/>
        <v>0</v>
      </c>
      <c r="BC9" s="210">
        <f t="shared" si="7"/>
        <v>0</v>
      </c>
      <c r="BD9" s="211"/>
      <c r="BE9" s="212"/>
    </row>
    <row r="10" ht="15.0" customHeight="1">
      <c r="A10" s="199"/>
      <c r="B10" s="229" t="s">
        <v>632</v>
      </c>
      <c r="C10" s="214"/>
      <c r="D10" s="215"/>
      <c r="E10" s="216"/>
      <c r="F10" s="215"/>
      <c r="G10" s="221"/>
      <c r="H10" s="215"/>
      <c r="I10" s="220"/>
      <c r="J10" s="215"/>
      <c r="K10" s="221"/>
      <c r="L10" s="216"/>
      <c r="M10" s="215"/>
      <c r="N10" s="221"/>
      <c r="O10" s="215"/>
      <c r="P10" s="220"/>
      <c r="Q10" s="215"/>
      <c r="R10" s="221"/>
      <c r="S10" s="216"/>
      <c r="T10" s="215"/>
      <c r="U10" s="221"/>
      <c r="V10" s="215"/>
      <c r="W10" s="220"/>
      <c r="X10" s="215"/>
      <c r="Y10" s="221"/>
      <c r="Z10" s="216"/>
      <c r="AA10" s="215"/>
      <c r="AB10" s="221"/>
      <c r="AC10" s="215"/>
      <c r="AD10" s="220"/>
      <c r="AE10" s="215"/>
      <c r="AF10" s="221"/>
      <c r="AG10" s="216"/>
      <c r="AH10" s="215"/>
      <c r="AI10" s="221"/>
      <c r="AJ10" s="215"/>
      <c r="AK10" s="220"/>
      <c r="AL10" s="215"/>
      <c r="AM10" s="221"/>
      <c r="AN10" s="216"/>
      <c r="AO10" s="215"/>
      <c r="AP10" s="221"/>
      <c r="AQ10" s="215"/>
      <c r="AR10" s="220"/>
      <c r="AS10" s="215"/>
      <c r="AT10" s="221"/>
      <c r="AU10" s="225">
        <f>countA(F10:AK10)*12</f>
        <v>0</v>
      </c>
      <c r="AW10" s="206" t="str">
        <f t="shared" si="1"/>
        <v>#REF!</v>
      </c>
      <c r="AX10" s="207">
        <f t="shared" si="2"/>
        <v>0</v>
      </c>
      <c r="AY10" s="208">
        <f t="shared" si="3"/>
        <v>0</v>
      </c>
      <c r="AZ10" s="208">
        <f t="shared" si="4"/>
        <v>0</v>
      </c>
      <c r="BA10" s="208">
        <f t="shared" si="5"/>
        <v>0</v>
      </c>
      <c r="BB10" s="209">
        <f t="shared" si="6"/>
        <v>0</v>
      </c>
      <c r="BC10" s="210">
        <f t="shared" si="7"/>
        <v>0</v>
      </c>
      <c r="BD10" s="211"/>
      <c r="BE10" s="212"/>
    </row>
    <row r="11" ht="15.0" customHeight="1">
      <c r="A11" s="199"/>
      <c r="B11" s="213" t="s">
        <v>633</v>
      </c>
      <c r="C11" s="214"/>
      <c r="D11" s="215"/>
      <c r="E11" s="216"/>
      <c r="F11" s="215"/>
      <c r="G11" s="230"/>
      <c r="H11" s="215"/>
      <c r="I11" s="231"/>
      <c r="J11" s="215"/>
      <c r="K11" s="216"/>
      <c r="L11" s="216"/>
      <c r="M11" s="215"/>
      <c r="N11" s="230"/>
      <c r="O11" s="630" t="s">
        <v>897</v>
      </c>
      <c r="P11" s="231"/>
      <c r="Q11" s="631" t="s">
        <v>753</v>
      </c>
      <c r="R11" s="216"/>
      <c r="S11" s="216"/>
      <c r="T11" s="215"/>
      <c r="U11" s="230"/>
      <c r="V11" s="215"/>
      <c r="W11" s="231"/>
      <c r="X11" s="631" t="s">
        <v>753</v>
      </c>
      <c r="Y11" s="216"/>
      <c r="Z11" s="216"/>
      <c r="AA11" s="215"/>
      <c r="AB11" s="230"/>
      <c r="AC11" s="215"/>
      <c r="AD11" s="231"/>
      <c r="AE11" s="631" t="s">
        <v>898</v>
      </c>
      <c r="AF11" s="216"/>
      <c r="AG11" s="216"/>
      <c r="AH11" s="215"/>
      <c r="AI11" s="230"/>
      <c r="AJ11" s="215"/>
      <c r="AK11" s="231"/>
      <c r="AL11" s="631" t="s">
        <v>753</v>
      </c>
      <c r="AM11" s="216"/>
      <c r="AN11" s="216"/>
      <c r="AO11" s="215"/>
      <c r="AP11" s="230"/>
      <c r="AQ11" s="215"/>
      <c r="AR11" s="231"/>
      <c r="AS11" s="631" t="s">
        <v>753</v>
      </c>
      <c r="AT11" s="216"/>
      <c r="AU11" s="225">
        <f>counta(F11:AT11)*4</f>
        <v>24</v>
      </c>
      <c r="AW11" s="206" t="str">
        <f t="shared" si="1"/>
        <v>#REF!</v>
      </c>
      <c r="AX11" s="207">
        <f t="shared" si="2"/>
        <v>0</v>
      </c>
      <c r="AY11" s="208">
        <f t="shared" si="3"/>
        <v>0</v>
      </c>
      <c r="AZ11" s="208">
        <f t="shared" si="4"/>
        <v>0</v>
      </c>
      <c r="BA11" s="208">
        <f t="shared" si="5"/>
        <v>0</v>
      </c>
      <c r="BB11" s="209">
        <f t="shared" si="6"/>
        <v>0</v>
      </c>
      <c r="BC11" s="210">
        <f t="shared" si="7"/>
        <v>0</v>
      </c>
      <c r="BD11" s="211"/>
      <c r="BE11" s="212"/>
    </row>
    <row r="12" ht="15.0" customHeight="1">
      <c r="A12" s="199"/>
      <c r="B12" s="213" t="s">
        <v>637</v>
      </c>
      <c r="C12" s="214"/>
      <c r="D12" s="215"/>
      <c r="E12" s="216"/>
      <c r="F12" s="215"/>
      <c r="G12" s="230"/>
      <c r="H12" s="215"/>
      <c r="I12" s="231"/>
      <c r="J12" s="215"/>
      <c r="K12" s="216"/>
      <c r="L12" s="216"/>
      <c r="M12" s="215"/>
      <c r="N12" s="230"/>
      <c r="O12" s="215"/>
      <c r="P12" s="231"/>
      <c r="Q12" s="227" t="s">
        <v>756</v>
      </c>
      <c r="R12" s="216"/>
      <c r="S12" s="216"/>
      <c r="T12" s="215"/>
      <c r="U12" s="230"/>
      <c r="V12" s="215"/>
      <c r="W12" s="231"/>
      <c r="X12" s="215"/>
      <c r="Y12" s="216"/>
      <c r="Z12" s="216"/>
      <c r="AA12" s="215"/>
      <c r="AB12" s="230"/>
      <c r="AC12" s="215"/>
      <c r="AD12" s="231"/>
      <c r="AE12" s="227" t="s">
        <v>756</v>
      </c>
      <c r="AF12" s="216"/>
      <c r="AG12" s="216"/>
      <c r="AH12" s="215"/>
      <c r="AI12" s="230"/>
      <c r="AJ12" s="215"/>
      <c r="AK12" s="231"/>
      <c r="AL12" s="215"/>
      <c r="AM12" s="216"/>
      <c r="AN12" s="216"/>
      <c r="AO12" s="215"/>
      <c r="AP12" s="230"/>
      <c r="AQ12" s="215"/>
      <c r="AR12" s="231"/>
      <c r="AS12" s="215"/>
      <c r="AT12" s="216"/>
      <c r="AU12" s="225">
        <f>sum(F12:AT12)</f>
        <v>0</v>
      </c>
      <c r="AW12" s="206" t="str">
        <f t="shared" si="1"/>
        <v>#REF!</v>
      </c>
      <c r="AX12" s="207">
        <f t="shared" si="2"/>
        <v>0</v>
      </c>
      <c r="AY12" s="208">
        <f t="shared" si="3"/>
        <v>0</v>
      </c>
      <c r="AZ12" s="208">
        <f t="shared" si="4"/>
        <v>0</v>
      </c>
      <c r="BA12" s="208">
        <f t="shared" si="5"/>
        <v>0</v>
      </c>
      <c r="BB12" s="209">
        <f t="shared" si="6"/>
        <v>0</v>
      </c>
      <c r="BC12" s="210">
        <f t="shared" si="7"/>
        <v>0</v>
      </c>
      <c r="BD12" s="211"/>
      <c r="BE12" s="212"/>
    </row>
    <row r="13">
      <c r="A13" s="234"/>
      <c r="B13" s="235" t="s">
        <v>608</v>
      </c>
      <c r="C13" s="195" t="s">
        <v>609</v>
      </c>
      <c r="D13" s="236"/>
      <c r="E13" s="237"/>
      <c r="F13" s="238"/>
      <c r="G13" s="182"/>
      <c r="H13" s="238"/>
      <c r="I13" s="239"/>
      <c r="J13" s="238"/>
      <c r="K13" s="239"/>
      <c r="L13" s="237"/>
      <c r="M13" s="238"/>
      <c r="N13" s="182"/>
      <c r="O13" s="238"/>
      <c r="P13" s="239"/>
      <c r="Q13" s="238"/>
      <c r="R13" s="239"/>
      <c r="S13" s="237"/>
      <c r="T13" s="238"/>
      <c r="U13" s="182"/>
      <c r="V13" s="238"/>
      <c r="W13" s="239"/>
      <c r="X13" s="238"/>
      <c r="Y13" s="239"/>
      <c r="Z13" s="237"/>
      <c r="AA13" s="238"/>
      <c r="AB13" s="182"/>
      <c r="AC13" s="238"/>
      <c r="AD13" s="239"/>
      <c r="AE13" s="238"/>
      <c r="AF13" s="239"/>
      <c r="AG13" s="237"/>
      <c r="AH13" s="238"/>
      <c r="AI13" s="182"/>
      <c r="AJ13" s="238"/>
      <c r="AK13" s="239"/>
      <c r="AL13" s="238"/>
      <c r="AM13" s="239"/>
      <c r="AN13" s="237"/>
      <c r="AO13" s="238"/>
      <c r="AP13" s="182"/>
      <c r="AQ13" s="238"/>
      <c r="AR13" s="239"/>
      <c r="AS13" s="238"/>
      <c r="AT13" s="239"/>
      <c r="AU13" s="236"/>
      <c r="AV13" s="236"/>
      <c r="AW13" s="206" t="str">
        <f t="shared" si="1"/>
        <v>#REF!</v>
      </c>
      <c r="AX13" s="207">
        <f t="shared" si="2"/>
        <v>0</v>
      </c>
      <c r="AY13" s="208">
        <f t="shared" si="3"/>
        <v>0</v>
      </c>
      <c r="AZ13" s="208">
        <f t="shared" si="4"/>
        <v>0</v>
      </c>
      <c r="BA13" s="208">
        <f t="shared" si="5"/>
        <v>0</v>
      </c>
      <c r="BB13" s="209">
        <f t="shared" si="6"/>
        <v>0</v>
      </c>
      <c r="BC13" s="210">
        <f t="shared" si="7"/>
        <v>0</v>
      </c>
      <c r="BD13" s="211"/>
      <c r="BE13" s="212"/>
    </row>
    <row r="14" ht="14.25" customHeight="1">
      <c r="A14" s="240"/>
      <c r="B14" s="241" t="s">
        <v>638</v>
      </c>
      <c r="C14" s="242" t="s">
        <v>639</v>
      </c>
      <c r="D14" s="243"/>
      <c r="E14" s="244"/>
      <c r="F14" s="247"/>
      <c r="G14" s="246"/>
      <c r="I14" s="246"/>
      <c r="J14" s="274" t="s">
        <v>419</v>
      </c>
      <c r="K14" s="246"/>
      <c r="L14" s="249"/>
      <c r="M14" s="250"/>
      <c r="N14" s="246"/>
      <c r="O14" s="282"/>
      <c r="P14" s="246"/>
      <c r="Q14" s="274" t="s">
        <v>419</v>
      </c>
      <c r="R14" s="246"/>
      <c r="S14" s="249"/>
      <c r="T14" s="250"/>
      <c r="U14" s="246"/>
      <c r="V14" s="274" t="s">
        <v>419</v>
      </c>
      <c r="W14" s="246"/>
      <c r="X14" s="251" t="s">
        <v>405</v>
      </c>
      <c r="Y14" s="246"/>
      <c r="Z14" s="249"/>
      <c r="AA14" s="250"/>
      <c r="AB14" s="246"/>
      <c r="AD14" s="246"/>
      <c r="AE14" s="274" t="s">
        <v>419</v>
      </c>
      <c r="AF14" s="246"/>
      <c r="AG14" s="249"/>
      <c r="AH14" s="371"/>
      <c r="AI14" s="246"/>
      <c r="AK14" s="246"/>
      <c r="AM14" s="246"/>
      <c r="AN14" s="249"/>
      <c r="AO14" s="250"/>
      <c r="AP14" s="246"/>
      <c r="AQ14" s="276"/>
      <c r="AR14" s="246"/>
      <c r="AS14" s="252"/>
      <c r="AT14" s="254" t="str">
        <f>IF(COUNTIF($AO$86:$AT$88, #REF!) &gt; 0, "X", "")</f>
        <v/>
      </c>
      <c r="AU14" s="255"/>
      <c r="AV14" s="255"/>
      <c r="AW14" s="206" t="str">
        <f t="shared" si="1"/>
        <v>#REF!</v>
      </c>
      <c r="AX14" s="207">
        <f t="shared" si="2"/>
        <v>0</v>
      </c>
      <c r="AY14" s="208">
        <f t="shared" si="3"/>
        <v>0</v>
      </c>
      <c r="AZ14" s="208">
        <f t="shared" si="4"/>
        <v>0</v>
      </c>
      <c r="BA14" s="208">
        <f t="shared" si="5"/>
        <v>0</v>
      </c>
      <c r="BB14" s="209">
        <f t="shared" si="6"/>
        <v>0</v>
      </c>
      <c r="BC14" s="210">
        <f t="shared" si="7"/>
        <v>0</v>
      </c>
      <c r="BD14" s="211"/>
      <c r="BE14" s="212"/>
    </row>
    <row r="15" ht="13.5" customHeight="1">
      <c r="A15" s="94"/>
      <c r="B15" s="256" t="s">
        <v>638</v>
      </c>
      <c r="C15" s="257" t="s">
        <v>639</v>
      </c>
      <c r="D15" s="258"/>
      <c r="E15" s="259"/>
      <c r="F15" s="264"/>
      <c r="G15" s="246"/>
      <c r="H15" s="426"/>
      <c r="I15" s="246"/>
      <c r="J15" s="265"/>
      <c r="K15" s="246"/>
      <c r="L15" s="261"/>
      <c r="M15" s="262"/>
      <c r="N15" s="246"/>
      <c r="O15" s="274" t="s">
        <v>414</v>
      </c>
      <c r="P15" s="246"/>
      <c r="Q15" s="474" t="s">
        <v>421</v>
      </c>
      <c r="R15" s="246"/>
      <c r="S15" s="261"/>
      <c r="T15" s="262"/>
      <c r="U15" s="246"/>
      <c r="V15" s="290" t="s">
        <v>432</v>
      </c>
      <c r="W15" s="246"/>
      <c r="Y15" s="246"/>
      <c r="Z15" s="261"/>
      <c r="AA15" s="262"/>
      <c r="AB15" s="246"/>
      <c r="AD15" s="246"/>
      <c r="AE15" s="251" t="s">
        <v>405</v>
      </c>
      <c r="AF15" s="246"/>
      <c r="AG15" s="261"/>
      <c r="AH15" s="426"/>
      <c r="AI15" s="246"/>
      <c r="AK15" s="246"/>
      <c r="AL15" s="274" t="s">
        <v>414</v>
      </c>
      <c r="AM15" s="246"/>
      <c r="AN15" s="261"/>
      <c r="AO15" s="262"/>
      <c r="AP15" s="246"/>
      <c r="AQ15" s="598"/>
      <c r="AR15" s="246"/>
      <c r="AS15" s="598"/>
      <c r="AT15" s="254" t="str">
        <f>IF(COUNTIF($AO$86:$AT$88, AS20) &gt; 0, "X", "")</f>
        <v/>
      </c>
      <c r="AU15" s="269"/>
      <c r="AV15" s="269"/>
      <c r="AW15" s="206" t="str">
        <f t="shared" si="1"/>
        <v>#REF!</v>
      </c>
      <c r="AX15" s="207">
        <f t="shared" si="2"/>
        <v>0</v>
      </c>
      <c r="AY15" s="208">
        <f t="shared" si="3"/>
        <v>0</v>
      </c>
      <c r="AZ15" s="208">
        <f t="shared" si="4"/>
        <v>0</v>
      </c>
      <c r="BA15" s="208">
        <f t="shared" si="5"/>
        <v>0</v>
      </c>
      <c r="BB15" s="209">
        <f t="shared" si="6"/>
        <v>0</v>
      </c>
      <c r="BC15" s="210">
        <f t="shared" si="7"/>
        <v>0</v>
      </c>
      <c r="BD15" s="211"/>
      <c r="BE15" s="212"/>
    </row>
    <row r="16" ht="13.5" customHeight="1">
      <c r="A16" s="270"/>
      <c r="B16" s="271" t="s">
        <v>642</v>
      </c>
      <c r="C16" s="272" t="s">
        <v>639</v>
      </c>
      <c r="D16" s="258"/>
      <c r="E16" s="259"/>
      <c r="F16" s="275"/>
      <c r="G16" s="246"/>
      <c r="H16" s="280" t="s">
        <v>400</v>
      </c>
      <c r="I16" s="246"/>
      <c r="J16" s="282"/>
      <c r="K16" s="246"/>
      <c r="L16" s="261"/>
      <c r="M16" s="250"/>
      <c r="N16" s="246"/>
      <c r="O16" s="281"/>
      <c r="P16" s="246"/>
      <c r="Q16" s="282"/>
      <c r="R16" s="246"/>
      <c r="S16" s="261"/>
      <c r="T16" s="250"/>
      <c r="U16" s="246"/>
      <c r="V16" s="281"/>
      <c r="W16" s="246"/>
      <c r="X16" s="280" t="s">
        <v>400</v>
      </c>
      <c r="Y16" s="246"/>
      <c r="Z16" s="261"/>
      <c r="AA16" s="250"/>
      <c r="AB16" s="246"/>
      <c r="AC16" s="290" t="s">
        <v>432</v>
      </c>
      <c r="AD16" s="246"/>
      <c r="AF16" s="246"/>
      <c r="AG16" s="261"/>
      <c r="AH16" s="282"/>
      <c r="AI16" s="246"/>
      <c r="AJ16" s="280" t="s">
        <v>400</v>
      </c>
      <c r="AK16" s="246"/>
      <c r="AM16" s="246"/>
      <c r="AN16" s="261"/>
      <c r="AO16" s="250"/>
      <c r="AP16" s="246"/>
      <c r="AQ16" s="276"/>
      <c r="AR16" s="246"/>
      <c r="AS16" s="276"/>
      <c r="AT16" s="254" t="str">
        <f>IF(COUNTIF($AO$86:$AT$88, #REF!) &gt; 0, "X", "")</f>
        <v/>
      </c>
      <c r="AU16" s="269"/>
      <c r="AV16" s="269"/>
      <c r="AW16" s="206" t="str">
        <f t="shared" si="1"/>
        <v>#REF!</v>
      </c>
      <c r="AX16" s="207">
        <f t="shared" si="2"/>
        <v>0</v>
      </c>
      <c r="AY16" s="208">
        <f t="shared" si="3"/>
        <v>0</v>
      </c>
      <c r="AZ16" s="208">
        <f t="shared" si="4"/>
        <v>0</v>
      </c>
      <c r="BA16" s="208">
        <f t="shared" si="5"/>
        <v>0</v>
      </c>
      <c r="BB16" s="209">
        <f t="shared" si="6"/>
        <v>0</v>
      </c>
      <c r="BC16" s="210">
        <f t="shared" si="7"/>
        <v>0</v>
      </c>
      <c r="BD16" s="211"/>
      <c r="BE16" s="212"/>
    </row>
    <row r="17">
      <c r="A17" s="94"/>
      <c r="B17" s="277" t="s">
        <v>644</v>
      </c>
      <c r="C17" s="278" t="s">
        <v>645</v>
      </c>
      <c r="D17" s="243"/>
      <c r="E17" s="259"/>
      <c r="F17" s="371"/>
      <c r="G17" s="246"/>
      <c r="H17" s="371"/>
      <c r="I17" s="246"/>
      <c r="J17" s="371"/>
      <c r="K17" s="246"/>
      <c r="L17" s="261"/>
      <c r="M17" s="250"/>
      <c r="N17" s="246"/>
      <c r="O17" s="281"/>
      <c r="P17" s="246"/>
      <c r="Q17" s="280" t="s">
        <v>400</v>
      </c>
      <c r="R17" s="246"/>
      <c r="S17" s="261"/>
      <c r="T17" s="250"/>
      <c r="U17" s="246"/>
      <c r="V17" s="371"/>
      <c r="W17" s="246"/>
      <c r="X17" s="371"/>
      <c r="Y17" s="246"/>
      <c r="Z17" s="261"/>
      <c r="AA17" s="250"/>
      <c r="AB17" s="246"/>
      <c r="AC17" s="280" t="s">
        <v>400</v>
      </c>
      <c r="AD17" s="246"/>
      <c r="AF17" s="246"/>
      <c r="AG17" s="261"/>
      <c r="AH17" s="371"/>
      <c r="AI17" s="246"/>
      <c r="AJ17" s="371"/>
      <c r="AK17" s="246"/>
      <c r="AL17" s="371"/>
      <c r="AM17" s="246"/>
      <c r="AN17" s="261"/>
      <c r="AO17" s="250"/>
      <c r="AP17" s="246"/>
      <c r="AQ17" s="252"/>
      <c r="AR17" s="246"/>
      <c r="AS17" s="252"/>
      <c r="AT17" s="254" t="str">
        <f t="shared" ref="AT17:AT19" si="8">IF(COUNTIF($AO$86:$AT$88, AS17) &gt; 0, "X", "")</f>
        <v/>
      </c>
      <c r="AU17" s="269"/>
      <c r="AV17" s="269"/>
      <c r="AW17" s="206" t="str">
        <f t="shared" si="1"/>
        <v>#REF!</v>
      </c>
      <c r="AX17" s="207">
        <f t="shared" si="2"/>
        <v>0</v>
      </c>
      <c r="AY17" s="208">
        <f t="shared" si="3"/>
        <v>0</v>
      </c>
      <c r="AZ17" s="208">
        <f t="shared" si="4"/>
        <v>0</v>
      </c>
      <c r="BA17" s="208">
        <f t="shared" si="5"/>
        <v>0</v>
      </c>
      <c r="BB17" s="209">
        <f t="shared" si="6"/>
        <v>0</v>
      </c>
      <c r="BC17" s="210">
        <f t="shared" si="7"/>
        <v>0</v>
      </c>
      <c r="BD17" s="211"/>
      <c r="BE17" s="212"/>
    </row>
    <row r="18">
      <c r="A18" s="270"/>
      <c r="B18" s="284" t="s">
        <v>646</v>
      </c>
      <c r="C18" s="285" t="s">
        <v>647</v>
      </c>
      <c r="D18" s="243"/>
      <c r="E18" s="259"/>
      <c r="F18" s="251" t="s">
        <v>427</v>
      </c>
      <c r="G18" s="246"/>
      <c r="H18" s="399"/>
      <c r="I18" s="246"/>
      <c r="J18" s="399"/>
      <c r="K18" s="246"/>
      <c r="L18" s="261"/>
      <c r="M18" s="324"/>
      <c r="N18" s="246"/>
      <c r="O18" s="399"/>
      <c r="P18" s="246"/>
      <c r="Q18" s="251" t="s">
        <v>427</v>
      </c>
      <c r="R18" s="246"/>
      <c r="S18" s="261"/>
      <c r="T18" s="324"/>
      <c r="U18" s="246"/>
      <c r="V18" s="251" t="s">
        <v>602</v>
      </c>
      <c r="W18" s="246"/>
      <c r="X18" s="251" t="s">
        <v>427</v>
      </c>
      <c r="Y18" s="246"/>
      <c r="Z18" s="261"/>
      <c r="AA18" s="324"/>
      <c r="AB18" s="246"/>
      <c r="AC18" s="282"/>
      <c r="AD18" s="246"/>
      <c r="AE18" s="251" t="s">
        <v>427</v>
      </c>
      <c r="AF18" s="246"/>
      <c r="AG18" s="261"/>
      <c r="AH18" s="251" t="s">
        <v>427</v>
      </c>
      <c r="AI18" s="246"/>
      <c r="AJ18" s="282"/>
      <c r="AK18" s="246"/>
      <c r="AL18" s="282"/>
      <c r="AM18" s="246"/>
      <c r="AN18" s="261"/>
      <c r="AO18" s="324"/>
      <c r="AP18" s="246"/>
      <c r="AQ18" s="252"/>
      <c r="AR18" s="246"/>
      <c r="AS18" s="252"/>
      <c r="AT18" s="254" t="str">
        <f t="shared" si="8"/>
        <v/>
      </c>
      <c r="AU18" s="269"/>
      <c r="AV18" s="269"/>
      <c r="AW18" s="206" t="str">
        <f t="shared" si="1"/>
        <v>#REF!</v>
      </c>
      <c r="AX18" s="207">
        <f t="shared" si="2"/>
        <v>0</v>
      </c>
      <c r="AY18" s="208">
        <f t="shared" si="3"/>
        <v>0</v>
      </c>
      <c r="AZ18" s="208">
        <f t="shared" si="4"/>
        <v>0</v>
      </c>
      <c r="BA18" s="208">
        <f t="shared" si="5"/>
        <v>0</v>
      </c>
      <c r="BB18" s="209">
        <f t="shared" si="6"/>
        <v>0</v>
      </c>
      <c r="BC18" s="210">
        <f t="shared" si="7"/>
        <v>0</v>
      </c>
      <c r="BD18" s="211"/>
      <c r="BE18" s="212"/>
    </row>
    <row r="19">
      <c r="A19" s="94"/>
      <c r="B19" s="291" t="s">
        <v>648</v>
      </c>
      <c r="C19" s="292" t="s">
        <v>649</v>
      </c>
      <c r="D19" s="243"/>
      <c r="E19" s="259"/>
      <c r="F19" s="294"/>
      <c r="G19" s="246"/>
      <c r="H19" s="293" t="s">
        <v>418</v>
      </c>
      <c r="I19" s="246"/>
      <c r="J19" s="294"/>
      <c r="K19" s="246"/>
      <c r="L19" s="261"/>
      <c r="M19" s="250"/>
      <c r="N19" s="246"/>
      <c r="O19" s="293" t="s">
        <v>418</v>
      </c>
      <c r="P19" s="246"/>
      <c r="Q19" s="294"/>
      <c r="R19" s="246"/>
      <c r="S19" s="261"/>
      <c r="T19" s="250"/>
      <c r="U19" s="246"/>
      <c r="V19" s="294"/>
      <c r="W19" s="246"/>
      <c r="X19" s="293" t="s">
        <v>418</v>
      </c>
      <c r="Y19" s="246"/>
      <c r="Z19" s="261"/>
      <c r="AA19" s="250"/>
      <c r="AB19" s="246"/>
      <c r="AC19" s="294"/>
      <c r="AD19" s="246"/>
      <c r="AE19" s="293" t="s">
        <v>418</v>
      </c>
      <c r="AF19" s="246"/>
      <c r="AG19" s="261"/>
      <c r="AH19" s="294"/>
      <c r="AI19" s="246"/>
      <c r="AJ19" s="293" t="s">
        <v>418</v>
      </c>
      <c r="AK19" s="246"/>
      <c r="AL19" s="294"/>
      <c r="AM19" s="246"/>
      <c r="AN19" s="261"/>
      <c r="AO19" s="250"/>
      <c r="AP19" s="246"/>
      <c r="AQ19" s="294"/>
      <c r="AR19" s="246"/>
      <c r="AS19" s="294"/>
      <c r="AT19" s="254" t="str">
        <f t="shared" si="8"/>
        <v/>
      </c>
      <c r="AU19" s="269"/>
      <c r="AV19" s="269"/>
      <c r="AW19" s="206" t="str">
        <f t="shared" si="1"/>
        <v>#REF!</v>
      </c>
      <c r="AX19" s="207">
        <f t="shared" si="2"/>
        <v>0</v>
      </c>
      <c r="AY19" s="208">
        <f t="shared" si="3"/>
        <v>0</v>
      </c>
      <c r="AZ19" s="208">
        <f t="shared" si="4"/>
        <v>0</v>
      </c>
      <c r="BA19" s="208">
        <f t="shared" si="5"/>
        <v>0</v>
      </c>
      <c r="BB19" s="209">
        <f t="shared" si="6"/>
        <v>0</v>
      </c>
      <c r="BC19" s="210">
        <f t="shared" si="7"/>
        <v>0</v>
      </c>
      <c r="BD19" s="211"/>
      <c r="BE19" s="212"/>
    </row>
    <row r="20">
      <c r="A20" s="94"/>
      <c r="B20" s="296" t="s">
        <v>650</v>
      </c>
      <c r="C20" s="297" t="s">
        <v>649</v>
      </c>
      <c r="D20" s="243"/>
      <c r="E20" s="259"/>
      <c r="F20" s="299"/>
      <c r="G20" s="298"/>
      <c r="H20" s="299"/>
      <c r="I20" s="298"/>
      <c r="J20" s="299"/>
      <c r="K20" s="298"/>
      <c r="L20" s="261"/>
      <c r="M20" s="250"/>
      <c r="N20" s="298"/>
      <c r="O20" s="299"/>
      <c r="P20" s="298"/>
      <c r="Q20" s="299"/>
      <c r="R20" s="298"/>
      <c r="S20" s="261"/>
      <c r="T20" s="250"/>
      <c r="U20" s="298"/>
      <c r="V20" s="299"/>
      <c r="W20" s="298"/>
      <c r="X20" s="299"/>
      <c r="Y20" s="298"/>
      <c r="Z20" s="261"/>
      <c r="AA20" s="250"/>
      <c r="AB20" s="298"/>
      <c r="AC20" s="299"/>
      <c r="AD20" s="298"/>
      <c r="AE20" s="356" t="s">
        <v>423</v>
      </c>
      <c r="AF20" s="298"/>
      <c r="AG20" s="261"/>
      <c r="AH20" s="299"/>
      <c r="AI20" s="298"/>
      <c r="AJ20" s="299"/>
      <c r="AK20" s="298"/>
      <c r="AL20" s="299"/>
      <c r="AM20" s="298"/>
      <c r="AN20" s="261"/>
      <c r="AO20" s="250"/>
      <c r="AP20" s="298"/>
      <c r="AQ20" s="300"/>
      <c r="AR20" s="298"/>
      <c r="AS20" s="300"/>
      <c r="AT20" s="254" t="str">
        <f t="shared" ref="AT20:AT21" si="9">IF(COUNTIF($AO$86:$AT$88, #REF!) &gt; 0, "X", "")</f>
        <v/>
      </c>
      <c r="AU20" s="269"/>
      <c r="AV20" s="269"/>
      <c r="AW20" s="206" t="str">
        <f t="shared" si="1"/>
        <v>#REF!</v>
      </c>
      <c r="AX20" s="207">
        <f t="shared" si="2"/>
        <v>0</v>
      </c>
      <c r="AY20" s="208">
        <f t="shared" si="3"/>
        <v>0</v>
      </c>
      <c r="AZ20" s="208">
        <f t="shared" si="4"/>
        <v>0</v>
      </c>
      <c r="BA20" s="208">
        <f t="shared" si="5"/>
        <v>0</v>
      </c>
      <c r="BB20" s="209">
        <f t="shared" si="6"/>
        <v>0</v>
      </c>
      <c r="BC20" s="210">
        <f t="shared" si="7"/>
        <v>0</v>
      </c>
      <c r="BD20" s="211"/>
      <c r="BE20" s="212"/>
    </row>
    <row r="21">
      <c r="A21" s="94"/>
      <c r="B21" s="301" t="s">
        <v>651</v>
      </c>
      <c r="C21" s="302" t="s">
        <v>652</v>
      </c>
      <c r="D21" s="243"/>
      <c r="E21" s="259"/>
      <c r="F21" s="303"/>
      <c r="G21" s="298"/>
      <c r="H21" s="303"/>
      <c r="I21" s="298"/>
      <c r="J21" s="303"/>
      <c r="K21" s="298"/>
      <c r="L21" s="261"/>
      <c r="M21" s="250"/>
      <c r="N21" s="298"/>
      <c r="O21" s="303"/>
      <c r="P21" s="298"/>
      <c r="Q21" s="303"/>
      <c r="R21" s="298"/>
      <c r="S21" s="261"/>
      <c r="T21" s="250"/>
      <c r="U21" s="298"/>
      <c r="V21" s="303"/>
      <c r="W21" s="298"/>
      <c r="X21" s="303"/>
      <c r="Y21" s="298"/>
      <c r="Z21" s="261"/>
      <c r="AA21" s="250"/>
      <c r="AB21" s="298"/>
      <c r="AC21" s="303"/>
      <c r="AD21" s="298"/>
      <c r="AE21" s="303"/>
      <c r="AF21" s="298"/>
      <c r="AG21" s="261"/>
      <c r="AH21" s="303"/>
      <c r="AI21" s="298"/>
      <c r="AJ21" s="303"/>
      <c r="AK21" s="298"/>
      <c r="AL21" s="303"/>
      <c r="AM21" s="298"/>
      <c r="AN21" s="261"/>
      <c r="AO21" s="250"/>
      <c r="AP21" s="298"/>
      <c r="AQ21" s="304"/>
      <c r="AR21" s="298"/>
      <c r="AS21" s="304"/>
      <c r="AT21" s="254" t="str">
        <f t="shared" si="9"/>
        <v/>
      </c>
      <c r="AU21" s="269"/>
      <c r="AV21" s="269"/>
      <c r="AW21" s="206" t="str">
        <f>#REF!</f>
        <v>#REF!</v>
      </c>
      <c r="AX21" s="207">
        <f t="shared" si="2"/>
        <v>0</v>
      </c>
      <c r="AY21" s="208">
        <f t="shared" si="3"/>
        <v>0</v>
      </c>
      <c r="AZ21" s="208">
        <f t="shared" si="4"/>
        <v>0</v>
      </c>
      <c r="BA21" s="208">
        <f t="shared" si="5"/>
        <v>0</v>
      </c>
      <c r="BB21" s="209">
        <f t="shared" si="6"/>
        <v>0</v>
      </c>
      <c r="BC21" s="210">
        <f t="shared" si="7"/>
        <v>0</v>
      </c>
      <c r="BD21" s="211"/>
      <c r="BE21" s="212"/>
    </row>
    <row r="22">
      <c r="A22" s="94"/>
      <c r="B22" s="305" t="s">
        <v>653</v>
      </c>
      <c r="C22" s="306" t="s">
        <v>654</v>
      </c>
      <c r="D22" s="243"/>
      <c r="E22" s="259"/>
      <c r="F22" s="307"/>
      <c r="G22" s="298"/>
      <c r="H22" s="307"/>
      <c r="I22" s="298"/>
      <c r="J22" s="307"/>
      <c r="K22" s="298"/>
      <c r="L22" s="261"/>
      <c r="M22" s="250"/>
      <c r="N22" s="298"/>
      <c r="O22" s="307"/>
      <c r="P22" s="298"/>
      <c r="Q22" s="307"/>
      <c r="R22" s="298"/>
      <c r="S22" s="261"/>
      <c r="T22" s="250"/>
      <c r="U22" s="298"/>
      <c r="V22" s="307"/>
      <c r="W22" s="298"/>
      <c r="X22" s="307"/>
      <c r="Y22" s="298"/>
      <c r="Z22" s="261"/>
      <c r="AA22" s="250"/>
      <c r="AB22" s="298"/>
      <c r="AC22" s="307"/>
      <c r="AD22" s="298"/>
      <c r="AE22" s="309" t="s">
        <v>449</v>
      </c>
      <c r="AF22" s="298"/>
      <c r="AG22" s="261"/>
      <c r="AH22" s="307"/>
      <c r="AI22" s="298"/>
      <c r="AJ22" s="307"/>
      <c r="AK22" s="298"/>
      <c r="AL22" s="307"/>
      <c r="AM22" s="298"/>
      <c r="AN22" s="261"/>
      <c r="AO22" s="250"/>
      <c r="AP22" s="298"/>
      <c r="AQ22" s="307"/>
      <c r="AR22" s="298"/>
      <c r="AS22" s="307"/>
      <c r="AT22" s="254" t="str">
        <f t="shared" ref="AT22:AT23" si="10">IF(COUNTIF($AO$86:$AT$88, AS22) &gt; 0, "X", "")</f>
        <v/>
      </c>
      <c r="AU22" s="269"/>
      <c r="AV22" s="269"/>
      <c r="AW22" s="206" t="str">
        <f>TEAM!B94</f>
        <v>#REF!</v>
      </c>
      <c r="AX22" s="207">
        <f t="shared" si="2"/>
        <v>0</v>
      </c>
      <c r="AY22" s="208">
        <f t="shared" si="3"/>
        <v>0</v>
      </c>
      <c r="AZ22" s="208">
        <f t="shared" si="4"/>
        <v>0</v>
      </c>
      <c r="BA22" s="208">
        <f t="shared" si="5"/>
        <v>0</v>
      </c>
      <c r="BB22" s="209">
        <f t="shared" si="6"/>
        <v>0</v>
      </c>
      <c r="BC22" s="210">
        <f t="shared" si="7"/>
        <v>0</v>
      </c>
      <c r="BD22" s="211"/>
      <c r="BE22" s="212"/>
    </row>
    <row r="23">
      <c r="A23" s="94"/>
      <c r="B23" s="310" t="s">
        <v>656</v>
      </c>
      <c r="C23" s="278" t="s">
        <v>657</v>
      </c>
      <c r="D23" s="243"/>
      <c r="E23" s="259"/>
      <c r="F23" s="281"/>
      <c r="G23" s="246"/>
      <c r="H23" s="282"/>
      <c r="I23" s="246"/>
      <c r="J23" s="282"/>
      <c r="K23" s="246"/>
      <c r="L23" s="261"/>
      <c r="M23" s="250"/>
      <c r="N23" s="246"/>
      <c r="O23" s="274" t="s">
        <v>458</v>
      </c>
      <c r="P23" s="246"/>
      <c r="Q23" s="282"/>
      <c r="R23" s="246"/>
      <c r="S23" s="261"/>
      <c r="T23" s="250"/>
      <c r="U23" s="246"/>
      <c r="V23" s="282"/>
      <c r="W23" s="246"/>
      <c r="Y23" s="246"/>
      <c r="Z23" s="261"/>
      <c r="AA23" s="250"/>
      <c r="AB23" s="246"/>
      <c r="AC23" s="282"/>
      <c r="AD23" s="246"/>
      <c r="AF23" s="246"/>
      <c r="AG23" s="261"/>
      <c r="AH23" s="282"/>
      <c r="AI23" s="246"/>
      <c r="AJ23" s="282"/>
      <c r="AK23" s="246"/>
      <c r="AL23" s="282"/>
      <c r="AM23" s="246"/>
      <c r="AN23" s="261"/>
      <c r="AO23" s="250"/>
      <c r="AP23" s="246"/>
      <c r="AQ23" s="276"/>
      <c r="AR23" s="246"/>
      <c r="AS23" s="276"/>
      <c r="AT23" s="254" t="str">
        <f t="shared" si="10"/>
        <v/>
      </c>
      <c r="AU23" s="269"/>
      <c r="AV23" s="269"/>
      <c r="AW23" s="206" t="str">
        <f t="shared" ref="AW23:AW39" si="11">TEAM!B22</f>
        <v>#REF!</v>
      </c>
      <c r="AX23" s="207">
        <f t="shared" si="2"/>
        <v>0</v>
      </c>
      <c r="AY23" s="208">
        <f t="shared" si="3"/>
        <v>0</v>
      </c>
      <c r="AZ23" s="208">
        <f t="shared" si="4"/>
        <v>0</v>
      </c>
      <c r="BA23" s="208">
        <f t="shared" si="5"/>
        <v>0</v>
      </c>
      <c r="BB23" s="209">
        <f t="shared" si="6"/>
        <v>0</v>
      </c>
      <c r="BC23" s="210">
        <f t="shared" si="7"/>
        <v>0</v>
      </c>
      <c r="BD23" s="211"/>
      <c r="BE23" s="212"/>
    </row>
    <row r="24">
      <c r="A24" s="94"/>
      <c r="B24" s="277" t="s">
        <v>658</v>
      </c>
      <c r="C24" s="278" t="s">
        <v>657</v>
      </c>
      <c r="D24" s="243"/>
      <c r="E24" s="259"/>
      <c r="F24" s="282"/>
      <c r="G24" s="246"/>
      <c r="I24" s="246"/>
      <c r="K24" s="246"/>
      <c r="L24" s="261"/>
      <c r="M24" s="250"/>
      <c r="N24" s="246"/>
      <c r="O24" s="311" t="s">
        <v>459</v>
      </c>
      <c r="P24" s="246"/>
      <c r="R24" s="246"/>
      <c r="S24" s="261"/>
      <c r="T24" s="250"/>
      <c r="U24" s="246"/>
      <c r="W24" s="246"/>
      <c r="Y24" s="246"/>
      <c r="Z24" s="261"/>
      <c r="AA24" s="250"/>
      <c r="AB24" s="246"/>
      <c r="AD24" s="246"/>
      <c r="AE24" s="282"/>
      <c r="AF24" s="246"/>
      <c r="AG24" s="261"/>
      <c r="AI24" s="246"/>
      <c r="AJ24" s="282"/>
      <c r="AK24" s="246"/>
      <c r="AL24" s="471" t="s">
        <v>419</v>
      </c>
      <c r="AM24" s="246"/>
      <c r="AN24" s="261"/>
      <c r="AO24" s="250"/>
      <c r="AP24" s="246"/>
      <c r="AQ24" s="276"/>
      <c r="AR24" s="246"/>
      <c r="AS24" s="282"/>
      <c r="AT24" s="254" t="str">
        <f t="shared" ref="AT24:AT26" si="12">IF(COUNTIF($AO$86:$AT$88, #REF!) &gt; 0, "X", "")</f>
        <v/>
      </c>
      <c r="AU24" s="269"/>
      <c r="AV24" s="269"/>
      <c r="AW24" s="206" t="str">
        <f t="shared" si="11"/>
        <v>#REF!</v>
      </c>
      <c r="AX24" s="207">
        <f t="shared" si="2"/>
        <v>0</v>
      </c>
      <c r="AY24" s="208">
        <f t="shared" si="3"/>
        <v>0</v>
      </c>
      <c r="AZ24" s="208">
        <f t="shared" si="4"/>
        <v>0</v>
      </c>
      <c r="BA24" s="208">
        <f t="shared" si="5"/>
        <v>0</v>
      </c>
      <c r="BB24" s="209">
        <f t="shared" si="6"/>
        <v>0</v>
      </c>
      <c r="BC24" s="210">
        <f t="shared" si="7"/>
        <v>0</v>
      </c>
      <c r="BD24" s="211"/>
      <c r="BE24" s="212"/>
    </row>
    <row r="25">
      <c r="A25" s="94"/>
      <c r="B25" s="314" t="s">
        <v>660</v>
      </c>
      <c r="C25" s="315" t="s">
        <v>649</v>
      </c>
      <c r="D25" s="243"/>
      <c r="E25" s="259"/>
      <c r="F25" s="293" t="s">
        <v>424</v>
      </c>
      <c r="G25" s="246"/>
      <c r="H25" s="293" t="s">
        <v>416</v>
      </c>
      <c r="I25" s="246"/>
      <c r="J25" s="632" t="s">
        <v>423</v>
      </c>
      <c r="K25" s="246"/>
      <c r="L25" s="261"/>
      <c r="M25" s="316"/>
      <c r="N25" s="246"/>
      <c r="O25" s="293" t="s">
        <v>416</v>
      </c>
      <c r="P25" s="246"/>
      <c r="Q25" s="293" t="s">
        <v>424</v>
      </c>
      <c r="R25" s="246"/>
      <c r="S25" s="261"/>
      <c r="T25" s="316"/>
      <c r="U25" s="246"/>
      <c r="V25" s="253" t="s">
        <v>417</v>
      </c>
      <c r="W25" s="246"/>
      <c r="X25" s="293" t="s">
        <v>424</v>
      </c>
      <c r="Y25" s="246"/>
      <c r="Z25" s="261"/>
      <c r="AA25" s="316"/>
      <c r="AB25" s="246"/>
      <c r="AC25" s="293" t="s">
        <v>416</v>
      </c>
      <c r="AD25" s="246"/>
      <c r="AE25" s="293" t="s">
        <v>421</v>
      </c>
      <c r="AF25" s="246"/>
      <c r="AG25" s="261"/>
      <c r="AH25" s="320"/>
      <c r="AI25" s="246"/>
      <c r="AJ25" s="293" t="s">
        <v>416</v>
      </c>
      <c r="AK25" s="246"/>
      <c r="AL25" s="293" t="s">
        <v>424</v>
      </c>
      <c r="AM25" s="246"/>
      <c r="AN25" s="261"/>
      <c r="AO25" s="316"/>
      <c r="AP25" s="246"/>
      <c r="AQ25" s="293" t="s">
        <v>416</v>
      </c>
      <c r="AR25" s="246"/>
      <c r="AS25" s="356" t="s">
        <v>423</v>
      </c>
      <c r="AT25" s="254" t="str">
        <f t="shared" si="12"/>
        <v/>
      </c>
      <c r="AU25" s="269"/>
      <c r="AV25" s="269"/>
      <c r="AW25" s="206" t="str">
        <f t="shared" si="11"/>
        <v>#REF!</v>
      </c>
      <c r="AX25" s="207">
        <f t="shared" si="2"/>
        <v>0</v>
      </c>
      <c r="AY25" s="208">
        <f t="shared" si="3"/>
        <v>0</v>
      </c>
      <c r="AZ25" s="208">
        <f t="shared" si="4"/>
        <v>0</v>
      </c>
      <c r="BA25" s="208">
        <f t="shared" si="5"/>
        <v>0</v>
      </c>
      <c r="BB25" s="209">
        <f t="shared" si="6"/>
        <v>0</v>
      </c>
      <c r="BC25" s="210">
        <f t="shared" si="7"/>
        <v>0</v>
      </c>
      <c r="BD25" s="211"/>
      <c r="BE25" s="212"/>
    </row>
    <row r="26">
      <c r="A26" s="94"/>
      <c r="B26" s="296" t="s">
        <v>650</v>
      </c>
      <c r="C26" s="297" t="s">
        <v>649</v>
      </c>
      <c r="D26" s="243"/>
      <c r="E26" s="259"/>
      <c r="F26" s="300"/>
      <c r="G26" s="298"/>
      <c r="H26" s="300"/>
      <c r="I26" s="298"/>
      <c r="J26" s="300"/>
      <c r="K26" s="298"/>
      <c r="L26" s="261"/>
      <c r="M26" s="250"/>
      <c r="N26" s="298"/>
      <c r="O26" s="300"/>
      <c r="P26" s="298"/>
      <c r="Q26" s="300"/>
      <c r="R26" s="298"/>
      <c r="S26" s="261"/>
      <c r="T26" s="250"/>
      <c r="U26" s="298"/>
      <c r="V26" s="300"/>
      <c r="W26" s="298"/>
      <c r="X26" s="632" t="s">
        <v>423</v>
      </c>
      <c r="Y26" s="298"/>
      <c r="Z26" s="261"/>
      <c r="AA26" s="250"/>
      <c r="AB26" s="298"/>
      <c r="AC26" s="253" t="s">
        <v>417</v>
      </c>
      <c r="AD26" s="298"/>
      <c r="AE26" s="293" t="s">
        <v>424</v>
      </c>
      <c r="AF26" s="298"/>
      <c r="AG26" s="261"/>
      <c r="AH26" s="320"/>
      <c r="AI26" s="298"/>
      <c r="AJ26" s="300"/>
      <c r="AK26" s="298"/>
      <c r="AL26" s="300"/>
      <c r="AM26" s="298"/>
      <c r="AN26" s="261"/>
      <c r="AO26" s="250"/>
      <c r="AP26" s="298"/>
      <c r="AQ26" s="300"/>
      <c r="AR26" s="298"/>
      <c r="AS26" s="299"/>
      <c r="AT26" s="254" t="str">
        <f t="shared" si="12"/>
        <v/>
      </c>
      <c r="AU26" s="269"/>
      <c r="AV26" s="269"/>
      <c r="AW26" s="206" t="str">
        <f t="shared" si="11"/>
        <v>#REF!</v>
      </c>
      <c r="AX26" s="207">
        <f t="shared" si="2"/>
        <v>0</v>
      </c>
      <c r="AY26" s="208">
        <f t="shared" si="3"/>
        <v>0</v>
      </c>
      <c r="AZ26" s="208">
        <f t="shared" si="4"/>
        <v>0</v>
      </c>
      <c r="BA26" s="208">
        <f t="shared" si="5"/>
        <v>0</v>
      </c>
      <c r="BB26" s="209">
        <f t="shared" si="6"/>
        <v>0</v>
      </c>
      <c r="BC26" s="210">
        <f t="shared" si="7"/>
        <v>0</v>
      </c>
      <c r="BD26" s="211"/>
      <c r="BE26" s="212"/>
    </row>
    <row r="27">
      <c r="A27" s="94"/>
      <c r="B27" s="301" t="s">
        <v>651</v>
      </c>
      <c r="C27" s="302" t="s">
        <v>652</v>
      </c>
      <c r="D27" s="243"/>
      <c r="E27" s="259"/>
      <c r="F27" s="303"/>
      <c r="G27" s="298"/>
      <c r="H27" s="303"/>
      <c r="I27" s="298"/>
      <c r="J27" s="484"/>
      <c r="K27" s="298"/>
      <c r="L27" s="261"/>
      <c r="M27" s="250"/>
      <c r="N27" s="298"/>
      <c r="O27" s="303"/>
      <c r="P27" s="298"/>
      <c r="Q27" s="484"/>
      <c r="R27" s="298"/>
      <c r="S27" s="261"/>
      <c r="T27" s="250"/>
      <c r="U27" s="298"/>
      <c r="V27" s="303"/>
      <c r="W27" s="298"/>
      <c r="X27" s="484"/>
      <c r="Y27" s="298"/>
      <c r="Z27" s="261"/>
      <c r="AA27" s="250"/>
      <c r="AB27" s="298"/>
      <c r="AC27" s="303"/>
      <c r="AD27" s="298"/>
      <c r="AE27" s="303"/>
      <c r="AF27" s="298"/>
      <c r="AG27" s="261"/>
      <c r="AH27" s="320"/>
      <c r="AI27" s="298"/>
      <c r="AJ27" s="303"/>
      <c r="AK27" s="298"/>
      <c r="AL27" s="303"/>
      <c r="AM27" s="298"/>
      <c r="AN27" s="261"/>
      <c r="AO27" s="250"/>
      <c r="AP27" s="298"/>
      <c r="AQ27" s="303"/>
      <c r="AR27" s="298"/>
      <c r="AS27" s="303"/>
      <c r="AT27" s="254" t="str">
        <f>IF(COUNTIF($AO$86:$AT$88, AS27) &gt; 0, "X", "")</f>
        <v/>
      </c>
      <c r="AU27" s="269"/>
      <c r="AV27" s="269"/>
      <c r="AW27" s="206" t="str">
        <f t="shared" si="11"/>
        <v>#REF!</v>
      </c>
      <c r="AX27" s="207">
        <f t="shared" si="2"/>
        <v>0</v>
      </c>
      <c r="AY27" s="208">
        <f t="shared" si="3"/>
        <v>0</v>
      </c>
      <c r="AZ27" s="208">
        <f t="shared" si="4"/>
        <v>0</v>
      </c>
      <c r="BA27" s="208">
        <f t="shared" si="5"/>
        <v>0</v>
      </c>
      <c r="BB27" s="209">
        <f t="shared" si="6"/>
        <v>0</v>
      </c>
      <c r="BC27" s="210">
        <f t="shared" si="7"/>
        <v>0</v>
      </c>
      <c r="BD27" s="211"/>
      <c r="BE27" s="212"/>
    </row>
    <row r="28">
      <c r="A28" s="94"/>
      <c r="B28" s="322" t="s">
        <v>662</v>
      </c>
      <c r="C28" s="306" t="s">
        <v>663</v>
      </c>
      <c r="D28" s="323"/>
      <c r="E28" s="259"/>
      <c r="F28" s="307"/>
      <c r="G28" s="298"/>
      <c r="H28" s="307"/>
      <c r="I28" s="298"/>
      <c r="J28" s="307"/>
      <c r="K28" s="298"/>
      <c r="L28" s="261"/>
      <c r="M28" s="324"/>
      <c r="N28" s="298"/>
      <c r="O28" s="307"/>
      <c r="P28" s="298"/>
      <c r="Q28" s="309" t="s">
        <v>409</v>
      </c>
      <c r="R28" s="298"/>
      <c r="S28" s="261"/>
      <c r="T28" s="324"/>
      <c r="U28" s="298"/>
      <c r="V28" s="307"/>
      <c r="W28" s="298"/>
      <c r="X28" s="309" t="s">
        <v>414</v>
      </c>
      <c r="Y28" s="298"/>
      <c r="Z28" s="261"/>
      <c r="AA28" s="324"/>
      <c r="AB28" s="298"/>
      <c r="AC28" s="307"/>
      <c r="AD28" s="298"/>
      <c r="AE28" s="308" t="s">
        <v>434</v>
      </c>
      <c r="AF28" s="298"/>
      <c r="AG28" s="261"/>
      <c r="AH28" s="320"/>
      <c r="AI28" s="298"/>
      <c r="AJ28" s="307"/>
      <c r="AK28" s="298"/>
      <c r="AL28" s="327"/>
      <c r="AM28" s="298"/>
      <c r="AN28" s="261"/>
      <c r="AO28" s="324"/>
      <c r="AP28" s="298"/>
      <c r="AQ28" s="307"/>
      <c r="AR28" s="298"/>
      <c r="AS28" s="307"/>
      <c r="AT28" s="254" t="str">
        <f t="shared" ref="AT28:AT29" si="13">IF(COUNTIF($AO$86:$AT$88, #REF!) &gt; 0, "X", "")</f>
        <v/>
      </c>
      <c r="AU28" s="269"/>
      <c r="AV28" s="269"/>
      <c r="AW28" s="206" t="str">
        <f t="shared" si="11"/>
        <v>#REF!</v>
      </c>
      <c r="AX28" s="207">
        <f t="shared" si="2"/>
        <v>0</v>
      </c>
      <c r="AY28" s="208">
        <f t="shared" si="3"/>
        <v>0</v>
      </c>
      <c r="AZ28" s="208">
        <f t="shared" si="4"/>
        <v>0</v>
      </c>
      <c r="BA28" s="208">
        <f t="shared" si="5"/>
        <v>0</v>
      </c>
      <c r="BB28" s="209">
        <f t="shared" si="6"/>
        <v>0</v>
      </c>
      <c r="BC28" s="210">
        <f t="shared" si="7"/>
        <v>0</v>
      </c>
      <c r="BD28" s="211"/>
      <c r="BE28" s="212"/>
    </row>
    <row r="29">
      <c r="A29" s="94"/>
      <c r="B29" s="328" t="s">
        <v>665</v>
      </c>
      <c r="C29" s="329" t="s">
        <v>654</v>
      </c>
      <c r="D29" s="330"/>
      <c r="E29" s="259"/>
      <c r="F29" s="311" t="s">
        <v>439</v>
      </c>
      <c r="G29" s="246"/>
      <c r="H29" s="274" t="s">
        <v>458</v>
      </c>
      <c r="I29" s="246"/>
      <c r="J29" s="311" t="s">
        <v>434</v>
      </c>
      <c r="K29" s="246"/>
      <c r="L29" s="261"/>
      <c r="M29" s="333"/>
      <c r="N29" s="246"/>
      <c r="O29" s="311" t="s">
        <v>439</v>
      </c>
      <c r="P29" s="246"/>
      <c r="Q29" s="274" t="s">
        <v>443</v>
      </c>
      <c r="R29" s="246"/>
      <c r="S29" s="261"/>
      <c r="T29" s="333"/>
      <c r="U29" s="246"/>
      <c r="V29" s="274" t="s">
        <v>458</v>
      </c>
      <c r="W29" s="246"/>
      <c r="X29" s="311" t="s">
        <v>434</v>
      </c>
      <c r="Y29" s="246"/>
      <c r="Z29" s="261"/>
      <c r="AA29" s="333"/>
      <c r="AB29" s="246"/>
      <c r="AC29" s="311" t="s">
        <v>459</v>
      </c>
      <c r="AD29" s="246"/>
      <c r="AE29" s="274" t="s">
        <v>443</v>
      </c>
      <c r="AF29" s="246"/>
      <c r="AG29" s="261"/>
      <c r="AH29" s="320"/>
      <c r="AI29" s="246"/>
      <c r="AJ29" s="274" t="s">
        <v>439</v>
      </c>
      <c r="AK29" s="246"/>
      <c r="AL29" s="311" t="s">
        <v>434</v>
      </c>
      <c r="AM29" s="246"/>
      <c r="AN29" s="261"/>
      <c r="AO29" s="333"/>
      <c r="AP29" s="246"/>
      <c r="AQ29" s="274" t="s">
        <v>458</v>
      </c>
      <c r="AR29" s="246"/>
      <c r="AS29" s="274" t="s">
        <v>449</v>
      </c>
      <c r="AT29" s="254" t="str">
        <f t="shared" si="13"/>
        <v/>
      </c>
      <c r="AU29" s="269"/>
      <c r="AV29" s="269"/>
      <c r="AW29" s="206" t="str">
        <f t="shared" si="11"/>
        <v>#REF!</v>
      </c>
      <c r="AX29" s="207">
        <f t="shared" si="2"/>
        <v>0</v>
      </c>
      <c r="AY29" s="208">
        <f t="shared" si="3"/>
        <v>0</v>
      </c>
      <c r="AZ29" s="208">
        <f t="shared" si="4"/>
        <v>0</v>
      </c>
      <c r="BA29" s="208">
        <f t="shared" si="5"/>
        <v>0</v>
      </c>
      <c r="BB29" s="209">
        <f t="shared" si="6"/>
        <v>0</v>
      </c>
      <c r="BC29" s="210">
        <f t="shared" si="7"/>
        <v>0</v>
      </c>
      <c r="BD29" s="211"/>
      <c r="BE29" s="212"/>
    </row>
    <row r="30">
      <c r="A30" s="94"/>
      <c r="B30" s="337" t="s">
        <v>665</v>
      </c>
      <c r="C30" s="338" t="s">
        <v>657</v>
      </c>
      <c r="D30" s="330"/>
      <c r="E30" s="259"/>
      <c r="F30" s="274" t="s">
        <v>415</v>
      </c>
      <c r="G30" s="246"/>
      <c r="H30" s="336" t="s">
        <v>450</v>
      </c>
      <c r="I30" s="246"/>
      <c r="J30" s="274" t="s">
        <v>443</v>
      </c>
      <c r="K30" s="246"/>
      <c r="L30" s="261"/>
      <c r="M30" s="324"/>
      <c r="N30" s="246"/>
      <c r="O30" s="336" t="s">
        <v>450</v>
      </c>
      <c r="P30" s="246"/>
      <c r="Q30" s="311" t="s">
        <v>434</v>
      </c>
      <c r="R30" s="246"/>
      <c r="S30" s="261"/>
      <c r="T30" s="324"/>
      <c r="U30" s="246"/>
      <c r="V30" s="336" t="s">
        <v>450</v>
      </c>
      <c r="W30" s="246"/>
      <c r="X30" s="274" t="s">
        <v>409</v>
      </c>
      <c r="Y30" s="246"/>
      <c r="Z30" s="261"/>
      <c r="AA30" s="324"/>
      <c r="AB30" s="246"/>
      <c r="AC30" s="336" t="s">
        <v>398</v>
      </c>
      <c r="AD30" s="246"/>
      <c r="AE30" s="274" t="s">
        <v>439</v>
      </c>
      <c r="AF30" s="246"/>
      <c r="AG30" s="261"/>
      <c r="AH30" s="320"/>
      <c r="AI30" s="246"/>
      <c r="AJ30" s="311" t="s">
        <v>459</v>
      </c>
      <c r="AK30" s="246"/>
      <c r="AL30" s="274" t="s">
        <v>443</v>
      </c>
      <c r="AM30" s="246"/>
      <c r="AN30" s="261"/>
      <c r="AO30" s="324"/>
      <c r="AP30" s="246"/>
      <c r="AQ30" s="274" t="s">
        <v>409</v>
      </c>
      <c r="AR30" s="246"/>
      <c r="AS30" s="274" t="s">
        <v>443</v>
      </c>
      <c r="AT30" s="254" t="str">
        <f>IF(COUNTIF($AO$86:$AT$88, AL30) &gt; 0, "X", "")</f>
        <v/>
      </c>
      <c r="AU30" s="269"/>
      <c r="AV30" s="269"/>
      <c r="AW30" s="206" t="str">
        <f t="shared" si="11"/>
        <v>#REF!</v>
      </c>
      <c r="AX30" s="207">
        <f t="shared" si="2"/>
        <v>0</v>
      </c>
      <c r="AY30" s="208">
        <f t="shared" si="3"/>
        <v>0</v>
      </c>
      <c r="AZ30" s="208">
        <f t="shared" si="4"/>
        <v>0</v>
      </c>
      <c r="BA30" s="208">
        <f t="shared" si="5"/>
        <v>0</v>
      </c>
      <c r="BB30" s="209">
        <f t="shared" si="6"/>
        <v>0</v>
      </c>
      <c r="BC30" s="210">
        <f t="shared" si="7"/>
        <v>0</v>
      </c>
      <c r="BD30" s="211"/>
      <c r="BE30" s="212"/>
    </row>
    <row r="31">
      <c r="A31" s="94"/>
      <c r="B31" s="256" t="s">
        <v>665</v>
      </c>
      <c r="C31" s="257" t="s">
        <v>663</v>
      </c>
      <c r="D31" s="330"/>
      <c r="E31" s="259"/>
      <c r="G31" s="246"/>
      <c r="I31" s="246"/>
      <c r="J31" s="339" t="s">
        <v>447</v>
      </c>
      <c r="K31" s="246"/>
      <c r="L31" s="261"/>
      <c r="M31" s="341"/>
      <c r="N31" s="246"/>
      <c r="P31" s="246"/>
      <c r="Q31" s="274" t="s">
        <v>448</v>
      </c>
      <c r="R31" s="246"/>
      <c r="S31" s="261"/>
      <c r="T31" s="341"/>
      <c r="U31" s="246"/>
      <c r="W31" s="246"/>
      <c r="X31" s="274" t="s">
        <v>448</v>
      </c>
      <c r="Y31" s="246"/>
      <c r="Z31" s="261"/>
      <c r="AA31" s="341"/>
      <c r="AB31" s="246"/>
      <c r="AD31" s="246"/>
      <c r="AE31" s="274" t="s">
        <v>448</v>
      </c>
      <c r="AF31" s="246"/>
      <c r="AG31" s="261"/>
      <c r="AH31" s="320"/>
      <c r="AI31" s="246"/>
      <c r="AJ31" s="274" t="s">
        <v>448</v>
      </c>
      <c r="AK31" s="246"/>
      <c r="AM31" s="246"/>
      <c r="AN31" s="261"/>
      <c r="AO31" s="341"/>
      <c r="AP31" s="246"/>
      <c r="AR31" s="246"/>
      <c r="AT31" s="254" t="str">
        <f t="shared" ref="AT31:AT35" si="14">IF(COUNTIF($AO$86:$AT$88, #REF!) &gt; 0, "X", "")</f>
        <v/>
      </c>
      <c r="AU31" s="269"/>
      <c r="AV31" s="269"/>
      <c r="AW31" s="206" t="str">
        <f t="shared" si="11"/>
        <v>#REF!</v>
      </c>
      <c r="AX31" s="207">
        <f t="shared" si="2"/>
        <v>0</v>
      </c>
      <c r="AY31" s="208">
        <f t="shared" si="3"/>
        <v>0</v>
      </c>
      <c r="AZ31" s="208">
        <f t="shared" si="4"/>
        <v>0</v>
      </c>
      <c r="BA31" s="208">
        <f t="shared" si="5"/>
        <v>0</v>
      </c>
      <c r="BB31" s="209">
        <f t="shared" si="6"/>
        <v>0</v>
      </c>
      <c r="BC31" s="210">
        <f t="shared" si="7"/>
        <v>0</v>
      </c>
      <c r="BD31" s="211"/>
      <c r="BE31" s="212"/>
    </row>
    <row r="32">
      <c r="A32" s="94"/>
      <c r="B32" s="328" t="s">
        <v>665</v>
      </c>
      <c r="C32" s="329" t="s">
        <v>645</v>
      </c>
      <c r="D32" s="330"/>
      <c r="E32" s="259"/>
      <c r="F32" s="274" t="s">
        <v>414</v>
      </c>
      <c r="G32" s="246"/>
      <c r="H32" s="311" t="s">
        <v>459</v>
      </c>
      <c r="I32" s="246"/>
      <c r="J32" s="274" t="s">
        <v>409</v>
      </c>
      <c r="K32" s="246"/>
      <c r="L32" s="261"/>
      <c r="M32" s="341"/>
      <c r="N32" s="246"/>
      <c r="O32" s="274" t="s">
        <v>655</v>
      </c>
      <c r="P32" s="246"/>
      <c r="Q32" s="274" t="s">
        <v>415</v>
      </c>
      <c r="R32" s="246"/>
      <c r="S32" s="261"/>
      <c r="T32" s="341"/>
      <c r="U32" s="246"/>
      <c r="V32" s="311" t="s">
        <v>459</v>
      </c>
      <c r="W32" s="246"/>
      <c r="X32" s="336" t="s">
        <v>398</v>
      </c>
      <c r="Y32" s="246"/>
      <c r="Z32" s="261"/>
      <c r="AA32" s="341"/>
      <c r="AB32" s="246"/>
      <c r="AC32" s="336" t="s">
        <v>450</v>
      </c>
      <c r="AD32" s="246"/>
      <c r="AE32" s="274" t="s">
        <v>414</v>
      </c>
      <c r="AF32" s="246"/>
      <c r="AG32" s="261"/>
      <c r="AH32" s="320"/>
      <c r="AI32" s="246"/>
      <c r="AJ32" s="336" t="s">
        <v>450</v>
      </c>
      <c r="AK32" s="246"/>
      <c r="AL32" s="274" t="s">
        <v>409</v>
      </c>
      <c r="AM32" s="246"/>
      <c r="AN32" s="261"/>
      <c r="AO32" s="341"/>
      <c r="AP32" s="246"/>
      <c r="AQ32" s="274" t="s">
        <v>415</v>
      </c>
      <c r="AR32" s="246"/>
      <c r="AS32" s="274" t="s">
        <v>448</v>
      </c>
      <c r="AT32" s="254" t="str">
        <f t="shared" si="14"/>
        <v/>
      </c>
      <c r="AU32" s="269"/>
      <c r="AV32" s="269"/>
      <c r="AW32" s="206" t="str">
        <f t="shared" si="11"/>
        <v>#REF!</v>
      </c>
      <c r="AX32" s="207">
        <f t="shared" si="2"/>
        <v>0</v>
      </c>
      <c r="AY32" s="208">
        <f t="shared" si="3"/>
        <v>0</v>
      </c>
      <c r="AZ32" s="208">
        <f t="shared" si="4"/>
        <v>0</v>
      </c>
      <c r="BA32" s="208">
        <f t="shared" si="5"/>
        <v>0</v>
      </c>
      <c r="BB32" s="209">
        <f t="shared" si="6"/>
        <v>0</v>
      </c>
      <c r="BC32" s="210">
        <f t="shared" si="7"/>
        <v>0</v>
      </c>
      <c r="BD32" s="211"/>
      <c r="BE32" s="212"/>
    </row>
    <row r="33">
      <c r="A33" s="94"/>
      <c r="B33" s="342" t="s">
        <v>667</v>
      </c>
      <c r="C33" s="343" t="s">
        <v>657</v>
      </c>
      <c r="D33" s="323"/>
      <c r="E33" s="261"/>
      <c r="F33" s="572" t="s">
        <v>401</v>
      </c>
      <c r="G33" s="246"/>
      <c r="H33" s="282"/>
      <c r="I33" s="246"/>
      <c r="K33" s="246"/>
      <c r="L33" s="261"/>
      <c r="M33" s="346"/>
      <c r="N33" s="246"/>
      <c r="O33" s="345" t="s">
        <v>401</v>
      </c>
      <c r="P33" s="246"/>
      <c r="R33" s="246"/>
      <c r="S33" s="261"/>
      <c r="T33" s="346"/>
      <c r="U33" s="246"/>
      <c r="V33" s="345" t="s">
        <v>401</v>
      </c>
      <c r="W33" s="246"/>
      <c r="X33" s="274" t="s">
        <v>439</v>
      </c>
      <c r="Y33" s="246"/>
      <c r="Z33" s="261"/>
      <c r="AA33" s="346"/>
      <c r="AB33" s="246"/>
      <c r="AC33" s="347" t="s">
        <v>401</v>
      </c>
      <c r="AD33" s="246"/>
      <c r="AE33" s="274" t="s">
        <v>415</v>
      </c>
      <c r="AF33" s="246"/>
      <c r="AG33" s="261"/>
      <c r="AH33" s="345" t="s">
        <v>401</v>
      </c>
      <c r="AI33" s="246"/>
      <c r="AJ33" s="282"/>
      <c r="AK33" s="246"/>
      <c r="AM33" s="246"/>
      <c r="AN33" s="261"/>
      <c r="AO33" s="346"/>
      <c r="AP33" s="246"/>
      <c r="AQ33" s="345" t="s">
        <v>401</v>
      </c>
      <c r="AR33" s="246"/>
      <c r="AT33" s="254" t="str">
        <f t="shared" si="14"/>
        <v/>
      </c>
      <c r="AU33" s="269"/>
      <c r="AV33" s="269"/>
      <c r="AW33" s="206" t="str">
        <f t="shared" si="11"/>
        <v>#REF!</v>
      </c>
      <c r="AX33" s="207">
        <f t="shared" si="2"/>
        <v>0</v>
      </c>
      <c r="AY33" s="208">
        <f t="shared" si="3"/>
        <v>0</v>
      </c>
      <c r="AZ33" s="208">
        <f t="shared" si="4"/>
        <v>0</v>
      </c>
      <c r="BA33" s="208">
        <f t="shared" si="5"/>
        <v>0</v>
      </c>
      <c r="BB33" s="209">
        <f t="shared" si="6"/>
        <v>0</v>
      </c>
      <c r="BC33" s="210">
        <f t="shared" si="7"/>
        <v>0</v>
      </c>
      <c r="BD33" s="211"/>
      <c r="BE33" s="212"/>
    </row>
    <row r="34">
      <c r="A34" s="234"/>
      <c r="B34" s="349" t="s">
        <v>669</v>
      </c>
      <c r="C34" s="350" t="s">
        <v>649</v>
      </c>
      <c r="D34" s="351"/>
      <c r="E34" s="259"/>
      <c r="F34" s="293" t="s">
        <v>422</v>
      </c>
      <c r="G34" s="246"/>
      <c r="H34" s="293" t="s">
        <v>421</v>
      </c>
      <c r="I34" s="246"/>
      <c r="J34" s="353" t="s">
        <v>426</v>
      </c>
      <c r="K34" s="246"/>
      <c r="L34" s="261"/>
      <c r="M34" s="354"/>
      <c r="N34" s="246"/>
      <c r="O34" s="253" t="s">
        <v>417</v>
      </c>
      <c r="P34" s="246"/>
      <c r="Q34" s="353" t="s">
        <v>426</v>
      </c>
      <c r="R34" s="246"/>
      <c r="S34" s="261"/>
      <c r="T34" s="354"/>
      <c r="U34" s="246"/>
      <c r="V34" s="293" t="s">
        <v>421</v>
      </c>
      <c r="W34" s="246"/>
      <c r="X34" s="353" t="s">
        <v>426</v>
      </c>
      <c r="Y34" s="246"/>
      <c r="Z34" s="261"/>
      <c r="AA34" s="354"/>
      <c r="AB34" s="246"/>
      <c r="AC34" s="633" t="s">
        <v>420</v>
      </c>
      <c r="AD34" s="246"/>
      <c r="AE34" s="293" t="s">
        <v>422</v>
      </c>
      <c r="AF34" s="246"/>
      <c r="AG34" s="261"/>
      <c r="AH34" s="293" t="s">
        <v>422</v>
      </c>
      <c r="AI34" s="246"/>
      <c r="AJ34" s="633" t="s">
        <v>420</v>
      </c>
      <c r="AK34" s="246"/>
      <c r="AL34" s="632" t="s">
        <v>423</v>
      </c>
      <c r="AM34" s="246"/>
      <c r="AN34" s="261"/>
      <c r="AO34" s="354"/>
      <c r="AP34" s="246"/>
      <c r="AQ34" s="293" t="s">
        <v>421</v>
      </c>
      <c r="AR34" s="246"/>
      <c r="AS34" s="293" t="s">
        <v>422</v>
      </c>
      <c r="AT34" s="254" t="str">
        <f t="shared" si="14"/>
        <v/>
      </c>
      <c r="AU34" s="269"/>
      <c r="AV34" s="269"/>
      <c r="AW34" s="206" t="str">
        <f t="shared" si="11"/>
        <v>#REF!</v>
      </c>
      <c r="AX34" s="207">
        <f t="shared" si="2"/>
        <v>0</v>
      </c>
      <c r="AY34" s="208">
        <f t="shared" si="3"/>
        <v>0</v>
      </c>
      <c r="AZ34" s="208">
        <f t="shared" si="4"/>
        <v>0</v>
      </c>
      <c r="BA34" s="208">
        <f t="shared" si="5"/>
        <v>0</v>
      </c>
      <c r="BB34" s="209">
        <f t="shared" si="6"/>
        <v>0</v>
      </c>
      <c r="BC34" s="210">
        <f t="shared" si="7"/>
        <v>0</v>
      </c>
      <c r="BD34" s="211"/>
      <c r="BE34" s="212"/>
    </row>
    <row r="35">
      <c r="A35" s="94"/>
      <c r="B35" s="296" t="s">
        <v>650</v>
      </c>
      <c r="C35" s="297" t="s">
        <v>649</v>
      </c>
      <c r="D35" s="323"/>
      <c r="E35" s="259"/>
      <c r="F35" s="300"/>
      <c r="G35" s="298"/>
      <c r="H35" s="253" t="s">
        <v>417</v>
      </c>
      <c r="I35" s="298"/>
      <c r="J35" s="300"/>
      <c r="K35" s="298"/>
      <c r="L35" s="261"/>
      <c r="M35" s="324"/>
      <c r="N35" s="298"/>
      <c r="O35" s="300"/>
      <c r="P35" s="298"/>
      <c r="Q35" s="300"/>
      <c r="R35" s="298"/>
      <c r="S35" s="261"/>
      <c r="T35" s="324"/>
      <c r="U35" s="298"/>
      <c r="V35" s="319"/>
      <c r="W35" s="298"/>
      <c r="X35" s="319"/>
      <c r="Y35" s="298"/>
      <c r="Z35" s="261"/>
      <c r="AA35" s="324"/>
      <c r="AB35" s="298"/>
      <c r="AC35" s="634" t="s">
        <v>397</v>
      </c>
      <c r="AD35" s="298"/>
      <c r="AE35" s="319"/>
      <c r="AF35" s="298"/>
      <c r="AG35" s="261"/>
      <c r="AH35" s="319"/>
      <c r="AI35" s="298"/>
      <c r="AJ35" s="353" t="s">
        <v>426</v>
      </c>
      <c r="AK35" s="298"/>
      <c r="AL35" s="319"/>
      <c r="AM35" s="298"/>
      <c r="AN35" s="261"/>
      <c r="AO35" s="324"/>
      <c r="AP35" s="298"/>
      <c r="AQ35" s="634" t="s">
        <v>397</v>
      </c>
      <c r="AR35" s="298"/>
      <c r="AS35" s="359"/>
      <c r="AT35" s="254" t="str">
        <f t="shared" si="14"/>
        <v/>
      </c>
      <c r="AU35" s="269"/>
      <c r="AV35" s="269"/>
      <c r="AW35" s="206" t="str">
        <f t="shared" si="11"/>
        <v>#REF!</v>
      </c>
      <c r="AX35" s="207">
        <f t="shared" si="2"/>
        <v>0</v>
      </c>
      <c r="AY35" s="208">
        <f t="shared" si="3"/>
        <v>0</v>
      </c>
      <c r="AZ35" s="208">
        <f t="shared" si="4"/>
        <v>0</v>
      </c>
      <c r="BA35" s="208">
        <f t="shared" si="5"/>
        <v>0</v>
      </c>
      <c r="BB35" s="209">
        <f t="shared" si="6"/>
        <v>0</v>
      </c>
      <c r="BC35" s="210">
        <f t="shared" si="7"/>
        <v>0</v>
      </c>
      <c r="BD35" s="211"/>
      <c r="BE35" s="212"/>
    </row>
    <row r="36">
      <c r="A36" s="94"/>
      <c r="B36" s="301" t="s">
        <v>651</v>
      </c>
      <c r="C36" s="302" t="s">
        <v>652</v>
      </c>
      <c r="D36" s="330"/>
      <c r="E36" s="259"/>
      <c r="F36" s="303"/>
      <c r="G36" s="298"/>
      <c r="H36" s="304"/>
      <c r="I36" s="298"/>
      <c r="J36" s="303"/>
      <c r="K36" s="298"/>
      <c r="L36" s="261"/>
      <c r="M36" s="250"/>
      <c r="N36" s="298"/>
      <c r="O36" s="304"/>
      <c r="P36" s="298"/>
      <c r="Q36" s="303"/>
      <c r="R36" s="298"/>
      <c r="S36" s="261"/>
      <c r="T36" s="250"/>
      <c r="U36" s="298"/>
      <c r="V36" s="303"/>
      <c r="W36" s="298"/>
      <c r="X36" s="303"/>
      <c r="Y36" s="298"/>
      <c r="Z36" s="261"/>
      <c r="AA36" s="250"/>
      <c r="AB36" s="298"/>
      <c r="AC36" s="360" t="s">
        <v>899</v>
      </c>
      <c r="AD36" s="298"/>
      <c r="AE36" s="303"/>
      <c r="AF36" s="298"/>
      <c r="AG36" s="261"/>
      <c r="AH36" s="303"/>
      <c r="AI36" s="298"/>
      <c r="AJ36" s="303"/>
      <c r="AK36" s="298"/>
      <c r="AL36" s="484"/>
      <c r="AM36" s="298"/>
      <c r="AN36" s="261"/>
      <c r="AO36" s="250"/>
      <c r="AP36" s="298"/>
      <c r="AQ36" s="303"/>
      <c r="AR36" s="298"/>
      <c r="AS36" s="303"/>
      <c r="AT36" s="254" t="str">
        <f>IF(COUNTIF($AO$86:$AT$88, AS36) &gt; 0, "X", "")</f>
        <v/>
      </c>
      <c r="AU36" s="269"/>
      <c r="AV36" s="269"/>
      <c r="AW36" s="206" t="str">
        <f t="shared" si="11"/>
        <v>#REF!</v>
      </c>
      <c r="AX36" s="207">
        <f t="shared" si="2"/>
        <v>0</v>
      </c>
      <c r="AY36" s="208">
        <f t="shared" si="3"/>
        <v>0</v>
      </c>
      <c r="AZ36" s="208">
        <f t="shared" si="4"/>
        <v>0</v>
      </c>
      <c r="BA36" s="208">
        <f t="shared" si="5"/>
        <v>0</v>
      </c>
      <c r="BB36" s="209">
        <f t="shared" si="6"/>
        <v>0</v>
      </c>
      <c r="BC36" s="210">
        <f t="shared" si="7"/>
        <v>0</v>
      </c>
      <c r="BD36" s="211"/>
      <c r="BE36" s="212"/>
    </row>
    <row r="37">
      <c r="A37" s="94"/>
      <c r="B37" s="361" t="s">
        <v>673</v>
      </c>
      <c r="C37" s="362" t="s">
        <v>674</v>
      </c>
      <c r="D37" s="363"/>
      <c r="E37" s="259"/>
      <c r="F37" s="366" t="s">
        <v>676</v>
      </c>
      <c r="G37" s="298"/>
      <c r="H37" s="336" t="s">
        <v>412</v>
      </c>
      <c r="I37" s="298"/>
      <c r="J37" s="251" t="s">
        <v>433</v>
      </c>
      <c r="K37" s="298"/>
      <c r="L37" s="261"/>
      <c r="M37" s="324"/>
      <c r="N37" s="298"/>
      <c r="O37" s="336" t="s">
        <v>412</v>
      </c>
      <c r="P37" s="298"/>
      <c r="Q37" s="366" t="s">
        <v>676</v>
      </c>
      <c r="R37" s="298"/>
      <c r="S37" s="261"/>
      <c r="T37" s="324"/>
      <c r="U37" s="298"/>
      <c r="V37" s="336" t="s">
        <v>412</v>
      </c>
      <c r="W37" s="298"/>
      <c r="X37" s="251" t="s">
        <v>457</v>
      </c>
      <c r="Y37" s="298"/>
      <c r="Z37" s="261"/>
      <c r="AA37" s="324"/>
      <c r="AB37" s="298"/>
      <c r="AC37" s="336" t="s">
        <v>412</v>
      </c>
      <c r="AD37" s="298"/>
      <c r="AE37" s="251" t="s">
        <v>457</v>
      </c>
      <c r="AF37" s="298"/>
      <c r="AG37" s="261"/>
      <c r="AH37" s="311" t="s">
        <v>765</v>
      </c>
      <c r="AI37" s="298"/>
      <c r="AJ37" s="336" t="s">
        <v>412</v>
      </c>
      <c r="AK37" s="298"/>
      <c r="AL37" s="251" t="s">
        <v>433</v>
      </c>
      <c r="AM37" s="298"/>
      <c r="AN37" s="261"/>
      <c r="AO37" s="324"/>
      <c r="AP37" s="298"/>
      <c r="AQ37" s="311" t="s">
        <v>765</v>
      </c>
      <c r="AR37" s="298"/>
      <c r="AS37" s="365" t="s">
        <v>433</v>
      </c>
      <c r="AT37" s="254" t="str">
        <f t="shared" ref="AT37:AT44" si="15">IF(COUNTIF($AO$86:$AT$88, #REF!) &gt; 0, "X", "")</f>
        <v/>
      </c>
      <c r="AU37" s="269"/>
      <c r="AV37" s="269"/>
      <c r="AW37" s="206" t="str">
        <f t="shared" si="11"/>
        <v>#REF!</v>
      </c>
      <c r="AX37" s="207">
        <f t="shared" si="2"/>
        <v>0</v>
      </c>
      <c r="AY37" s="208">
        <f t="shared" si="3"/>
        <v>0</v>
      </c>
      <c r="AZ37" s="208">
        <f t="shared" si="4"/>
        <v>0</v>
      </c>
      <c r="BA37" s="208">
        <f t="shared" si="5"/>
        <v>0</v>
      </c>
      <c r="BB37" s="209">
        <f t="shared" si="6"/>
        <v>0</v>
      </c>
      <c r="BC37" s="210">
        <f t="shared" si="7"/>
        <v>0</v>
      </c>
      <c r="BD37" s="211"/>
      <c r="BE37" s="212"/>
    </row>
    <row r="38">
      <c r="A38" s="94"/>
      <c r="B38" s="367" t="s">
        <v>677</v>
      </c>
      <c r="C38" s="368" t="s">
        <v>674</v>
      </c>
      <c r="D38" s="369"/>
      <c r="E38" s="259"/>
      <c r="F38" s="282"/>
      <c r="G38" s="246"/>
      <c r="I38" s="246"/>
      <c r="K38" s="246"/>
      <c r="L38" s="261"/>
      <c r="M38" s="250"/>
      <c r="N38" s="246"/>
      <c r="O38" s="311" t="s">
        <v>438</v>
      </c>
      <c r="P38" s="246"/>
      <c r="Q38" s="282"/>
      <c r="R38" s="246"/>
      <c r="S38" s="261"/>
      <c r="T38" s="250"/>
      <c r="U38" s="246"/>
      <c r="V38" s="282"/>
      <c r="W38" s="246"/>
      <c r="Y38" s="246"/>
      <c r="Z38" s="261"/>
      <c r="AA38" s="250"/>
      <c r="AB38" s="246"/>
      <c r="AD38" s="246"/>
      <c r="AF38" s="246"/>
      <c r="AG38" s="261"/>
      <c r="AH38" s="371"/>
      <c r="AI38" s="246"/>
      <c r="AK38" s="246"/>
      <c r="AL38" s="516"/>
      <c r="AM38" s="246"/>
      <c r="AN38" s="261"/>
      <c r="AO38" s="250"/>
      <c r="AP38" s="246"/>
      <c r="AQ38" s="282"/>
      <c r="AR38" s="246"/>
      <c r="AT38" s="254" t="str">
        <f t="shared" si="15"/>
        <v/>
      </c>
      <c r="AU38" s="269"/>
      <c r="AV38" s="269"/>
      <c r="AW38" s="206" t="str">
        <f t="shared" si="11"/>
        <v>#REF!</v>
      </c>
      <c r="AX38" s="207">
        <f t="shared" si="2"/>
        <v>0</v>
      </c>
      <c r="AY38" s="208">
        <f t="shared" si="3"/>
        <v>0</v>
      </c>
      <c r="AZ38" s="208">
        <f t="shared" si="4"/>
        <v>0</v>
      </c>
      <c r="BA38" s="208">
        <f t="shared" si="5"/>
        <v>0</v>
      </c>
      <c r="BB38" s="209">
        <f t="shared" si="6"/>
        <v>0</v>
      </c>
      <c r="BC38" s="210">
        <f t="shared" si="7"/>
        <v>0</v>
      </c>
      <c r="BD38" s="211"/>
      <c r="BE38" s="212"/>
    </row>
    <row r="39">
      <c r="A39" s="372"/>
      <c r="B39" s="256" t="s">
        <v>679</v>
      </c>
      <c r="C39" s="257" t="s">
        <v>680</v>
      </c>
      <c r="D39" s="330"/>
      <c r="E39" s="259"/>
      <c r="F39" s="325" t="s">
        <v>784</v>
      </c>
      <c r="G39" s="246"/>
      <c r="H39" s="374" t="s">
        <v>436</v>
      </c>
      <c r="I39" s="246"/>
      <c r="J39" s="274" t="s">
        <v>437</v>
      </c>
      <c r="K39" s="246"/>
      <c r="L39" s="261"/>
      <c r="M39" s="333"/>
      <c r="N39" s="246"/>
      <c r="O39" s="374" t="s">
        <v>436</v>
      </c>
      <c r="P39" s="246"/>
      <c r="Q39" s="274" t="s">
        <v>449</v>
      </c>
      <c r="R39" s="246"/>
      <c r="S39" s="261"/>
      <c r="T39" s="333"/>
      <c r="U39" s="246"/>
      <c r="V39" s="311" t="s">
        <v>436</v>
      </c>
      <c r="W39" s="246"/>
      <c r="X39" s="251" t="s">
        <v>433</v>
      </c>
      <c r="Y39" s="246"/>
      <c r="Z39" s="261"/>
      <c r="AA39" s="333"/>
      <c r="AB39" s="246"/>
      <c r="AC39" s="274" t="s">
        <v>406</v>
      </c>
      <c r="AD39" s="246"/>
      <c r="AE39" s="251" t="s">
        <v>433</v>
      </c>
      <c r="AF39" s="246"/>
      <c r="AG39" s="261"/>
      <c r="AH39" s="311" t="s">
        <v>393</v>
      </c>
      <c r="AI39" s="246"/>
      <c r="AJ39" s="374" t="s">
        <v>436</v>
      </c>
      <c r="AK39" s="246"/>
      <c r="AL39" s="340" t="s">
        <v>406</v>
      </c>
      <c r="AM39" s="246"/>
      <c r="AN39" s="261"/>
      <c r="AO39" s="333"/>
      <c r="AP39" s="246"/>
      <c r="AQ39" s="251" t="s">
        <v>407</v>
      </c>
      <c r="AR39" s="246"/>
      <c r="AS39" s="311" t="s">
        <v>436</v>
      </c>
      <c r="AT39" s="254" t="str">
        <f t="shared" si="15"/>
        <v/>
      </c>
      <c r="AU39" s="269"/>
      <c r="AV39" s="269"/>
      <c r="AW39" s="206" t="str">
        <f t="shared" si="11"/>
        <v>#REF!</v>
      </c>
      <c r="AX39" s="207">
        <f t="shared" si="2"/>
        <v>0</v>
      </c>
      <c r="AY39" s="208">
        <f t="shared" si="3"/>
        <v>0</v>
      </c>
      <c r="AZ39" s="208">
        <f t="shared" si="4"/>
        <v>0</v>
      </c>
      <c r="BA39" s="208">
        <f t="shared" si="5"/>
        <v>0</v>
      </c>
      <c r="BB39" s="209">
        <f t="shared" si="6"/>
        <v>0</v>
      </c>
      <c r="BC39" s="210">
        <f t="shared" si="7"/>
        <v>0</v>
      </c>
      <c r="BD39" s="211"/>
      <c r="BE39" s="212"/>
    </row>
    <row r="40">
      <c r="A40" s="94"/>
      <c r="B40" s="328" t="s">
        <v>679</v>
      </c>
      <c r="C40" s="329" t="s">
        <v>652</v>
      </c>
      <c r="D40" s="330"/>
      <c r="E40" s="259"/>
      <c r="F40" s="274" t="s">
        <v>655</v>
      </c>
      <c r="G40" s="246"/>
      <c r="H40" s="364" t="s">
        <v>797</v>
      </c>
      <c r="I40" s="246"/>
      <c r="K40" s="246"/>
      <c r="L40" s="261"/>
      <c r="M40" s="346"/>
      <c r="N40" s="246"/>
      <c r="P40" s="246"/>
      <c r="R40" s="246"/>
      <c r="S40" s="261"/>
      <c r="T40" s="346"/>
      <c r="U40" s="246"/>
      <c r="W40" s="246"/>
      <c r="Y40" s="246"/>
      <c r="Z40" s="261"/>
      <c r="AA40" s="346"/>
      <c r="AB40" s="246"/>
      <c r="AD40" s="246"/>
      <c r="AF40" s="246"/>
      <c r="AG40" s="261"/>
      <c r="AH40" s="282"/>
      <c r="AI40" s="246"/>
      <c r="AK40" s="246"/>
      <c r="AL40" s="516"/>
      <c r="AM40" s="246"/>
      <c r="AN40" s="261"/>
      <c r="AO40" s="346"/>
      <c r="AP40" s="246"/>
      <c r="AR40" s="246"/>
      <c r="AS40" s="366" t="s">
        <v>676</v>
      </c>
      <c r="AT40" s="254" t="str">
        <f t="shared" si="15"/>
        <v/>
      </c>
      <c r="AU40" s="269"/>
      <c r="AV40" s="269"/>
      <c r="AW40" s="206" t="str">
        <f t="shared" ref="AW40:AW58" si="16">TEAM!B41</f>
        <v>#REF!</v>
      </c>
      <c r="AX40" s="207">
        <f t="shared" si="2"/>
        <v>0</v>
      </c>
      <c r="AY40" s="208">
        <f t="shared" si="3"/>
        <v>0</v>
      </c>
      <c r="AZ40" s="208">
        <f t="shared" si="4"/>
        <v>0</v>
      </c>
      <c r="BA40" s="208">
        <f t="shared" si="5"/>
        <v>0</v>
      </c>
      <c r="BB40" s="209">
        <f t="shared" si="6"/>
        <v>0</v>
      </c>
      <c r="BC40" s="210">
        <f t="shared" si="7"/>
        <v>0</v>
      </c>
      <c r="BD40" s="211"/>
      <c r="BE40" s="212"/>
    </row>
    <row r="41">
      <c r="A41" s="94"/>
      <c r="B41" s="328" t="s">
        <v>679</v>
      </c>
      <c r="C41" s="329" t="s">
        <v>683</v>
      </c>
      <c r="D41" s="330"/>
      <c r="E41" s="259"/>
      <c r="G41" s="246"/>
      <c r="I41" s="246"/>
      <c r="J41" s="336" t="s">
        <v>398</v>
      </c>
      <c r="K41" s="246"/>
      <c r="L41" s="261"/>
      <c r="M41" s="341"/>
      <c r="N41" s="246"/>
      <c r="O41" s="251" t="s">
        <v>397</v>
      </c>
      <c r="P41" s="246"/>
      <c r="Q41" s="311" t="s">
        <v>455</v>
      </c>
      <c r="R41" s="246"/>
      <c r="S41" s="261"/>
      <c r="T41" s="341"/>
      <c r="U41" s="246"/>
      <c r="V41" s="274" t="s">
        <v>406</v>
      </c>
      <c r="W41" s="246"/>
      <c r="X41" s="376" t="s">
        <v>466</v>
      </c>
      <c r="Y41" s="246"/>
      <c r="Z41" s="261"/>
      <c r="AA41" s="341"/>
      <c r="AB41" s="246"/>
      <c r="AC41" s="251" t="s">
        <v>407</v>
      </c>
      <c r="AD41" s="246"/>
      <c r="AE41" s="311" t="s">
        <v>455</v>
      </c>
      <c r="AF41" s="246"/>
      <c r="AG41" s="261"/>
      <c r="AH41" s="251" t="s">
        <v>457</v>
      </c>
      <c r="AI41" s="246"/>
      <c r="AJ41" s="251" t="s">
        <v>397</v>
      </c>
      <c r="AK41" s="246"/>
      <c r="AL41" s="274" t="s">
        <v>437</v>
      </c>
      <c r="AM41" s="246"/>
      <c r="AN41" s="261"/>
      <c r="AO41" s="341"/>
      <c r="AP41" s="246"/>
      <c r="AQ41" s="251" t="s">
        <v>457</v>
      </c>
      <c r="AR41" s="246"/>
      <c r="AS41" s="274" t="s">
        <v>437</v>
      </c>
      <c r="AT41" s="254" t="str">
        <f t="shared" si="15"/>
        <v/>
      </c>
      <c r="AU41" s="269"/>
      <c r="AV41" s="269"/>
      <c r="AW41" s="206" t="str">
        <f t="shared" si="16"/>
        <v>#REF!</v>
      </c>
      <c r="AX41" s="207">
        <f t="shared" si="2"/>
        <v>0</v>
      </c>
      <c r="AY41" s="208">
        <f t="shared" si="3"/>
        <v>0</v>
      </c>
      <c r="AZ41" s="208">
        <f t="shared" si="4"/>
        <v>0</v>
      </c>
      <c r="BA41" s="208">
        <f t="shared" si="5"/>
        <v>0</v>
      </c>
      <c r="BB41" s="209">
        <f t="shared" si="6"/>
        <v>0</v>
      </c>
      <c r="BC41" s="210">
        <f t="shared" si="7"/>
        <v>0</v>
      </c>
      <c r="BD41" s="211"/>
      <c r="BE41" s="212"/>
    </row>
    <row r="42">
      <c r="A42" s="270"/>
      <c r="B42" s="377" t="s">
        <v>684</v>
      </c>
      <c r="C42" s="378" t="s">
        <v>685</v>
      </c>
      <c r="D42" s="379"/>
      <c r="E42" s="380"/>
      <c r="F42" s="311" t="s">
        <v>410</v>
      </c>
      <c r="G42" s="246"/>
      <c r="H42" s="274" t="s">
        <v>406</v>
      </c>
      <c r="I42" s="246"/>
      <c r="J42" s="251" t="s">
        <v>405</v>
      </c>
      <c r="K42" s="246"/>
      <c r="L42" s="381"/>
      <c r="M42" s="341"/>
      <c r="N42" s="246"/>
      <c r="P42" s="246"/>
      <c r="Q42" s="251" t="s">
        <v>405</v>
      </c>
      <c r="R42" s="246"/>
      <c r="S42" s="381"/>
      <c r="T42" s="341"/>
      <c r="U42" s="246"/>
      <c r="W42" s="246"/>
      <c r="Y42" s="246"/>
      <c r="Z42" s="381"/>
      <c r="AA42" s="341"/>
      <c r="AB42" s="246"/>
      <c r="AC42" s="282"/>
      <c r="AD42" s="246"/>
      <c r="AF42" s="246"/>
      <c r="AG42" s="381"/>
      <c r="AH42" s="516"/>
      <c r="AI42" s="246"/>
      <c r="AK42" s="246"/>
      <c r="AL42" s="516"/>
      <c r="AM42" s="246"/>
      <c r="AN42" s="381"/>
      <c r="AO42" s="341"/>
      <c r="AP42" s="246"/>
      <c r="AR42" s="246"/>
      <c r="AT42" s="254" t="str">
        <f t="shared" si="15"/>
        <v/>
      </c>
      <c r="AU42" s="269"/>
      <c r="AV42" s="269"/>
      <c r="AW42" s="206" t="str">
        <f t="shared" si="16"/>
        <v>#REF!</v>
      </c>
      <c r="AX42" s="207">
        <f t="shared" si="2"/>
        <v>0</v>
      </c>
      <c r="AY42" s="208">
        <f t="shared" si="3"/>
        <v>0</v>
      </c>
      <c r="AZ42" s="208">
        <f t="shared" si="4"/>
        <v>0</v>
      </c>
      <c r="BA42" s="208">
        <f t="shared" si="5"/>
        <v>0</v>
      </c>
      <c r="BB42" s="209">
        <f t="shared" si="6"/>
        <v>0</v>
      </c>
      <c r="BC42" s="210">
        <f t="shared" si="7"/>
        <v>0</v>
      </c>
      <c r="BD42" s="211"/>
      <c r="BE42" s="212"/>
    </row>
    <row r="43">
      <c r="A43" s="234"/>
      <c r="B43" s="382" t="s">
        <v>686</v>
      </c>
      <c r="C43" s="242" t="s">
        <v>652</v>
      </c>
      <c r="D43" s="363"/>
      <c r="E43" s="259"/>
      <c r="F43" s="311" t="s">
        <v>455</v>
      </c>
      <c r="G43" s="246"/>
      <c r="H43" s="376" t="s">
        <v>466</v>
      </c>
      <c r="I43" s="246"/>
      <c r="J43" s="287" t="s">
        <v>429</v>
      </c>
      <c r="K43" s="246"/>
      <c r="L43" s="261"/>
      <c r="M43" s="341"/>
      <c r="N43" s="246"/>
      <c r="O43" s="385" t="s">
        <v>428</v>
      </c>
      <c r="P43" s="246"/>
      <c r="Q43" s="287" t="s">
        <v>429</v>
      </c>
      <c r="R43" s="246"/>
      <c r="S43" s="261"/>
      <c r="T43" s="341"/>
      <c r="U43" s="246"/>
      <c r="V43" s="383" t="s">
        <v>428</v>
      </c>
      <c r="W43" s="246"/>
      <c r="X43" s="376" t="s">
        <v>453</v>
      </c>
      <c r="Y43" s="246"/>
      <c r="Z43" s="261"/>
      <c r="AA43" s="341"/>
      <c r="AB43" s="246"/>
      <c r="AC43" s="251" t="s">
        <v>435</v>
      </c>
      <c r="AD43" s="246"/>
      <c r="AE43" s="251" t="s">
        <v>429</v>
      </c>
      <c r="AF43" s="246"/>
      <c r="AG43" s="261"/>
      <c r="AH43" s="376" t="s">
        <v>466</v>
      </c>
      <c r="AI43" s="246"/>
      <c r="AJ43" s="385" t="s">
        <v>428</v>
      </c>
      <c r="AK43" s="246"/>
      <c r="AL43" s="251" t="s">
        <v>429</v>
      </c>
      <c r="AM43" s="246"/>
      <c r="AN43" s="261"/>
      <c r="AO43" s="341"/>
      <c r="AP43" s="246"/>
      <c r="AQ43" s="385" t="s">
        <v>428</v>
      </c>
      <c r="AR43" s="246"/>
      <c r="AS43" s="251" t="s">
        <v>429</v>
      </c>
      <c r="AT43" s="254" t="str">
        <f t="shared" si="15"/>
        <v/>
      </c>
      <c r="AU43" s="269"/>
      <c r="AV43" s="269"/>
      <c r="AW43" s="206" t="str">
        <f t="shared" si="16"/>
        <v>#REF!</v>
      </c>
      <c r="AX43" s="207">
        <f t="shared" si="2"/>
        <v>0</v>
      </c>
      <c r="AY43" s="208">
        <f t="shared" si="3"/>
        <v>0</v>
      </c>
      <c r="AZ43" s="208">
        <f t="shared" si="4"/>
        <v>0</v>
      </c>
      <c r="BA43" s="208">
        <f t="shared" si="5"/>
        <v>0</v>
      </c>
      <c r="BB43" s="209">
        <f t="shared" si="6"/>
        <v>0</v>
      </c>
      <c r="BC43" s="210">
        <f t="shared" si="7"/>
        <v>0</v>
      </c>
      <c r="BD43" s="211"/>
      <c r="BE43" s="212"/>
    </row>
    <row r="44">
      <c r="A44" s="94"/>
      <c r="B44" s="337" t="s">
        <v>686</v>
      </c>
      <c r="C44" s="338" t="s">
        <v>687</v>
      </c>
      <c r="D44" s="330"/>
      <c r="E44" s="259"/>
      <c r="G44" s="246"/>
      <c r="H44" s="385" t="s">
        <v>428</v>
      </c>
      <c r="I44" s="246"/>
      <c r="J44" s="376" t="s">
        <v>453</v>
      </c>
      <c r="K44" s="246"/>
      <c r="L44" s="261"/>
      <c r="M44" s="250"/>
      <c r="N44" s="246"/>
      <c r="O44" s="376" t="s">
        <v>466</v>
      </c>
      <c r="P44" s="246"/>
      <c r="R44" s="246"/>
      <c r="S44" s="261"/>
      <c r="T44" s="250"/>
      <c r="U44" s="246"/>
      <c r="V44" s="274" t="s">
        <v>435</v>
      </c>
      <c r="W44" s="246"/>
      <c r="X44" s="311" t="s">
        <v>455</v>
      </c>
      <c r="Y44" s="246"/>
      <c r="Z44" s="261"/>
      <c r="AA44" s="250"/>
      <c r="AB44" s="246"/>
      <c r="AC44" s="376" t="s">
        <v>466</v>
      </c>
      <c r="AD44" s="246"/>
      <c r="AE44" s="376" t="s">
        <v>453</v>
      </c>
      <c r="AF44" s="246"/>
      <c r="AG44" s="261"/>
      <c r="AH44" s="376" t="s">
        <v>453</v>
      </c>
      <c r="AI44" s="246"/>
      <c r="AJ44" s="274" t="s">
        <v>435</v>
      </c>
      <c r="AK44" s="246"/>
      <c r="AL44" s="311" t="s">
        <v>455</v>
      </c>
      <c r="AM44" s="246"/>
      <c r="AN44" s="261"/>
      <c r="AO44" s="250"/>
      <c r="AP44" s="246"/>
      <c r="AQ44" s="274" t="s">
        <v>435</v>
      </c>
      <c r="AR44" s="246"/>
      <c r="AS44" s="376" t="s">
        <v>453</v>
      </c>
      <c r="AT44" s="254" t="str">
        <f t="shared" si="15"/>
        <v/>
      </c>
      <c r="AU44" s="269"/>
      <c r="AV44" s="269"/>
      <c r="AW44" s="206" t="str">
        <f t="shared" si="16"/>
        <v>#REF!</v>
      </c>
      <c r="AX44" s="207">
        <f t="shared" si="2"/>
        <v>0</v>
      </c>
      <c r="AY44" s="208">
        <f t="shared" si="3"/>
        <v>0</v>
      </c>
      <c r="AZ44" s="208">
        <f t="shared" si="4"/>
        <v>0</v>
      </c>
      <c r="BA44" s="208">
        <f t="shared" si="5"/>
        <v>0</v>
      </c>
      <c r="BB44" s="209">
        <f t="shared" si="6"/>
        <v>0</v>
      </c>
      <c r="BC44" s="210">
        <f t="shared" si="7"/>
        <v>0</v>
      </c>
      <c r="BD44" s="211"/>
      <c r="BE44" s="212"/>
    </row>
    <row r="45">
      <c r="A45" s="94"/>
      <c r="B45" s="337" t="s">
        <v>688</v>
      </c>
      <c r="C45" s="285" t="s">
        <v>687</v>
      </c>
      <c r="D45" s="330"/>
      <c r="E45" s="259"/>
      <c r="G45" s="246"/>
      <c r="H45" s="265"/>
      <c r="I45" s="246"/>
      <c r="J45" s="265"/>
      <c r="K45" s="246"/>
      <c r="L45" s="261"/>
      <c r="M45" s="262"/>
      <c r="N45" s="246"/>
      <c r="P45" s="246"/>
      <c r="R45" s="246"/>
      <c r="S45" s="261"/>
      <c r="T45" s="262"/>
      <c r="U45" s="246"/>
      <c r="W45" s="246"/>
      <c r="Y45" s="246"/>
      <c r="Z45" s="261"/>
      <c r="AA45" s="262"/>
      <c r="AB45" s="246"/>
      <c r="AC45" s="265"/>
      <c r="AD45" s="246"/>
      <c r="AE45" s="265"/>
      <c r="AF45" s="246"/>
      <c r="AG45" s="261"/>
      <c r="AH45" s="265"/>
      <c r="AI45" s="246"/>
      <c r="AJ45" s="265"/>
      <c r="AK45" s="246"/>
      <c r="AM45" s="246"/>
      <c r="AN45" s="261"/>
      <c r="AO45" s="262"/>
      <c r="AP45" s="246"/>
      <c r="AQ45" s="265"/>
      <c r="AR45" s="246"/>
      <c r="AS45" s="265"/>
      <c r="AT45" s="254" t="str">
        <f>IF(COUNTIF($AO$86:$AT$88, AS43) &gt; 0, "X", "")</f>
        <v/>
      </c>
      <c r="AU45" s="269"/>
      <c r="AV45" s="269"/>
      <c r="AW45" s="206" t="str">
        <f t="shared" si="16"/>
        <v>#REF!</v>
      </c>
      <c r="AX45" s="207">
        <f t="shared" si="2"/>
        <v>0</v>
      </c>
      <c r="AY45" s="208">
        <f t="shared" si="3"/>
        <v>0</v>
      </c>
      <c r="AZ45" s="208">
        <f t="shared" si="4"/>
        <v>0</v>
      </c>
      <c r="BA45" s="208">
        <f t="shared" si="5"/>
        <v>0</v>
      </c>
      <c r="BB45" s="209">
        <f t="shared" si="6"/>
        <v>0</v>
      </c>
      <c r="BC45" s="210">
        <f t="shared" si="7"/>
        <v>0</v>
      </c>
      <c r="BD45" s="211"/>
      <c r="BE45" s="212"/>
    </row>
    <row r="46">
      <c r="A46" s="94"/>
      <c r="B46" s="387" t="s">
        <v>690</v>
      </c>
      <c r="C46" s="388" t="s">
        <v>649</v>
      </c>
      <c r="D46" s="389"/>
      <c r="E46" s="259"/>
      <c r="F46" s="390"/>
      <c r="G46" s="246"/>
      <c r="H46" s="390"/>
      <c r="I46" s="246"/>
      <c r="J46" s="390"/>
      <c r="K46" s="246"/>
      <c r="L46" s="261"/>
      <c r="M46" s="250"/>
      <c r="N46" s="246"/>
      <c r="O46" s="355" t="s">
        <v>420</v>
      </c>
      <c r="P46" s="246"/>
      <c r="Q46" s="390"/>
      <c r="R46" s="246"/>
      <c r="S46" s="261"/>
      <c r="T46" s="250"/>
      <c r="U46" s="246"/>
      <c r="V46" s="390"/>
      <c r="W46" s="246"/>
      <c r="X46" s="355" t="s">
        <v>420</v>
      </c>
      <c r="Y46" s="246"/>
      <c r="Z46" s="261"/>
      <c r="AA46" s="250"/>
      <c r="AB46" s="246"/>
      <c r="AC46" s="390"/>
      <c r="AD46" s="246"/>
      <c r="AE46" s="390"/>
      <c r="AF46" s="246"/>
      <c r="AG46" s="261"/>
      <c r="AH46" s="390"/>
      <c r="AI46" s="246"/>
      <c r="AJ46" s="355" t="s">
        <v>670</v>
      </c>
      <c r="AK46" s="246"/>
      <c r="AL46" s="390"/>
      <c r="AM46" s="246"/>
      <c r="AN46" s="261"/>
      <c r="AO46" s="250"/>
      <c r="AP46" s="246"/>
      <c r="AQ46" s="390"/>
      <c r="AR46" s="246"/>
      <c r="AS46" s="390"/>
      <c r="AT46" s="254" t="str">
        <f>IF(COUNTIF($AO$86:$AT$88, #REF!) &gt; 0, "X", "")</f>
        <v/>
      </c>
      <c r="AU46" s="269"/>
      <c r="AV46" s="269"/>
      <c r="AW46" s="206" t="str">
        <f t="shared" si="16"/>
        <v>#REF!</v>
      </c>
      <c r="AX46" s="207">
        <f t="shared" si="2"/>
        <v>0</v>
      </c>
      <c r="AY46" s="208">
        <f t="shared" si="3"/>
        <v>0</v>
      </c>
      <c r="AZ46" s="208">
        <f t="shared" si="4"/>
        <v>0</v>
      </c>
      <c r="BA46" s="208">
        <f t="shared" si="5"/>
        <v>0</v>
      </c>
      <c r="BB46" s="209">
        <f t="shared" si="6"/>
        <v>0</v>
      </c>
      <c r="BC46" s="210">
        <f t="shared" si="7"/>
        <v>0</v>
      </c>
      <c r="BD46" s="211"/>
      <c r="BE46" s="212"/>
    </row>
    <row r="47">
      <c r="A47" s="94"/>
      <c r="B47" s="296" t="s">
        <v>650</v>
      </c>
      <c r="C47" s="297" t="s">
        <v>649</v>
      </c>
      <c r="D47" s="323"/>
      <c r="E47" s="259"/>
      <c r="F47" s="300"/>
      <c r="G47" s="246"/>
      <c r="H47" s="319"/>
      <c r="I47" s="246"/>
      <c r="J47" s="300"/>
      <c r="K47" s="246"/>
      <c r="L47" s="261"/>
      <c r="M47" s="250"/>
      <c r="N47" s="246"/>
      <c r="O47" s="300"/>
      <c r="P47" s="246"/>
      <c r="Q47" s="300"/>
      <c r="R47" s="246"/>
      <c r="S47" s="261"/>
      <c r="T47" s="250"/>
      <c r="U47" s="246"/>
      <c r="V47" s="300"/>
      <c r="W47" s="246"/>
      <c r="X47" s="300"/>
      <c r="Y47" s="246"/>
      <c r="Z47" s="261"/>
      <c r="AA47" s="250"/>
      <c r="AB47" s="246"/>
      <c r="AC47" s="300"/>
      <c r="AD47" s="246"/>
      <c r="AE47" s="300"/>
      <c r="AF47" s="246"/>
      <c r="AG47" s="261"/>
      <c r="AH47" s="300"/>
      <c r="AI47" s="246"/>
      <c r="AJ47" s="300"/>
      <c r="AK47" s="246"/>
      <c r="AL47" s="300"/>
      <c r="AM47" s="246"/>
      <c r="AN47" s="261"/>
      <c r="AO47" s="250"/>
      <c r="AP47" s="246"/>
      <c r="AQ47" s="300"/>
      <c r="AR47" s="246"/>
      <c r="AS47" s="300"/>
      <c r="AT47" s="254" t="str">
        <f t="shared" ref="AT47:AT54" si="17">IF(COUNTIF($AO$86:$AT$88, AS47) &gt; 0, "X", "")</f>
        <v/>
      </c>
      <c r="AU47" s="269"/>
      <c r="AV47" s="269"/>
      <c r="AW47" s="206" t="str">
        <f t="shared" si="16"/>
        <v>#REF!</v>
      </c>
      <c r="AX47" s="207">
        <f t="shared" si="2"/>
        <v>0</v>
      </c>
      <c r="AY47" s="208">
        <f t="shared" si="3"/>
        <v>0</v>
      </c>
      <c r="AZ47" s="208">
        <f t="shared" si="4"/>
        <v>0</v>
      </c>
      <c r="BA47" s="208">
        <f t="shared" si="5"/>
        <v>0</v>
      </c>
      <c r="BB47" s="209">
        <f t="shared" si="6"/>
        <v>0</v>
      </c>
      <c r="BC47" s="210">
        <f t="shared" si="7"/>
        <v>0</v>
      </c>
      <c r="BD47" s="211"/>
      <c r="BE47" s="212"/>
    </row>
    <row r="48">
      <c r="A48" s="94"/>
      <c r="B48" s="301" t="s">
        <v>651</v>
      </c>
      <c r="C48" s="391" t="s">
        <v>652</v>
      </c>
      <c r="D48" s="323"/>
      <c r="E48" s="261"/>
      <c r="F48" s="304"/>
      <c r="G48" s="246"/>
      <c r="H48" s="304"/>
      <c r="I48" s="246"/>
      <c r="J48" s="304"/>
      <c r="K48" s="246"/>
      <c r="L48" s="261"/>
      <c r="M48" s="250"/>
      <c r="N48" s="246"/>
      <c r="O48" s="360" t="s">
        <v>899</v>
      </c>
      <c r="P48" s="246"/>
      <c r="Q48" s="304"/>
      <c r="R48" s="246"/>
      <c r="S48" s="261"/>
      <c r="T48" s="250"/>
      <c r="U48" s="246"/>
      <c r="V48" s="304"/>
      <c r="W48" s="246"/>
      <c r="X48" s="360" t="s">
        <v>899</v>
      </c>
      <c r="Y48" s="246"/>
      <c r="Z48" s="261"/>
      <c r="AA48" s="250"/>
      <c r="AB48" s="246"/>
      <c r="AC48" s="304"/>
      <c r="AD48" s="246"/>
      <c r="AE48" s="304"/>
      <c r="AF48" s="246"/>
      <c r="AG48" s="261"/>
      <c r="AH48" s="304"/>
      <c r="AI48" s="246"/>
      <c r="AJ48" s="360" t="s">
        <v>899</v>
      </c>
      <c r="AK48" s="246"/>
      <c r="AL48" s="304"/>
      <c r="AM48" s="246"/>
      <c r="AN48" s="261"/>
      <c r="AO48" s="250"/>
      <c r="AP48" s="246"/>
      <c r="AQ48" s="304"/>
      <c r="AR48" s="246"/>
      <c r="AS48" s="304"/>
      <c r="AT48" s="254" t="str">
        <f t="shared" si="17"/>
        <v/>
      </c>
      <c r="AU48" s="269"/>
      <c r="AV48" s="269"/>
      <c r="AW48" s="206" t="str">
        <f t="shared" si="16"/>
        <v>#REF!</v>
      </c>
      <c r="AX48" s="207">
        <f t="shared" si="2"/>
        <v>0</v>
      </c>
      <c r="AY48" s="208">
        <f t="shared" si="3"/>
        <v>0</v>
      </c>
      <c r="AZ48" s="208">
        <f t="shared" si="4"/>
        <v>0</v>
      </c>
      <c r="BA48" s="208">
        <f t="shared" si="5"/>
        <v>0</v>
      </c>
      <c r="BB48" s="209">
        <f t="shared" si="6"/>
        <v>0</v>
      </c>
      <c r="BC48" s="210">
        <f t="shared" si="7"/>
        <v>0</v>
      </c>
      <c r="BD48" s="211"/>
      <c r="BE48" s="212"/>
    </row>
    <row r="49">
      <c r="A49" s="94"/>
      <c r="B49" s="392" t="s">
        <v>691</v>
      </c>
      <c r="C49" s="393" t="s">
        <v>652</v>
      </c>
      <c r="D49" s="323"/>
      <c r="E49" s="259"/>
      <c r="F49" s="307"/>
      <c r="G49" s="246"/>
      <c r="H49" s="307"/>
      <c r="I49" s="246"/>
      <c r="J49" s="307"/>
      <c r="K49" s="246"/>
      <c r="L49" s="261"/>
      <c r="M49" s="250"/>
      <c r="N49" s="246"/>
      <c r="O49" s="395" t="s">
        <v>398</v>
      </c>
      <c r="P49" s="246"/>
      <c r="Q49" s="307"/>
      <c r="R49" s="246"/>
      <c r="S49" s="261"/>
      <c r="T49" s="250"/>
      <c r="U49" s="246"/>
      <c r="V49" s="307"/>
      <c r="W49" s="246"/>
      <c r="X49" s="394" t="s">
        <v>397</v>
      </c>
      <c r="Y49" s="246"/>
      <c r="Z49" s="261"/>
      <c r="AA49" s="250"/>
      <c r="AB49" s="246"/>
      <c r="AC49" s="307"/>
      <c r="AD49" s="246"/>
      <c r="AE49" s="307"/>
      <c r="AF49" s="246"/>
      <c r="AG49" s="261"/>
      <c r="AH49" s="307"/>
      <c r="AI49" s="246"/>
      <c r="AJ49" s="395" t="s">
        <v>398</v>
      </c>
      <c r="AK49" s="246"/>
      <c r="AL49" s="307"/>
      <c r="AM49" s="246"/>
      <c r="AN49" s="261"/>
      <c r="AO49" s="250"/>
      <c r="AP49" s="246"/>
      <c r="AQ49" s="307"/>
      <c r="AR49" s="246"/>
      <c r="AS49" s="307"/>
      <c r="AT49" s="254" t="str">
        <f t="shared" si="17"/>
        <v/>
      </c>
      <c r="AU49" s="269"/>
      <c r="AV49" s="269"/>
      <c r="AW49" s="206" t="str">
        <f t="shared" si="16"/>
        <v>#REF!</v>
      </c>
      <c r="AX49" s="207">
        <f t="shared" si="2"/>
        <v>0</v>
      </c>
      <c r="AY49" s="208">
        <f t="shared" si="3"/>
        <v>0</v>
      </c>
      <c r="AZ49" s="208">
        <f t="shared" si="4"/>
        <v>0</v>
      </c>
      <c r="BA49" s="208">
        <f t="shared" si="5"/>
        <v>0</v>
      </c>
      <c r="BB49" s="209">
        <f t="shared" si="6"/>
        <v>0</v>
      </c>
      <c r="BC49" s="210">
        <f t="shared" si="7"/>
        <v>0</v>
      </c>
      <c r="BD49" s="211"/>
      <c r="BE49" s="212"/>
    </row>
    <row r="50">
      <c r="A50" s="94"/>
      <c r="B50" s="328" t="s">
        <v>692</v>
      </c>
      <c r="C50" s="329" t="s">
        <v>652</v>
      </c>
      <c r="D50" s="330"/>
      <c r="E50" s="259"/>
      <c r="F50" s="371"/>
      <c r="G50" s="246"/>
      <c r="H50" s="371"/>
      <c r="I50" s="246"/>
      <c r="J50" s="282"/>
      <c r="K50" s="246"/>
      <c r="L50" s="261"/>
      <c r="M50" s="250"/>
      <c r="N50" s="246"/>
      <c r="O50" s="311" t="s">
        <v>394</v>
      </c>
      <c r="P50" s="246"/>
      <c r="Q50" s="371"/>
      <c r="R50" s="246"/>
      <c r="S50" s="261"/>
      <c r="T50" s="250"/>
      <c r="U50" s="246"/>
      <c r="V50" s="282"/>
      <c r="W50" s="246"/>
      <c r="X50" s="371"/>
      <c r="Y50" s="246"/>
      <c r="Z50" s="261"/>
      <c r="AA50" s="250"/>
      <c r="AB50" s="246"/>
      <c r="AC50" s="371"/>
      <c r="AD50" s="246"/>
      <c r="AE50" s="371"/>
      <c r="AF50" s="246"/>
      <c r="AG50" s="261"/>
      <c r="AH50" s="371"/>
      <c r="AI50" s="246"/>
      <c r="AJ50" s="371"/>
      <c r="AK50" s="246"/>
      <c r="AL50" s="371"/>
      <c r="AM50" s="246"/>
      <c r="AN50" s="261"/>
      <c r="AO50" s="250"/>
      <c r="AP50" s="246"/>
      <c r="AQ50" s="371"/>
      <c r="AR50" s="246"/>
      <c r="AS50" s="282"/>
      <c r="AT50" s="254" t="str">
        <f t="shared" si="17"/>
        <v/>
      </c>
      <c r="AU50" s="269"/>
      <c r="AV50" s="269"/>
      <c r="AW50" s="206" t="str">
        <f t="shared" si="16"/>
        <v>#REF!</v>
      </c>
      <c r="AX50" s="207">
        <f t="shared" si="2"/>
        <v>0</v>
      </c>
      <c r="AY50" s="208">
        <f t="shared" si="3"/>
        <v>0</v>
      </c>
      <c r="AZ50" s="208">
        <f t="shared" si="4"/>
        <v>0</v>
      </c>
      <c r="BA50" s="208">
        <f t="shared" si="5"/>
        <v>0</v>
      </c>
      <c r="BB50" s="209">
        <f t="shared" si="6"/>
        <v>0</v>
      </c>
      <c r="BC50" s="210">
        <f t="shared" si="7"/>
        <v>0</v>
      </c>
      <c r="BD50" s="211"/>
      <c r="BE50" s="212"/>
    </row>
    <row r="51">
      <c r="A51" s="270"/>
      <c r="B51" s="397" t="s">
        <v>692</v>
      </c>
      <c r="C51" s="398" t="s">
        <v>687</v>
      </c>
      <c r="D51" s="369"/>
      <c r="E51" s="259"/>
      <c r="F51" s="399"/>
      <c r="G51" s="246"/>
      <c r="H51" s="399"/>
      <c r="I51" s="246"/>
      <c r="J51" s="399"/>
      <c r="K51" s="246"/>
      <c r="L51" s="261"/>
      <c r="M51" s="250"/>
      <c r="N51" s="246"/>
      <c r="O51" s="311"/>
      <c r="P51" s="246"/>
      <c r="Q51" s="282"/>
      <c r="R51" s="246"/>
      <c r="S51" s="261"/>
      <c r="T51" s="250"/>
      <c r="U51" s="246"/>
      <c r="V51" s="282"/>
      <c r="W51" s="246"/>
      <c r="X51" s="399"/>
      <c r="Y51" s="246"/>
      <c r="Z51" s="261"/>
      <c r="AA51" s="250"/>
      <c r="AB51" s="246"/>
      <c r="AC51" s="399"/>
      <c r="AD51" s="246"/>
      <c r="AE51" s="399"/>
      <c r="AF51" s="246"/>
      <c r="AG51" s="261"/>
      <c r="AH51" s="399"/>
      <c r="AI51" s="246"/>
      <c r="AJ51" s="399"/>
      <c r="AK51" s="246"/>
      <c r="AL51" s="399"/>
      <c r="AM51" s="246"/>
      <c r="AN51" s="261"/>
      <c r="AO51" s="250"/>
      <c r="AP51" s="246"/>
      <c r="AQ51" s="399"/>
      <c r="AR51" s="246"/>
      <c r="AS51" s="399"/>
      <c r="AT51" s="254" t="str">
        <f t="shared" si="17"/>
        <v/>
      </c>
      <c r="AU51" s="269"/>
      <c r="AV51" s="269"/>
      <c r="AW51" s="503" t="str">
        <f t="shared" si="16"/>
        <v>#REF!</v>
      </c>
      <c r="AX51" s="207">
        <f t="shared" si="2"/>
        <v>0</v>
      </c>
      <c r="AY51" s="208">
        <f t="shared" si="3"/>
        <v>0</v>
      </c>
      <c r="AZ51" s="208">
        <f t="shared" si="4"/>
        <v>0</v>
      </c>
      <c r="BA51" s="208">
        <f t="shared" si="5"/>
        <v>0</v>
      </c>
      <c r="BB51" s="209">
        <f t="shared" si="6"/>
        <v>0</v>
      </c>
      <c r="BC51" s="210">
        <f t="shared" si="7"/>
        <v>0</v>
      </c>
      <c r="BD51" s="211"/>
      <c r="BE51" s="212"/>
    </row>
    <row r="52">
      <c r="A52" s="94"/>
      <c r="B52" s="387" t="s">
        <v>694</v>
      </c>
      <c r="C52" s="388" t="s">
        <v>649</v>
      </c>
      <c r="D52" s="389"/>
      <c r="E52" s="259"/>
      <c r="F52" s="390"/>
      <c r="G52" s="246"/>
      <c r="H52" s="390"/>
      <c r="I52" s="246"/>
      <c r="J52" s="390"/>
      <c r="K52" s="246"/>
      <c r="L52" s="261"/>
      <c r="M52" s="250"/>
      <c r="N52" s="246"/>
      <c r="O52" s="390"/>
      <c r="P52" s="246"/>
      <c r="Q52" s="357" t="s">
        <v>425</v>
      </c>
      <c r="R52" s="246"/>
      <c r="S52" s="261"/>
      <c r="T52" s="250"/>
      <c r="U52" s="246"/>
      <c r="V52" s="390"/>
      <c r="W52" s="246"/>
      <c r="X52" s="357" t="s">
        <v>425</v>
      </c>
      <c r="Y52" s="246"/>
      <c r="Z52" s="261"/>
      <c r="AA52" s="250"/>
      <c r="AB52" s="246"/>
      <c r="AC52" s="390"/>
      <c r="AD52" s="246"/>
      <c r="AE52" s="357" t="s">
        <v>425</v>
      </c>
      <c r="AF52" s="246"/>
      <c r="AG52" s="261"/>
      <c r="AH52" s="390"/>
      <c r="AI52" s="246"/>
      <c r="AJ52" s="390"/>
      <c r="AK52" s="246"/>
      <c r="AL52" s="357" t="s">
        <v>425</v>
      </c>
      <c r="AM52" s="246"/>
      <c r="AN52" s="261"/>
      <c r="AO52" s="250"/>
      <c r="AP52" s="246"/>
      <c r="AQ52" s="390"/>
      <c r="AR52" s="246"/>
      <c r="AS52" s="357" t="s">
        <v>425</v>
      </c>
      <c r="AT52" s="254" t="str">
        <f t="shared" si="17"/>
        <v/>
      </c>
      <c r="AU52" s="269"/>
      <c r="AV52" s="269"/>
      <c r="AW52" s="206" t="str">
        <f t="shared" si="16"/>
        <v>#REF!</v>
      </c>
      <c r="AX52" s="207">
        <f t="shared" si="2"/>
        <v>0</v>
      </c>
      <c r="AY52" s="208">
        <f t="shared" si="3"/>
        <v>0</v>
      </c>
      <c r="AZ52" s="208">
        <f t="shared" si="4"/>
        <v>0</v>
      </c>
      <c r="BA52" s="208">
        <f t="shared" si="5"/>
        <v>0</v>
      </c>
      <c r="BB52" s="209">
        <f t="shared" si="6"/>
        <v>0</v>
      </c>
      <c r="BC52" s="210">
        <f t="shared" si="7"/>
        <v>0</v>
      </c>
      <c r="BD52" s="211"/>
      <c r="BE52" s="212"/>
    </row>
    <row r="53">
      <c r="A53" s="94"/>
      <c r="B53" s="296" t="s">
        <v>650</v>
      </c>
      <c r="C53" s="297" t="s">
        <v>649</v>
      </c>
      <c r="D53" s="323"/>
      <c r="E53" s="259"/>
      <c r="F53" s="300"/>
      <c r="G53" s="298"/>
      <c r="H53" s="300"/>
      <c r="I53" s="298"/>
      <c r="J53" s="300"/>
      <c r="K53" s="298"/>
      <c r="L53" s="261"/>
      <c r="M53" s="250"/>
      <c r="N53" s="298"/>
      <c r="O53" s="300"/>
      <c r="P53" s="298"/>
      <c r="Q53" s="319"/>
      <c r="R53" s="298"/>
      <c r="S53" s="261"/>
      <c r="T53" s="250"/>
      <c r="U53" s="298"/>
      <c r="V53" s="300"/>
      <c r="W53" s="298"/>
      <c r="X53" s="300"/>
      <c r="Y53" s="298"/>
      <c r="Z53" s="261"/>
      <c r="AA53" s="250"/>
      <c r="AB53" s="298"/>
      <c r="AC53" s="300"/>
      <c r="AD53" s="298"/>
      <c r="AE53" s="300"/>
      <c r="AF53" s="298"/>
      <c r="AG53" s="261"/>
      <c r="AH53" s="300"/>
      <c r="AI53" s="298"/>
      <c r="AJ53" s="300"/>
      <c r="AK53" s="298"/>
      <c r="AL53" s="300"/>
      <c r="AM53" s="298"/>
      <c r="AN53" s="261"/>
      <c r="AO53" s="250"/>
      <c r="AP53" s="298"/>
      <c r="AQ53" s="300"/>
      <c r="AR53" s="298"/>
      <c r="AS53" s="300"/>
      <c r="AT53" s="254" t="str">
        <f t="shared" si="17"/>
        <v/>
      </c>
      <c r="AU53" s="269"/>
      <c r="AV53" s="269"/>
      <c r="AW53" s="206" t="str">
        <f t="shared" si="16"/>
        <v>#REF!</v>
      </c>
      <c r="AX53" s="207">
        <f t="shared" si="2"/>
        <v>0</v>
      </c>
      <c r="AY53" s="208">
        <f t="shared" si="3"/>
        <v>0</v>
      </c>
      <c r="AZ53" s="208">
        <f t="shared" si="4"/>
        <v>0</v>
      </c>
      <c r="BA53" s="208">
        <f t="shared" si="5"/>
        <v>0</v>
      </c>
      <c r="BB53" s="209">
        <f t="shared" si="6"/>
        <v>0</v>
      </c>
      <c r="BC53" s="210">
        <f t="shared" si="7"/>
        <v>0</v>
      </c>
      <c r="BD53" s="211"/>
      <c r="BE53" s="212"/>
    </row>
    <row r="54">
      <c r="A54" s="94"/>
      <c r="B54" s="301" t="s">
        <v>651</v>
      </c>
      <c r="C54" s="391" t="s">
        <v>652</v>
      </c>
      <c r="D54" s="323"/>
      <c r="E54" s="261"/>
      <c r="F54" s="304"/>
      <c r="G54" s="298"/>
      <c r="H54" s="304"/>
      <c r="I54" s="298"/>
      <c r="J54" s="304"/>
      <c r="K54" s="298"/>
      <c r="L54" s="261"/>
      <c r="M54" s="250"/>
      <c r="N54" s="298"/>
      <c r="O54" s="304"/>
      <c r="P54" s="298"/>
      <c r="Q54" s="304"/>
      <c r="R54" s="298"/>
      <c r="S54" s="261"/>
      <c r="T54" s="250"/>
      <c r="U54" s="298"/>
      <c r="V54" s="304"/>
      <c r="W54" s="298"/>
      <c r="X54" s="304"/>
      <c r="Y54" s="298"/>
      <c r="Z54" s="261"/>
      <c r="AA54" s="250"/>
      <c r="AB54" s="298"/>
      <c r="AC54" s="304"/>
      <c r="AD54" s="298"/>
      <c r="AE54" s="304"/>
      <c r="AF54" s="298"/>
      <c r="AG54" s="261"/>
      <c r="AH54" s="304"/>
      <c r="AI54" s="298"/>
      <c r="AJ54" s="304"/>
      <c r="AK54" s="298"/>
      <c r="AL54" s="304"/>
      <c r="AM54" s="298"/>
      <c r="AN54" s="261"/>
      <c r="AO54" s="250"/>
      <c r="AP54" s="298"/>
      <c r="AQ54" s="304"/>
      <c r="AR54" s="298"/>
      <c r="AS54" s="304"/>
      <c r="AT54" s="254" t="str">
        <f t="shared" si="17"/>
        <v/>
      </c>
      <c r="AU54" s="269"/>
      <c r="AV54" s="269"/>
      <c r="AW54" s="206" t="str">
        <f t="shared" si="16"/>
        <v>#REF!</v>
      </c>
      <c r="AX54" s="207">
        <f t="shared" si="2"/>
        <v>0</v>
      </c>
      <c r="AY54" s="208">
        <f t="shared" si="3"/>
        <v>0</v>
      </c>
      <c r="AZ54" s="208">
        <f t="shared" si="4"/>
        <v>0</v>
      </c>
      <c r="BA54" s="208">
        <f t="shared" si="5"/>
        <v>0</v>
      </c>
      <c r="BB54" s="209">
        <f t="shared" si="6"/>
        <v>0</v>
      </c>
      <c r="BC54" s="210">
        <f t="shared" si="7"/>
        <v>0</v>
      </c>
      <c r="BD54" s="211"/>
      <c r="BE54" s="212"/>
    </row>
    <row r="55">
      <c r="A55" s="94"/>
      <c r="B55" s="401" t="s">
        <v>697</v>
      </c>
      <c r="C55" s="393" t="s">
        <v>652</v>
      </c>
      <c r="D55" s="323"/>
      <c r="E55" s="259"/>
      <c r="F55" s="307"/>
      <c r="G55" s="298"/>
      <c r="H55" s="307"/>
      <c r="I55" s="298"/>
      <c r="J55" s="307"/>
      <c r="K55" s="298"/>
      <c r="L55" s="261"/>
      <c r="M55" s="250"/>
      <c r="N55" s="298"/>
      <c r="O55" s="307"/>
      <c r="P55" s="298"/>
      <c r="Q55" s="309" t="s">
        <v>406</v>
      </c>
      <c r="R55" s="298"/>
      <c r="S55" s="261"/>
      <c r="T55" s="250"/>
      <c r="U55" s="298"/>
      <c r="V55" s="307"/>
      <c r="W55" s="298"/>
      <c r="X55" s="395" t="s">
        <v>430</v>
      </c>
      <c r="Y55" s="298"/>
      <c r="Z55" s="261"/>
      <c r="AA55" s="250"/>
      <c r="AB55" s="298"/>
      <c r="AC55" s="307"/>
      <c r="AD55" s="298"/>
      <c r="AE55" s="395" t="s">
        <v>430</v>
      </c>
      <c r="AF55" s="298"/>
      <c r="AG55" s="261"/>
      <c r="AH55" s="307"/>
      <c r="AI55" s="298"/>
      <c r="AJ55" s="307"/>
      <c r="AK55" s="298"/>
      <c r="AL55" s="308" t="s">
        <v>445</v>
      </c>
      <c r="AM55" s="298"/>
      <c r="AN55" s="261"/>
      <c r="AO55" s="250"/>
      <c r="AP55" s="298"/>
      <c r="AQ55" s="307"/>
      <c r="AR55" s="298"/>
      <c r="AS55" s="308" t="s">
        <v>445</v>
      </c>
      <c r="AT55" s="254" t="str">
        <f t="shared" ref="AT55:AT56" si="18">IF(COUNTIF($AO$86:$AT$88, #REF!) &gt; 0, "X", "")</f>
        <v/>
      </c>
      <c r="AU55" s="269"/>
      <c r="AV55" s="269"/>
      <c r="AW55" s="206" t="str">
        <f t="shared" si="16"/>
        <v>#REF!</v>
      </c>
      <c r="AX55" s="207">
        <f t="shared" si="2"/>
        <v>0</v>
      </c>
      <c r="AY55" s="208">
        <f t="shared" si="3"/>
        <v>0</v>
      </c>
      <c r="AZ55" s="208">
        <f t="shared" si="4"/>
        <v>0</v>
      </c>
      <c r="BA55" s="208">
        <f t="shared" si="5"/>
        <v>0</v>
      </c>
      <c r="BB55" s="209">
        <f t="shared" si="6"/>
        <v>0</v>
      </c>
      <c r="BC55" s="210">
        <f t="shared" si="7"/>
        <v>0</v>
      </c>
      <c r="BD55" s="211"/>
      <c r="BE55" s="212"/>
    </row>
    <row r="56">
      <c r="A56" s="94"/>
      <c r="B56" s="337" t="s">
        <v>698</v>
      </c>
      <c r="C56" s="329" t="s">
        <v>652</v>
      </c>
      <c r="D56" s="330"/>
      <c r="E56" s="259"/>
      <c r="F56" s="371"/>
      <c r="G56" s="246"/>
      <c r="H56" s="371"/>
      <c r="I56" s="246"/>
      <c r="J56" s="371"/>
      <c r="K56" s="246"/>
      <c r="L56" s="261"/>
      <c r="M56" s="250"/>
      <c r="N56" s="246"/>
      <c r="O56" s="371"/>
      <c r="P56" s="246"/>
      <c r="Q56" s="371"/>
      <c r="R56" s="246"/>
      <c r="S56" s="261"/>
      <c r="T56" s="250"/>
      <c r="U56" s="246"/>
      <c r="V56" s="371"/>
      <c r="W56" s="246"/>
      <c r="X56" s="282"/>
      <c r="Y56" s="246"/>
      <c r="Z56" s="261"/>
      <c r="AA56" s="250"/>
      <c r="AB56" s="246"/>
      <c r="AC56" s="282"/>
      <c r="AD56" s="246"/>
      <c r="AE56" s="584"/>
      <c r="AF56" s="246"/>
      <c r="AG56" s="261"/>
      <c r="AH56" s="371"/>
      <c r="AI56" s="246"/>
      <c r="AJ56" s="371"/>
      <c r="AK56" s="246"/>
      <c r="AL56" s="282"/>
      <c r="AM56" s="246"/>
      <c r="AN56" s="261"/>
      <c r="AO56" s="250"/>
      <c r="AP56" s="246"/>
      <c r="AQ56" s="371"/>
      <c r="AR56" s="246"/>
      <c r="AS56" s="282"/>
      <c r="AT56" s="254" t="str">
        <f t="shared" si="18"/>
        <v/>
      </c>
      <c r="AU56" s="269"/>
      <c r="AV56" s="269"/>
      <c r="AW56" s="206" t="str">
        <f t="shared" si="16"/>
        <v>#REF!</v>
      </c>
      <c r="AX56" s="207">
        <f t="shared" si="2"/>
        <v>0</v>
      </c>
      <c r="AY56" s="208">
        <f t="shared" si="3"/>
        <v>0</v>
      </c>
      <c r="AZ56" s="208">
        <f t="shared" si="4"/>
        <v>0</v>
      </c>
      <c r="BA56" s="208">
        <f t="shared" si="5"/>
        <v>0</v>
      </c>
      <c r="BB56" s="209">
        <f t="shared" si="6"/>
        <v>0</v>
      </c>
      <c r="BC56" s="210">
        <f t="shared" si="7"/>
        <v>0</v>
      </c>
      <c r="BD56" s="211"/>
      <c r="BE56" s="212"/>
    </row>
    <row r="57">
      <c r="A57" s="270"/>
      <c r="B57" s="337" t="s">
        <v>698</v>
      </c>
      <c r="C57" s="398" t="s">
        <v>687</v>
      </c>
      <c r="D57" s="369"/>
      <c r="E57" s="259"/>
      <c r="F57" s="399"/>
      <c r="G57" s="246"/>
      <c r="H57" s="399"/>
      <c r="I57" s="246"/>
      <c r="J57" s="399"/>
      <c r="K57" s="246"/>
      <c r="L57" s="261"/>
      <c r="M57" s="250"/>
      <c r="N57" s="246"/>
      <c r="O57" s="399"/>
      <c r="P57" s="246"/>
      <c r="Q57" s="282"/>
      <c r="R57" s="246"/>
      <c r="S57" s="261"/>
      <c r="T57" s="250"/>
      <c r="U57" s="246"/>
      <c r="V57" s="399"/>
      <c r="W57" s="246"/>
      <c r="X57" s="399"/>
      <c r="Y57" s="246"/>
      <c r="Z57" s="261"/>
      <c r="AA57" s="250"/>
      <c r="AB57" s="246"/>
      <c r="AC57" s="282"/>
      <c r="AD57" s="246"/>
      <c r="AE57" s="399"/>
      <c r="AF57" s="246"/>
      <c r="AG57" s="261"/>
      <c r="AH57" s="399"/>
      <c r="AI57" s="246"/>
      <c r="AJ57" s="399"/>
      <c r="AK57" s="246"/>
      <c r="AL57" s="399"/>
      <c r="AM57" s="246"/>
      <c r="AN57" s="261"/>
      <c r="AO57" s="250"/>
      <c r="AP57" s="246"/>
      <c r="AQ57" s="399"/>
      <c r="AR57" s="246"/>
      <c r="AS57" s="399"/>
      <c r="AT57" s="254" t="str">
        <f t="shared" ref="AT57:AT60" si="19">IF(COUNTIF($AO$86:$AT$88, AS57) &gt; 0, "X", "")</f>
        <v/>
      </c>
      <c r="AU57" s="269"/>
      <c r="AV57" s="269"/>
      <c r="AW57" s="206" t="str">
        <f t="shared" si="16"/>
        <v>#REF!</v>
      </c>
      <c r="AX57" s="207">
        <f t="shared" si="2"/>
        <v>0</v>
      </c>
      <c r="AY57" s="208">
        <f t="shared" si="3"/>
        <v>0</v>
      </c>
      <c r="AZ57" s="208">
        <f t="shared" si="4"/>
        <v>0</v>
      </c>
      <c r="BA57" s="208">
        <f t="shared" si="5"/>
        <v>0</v>
      </c>
      <c r="BB57" s="209">
        <f t="shared" si="6"/>
        <v>0</v>
      </c>
      <c r="BC57" s="210">
        <f t="shared" si="7"/>
        <v>0</v>
      </c>
      <c r="BD57" s="211"/>
      <c r="BE57" s="212"/>
    </row>
    <row r="58">
      <c r="A58" s="94"/>
      <c r="B58" s="402" t="s">
        <v>699</v>
      </c>
      <c r="C58" s="403" t="s">
        <v>649</v>
      </c>
      <c r="D58" s="404"/>
      <c r="E58" s="259"/>
      <c r="F58" s="294"/>
      <c r="G58" s="246"/>
      <c r="H58" s="294"/>
      <c r="I58" s="246"/>
      <c r="J58" s="294"/>
      <c r="K58" s="246"/>
      <c r="L58" s="261"/>
      <c r="M58" s="250"/>
      <c r="N58" s="246"/>
      <c r="O58" s="294"/>
      <c r="P58" s="246"/>
      <c r="Q58" s="293" t="s">
        <v>422</v>
      </c>
      <c r="R58" s="246"/>
      <c r="S58" s="261"/>
      <c r="T58" s="250"/>
      <c r="U58" s="246"/>
      <c r="V58" s="294"/>
      <c r="W58" s="246"/>
      <c r="X58" s="294"/>
      <c r="Y58" s="246"/>
      <c r="Z58" s="261"/>
      <c r="AA58" s="250"/>
      <c r="AB58" s="246"/>
      <c r="AC58" s="294"/>
      <c r="AD58" s="246"/>
      <c r="AE58" s="293" t="s">
        <v>426</v>
      </c>
      <c r="AF58" s="246"/>
      <c r="AG58" s="261"/>
      <c r="AH58" s="294"/>
      <c r="AI58" s="246"/>
      <c r="AJ58" s="294"/>
      <c r="AK58" s="246"/>
      <c r="AL58" s="294"/>
      <c r="AM58" s="246"/>
      <c r="AN58" s="261"/>
      <c r="AO58" s="250"/>
      <c r="AP58" s="246"/>
      <c r="AQ58" s="294"/>
      <c r="AR58" s="246"/>
      <c r="AS58" s="294"/>
      <c r="AT58" s="254" t="str">
        <f t="shared" si="19"/>
        <v/>
      </c>
      <c r="AU58" s="269"/>
      <c r="AV58" s="269"/>
      <c r="AW58" s="206" t="str">
        <f t="shared" si="16"/>
        <v>#REF!</v>
      </c>
      <c r="AX58" s="207">
        <f t="shared" si="2"/>
        <v>0</v>
      </c>
      <c r="AY58" s="208">
        <f t="shared" si="3"/>
        <v>0</v>
      </c>
      <c r="AZ58" s="208">
        <f t="shared" si="4"/>
        <v>0</v>
      </c>
      <c r="BA58" s="208">
        <f t="shared" si="5"/>
        <v>0</v>
      </c>
      <c r="BB58" s="209">
        <f t="shared" si="6"/>
        <v>0</v>
      </c>
      <c r="BC58" s="210">
        <f t="shared" si="7"/>
        <v>0</v>
      </c>
      <c r="BD58" s="211"/>
      <c r="BE58" s="212"/>
    </row>
    <row r="59">
      <c r="A59" s="94"/>
      <c r="B59" s="328" t="s">
        <v>700</v>
      </c>
      <c r="C59" s="329" t="s">
        <v>657</v>
      </c>
      <c r="D59" s="330"/>
      <c r="E59" s="259"/>
      <c r="F59" s="264"/>
      <c r="G59" s="246"/>
      <c r="H59" s="282"/>
      <c r="I59" s="246"/>
      <c r="J59" s="371"/>
      <c r="K59" s="246"/>
      <c r="L59" s="261"/>
      <c r="M59" s="250"/>
      <c r="N59" s="246"/>
      <c r="O59" s="371"/>
      <c r="P59" s="246"/>
      <c r="Q59" s="274" t="s">
        <v>437</v>
      </c>
      <c r="R59" s="246"/>
      <c r="S59" s="261"/>
      <c r="T59" s="250"/>
      <c r="U59" s="246"/>
      <c r="V59" s="371"/>
      <c r="W59" s="246"/>
      <c r="X59" s="371"/>
      <c r="Y59" s="246"/>
      <c r="Z59" s="261"/>
      <c r="AA59" s="250"/>
      <c r="AB59" s="246"/>
      <c r="AC59" s="371"/>
      <c r="AD59" s="246"/>
      <c r="AE59" s="347" t="s">
        <v>437</v>
      </c>
      <c r="AF59" s="246"/>
      <c r="AG59" s="261"/>
      <c r="AH59" s="371"/>
      <c r="AI59" s="246"/>
      <c r="AJ59" s="371"/>
      <c r="AK59" s="246"/>
      <c r="AL59" s="371"/>
      <c r="AM59" s="246"/>
      <c r="AN59" s="261"/>
      <c r="AO59" s="250"/>
      <c r="AP59" s="246"/>
      <c r="AQ59" s="282"/>
      <c r="AR59" s="246"/>
      <c r="AS59" s="371"/>
      <c r="AT59" s="254" t="str">
        <f t="shared" si="19"/>
        <v/>
      </c>
      <c r="AU59" s="269"/>
      <c r="AV59" s="269"/>
      <c r="AW59" s="206" t="str">
        <f>TEAM!B91</f>
        <v>#REF!</v>
      </c>
      <c r="AX59" s="207">
        <f t="shared" si="2"/>
        <v>0</v>
      </c>
      <c r="AY59" s="208">
        <f t="shared" si="3"/>
        <v>0</v>
      </c>
      <c r="AZ59" s="208">
        <f t="shared" si="4"/>
        <v>0</v>
      </c>
      <c r="BA59" s="208">
        <f t="shared" si="5"/>
        <v>0</v>
      </c>
      <c r="BB59" s="209">
        <f t="shared" si="6"/>
        <v>0</v>
      </c>
      <c r="BC59" s="210">
        <f t="shared" si="7"/>
        <v>0</v>
      </c>
      <c r="BD59" s="211"/>
      <c r="BE59" s="212"/>
    </row>
    <row r="60">
      <c r="A60" s="94"/>
      <c r="B60" s="328" t="s">
        <v>700</v>
      </c>
      <c r="C60" s="329" t="s">
        <v>657</v>
      </c>
      <c r="D60" s="330"/>
      <c r="E60" s="259"/>
      <c r="F60" s="371"/>
      <c r="G60" s="246"/>
      <c r="I60" s="246"/>
      <c r="J60" s="264"/>
      <c r="K60" s="246"/>
      <c r="L60" s="261"/>
      <c r="M60" s="262"/>
      <c r="N60" s="246"/>
      <c r="P60" s="246"/>
      <c r="Q60" s="405" t="s">
        <v>462</v>
      </c>
      <c r="R60" s="246"/>
      <c r="S60" s="261"/>
      <c r="T60" s="262"/>
      <c r="U60" s="246"/>
      <c r="V60" s="264"/>
      <c r="W60" s="246"/>
      <c r="Y60" s="246"/>
      <c r="Z60" s="261"/>
      <c r="AA60" s="262"/>
      <c r="AB60" s="246"/>
      <c r="AC60" s="264"/>
      <c r="AD60" s="246"/>
      <c r="AE60" s="405" t="s">
        <v>462</v>
      </c>
      <c r="AF60" s="246"/>
      <c r="AG60" s="261"/>
      <c r="AH60" s="264"/>
      <c r="AI60" s="246"/>
      <c r="AJ60" s="264"/>
      <c r="AK60" s="246"/>
      <c r="AL60" s="264"/>
      <c r="AM60" s="246"/>
      <c r="AN60" s="261"/>
      <c r="AO60" s="262"/>
      <c r="AP60" s="246"/>
      <c r="AQ60" s="264"/>
      <c r="AR60" s="246"/>
      <c r="AS60" s="264"/>
      <c r="AT60" s="254" t="str">
        <f t="shared" si="19"/>
        <v/>
      </c>
      <c r="AU60" s="269"/>
      <c r="AV60" s="269"/>
      <c r="AW60" s="206" t="str">
        <f t="shared" ref="AW60:AW62" si="20">TEAM!B60</f>
        <v>#REF!</v>
      </c>
      <c r="AX60" s="207">
        <f t="shared" si="2"/>
        <v>0</v>
      </c>
      <c r="AY60" s="208">
        <f t="shared" si="3"/>
        <v>0</v>
      </c>
      <c r="AZ60" s="208">
        <f t="shared" si="4"/>
        <v>0</v>
      </c>
      <c r="BA60" s="208">
        <f t="shared" si="5"/>
        <v>0</v>
      </c>
      <c r="BB60" s="209">
        <f t="shared" si="6"/>
        <v>0</v>
      </c>
      <c r="BC60" s="210">
        <f t="shared" si="7"/>
        <v>0</v>
      </c>
      <c r="BD60" s="211"/>
      <c r="BE60" s="212"/>
    </row>
    <row r="61">
      <c r="A61" s="94"/>
      <c r="B61" s="328" t="s">
        <v>700</v>
      </c>
      <c r="C61" s="329" t="s">
        <v>657</v>
      </c>
      <c r="D61" s="330"/>
      <c r="E61" s="259"/>
      <c r="F61" s="265"/>
      <c r="G61" s="246"/>
      <c r="H61" s="282"/>
      <c r="I61" s="246"/>
      <c r="J61" s="282"/>
      <c r="K61" s="246"/>
      <c r="L61" s="261"/>
      <c r="M61" s="250"/>
      <c r="N61" s="246"/>
      <c r="O61" s="282"/>
      <c r="P61" s="246"/>
      <c r="Q61" s="282"/>
      <c r="R61" s="246"/>
      <c r="S61" s="261"/>
      <c r="T61" s="250"/>
      <c r="U61" s="246"/>
      <c r="V61" s="282"/>
      <c r="W61" s="246"/>
      <c r="X61" s="282"/>
      <c r="Y61" s="246"/>
      <c r="Z61" s="261"/>
      <c r="AA61" s="250"/>
      <c r="AB61" s="246"/>
      <c r="AC61" s="282"/>
      <c r="AD61" s="246"/>
      <c r="AE61" s="282"/>
      <c r="AF61" s="246"/>
      <c r="AG61" s="261"/>
      <c r="AH61" s="371"/>
      <c r="AI61" s="246"/>
      <c r="AJ61" s="282"/>
      <c r="AK61" s="246"/>
      <c r="AL61" s="399"/>
      <c r="AM61" s="246"/>
      <c r="AN61" s="261"/>
      <c r="AO61" s="250"/>
      <c r="AP61" s="246"/>
      <c r="AQ61" s="371"/>
      <c r="AR61" s="246"/>
      <c r="AS61" s="282"/>
      <c r="AT61" s="254" t="str">
        <f>IF(COUNTIF($AO$86:$AT$88, #REF!) &gt; 0, "X", "")</f>
        <v/>
      </c>
      <c r="AU61" s="269"/>
      <c r="AV61" s="269"/>
      <c r="AW61" s="206" t="str">
        <f t="shared" si="20"/>
        <v>#REF!</v>
      </c>
      <c r="AX61" s="207">
        <f t="shared" si="2"/>
        <v>0</v>
      </c>
      <c r="AY61" s="208">
        <f t="shared" si="3"/>
        <v>0</v>
      </c>
      <c r="AZ61" s="208">
        <f t="shared" si="4"/>
        <v>0</v>
      </c>
      <c r="BA61" s="208">
        <f t="shared" si="5"/>
        <v>0</v>
      </c>
      <c r="BB61" s="209">
        <f t="shared" si="6"/>
        <v>0</v>
      </c>
      <c r="BC61" s="210">
        <f t="shared" si="7"/>
        <v>0</v>
      </c>
      <c r="BD61" s="211"/>
      <c r="BE61" s="212"/>
    </row>
    <row r="62">
      <c r="A62" s="234"/>
      <c r="B62" s="408" t="s">
        <v>702</v>
      </c>
      <c r="C62" s="409" t="s">
        <v>652</v>
      </c>
      <c r="D62" s="351"/>
      <c r="E62" s="259"/>
      <c r="F62" s="411"/>
      <c r="G62" s="246"/>
      <c r="H62" s="411"/>
      <c r="I62" s="246"/>
      <c r="J62" s="411"/>
      <c r="K62" s="246"/>
      <c r="L62" s="261"/>
      <c r="M62" s="262"/>
      <c r="N62" s="246"/>
      <c r="O62" s="411"/>
      <c r="P62" s="246"/>
      <c r="Q62" s="411"/>
      <c r="R62" s="246"/>
      <c r="S62" s="261"/>
      <c r="T62" s="262"/>
      <c r="U62" s="246"/>
      <c r="V62" s="411"/>
      <c r="W62" s="246"/>
      <c r="X62" s="411"/>
      <c r="Y62" s="246"/>
      <c r="Z62" s="261"/>
      <c r="AA62" s="262"/>
      <c r="AB62" s="246"/>
      <c r="AC62" s="411"/>
      <c r="AD62" s="246"/>
      <c r="AE62" s="411"/>
      <c r="AF62" s="246"/>
      <c r="AG62" s="261"/>
      <c r="AH62" s="411"/>
      <c r="AI62" s="246"/>
      <c r="AJ62" s="411"/>
      <c r="AK62" s="246"/>
      <c r="AL62" s="411"/>
      <c r="AM62" s="246"/>
      <c r="AN62" s="261"/>
      <c r="AO62" s="262"/>
      <c r="AP62" s="246"/>
      <c r="AQ62" s="411"/>
      <c r="AR62" s="246"/>
      <c r="AS62" s="411"/>
      <c r="AT62" s="254" t="str">
        <f t="shared" ref="AT62:AT63" si="21">IF(COUNTIF($AO$86:$AT$88, AS62) &gt; 0, "X", "")</f>
        <v/>
      </c>
      <c r="AU62" s="269"/>
      <c r="AV62" s="269"/>
      <c r="AW62" s="206" t="str">
        <f t="shared" si="20"/>
        <v>#REF!</v>
      </c>
      <c r="AX62" s="207">
        <f t="shared" si="2"/>
        <v>0</v>
      </c>
      <c r="AY62" s="208">
        <f t="shared" si="3"/>
        <v>0</v>
      </c>
      <c r="AZ62" s="208">
        <f t="shared" si="4"/>
        <v>0</v>
      </c>
      <c r="BA62" s="208">
        <f t="shared" si="5"/>
        <v>0</v>
      </c>
      <c r="BB62" s="209">
        <f t="shared" si="6"/>
        <v>0</v>
      </c>
      <c r="BC62" s="210">
        <f t="shared" si="7"/>
        <v>0</v>
      </c>
      <c r="BD62" s="211"/>
      <c r="BE62" s="212"/>
    </row>
    <row r="63">
      <c r="A63" s="234"/>
      <c r="B63" s="401" t="s">
        <v>703</v>
      </c>
      <c r="C63" s="412" t="s">
        <v>704</v>
      </c>
      <c r="D63" s="323"/>
      <c r="E63" s="259"/>
      <c r="F63" s="307"/>
      <c r="G63" s="246"/>
      <c r="H63" s="413"/>
      <c r="I63" s="246"/>
      <c r="J63" s="413"/>
      <c r="K63" s="246"/>
      <c r="L63" s="261"/>
      <c r="M63" s="262"/>
      <c r="N63" s="246"/>
      <c r="O63" s="413"/>
      <c r="P63" s="246"/>
      <c r="Q63" s="413"/>
      <c r="R63" s="246"/>
      <c r="S63" s="261"/>
      <c r="T63" s="262"/>
      <c r="U63" s="246"/>
      <c r="V63" s="413"/>
      <c r="W63" s="246"/>
      <c r="X63" s="413"/>
      <c r="Y63" s="246"/>
      <c r="Z63" s="261"/>
      <c r="AA63" s="262"/>
      <c r="AB63" s="246"/>
      <c r="AC63" s="413"/>
      <c r="AD63" s="246"/>
      <c r="AE63" s="413"/>
      <c r="AF63" s="246"/>
      <c r="AG63" s="261"/>
      <c r="AH63" s="413"/>
      <c r="AI63" s="246"/>
      <c r="AJ63" s="413"/>
      <c r="AK63" s="246"/>
      <c r="AL63" s="413"/>
      <c r="AM63" s="246"/>
      <c r="AN63" s="261"/>
      <c r="AO63" s="262"/>
      <c r="AP63" s="246"/>
      <c r="AQ63" s="413"/>
      <c r="AR63" s="246"/>
      <c r="AS63" s="413"/>
      <c r="AT63" s="254" t="str">
        <f t="shared" si="21"/>
        <v/>
      </c>
      <c r="AU63" s="269"/>
      <c r="AV63" s="269"/>
      <c r="AW63" s="206" t="str">
        <f t="shared" ref="AW63:AW85" si="22">TEAM!B64</f>
        <v>#REF!</v>
      </c>
      <c r="AX63" s="207">
        <f t="shared" si="2"/>
        <v>0</v>
      </c>
      <c r="AY63" s="208">
        <f t="shared" si="3"/>
        <v>0</v>
      </c>
      <c r="AZ63" s="208">
        <f t="shared" si="4"/>
        <v>0</v>
      </c>
      <c r="BA63" s="208">
        <f t="shared" si="5"/>
        <v>0</v>
      </c>
      <c r="BB63" s="209">
        <f t="shared" si="6"/>
        <v>0</v>
      </c>
      <c r="BC63" s="210">
        <f t="shared" si="7"/>
        <v>0</v>
      </c>
      <c r="BD63" s="211"/>
      <c r="BE63" s="212"/>
    </row>
    <row r="64">
      <c r="A64" s="94"/>
      <c r="B64" s="414" t="s">
        <v>705</v>
      </c>
      <c r="C64" s="415" t="s">
        <v>704</v>
      </c>
      <c r="D64" s="330"/>
      <c r="E64" s="259"/>
      <c r="F64" s="251" t="s">
        <v>706</v>
      </c>
      <c r="G64" s="246"/>
      <c r="H64" s="311" t="s">
        <v>438</v>
      </c>
      <c r="I64" s="246"/>
      <c r="J64" s="586" t="s">
        <v>452</v>
      </c>
      <c r="K64" s="246"/>
      <c r="L64" s="261"/>
      <c r="M64" s="341"/>
      <c r="N64" s="246"/>
      <c r="O64" s="251" t="s">
        <v>407</v>
      </c>
      <c r="P64" s="246"/>
      <c r="Q64" s="311" t="s">
        <v>410</v>
      </c>
      <c r="R64" s="246"/>
      <c r="S64" s="261"/>
      <c r="T64" s="341"/>
      <c r="U64" s="246"/>
      <c r="V64" s="311" t="s">
        <v>394</v>
      </c>
      <c r="W64" s="246"/>
      <c r="X64" s="311" t="s">
        <v>410</v>
      </c>
      <c r="Y64" s="246"/>
      <c r="Z64" s="261"/>
      <c r="AA64" s="341"/>
      <c r="AB64" s="246"/>
      <c r="AC64" s="311" t="s">
        <v>438</v>
      </c>
      <c r="AD64" s="246"/>
      <c r="AE64" s="251" t="s">
        <v>410</v>
      </c>
      <c r="AF64" s="246"/>
      <c r="AG64" s="261"/>
      <c r="AH64" s="282"/>
      <c r="AI64" s="246"/>
      <c r="AJ64" s="311" t="s">
        <v>394</v>
      </c>
      <c r="AK64" s="246"/>
      <c r="AM64" s="246"/>
      <c r="AN64" s="261"/>
      <c r="AO64" s="341"/>
      <c r="AP64" s="246"/>
      <c r="AQ64" s="311" t="s">
        <v>394</v>
      </c>
      <c r="AR64" s="246"/>
      <c r="AS64" s="374" t="s">
        <v>410</v>
      </c>
      <c r="AT64" s="254" t="str">
        <f t="shared" ref="AT64:AT66" si="23">IF(COUNTIF($AO$86:$AT$88, #REF!) &gt; 0, "X", "")</f>
        <v/>
      </c>
      <c r="AU64" s="269"/>
      <c r="AV64" s="269"/>
      <c r="AW64" s="206" t="str">
        <f t="shared" si="22"/>
        <v>#REF!</v>
      </c>
      <c r="AX64" s="207">
        <f t="shared" si="2"/>
        <v>0</v>
      </c>
      <c r="AY64" s="208">
        <f t="shared" si="3"/>
        <v>0</v>
      </c>
      <c r="AZ64" s="208">
        <f t="shared" si="4"/>
        <v>0</v>
      </c>
      <c r="BA64" s="208">
        <f t="shared" si="5"/>
        <v>0</v>
      </c>
      <c r="BB64" s="209">
        <f t="shared" si="6"/>
        <v>0</v>
      </c>
      <c r="BC64" s="210">
        <f t="shared" si="7"/>
        <v>0</v>
      </c>
      <c r="BD64" s="211"/>
      <c r="BE64" s="212"/>
    </row>
    <row r="65">
      <c r="A65" s="94"/>
      <c r="B65" s="328" t="s">
        <v>705</v>
      </c>
      <c r="C65" s="257" t="s">
        <v>657</v>
      </c>
      <c r="D65" s="330"/>
      <c r="E65" s="259"/>
      <c r="F65" s="311" t="s">
        <v>467</v>
      </c>
      <c r="G65" s="246"/>
      <c r="H65" s="251" t="s">
        <v>440</v>
      </c>
      <c r="I65" s="246"/>
      <c r="J65" s="251" t="s">
        <v>432</v>
      </c>
      <c r="K65" s="246"/>
      <c r="L65" s="261"/>
      <c r="M65" s="341"/>
      <c r="N65" s="246"/>
      <c r="O65" s="251" t="s">
        <v>432</v>
      </c>
      <c r="P65" s="246"/>
      <c r="Q65" s="251" t="s">
        <v>706</v>
      </c>
      <c r="R65" s="246"/>
      <c r="S65" s="261"/>
      <c r="T65" s="341"/>
      <c r="U65" s="246"/>
      <c r="V65" s="311" t="s">
        <v>438</v>
      </c>
      <c r="W65" s="246"/>
      <c r="X65" s="311" t="s">
        <v>467</v>
      </c>
      <c r="Y65" s="246"/>
      <c r="Z65" s="261"/>
      <c r="AA65" s="341"/>
      <c r="AB65" s="246"/>
      <c r="AC65" s="251" t="s">
        <v>440</v>
      </c>
      <c r="AD65" s="246"/>
      <c r="AE65" s="311" t="s">
        <v>467</v>
      </c>
      <c r="AF65" s="246"/>
      <c r="AG65" s="261"/>
      <c r="AH65" s="251" t="s">
        <v>706</v>
      </c>
      <c r="AI65" s="246"/>
      <c r="AJ65" s="251" t="s">
        <v>432</v>
      </c>
      <c r="AK65" s="246"/>
      <c r="AL65" s="586" t="s">
        <v>452</v>
      </c>
      <c r="AM65" s="246"/>
      <c r="AN65" s="261"/>
      <c r="AO65" s="341"/>
      <c r="AP65" s="246"/>
      <c r="AQ65" s="251" t="s">
        <v>440</v>
      </c>
      <c r="AR65" s="246"/>
      <c r="AS65" s="251" t="s">
        <v>706</v>
      </c>
      <c r="AT65" s="254" t="str">
        <f t="shared" si="23"/>
        <v/>
      </c>
      <c r="AU65" s="269"/>
      <c r="AV65" s="269"/>
      <c r="AW65" s="206" t="str">
        <f t="shared" si="22"/>
        <v>#REF!</v>
      </c>
      <c r="AX65" s="207">
        <f t="shared" si="2"/>
        <v>0</v>
      </c>
      <c r="AY65" s="208">
        <f t="shared" si="3"/>
        <v>0</v>
      </c>
      <c r="AZ65" s="208">
        <f t="shared" si="4"/>
        <v>0</v>
      </c>
      <c r="BA65" s="208">
        <f t="shared" si="5"/>
        <v>0</v>
      </c>
      <c r="BB65" s="209">
        <f t="shared" si="6"/>
        <v>0</v>
      </c>
      <c r="BC65" s="210">
        <f t="shared" si="7"/>
        <v>0</v>
      </c>
      <c r="BD65" s="211"/>
      <c r="BE65" s="212"/>
    </row>
    <row r="66">
      <c r="A66" s="94"/>
      <c r="B66" s="277" t="s">
        <v>705</v>
      </c>
      <c r="C66" s="329" t="s">
        <v>685</v>
      </c>
      <c r="D66" s="330"/>
      <c r="E66" s="259"/>
      <c r="F66" s="311" t="s">
        <v>470</v>
      </c>
      <c r="G66" s="246"/>
      <c r="H66" s="251" t="s">
        <v>407</v>
      </c>
      <c r="I66" s="246"/>
      <c r="J66" s="325" t="s">
        <v>701</v>
      </c>
      <c r="K66" s="246"/>
      <c r="L66" s="261"/>
      <c r="M66" s="341"/>
      <c r="N66" s="246"/>
      <c r="O66" s="251" t="s">
        <v>440</v>
      </c>
      <c r="P66" s="246"/>
      <c r="Q66" s="311" t="s">
        <v>470</v>
      </c>
      <c r="R66" s="246"/>
      <c r="S66" s="261"/>
      <c r="T66" s="341"/>
      <c r="U66" s="246"/>
      <c r="V66" s="251" t="s">
        <v>407</v>
      </c>
      <c r="W66" s="246"/>
      <c r="X66" s="586" t="s">
        <v>452</v>
      </c>
      <c r="Y66" s="246"/>
      <c r="Z66" s="261"/>
      <c r="AA66" s="341"/>
      <c r="AB66" s="246"/>
      <c r="AC66" s="311" t="s">
        <v>470</v>
      </c>
      <c r="AD66" s="246"/>
      <c r="AE66" s="251" t="s">
        <v>706</v>
      </c>
      <c r="AF66" s="246"/>
      <c r="AG66" s="261"/>
      <c r="AH66" s="311" t="s">
        <v>470</v>
      </c>
      <c r="AI66" s="246"/>
      <c r="AJ66" s="251" t="s">
        <v>440</v>
      </c>
      <c r="AK66" s="246"/>
      <c r="AL66" s="311" t="s">
        <v>467</v>
      </c>
      <c r="AM66" s="246"/>
      <c r="AN66" s="261"/>
      <c r="AO66" s="341"/>
      <c r="AP66" s="246"/>
      <c r="AQ66" s="311" t="s">
        <v>470</v>
      </c>
      <c r="AR66" s="246"/>
      <c r="AS66" s="586" t="s">
        <v>452</v>
      </c>
      <c r="AT66" s="254" t="str">
        <f t="shared" si="23"/>
        <v/>
      </c>
      <c r="AU66" s="269"/>
      <c r="AV66" s="269"/>
      <c r="AW66" s="206" t="str">
        <f t="shared" si="22"/>
        <v>#REF!</v>
      </c>
      <c r="AX66" s="207">
        <f t="shared" si="2"/>
        <v>0</v>
      </c>
      <c r="AY66" s="208">
        <f t="shared" si="3"/>
        <v>0</v>
      </c>
      <c r="AZ66" s="208">
        <f t="shared" si="4"/>
        <v>0</v>
      </c>
      <c r="BA66" s="208">
        <f t="shared" si="5"/>
        <v>0</v>
      </c>
      <c r="BB66" s="209">
        <f t="shared" si="6"/>
        <v>0</v>
      </c>
      <c r="BC66" s="210">
        <f t="shared" si="7"/>
        <v>0</v>
      </c>
      <c r="BD66" s="211"/>
      <c r="BE66" s="212"/>
    </row>
    <row r="67">
      <c r="A67" s="270"/>
      <c r="B67" s="271" t="s">
        <v>705</v>
      </c>
      <c r="C67" s="272" t="s">
        <v>687</v>
      </c>
      <c r="D67" s="369"/>
      <c r="E67" s="259"/>
      <c r="F67" s="282"/>
      <c r="G67" s="246"/>
      <c r="I67" s="246"/>
      <c r="J67" s="282"/>
      <c r="K67" s="246"/>
      <c r="L67" s="261"/>
      <c r="M67" s="341"/>
      <c r="N67" s="246"/>
      <c r="O67" s="282"/>
      <c r="P67" s="246"/>
      <c r="Q67" s="282"/>
      <c r="R67" s="246"/>
      <c r="S67" s="261"/>
      <c r="T67" s="341"/>
      <c r="U67" s="246"/>
      <c r="W67" s="246"/>
      <c r="Y67" s="246"/>
      <c r="Z67" s="261"/>
      <c r="AA67" s="341"/>
      <c r="AB67" s="246"/>
      <c r="AC67" s="282"/>
      <c r="AD67" s="246"/>
      <c r="AE67" s="339" t="s">
        <v>404</v>
      </c>
      <c r="AF67" s="246"/>
      <c r="AG67" s="261"/>
      <c r="AH67" s="282"/>
      <c r="AI67" s="246"/>
      <c r="AJ67" s="339" t="s">
        <v>404</v>
      </c>
      <c r="AK67" s="246"/>
      <c r="AL67" s="384" t="s">
        <v>900</v>
      </c>
      <c r="AM67" s="246"/>
      <c r="AN67" s="261"/>
      <c r="AO67" s="341"/>
      <c r="AP67" s="246"/>
      <c r="AQ67" s="339" t="s">
        <v>404</v>
      </c>
      <c r="AR67" s="246"/>
      <c r="AS67" s="384" t="s">
        <v>900</v>
      </c>
      <c r="AT67" s="254" t="str">
        <f>IF(COUNTIF($AO$86:$AT$88, AO66) &gt; 0, "X", "")</f>
        <v/>
      </c>
      <c r="AU67" s="269"/>
      <c r="AV67" s="269"/>
      <c r="AW67" s="206" t="str">
        <f t="shared" si="22"/>
        <v>#REF!</v>
      </c>
      <c r="AX67" s="207">
        <f t="shared" si="2"/>
        <v>0</v>
      </c>
      <c r="AY67" s="208">
        <f t="shared" si="3"/>
        <v>0</v>
      </c>
      <c r="AZ67" s="208">
        <f t="shared" si="4"/>
        <v>0</v>
      </c>
      <c r="BA67" s="208">
        <f t="shared" si="5"/>
        <v>0</v>
      </c>
      <c r="BB67" s="209">
        <f t="shared" si="6"/>
        <v>0</v>
      </c>
      <c r="BC67" s="210">
        <f t="shared" si="7"/>
        <v>0</v>
      </c>
      <c r="BD67" s="211"/>
      <c r="BE67" s="212"/>
    </row>
    <row r="68">
      <c r="A68" s="94"/>
      <c r="B68" s="397" t="s">
        <v>708</v>
      </c>
      <c r="C68" s="398" t="s">
        <v>654</v>
      </c>
      <c r="D68" s="330"/>
      <c r="E68" s="259"/>
      <c r="F68" s="275"/>
      <c r="G68" s="246"/>
      <c r="H68" s="311" t="s">
        <v>441</v>
      </c>
      <c r="I68" s="246"/>
      <c r="J68" s="374" t="s">
        <v>446</v>
      </c>
      <c r="K68" s="246"/>
      <c r="L68" s="261"/>
      <c r="M68" s="341"/>
      <c r="N68" s="246"/>
      <c r="O68" s="311" t="s">
        <v>441</v>
      </c>
      <c r="P68" s="246"/>
      <c r="Q68" s="374" t="s">
        <v>446</v>
      </c>
      <c r="R68" s="246"/>
      <c r="S68" s="261"/>
      <c r="T68" s="341"/>
      <c r="U68" s="246"/>
      <c r="V68" s="364" t="s">
        <v>901</v>
      </c>
      <c r="W68" s="246"/>
      <c r="X68" s="311" t="s">
        <v>441</v>
      </c>
      <c r="Y68" s="246"/>
      <c r="Z68" s="261"/>
      <c r="AA68" s="341"/>
      <c r="AB68" s="246"/>
      <c r="AC68" s="311" t="s">
        <v>441</v>
      </c>
      <c r="AD68" s="246"/>
      <c r="AE68" s="311" t="s">
        <v>446</v>
      </c>
      <c r="AF68" s="246"/>
      <c r="AG68" s="261"/>
      <c r="AH68" s="374" t="s">
        <v>446</v>
      </c>
      <c r="AI68" s="246"/>
      <c r="AJ68" s="311" t="s">
        <v>441</v>
      </c>
      <c r="AK68" s="246"/>
      <c r="AL68" s="251" t="s">
        <v>405</v>
      </c>
      <c r="AM68" s="246"/>
      <c r="AN68" s="261"/>
      <c r="AO68" s="341"/>
      <c r="AP68" s="246"/>
      <c r="AQ68" s="365" t="s">
        <v>469</v>
      </c>
      <c r="AR68" s="246"/>
      <c r="AT68" s="254" t="str">
        <f t="shared" ref="AT68:AT69" si="24">IF(COUNTIF($AO$86:$AT$88, #REF!) &gt; 0, "X", "")</f>
        <v/>
      </c>
      <c r="AU68" s="269"/>
      <c r="AV68" s="269"/>
      <c r="AW68" s="206" t="str">
        <f t="shared" si="22"/>
        <v>#REF!</v>
      </c>
      <c r="AX68" s="207">
        <f t="shared" si="2"/>
        <v>0</v>
      </c>
      <c r="AY68" s="208">
        <f t="shared" si="3"/>
        <v>0</v>
      </c>
      <c r="AZ68" s="208">
        <f t="shared" si="4"/>
        <v>0</v>
      </c>
      <c r="BA68" s="208">
        <f t="shared" si="5"/>
        <v>0</v>
      </c>
      <c r="BB68" s="209">
        <f t="shared" si="6"/>
        <v>0</v>
      </c>
      <c r="BC68" s="210">
        <f t="shared" si="7"/>
        <v>0</v>
      </c>
      <c r="BD68" s="211"/>
      <c r="BE68" s="212"/>
    </row>
    <row r="69">
      <c r="A69" s="94"/>
      <c r="B69" s="277" t="s">
        <v>709</v>
      </c>
      <c r="C69" s="278" t="s">
        <v>710</v>
      </c>
      <c r="D69" s="330"/>
      <c r="E69" s="259"/>
      <c r="F69" s="281"/>
      <c r="G69" s="246"/>
      <c r="H69" s="282"/>
      <c r="I69" s="246"/>
      <c r="J69" s="281"/>
      <c r="K69" s="246"/>
      <c r="L69" s="261"/>
      <c r="M69" s="286"/>
      <c r="N69" s="246"/>
      <c r="O69" s="281"/>
      <c r="P69" s="246"/>
      <c r="Q69" s="282"/>
      <c r="R69" s="246"/>
      <c r="S69" s="261"/>
      <c r="T69" s="286"/>
      <c r="U69" s="246"/>
      <c r="V69" s="282"/>
      <c r="W69" s="246"/>
      <c r="X69" s="282"/>
      <c r="Y69" s="246"/>
      <c r="Z69" s="261"/>
      <c r="AA69" s="286"/>
      <c r="AB69" s="246"/>
      <c r="AC69" s="282"/>
      <c r="AD69" s="246"/>
      <c r="AF69" s="246"/>
      <c r="AG69" s="261"/>
      <c r="AH69" s="281"/>
      <c r="AI69" s="246"/>
      <c r="AJ69" s="588" t="s">
        <v>841</v>
      </c>
      <c r="AK69" s="246"/>
      <c r="AL69" s="282"/>
      <c r="AM69" s="246"/>
      <c r="AN69" s="261"/>
      <c r="AO69" s="286"/>
      <c r="AP69" s="246"/>
      <c r="AQ69" s="281"/>
      <c r="AR69" s="246"/>
      <c r="AS69" s="374" t="s">
        <v>446</v>
      </c>
      <c r="AT69" s="254" t="str">
        <f t="shared" si="24"/>
        <v/>
      </c>
      <c r="AU69" s="269"/>
      <c r="AV69" s="269"/>
      <c r="AW69" s="206" t="str">
        <f t="shared" si="22"/>
        <v>#REF!</v>
      </c>
      <c r="AX69" s="207">
        <f t="shared" si="2"/>
        <v>0</v>
      </c>
      <c r="AY69" s="208">
        <f t="shared" si="3"/>
        <v>0</v>
      </c>
      <c r="AZ69" s="208">
        <f t="shared" si="4"/>
        <v>0</v>
      </c>
      <c r="BA69" s="208">
        <f t="shared" si="5"/>
        <v>0</v>
      </c>
      <c r="BB69" s="209">
        <f t="shared" si="6"/>
        <v>0</v>
      </c>
      <c r="BC69" s="210">
        <f t="shared" si="7"/>
        <v>0</v>
      </c>
      <c r="BD69" s="211"/>
      <c r="BE69" s="212"/>
    </row>
    <row r="70">
      <c r="A70" s="94"/>
      <c r="B70" s="271" t="s">
        <v>712</v>
      </c>
      <c r="C70" s="272" t="s">
        <v>710</v>
      </c>
      <c r="D70" s="323"/>
      <c r="E70" s="259"/>
      <c r="F70" s="265"/>
      <c r="G70" s="246"/>
      <c r="H70" s="282"/>
      <c r="I70" s="246"/>
      <c r="J70" s="282"/>
      <c r="K70" s="246"/>
      <c r="L70" s="261"/>
      <c r="M70" s="341"/>
      <c r="N70" s="246"/>
      <c r="O70" s="282"/>
      <c r="P70" s="246"/>
      <c r="Q70" s="282"/>
      <c r="R70" s="246"/>
      <c r="S70" s="261"/>
      <c r="T70" s="341"/>
      <c r="U70" s="246"/>
      <c r="V70" s="282"/>
      <c r="W70" s="246"/>
      <c r="X70" s="282"/>
      <c r="Y70" s="246"/>
      <c r="Z70" s="261"/>
      <c r="AA70" s="341"/>
      <c r="AB70" s="246"/>
      <c r="AC70" s="282"/>
      <c r="AD70" s="246"/>
      <c r="AE70" s="282"/>
      <c r="AF70" s="246"/>
      <c r="AG70" s="261"/>
      <c r="AH70" s="282"/>
      <c r="AI70" s="246"/>
      <c r="AJ70" s="282"/>
      <c r="AK70" s="246"/>
      <c r="AL70" s="282"/>
      <c r="AM70" s="246"/>
      <c r="AN70" s="261"/>
      <c r="AO70" s="341"/>
      <c r="AP70" s="246"/>
      <c r="AQ70" s="282"/>
      <c r="AR70" s="246"/>
      <c r="AS70" s="282"/>
      <c r="AT70" s="254" t="str">
        <f>IF(COUNTIF($AO$86:$AT$88, AS70) &gt; 0, "X", "")</f>
        <v/>
      </c>
      <c r="AU70" s="269"/>
      <c r="AV70" s="269"/>
      <c r="AW70" s="206" t="str">
        <f t="shared" si="22"/>
        <v>#REF!</v>
      </c>
      <c r="AX70" s="207">
        <f t="shared" si="2"/>
        <v>0</v>
      </c>
      <c r="AY70" s="208">
        <f t="shared" si="3"/>
        <v>0</v>
      </c>
      <c r="AZ70" s="208">
        <f t="shared" si="4"/>
        <v>0</v>
      </c>
      <c r="BA70" s="208">
        <f t="shared" si="5"/>
        <v>0</v>
      </c>
      <c r="BB70" s="209">
        <f t="shared" si="6"/>
        <v>0</v>
      </c>
      <c r="BC70" s="210">
        <f t="shared" si="7"/>
        <v>0</v>
      </c>
      <c r="BD70" s="211"/>
      <c r="BE70" s="212"/>
    </row>
    <row r="71">
      <c r="A71" s="94"/>
      <c r="B71" s="429" t="s">
        <v>714</v>
      </c>
      <c r="C71" s="430"/>
      <c r="D71" s="431"/>
      <c r="E71" s="259"/>
      <c r="F71" s="434"/>
      <c r="G71" s="432"/>
      <c r="H71" s="432"/>
      <c r="I71" s="432"/>
      <c r="J71" s="432"/>
      <c r="K71" s="432"/>
      <c r="L71" s="261"/>
      <c r="M71" s="432"/>
      <c r="N71" s="433"/>
      <c r="O71" s="432"/>
      <c r="P71" s="432"/>
      <c r="Q71" s="432"/>
      <c r="R71" s="432"/>
      <c r="S71" s="261"/>
      <c r="T71" s="432"/>
      <c r="U71" s="433"/>
      <c r="V71" s="432"/>
      <c r="W71" s="432"/>
      <c r="X71" s="432"/>
      <c r="Y71" s="432"/>
      <c r="Z71" s="261"/>
      <c r="AA71" s="432"/>
      <c r="AB71" s="433"/>
      <c r="AC71" s="432"/>
      <c r="AD71" s="432"/>
      <c r="AE71" s="432"/>
      <c r="AF71" s="432"/>
      <c r="AG71" s="261"/>
      <c r="AH71" s="432"/>
      <c r="AI71" s="433"/>
      <c r="AJ71" s="432"/>
      <c r="AK71" s="432"/>
      <c r="AL71" s="432"/>
      <c r="AM71" s="432"/>
      <c r="AN71" s="261"/>
      <c r="AO71" s="432"/>
      <c r="AP71" s="433"/>
      <c r="AQ71" s="432"/>
      <c r="AR71" s="432"/>
      <c r="AS71" s="432"/>
      <c r="AT71" s="430"/>
      <c r="AU71" s="269"/>
      <c r="AV71" s="269"/>
      <c r="AW71" s="206" t="str">
        <f t="shared" si="22"/>
        <v>#REF!</v>
      </c>
      <c r="AX71" s="207">
        <f t="shared" si="2"/>
        <v>0</v>
      </c>
      <c r="AY71" s="208">
        <f t="shared" si="3"/>
        <v>0</v>
      </c>
      <c r="AZ71" s="208">
        <f t="shared" si="4"/>
        <v>0</v>
      </c>
      <c r="BA71" s="208">
        <f t="shared" si="5"/>
        <v>0</v>
      </c>
      <c r="BB71" s="209">
        <f t="shared" si="6"/>
        <v>0</v>
      </c>
      <c r="BC71" s="210">
        <f t="shared" si="7"/>
        <v>0</v>
      </c>
      <c r="BD71" s="211"/>
      <c r="BE71" s="212"/>
    </row>
    <row r="72">
      <c r="A72" s="94"/>
      <c r="B72" s="401" t="s">
        <v>715</v>
      </c>
      <c r="C72" s="412" t="s">
        <v>716</v>
      </c>
      <c r="D72" s="323"/>
      <c r="E72" s="259"/>
      <c r="F72" s="434"/>
      <c r="G72" s="246"/>
      <c r="H72" s="434" t="s">
        <v>465</v>
      </c>
      <c r="I72" s="246"/>
      <c r="J72" s="434"/>
      <c r="K72" s="246"/>
      <c r="L72" s="261"/>
      <c r="M72" s="434"/>
      <c r="N72" s="246"/>
      <c r="O72" s="434" t="s">
        <v>465</v>
      </c>
      <c r="P72" s="246"/>
      <c r="Q72" s="434"/>
      <c r="R72" s="246"/>
      <c r="S72" s="261"/>
      <c r="T72" s="434"/>
      <c r="U72" s="246"/>
      <c r="V72" s="434"/>
      <c r="W72" s="246"/>
      <c r="X72" s="434"/>
      <c r="Y72" s="246"/>
      <c r="Z72" s="261"/>
      <c r="AA72" s="434"/>
      <c r="AB72" s="246"/>
      <c r="AC72" s="434" t="s">
        <v>902</v>
      </c>
      <c r="AD72" s="246"/>
      <c r="AE72" s="434"/>
      <c r="AF72" s="246"/>
      <c r="AG72" s="261"/>
      <c r="AH72" s="434"/>
      <c r="AI72" s="246"/>
      <c r="AJ72" s="434" t="s">
        <v>465</v>
      </c>
      <c r="AK72" s="246"/>
      <c r="AL72" s="434"/>
      <c r="AM72" s="246"/>
      <c r="AN72" s="261"/>
      <c r="AO72" s="434"/>
      <c r="AP72" s="246"/>
      <c r="AQ72" s="434" t="s">
        <v>465</v>
      </c>
      <c r="AR72" s="246"/>
      <c r="AS72" s="434"/>
      <c r="AT72" s="254" t="str">
        <f t="shared" ref="AT72:AT81" si="25">IF(COUNTIF($AO$86:$AT$88, AS72) &gt; 0, "X", "")</f>
        <v/>
      </c>
      <c r="AU72" s="269"/>
      <c r="AV72" s="269"/>
      <c r="AW72" s="206" t="str">
        <f t="shared" si="22"/>
        <v>#REF!</v>
      </c>
      <c r="AX72" s="207">
        <f t="shared" si="2"/>
        <v>0</v>
      </c>
      <c r="AY72" s="208">
        <f t="shared" si="3"/>
        <v>0</v>
      </c>
      <c r="AZ72" s="208">
        <f t="shared" si="4"/>
        <v>0</v>
      </c>
      <c r="BA72" s="208">
        <f t="shared" si="5"/>
        <v>0</v>
      </c>
      <c r="BB72" s="209">
        <f t="shared" si="6"/>
        <v>0</v>
      </c>
      <c r="BC72" s="210">
        <f t="shared" si="7"/>
        <v>0</v>
      </c>
      <c r="BD72" s="211"/>
      <c r="BE72" s="212"/>
    </row>
    <row r="73">
      <c r="A73" s="94"/>
      <c r="B73" s="401" t="s">
        <v>715</v>
      </c>
      <c r="C73" s="412" t="s">
        <v>716</v>
      </c>
      <c r="D73" s="323"/>
      <c r="E73" s="259"/>
      <c r="G73" s="246"/>
      <c r="H73" s="434" t="s">
        <v>403</v>
      </c>
      <c r="I73" s="246"/>
      <c r="J73" s="434"/>
      <c r="K73" s="246"/>
      <c r="L73" s="261"/>
      <c r="M73" s="434"/>
      <c r="N73" s="246"/>
      <c r="O73" s="434" t="s">
        <v>403</v>
      </c>
      <c r="P73" s="246"/>
      <c r="Q73" s="434"/>
      <c r="R73" s="246"/>
      <c r="S73" s="261"/>
      <c r="T73" s="434"/>
      <c r="U73" s="246"/>
      <c r="V73" s="434" t="s">
        <v>403</v>
      </c>
      <c r="W73" s="246"/>
      <c r="X73" s="434"/>
      <c r="Y73" s="246"/>
      <c r="Z73" s="261"/>
      <c r="AA73" s="434"/>
      <c r="AB73" s="246"/>
      <c r="AC73" s="434" t="s">
        <v>403</v>
      </c>
      <c r="AD73" s="246"/>
      <c r="AE73" s="434"/>
      <c r="AF73" s="246"/>
      <c r="AG73" s="261"/>
      <c r="AH73" s="434"/>
      <c r="AI73" s="246"/>
      <c r="AJ73" s="434" t="s">
        <v>403</v>
      </c>
      <c r="AK73" s="246"/>
      <c r="AL73" s="434"/>
      <c r="AM73" s="246"/>
      <c r="AN73" s="261"/>
      <c r="AO73" s="434"/>
      <c r="AP73" s="246"/>
      <c r="AQ73" s="434"/>
      <c r="AR73" s="246"/>
      <c r="AS73" s="434"/>
      <c r="AT73" s="254" t="str">
        <f t="shared" si="25"/>
        <v/>
      </c>
      <c r="AU73" s="269"/>
      <c r="AV73" s="269"/>
      <c r="AW73" s="206" t="str">
        <f t="shared" si="22"/>
        <v>#REF!</v>
      </c>
      <c r="AX73" s="207">
        <f t="shared" si="2"/>
        <v>0</v>
      </c>
      <c r="AY73" s="208">
        <f t="shared" si="3"/>
        <v>0</v>
      </c>
      <c r="AZ73" s="208">
        <f t="shared" si="4"/>
        <v>0</v>
      </c>
      <c r="BA73" s="208">
        <f t="shared" si="5"/>
        <v>0</v>
      </c>
      <c r="BB73" s="209">
        <f t="shared" si="6"/>
        <v>0</v>
      </c>
      <c r="BC73" s="210">
        <f t="shared" si="7"/>
        <v>0</v>
      </c>
      <c r="BD73" s="211"/>
      <c r="BE73" s="212"/>
    </row>
    <row r="74">
      <c r="A74" s="94"/>
      <c r="B74" s="435" t="s">
        <v>717</v>
      </c>
      <c r="C74" s="415" t="s">
        <v>718</v>
      </c>
      <c r="D74" s="363"/>
      <c r="E74" s="259"/>
      <c r="F74" s="406"/>
      <c r="G74" s="246"/>
      <c r="H74" s="406" t="s">
        <v>454</v>
      </c>
      <c r="I74" s="246"/>
      <c r="J74" s="406"/>
      <c r="K74" s="246"/>
      <c r="L74" s="261"/>
      <c r="M74" s="406"/>
      <c r="N74" s="246"/>
      <c r="O74" s="406" t="s">
        <v>442</v>
      </c>
      <c r="P74" s="246"/>
      <c r="Q74" s="406"/>
      <c r="R74" s="246"/>
      <c r="S74" s="261"/>
      <c r="T74" s="406"/>
      <c r="U74" s="246"/>
      <c r="V74" s="406" t="s">
        <v>442</v>
      </c>
      <c r="W74" s="246"/>
      <c r="X74" s="406"/>
      <c r="Y74" s="246"/>
      <c r="Z74" s="261"/>
      <c r="AA74" s="406"/>
      <c r="AB74" s="246"/>
      <c r="AC74" s="406" t="s">
        <v>442</v>
      </c>
      <c r="AD74" s="246"/>
      <c r="AE74" s="406"/>
      <c r="AF74" s="246"/>
      <c r="AG74" s="261"/>
      <c r="AH74" s="406"/>
      <c r="AI74" s="246"/>
      <c r="AJ74" s="406" t="s">
        <v>442</v>
      </c>
      <c r="AK74" s="246"/>
      <c r="AL74" s="406"/>
      <c r="AM74" s="246"/>
      <c r="AN74" s="261"/>
      <c r="AO74" s="406"/>
      <c r="AP74" s="246"/>
      <c r="AQ74" s="406" t="s">
        <v>442</v>
      </c>
      <c r="AR74" s="246"/>
      <c r="AS74" s="406"/>
      <c r="AT74" s="254" t="str">
        <f t="shared" si="25"/>
        <v/>
      </c>
      <c r="AU74" s="269"/>
      <c r="AV74" s="269"/>
      <c r="AW74" s="206" t="str">
        <f t="shared" si="22"/>
        <v>#REF!</v>
      </c>
      <c r="AX74" s="207">
        <f t="shared" si="2"/>
        <v>0</v>
      </c>
      <c r="AY74" s="208">
        <f t="shared" si="3"/>
        <v>0</v>
      </c>
      <c r="AZ74" s="208">
        <f t="shared" si="4"/>
        <v>0</v>
      </c>
      <c r="BA74" s="208">
        <f t="shared" si="5"/>
        <v>0</v>
      </c>
      <c r="BB74" s="209">
        <f t="shared" si="6"/>
        <v>0</v>
      </c>
      <c r="BC74" s="210">
        <f t="shared" si="7"/>
        <v>0</v>
      </c>
      <c r="BD74" s="211"/>
      <c r="BE74" s="212"/>
    </row>
    <row r="75">
      <c r="A75" s="94"/>
      <c r="B75" s="436" t="s">
        <v>719</v>
      </c>
      <c r="C75" s="437" t="s">
        <v>720</v>
      </c>
      <c r="D75" s="330"/>
      <c r="E75" s="259"/>
      <c r="F75" s="406"/>
      <c r="G75" s="246"/>
      <c r="H75" s="406" t="s">
        <v>463</v>
      </c>
      <c r="I75" s="246"/>
      <c r="J75" s="406"/>
      <c r="K75" s="246"/>
      <c r="L75" s="261"/>
      <c r="M75" s="406"/>
      <c r="N75" s="246"/>
      <c r="O75" s="406" t="s">
        <v>463</v>
      </c>
      <c r="P75" s="246"/>
      <c r="Q75" s="406"/>
      <c r="R75" s="246"/>
      <c r="S75" s="261"/>
      <c r="T75" s="406"/>
      <c r="U75" s="246"/>
      <c r="V75" s="406" t="s">
        <v>463</v>
      </c>
      <c r="W75" s="246"/>
      <c r="X75" s="406"/>
      <c r="Y75" s="246"/>
      <c r="Z75" s="261"/>
      <c r="AA75" s="406"/>
      <c r="AB75" s="246"/>
      <c r="AC75" s="406" t="s">
        <v>454</v>
      </c>
      <c r="AD75" s="246"/>
      <c r="AE75" s="406"/>
      <c r="AF75" s="246"/>
      <c r="AG75" s="261"/>
      <c r="AH75" s="406"/>
      <c r="AI75" s="246"/>
      <c r="AJ75" s="406" t="s">
        <v>454</v>
      </c>
      <c r="AK75" s="246"/>
      <c r="AL75" s="406"/>
      <c r="AM75" s="246"/>
      <c r="AN75" s="261"/>
      <c r="AO75" s="406"/>
      <c r="AP75" s="246"/>
      <c r="AQ75" s="406" t="s">
        <v>463</v>
      </c>
      <c r="AR75" s="246"/>
      <c r="AS75" s="406"/>
      <c r="AT75" s="254" t="str">
        <f t="shared" si="25"/>
        <v/>
      </c>
      <c r="AU75" s="269"/>
      <c r="AV75" s="269"/>
      <c r="AW75" s="206" t="str">
        <f t="shared" si="22"/>
        <v>#REF!</v>
      </c>
      <c r="AX75" s="207">
        <f t="shared" si="2"/>
        <v>0</v>
      </c>
      <c r="AY75" s="208">
        <f t="shared" si="3"/>
        <v>0</v>
      </c>
      <c r="AZ75" s="208">
        <f t="shared" si="4"/>
        <v>0</v>
      </c>
      <c r="BA75" s="208">
        <f t="shared" si="5"/>
        <v>0</v>
      </c>
      <c r="BB75" s="209">
        <f t="shared" si="6"/>
        <v>0</v>
      </c>
      <c r="BC75" s="210">
        <f t="shared" si="7"/>
        <v>0</v>
      </c>
      <c r="BD75" s="211"/>
      <c r="BE75" s="212"/>
    </row>
    <row r="76">
      <c r="A76" s="94"/>
      <c r="B76" s="439" t="s">
        <v>721</v>
      </c>
      <c r="C76" s="440" t="s">
        <v>722</v>
      </c>
      <c r="D76" s="330"/>
      <c r="E76" s="259"/>
      <c r="F76" s="406"/>
      <c r="G76" s="246"/>
      <c r="H76" s="406" t="s">
        <v>844</v>
      </c>
      <c r="I76" s="246"/>
      <c r="J76" s="406"/>
      <c r="K76" s="246"/>
      <c r="L76" s="261"/>
      <c r="M76" s="406"/>
      <c r="N76" s="246"/>
      <c r="O76" s="406" t="s">
        <v>844</v>
      </c>
      <c r="P76" s="246"/>
      <c r="Q76" s="406"/>
      <c r="R76" s="246"/>
      <c r="S76" s="261"/>
      <c r="T76" s="406"/>
      <c r="U76" s="246"/>
      <c r="V76" s="406" t="s">
        <v>844</v>
      </c>
      <c r="W76" s="246"/>
      <c r="X76" s="406"/>
      <c r="Y76" s="246"/>
      <c r="Z76" s="261"/>
      <c r="AA76" s="406"/>
      <c r="AB76" s="246"/>
      <c r="AC76" s="406" t="s">
        <v>844</v>
      </c>
      <c r="AD76" s="246"/>
      <c r="AE76" s="406"/>
      <c r="AF76" s="246"/>
      <c r="AG76" s="261"/>
      <c r="AH76" s="406"/>
      <c r="AI76" s="246"/>
      <c r="AJ76" s="406" t="s">
        <v>844</v>
      </c>
      <c r="AK76" s="246"/>
      <c r="AL76" s="406"/>
      <c r="AM76" s="246"/>
      <c r="AN76" s="261"/>
      <c r="AO76" s="406"/>
      <c r="AP76" s="246"/>
      <c r="AQ76" s="406"/>
      <c r="AR76" s="246"/>
      <c r="AS76" s="406"/>
      <c r="AT76" s="254" t="str">
        <f t="shared" si="25"/>
        <v/>
      </c>
      <c r="AU76" s="269"/>
      <c r="AV76" s="269"/>
      <c r="AW76" s="206" t="str">
        <f t="shared" si="22"/>
        <v>#REF!</v>
      </c>
      <c r="AX76" s="207">
        <f t="shared" si="2"/>
        <v>0</v>
      </c>
      <c r="AY76" s="208">
        <f t="shared" si="3"/>
        <v>0</v>
      </c>
      <c r="AZ76" s="208">
        <f t="shared" si="4"/>
        <v>0</v>
      </c>
      <c r="BA76" s="208">
        <f t="shared" si="5"/>
        <v>0</v>
      </c>
      <c r="BB76" s="209">
        <f t="shared" si="6"/>
        <v>0</v>
      </c>
      <c r="BC76" s="210">
        <f t="shared" si="7"/>
        <v>0</v>
      </c>
      <c r="BD76" s="211"/>
      <c r="BE76" s="212"/>
    </row>
    <row r="77">
      <c r="A77" s="94"/>
      <c r="B77" s="439" t="s">
        <v>723</v>
      </c>
      <c r="C77" s="440" t="s">
        <v>724</v>
      </c>
      <c r="D77" s="330"/>
      <c r="E77" s="259"/>
      <c r="F77" s="406"/>
      <c r="G77" s="246"/>
      <c r="H77" s="406" t="s">
        <v>460</v>
      </c>
      <c r="I77" s="246"/>
      <c r="J77" s="441"/>
      <c r="K77" s="246"/>
      <c r="L77" s="261"/>
      <c r="M77" s="406"/>
      <c r="N77" s="246"/>
      <c r="O77" s="406" t="s">
        <v>454</v>
      </c>
      <c r="P77" s="246"/>
      <c r="Q77" s="441"/>
      <c r="R77" s="246"/>
      <c r="S77" s="261"/>
      <c r="T77" s="441"/>
      <c r="U77" s="246"/>
      <c r="V77" s="406" t="s">
        <v>454</v>
      </c>
      <c r="W77" s="246"/>
      <c r="X77" s="441"/>
      <c r="Y77" s="246"/>
      <c r="Z77" s="261"/>
      <c r="AA77" s="406"/>
      <c r="AB77" s="246"/>
      <c r="AC77" s="206" t="s">
        <v>903</v>
      </c>
      <c r="AD77" s="246"/>
      <c r="AE77" s="441"/>
      <c r="AF77" s="246"/>
      <c r="AG77" s="261"/>
      <c r="AH77" s="406"/>
      <c r="AI77" s="246"/>
      <c r="AJ77" s="406" t="s">
        <v>903</v>
      </c>
      <c r="AK77" s="246"/>
      <c r="AL77" s="441"/>
      <c r="AM77" s="246"/>
      <c r="AN77" s="261"/>
      <c r="AO77" s="441"/>
      <c r="AP77" s="246"/>
      <c r="AQ77" s="441"/>
      <c r="AR77" s="246"/>
      <c r="AS77" s="441"/>
      <c r="AT77" s="254" t="str">
        <f t="shared" si="25"/>
        <v/>
      </c>
      <c r="AU77" s="269"/>
      <c r="AV77" s="269"/>
      <c r="AW77" s="206" t="str">
        <f t="shared" si="22"/>
        <v>#REF!</v>
      </c>
      <c r="AX77" s="207">
        <f t="shared" si="2"/>
        <v>0</v>
      </c>
      <c r="AY77" s="208">
        <f t="shared" si="3"/>
        <v>0</v>
      </c>
      <c r="AZ77" s="208">
        <f t="shared" si="4"/>
        <v>0</v>
      </c>
      <c r="BA77" s="208">
        <f t="shared" si="5"/>
        <v>0</v>
      </c>
      <c r="BB77" s="209">
        <f t="shared" si="6"/>
        <v>0</v>
      </c>
      <c r="BC77" s="210">
        <f t="shared" si="7"/>
        <v>0</v>
      </c>
      <c r="BD77" s="211"/>
      <c r="BE77" s="212"/>
    </row>
    <row r="78">
      <c r="A78" s="94"/>
      <c r="B78" s="439" t="s">
        <v>725</v>
      </c>
      <c r="C78" s="442" t="s">
        <v>726</v>
      </c>
      <c r="D78" s="330"/>
      <c r="E78" s="259"/>
      <c r="F78" s="441"/>
      <c r="G78" s="246"/>
      <c r="H78" s="406" t="s">
        <v>845</v>
      </c>
      <c r="I78" s="246"/>
      <c r="J78" s="502"/>
      <c r="K78" s="246"/>
      <c r="L78" s="261"/>
      <c r="M78" s="441"/>
      <c r="N78" s="246"/>
      <c r="O78" s="406" t="s">
        <v>845</v>
      </c>
      <c r="P78" s="246"/>
      <c r="Q78" s="441"/>
      <c r="R78" s="246"/>
      <c r="S78" s="261"/>
      <c r="T78" s="441"/>
      <c r="U78" s="246"/>
      <c r="V78" s="495" t="s">
        <v>847</v>
      </c>
      <c r="W78" s="246"/>
      <c r="X78" s="441"/>
      <c r="Y78" s="246"/>
      <c r="Z78" s="261"/>
      <c r="AA78" s="406" t="s">
        <v>463</v>
      </c>
      <c r="AB78" s="246"/>
      <c r="AC78" s="635" t="s">
        <v>904</v>
      </c>
      <c r="AD78" s="246"/>
      <c r="AE78" s="441"/>
      <c r="AF78" s="246"/>
      <c r="AG78" s="261"/>
      <c r="AH78" s="406" t="s">
        <v>845</v>
      </c>
      <c r="AI78" s="246"/>
      <c r="AJ78" s="620" t="s">
        <v>905</v>
      </c>
      <c r="AK78" s="246"/>
      <c r="AL78" s="441"/>
      <c r="AM78" s="246"/>
      <c r="AN78" s="261"/>
      <c r="AO78" s="441"/>
      <c r="AP78" s="246"/>
      <c r="AQ78" s="406" t="s">
        <v>845</v>
      </c>
      <c r="AR78" s="246"/>
      <c r="AS78" s="441"/>
      <c r="AT78" s="254" t="str">
        <f t="shared" si="25"/>
        <v/>
      </c>
      <c r="AU78" s="269"/>
      <c r="AV78" s="269"/>
      <c r="AW78" s="206" t="str">
        <f t="shared" si="22"/>
        <v>#REF!</v>
      </c>
      <c r="AX78" s="207">
        <f t="shared" si="2"/>
        <v>0</v>
      </c>
      <c r="AY78" s="208">
        <f t="shared" si="3"/>
        <v>0</v>
      </c>
      <c r="AZ78" s="208">
        <f t="shared" si="4"/>
        <v>0</v>
      </c>
      <c r="BA78" s="208">
        <f t="shared" si="5"/>
        <v>0</v>
      </c>
      <c r="BB78" s="209">
        <f t="shared" si="6"/>
        <v>0</v>
      </c>
      <c r="BC78" s="210">
        <f t="shared" si="7"/>
        <v>0</v>
      </c>
      <c r="BD78" s="211"/>
      <c r="BE78" s="212"/>
    </row>
    <row r="79">
      <c r="A79" s="94"/>
      <c r="B79" s="447" t="s">
        <v>729</v>
      </c>
      <c r="C79" s="448" t="s">
        <v>730</v>
      </c>
      <c r="D79" s="330"/>
      <c r="E79" s="259"/>
      <c r="F79" s="441"/>
      <c r="G79" s="246"/>
      <c r="H79" s="406"/>
      <c r="I79" s="246"/>
      <c r="J79" s="441"/>
      <c r="K79" s="246"/>
      <c r="L79" s="261"/>
      <c r="M79" s="441"/>
      <c r="N79" s="246"/>
      <c r="O79" s="406"/>
      <c r="P79" s="246"/>
      <c r="Q79" s="441"/>
      <c r="R79" s="246"/>
      <c r="S79" s="261"/>
      <c r="T79" s="441"/>
      <c r="U79" s="246"/>
      <c r="V79" s="406" t="s">
        <v>845</v>
      </c>
      <c r="W79" s="246"/>
      <c r="X79" s="441"/>
      <c r="Y79" s="246"/>
      <c r="Z79" s="261"/>
      <c r="AA79" s="441"/>
      <c r="AB79" s="246"/>
      <c r="AC79" s="441"/>
      <c r="AD79" s="246"/>
      <c r="AE79" s="441"/>
      <c r="AF79" s="246"/>
      <c r="AG79" s="261"/>
      <c r="AH79" s="441"/>
      <c r="AI79" s="246"/>
      <c r="AJ79" s="441"/>
      <c r="AK79" s="246"/>
      <c r="AL79" s="441"/>
      <c r="AM79" s="246"/>
      <c r="AN79" s="261"/>
      <c r="AO79" s="441"/>
      <c r="AP79" s="246"/>
      <c r="AQ79" s="441"/>
      <c r="AR79" s="246"/>
      <c r="AS79" s="441"/>
      <c r="AT79" s="254" t="str">
        <f t="shared" si="25"/>
        <v/>
      </c>
      <c r="AU79" s="269"/>
      <c r="AV79" s="269"/>
      <c r="AW79" s="206" t="str">
        <f t="shared" si="22"/>
        <v>#REF!</v>
      </c>
      <c r="AX79" s="207">
        <f t="shared" si="2"/>
        <v>0</v>
      </c>
      <c r="AY79" s="208">
        <f t="shared" si="3"/>
        <v>0</v>
      </c>
      <c r="AZ79" s="208">
        <f t="shared" si="4"/>
        <v>0</v>
      </c>
      <c r="BA79" s="208">
        <f t="shared" si="5"/>
        <v>0</v>
      </c>
      <c r="BB79" s="209">
        <f t="shared" si="6"/>
        <v>0</v>
      </c>
      <c r="BC79" s="210">
        <f t="shared" si="7"/>
        <v>0</v>
      </c>
      <c r="BD79" s="211"/>
      <c r="BE79" s="212"/>
    </row>
    <row r="80">
      <c r="A80" s="94"/>
      <c r="B80" s="450" t="s">
        <v>731</v>
      </c>
      <c r="C80" s="451" t="s">
        <v>732</v>
      </c>
      <c r="D80" s="363"/>
      <c r="E80" s="259"/>
      <c r="F80" s="206"/>
      <c r="G80" s="246"/>
      <c r="H80" s="206" t="s">
        <v>847</v>
      </c>
      <c r="I80" s="246"/>
      <c r="J80" s="206"/>
      <c r="K80" s="246"/>
      <c r="L80" s="261"/>
      <c r="M80" s="206"/>
      <c r="N80" s="246"/>
      <c r="O80" s="406" t="s">
        <v>460</v>
      </c>
      <c r="P80" s="246"/>
      <c r="Q80" s="206"/>
      <c r="R80" s="246"/>
      <c r="S80" s="261"/>
      <c r="T80" s="206"/>
      <c r="U80" s="246"/>
      <c r="V80" s="406" t="s">
        <v>460</v>
      </c>
      <c r="W80" s="246"/>
      <c r="X80" s="206"/>
      <c r="Y80" s="246"/>
      <c r="Z80" s="261"/>
      <c r="AA80" s="206"/>
      <c r="AB80" s="246"/>
      <c r="AC80" s="206" t="s">
        <v>847</v>
      </c>
      <c r="AD80" s="246"/>
      <c r="AE80" s="206"/>
      <c r="AF80" s="246"/>
      <c r="AG80" s="261"/>
      <c r="AH80" s="206"/>
      <c r="AI80" s="246"/>
      <c r="AJ80" s="206" t="s">
        <v>847</v>
      </c>
      <c r="AK80" s="246"/>
      <c r="AL80" s="206"/>
      <c r="AM80" s="246"/>
      <c r="AN80" s="261"/>
      <c r="AO80" s="206"/>
      <c r="AP80" s="246"/>
      <c r="AQ80" s="206"/>
      <c r="AR80" s="246"/>
      <c r="AS80" s="206"/>
      <c r="AT80" s="254" t="str">
        <f t="shared" si="25"/>
        <v/>
      </c>
      <c r="AU80" s="269"/>
      <c r="AV80" s="269"/>
      <c r="AW80" s="206" t="str">
        <f t="shared" si="22"/>
        <v>#REF!</v>
      </c>
      <c r="AX80" s="207">
        <f t="shared" si="2"/>
        <v>0</v>
      </c>
      <c r="AY80" s="208">
        <f t="shared" si="3"/>
        <v>0</v>
      </c>
      <c r="AZ80" s="208">
        <f t="shared" si="4"/>
        <v>0</v>
      </c>
      <c r="BA80" s="208">
        <f t="shared" si="5"/>
        <v>0</v>
      </c>
      <c r="BB80" s="209">
        <f t="shared" si="6"/>
        <v>0</v>
      </c>
      <c r="BC80" s="210">
        <f t="shared" si="7"/>
        <v>0</v>
      </c>
      <c r="BD80" s="211"/>
      <c r="BE80" s="212"/>
    </row>
    <row r="81">
      <c r="A81" s="94"/>
      <c r="B81" s="452" t="s">
        <v>733</v>
      </c>
      <c r="C81" s="453" t="s">
        <v>734</v>
      </c>
      <c r="D81" s="363"/>
      <c r="E81" s="259"/>
      <c r="F81" s="74"/>
      <c r="G81" s="246"/>
      <c r="H81" s="611" t="s">
        <v>863</v>
      </c>
      <c r="I81" s="246"/>
      <c r="J81" s="74"/>
      <c r="K81" s="246"/>
      <c r="L81" s="261"/>
      <c r="M81" s="74"/>
      <c r="N81" s="246"/>
      <c r="O81" s="611" t="s">
        <v>863</v>
      </c>
      <c r="P81" s="246"/>
      <c r="Q81" s="74"/>
      <c r="R81" s="246"/>
      <c r="S81" s="261"/>
      <c r="T81" s="74"/>
      <c r="U81" s="246"/>
      <c r="V81" s="611" t="s">
        <v>863</v>
      </c>
      <c r="W81" s="246"/>
      <c r="X81" s="74"/>
      <c r="Y81" s="246"/>
      <c r="Z81" s="261"/>
      <c r="AA81" s="74"/>
      <c r="AB81" s="246"/>
      <c r="AC81" s="594" t="s">
        <v>395</v>
      </c>
      <c r="AD81" s="246"/>
      <c r="AE81" s="74"/>
      <c r="AF81" s="246"/>
      <c r="AG81" s="261"/>
      <c r="AH81" s="74"/>
      <c r="AI81" s="246"/>
      <c r="AJ81" s="594" t="s">
        <v>395</v>
      </c>
      <c r="AK81" s="246"/>
      <c r="AL81" s="74"/>
      <c r="AM81" s="246"/>
      <c r="AN81" s="261"/>
      <c r="AO81" s="74"/>
      <c r="AP81" s="246"/>
      <c r="AQ81" s="406" t="s">
        <v>460</v>
      </c>
      <c r="AR81" s="246"/>
      <c r="AS81" s="74"/>
      <c r="AT81" s="254" t="str">
        <f t="shared" si="25"/>
        <v/>
      </c>
      <c r="AU81" s="269"/>
      <c r="AV81" s="269"/>
      <c r="AW81" s="206" t="str">
        <f t="shared" si="22"/>
        <v>#REF!</v>
      </c>
      <c r="AX81" s="207">
        <f t="shared" si="2"/>
        <v>0</v>
      </c>
      <c r="AY81" s="208">
        <f t="shared" si="3"/>
        <v>0</v>
      </c>
      <c r="AZ81" s="208">
        <f t="shared" si="4"/>
        <v>0</v>
      </c>
      <c r="BA81" s="208">
        <f t="shared" si="5"/>
        <v>0</v>
      </c>
      <c r="BB81" s="209">
        <f t="shared" si="6"/>
        <v>0</v>
      </c>
      <c r="BC81" s="210">
        <f t="shared" si="7"/>
        <v>0</v>
      </c>
      <c r="BD81" s="211"/>
      <c r="BE81" s="212"/>
    </row>
    <row r="82">
      <c r="A82" s="94"/>
      <c r="B82" s="636"/>
      <c r="C82" s="637"/>
      <c r="D82" s="269"/>
      <c r="E82" s="638"/>
      <c r="F82" s="446"/>
      <c r="G82" s="246"/>
      <c r="H82" s="446"/>
      <c r="I82" s="246"/>
      <c r="J82" s="446"/>
      <c r="K82" s="246"/>
      <c r="L82" s="462"/>
      <c r="M82" s="446"/>
      <c r="N82" s="246"/>
      <c r="O82" s="446"/>
      <c r="P82" s="246"/>
      <c r="Q82" s="446"/>
      <c r="R82" s="246"/>
      <c r="S82" s="462"/>
      <c r="T82" s="446"/>
      <c r="U82" s="246"/>
      <c r="V82" s="446"/>
      <c r="W82" s="246"/>
      <c r="X82" s="446"/>
      <c r="Y82" s="246"/>
      <c r="Z82" s="462"/>
      <c r="AA82" s="446"/>
      <c r="AB82" s="246"/>
      <c r="AC82" s="446"/>
      <c r="AD82" s="246"/>
      <c r="AE82" s="446"/>
      <c r="AF82" s="246"/>
      <c r="AG82" s="462"/>
      <c r="AH82" s="446"/>
      <c r="AI82" s="246"/>
      <c r="AJ82" s="446"/>
      <c r="AK82" s="246"/>
      <c r="AL82" s="446"/>
      <c r="AM82" s="246"/>
      <c r="AN82" s="462"/>
      <c r="AO82" s="446"/>
      <c r="AP82" s="246"/>
      <c r="AQ82" s="446"/>
      <c r="AR82" s="246"/>
      <c r="AS82" s="446"/>
      <c r="AT82" s="254"/>
      <c r="AU82" s="269"/>
      <c r="AV82" s="269"/>
      <c r="AW82" s="206" t="str">
        <f t="shared" si="22"/>
        <v>#REF!</v>
      </c>
      <c r="AX82" s="207">
        <f t="shared" si="2"/>
        <v>0</v>
      </c>
      <c r="AY82" s="208">
        <f t="shared" si="3"/>
        <v>0</v>
      </c>
      <c r="AZ82" s="208">
        <f t="shared" si="4"/>
        <v>0</v>
      </c>
      <c r="BA82" s="208">
        <f t="shared" si="5"/>
        <v>0</v>
      </c>
      <c r="BB82" s="209">
        <f t="shared" si="6"/>
        <v>0</v>
      </c>
      <c r="BC82" s="210">
        <f t="shared" si="7"/>
        <v>0</v>
      </c>
      <c r="BD82" s="211"/>
      <c r="BE82" s="212"/>
    </row>
    <row r="83">
      <c r="A83" s="94"/>
      <c r="B83" s="454" t="s">
        <v>735</v>
      </c>
      <c r="C83" s="455" t="s">
        <v>736</v>
      </c>
      <c r="D83" s="363"/>
      <c r="E83" s="259"/>
      <c r="F83" s="441"/>
      <c r="G83" s="246"/>
      <c r="H83" s="441"/>
      <c r="I83" s="246"/>
      <c r="J83" s="405" t="s">
        <v>462</v>
      </c>
      <c r="K83" s="246"/>
      <c r="L83" s="261"/>
      <c r="M83" s="441"/>
      <c r="N83" s="246"/>
      <c r="O83" s="441"/>
      <c r="P83" s="246"/>
      <c r="Q83" s="441"/>
      <c r="R83" s="246"/>
      <c r="S83" s="261"/>
      <c r="T83" s="441"/>
      <c r="U83" s="246"/>
      <c r="V83" s="441"/>
      <c r="W83" s="246"/>
      <c r="X83" s="405" t="s">
        <v>462</v>
      </c>
      <c r="Y83" s="246"/>
      <c r="Z83" s="261"/>
      <c r="AA83" s="441"/>
      <c r="AB83" s="246"/>
      <c r="AC83" s="441"/>
      <c r="AD83" s="246"/>
      <c r="AE83" s="441"/>
      <c r="AF83" s="246"/>
      <c r="AG83" s="261"/>
      <c r="AH83" s="441"/>
      <c r="AI83" s="246"/>
      <c r="AJ83" s="441"/>
      <c r="AK83" s="246"/>
      <c r="AL83" s="405" t="s">
        <v>462</v>
      </c>
      <c r="AM83" s="246"/>
      <c r="AN83" s="261"/>
      <c r="AO83" s="441"/>
      <c r="AP83" s="246"/>
      <c r="AQ83" s="441"/>
      <c r="AR83" s="246"/>
      <c r="AS83" s="441"/>
      <c r="AT83" s="254" t="str">
        <f t="shared" ref="AT83:AT85" si="26">IF(COUNTIF($AO$86:$AT$88, AS83) &gt; 0, "X", "")</f>
        <v/>
      </c>
      <c r="AU83" s="269"/>
      <c r="AV83" s="269"/>
      <c r="AW83" s="206" t="str">
        <f t="shared" si="22"/>
        <v>#REF!</v>
      </c>
      <c r="AX83" s="207">
        <f t="shared" si="2"/>
        <v>0</v>
      </c>
      <c r="AY83" s="208">
        <f t="shared" si="3"/>
        <v>0</v>
      </c>
      <c r="AZ83" s="208">
        <f t="shared" si="4"/>
        <v>0</v>
      </c>
      <c r="BA83" s="208">
        <f t="shared" si="5"/>
        <v>0</v>
      </c>
      <c r="BB83" s="209">
        <f t="shared" si="6"/>
        <v>0</v>
      </c>
      <c r="BC83" s="210">
        <f t="shared" si="7"/>
        <v>0</v>
      </c>
      <c r="BD83" s="211"/>
      <c r="BE83" s="212"/>
    </row>
    <row r="84">
      <c r="A84" s="94"/>
      <c r="B84" s="454" t="s">
        <v>735</v>
      </c>
      <c r="C84" s="442" t="s">
        <v>736</v>
      </c>
      <c r="D84" s="363"/>
      <c r="E84" s="259"/>
      <c r="F84" s="456"/>
      <c r="G84" s="246"/>
      <c r="H84" s="456"/>
      <c r="I84" s="246"/>
      <c r="J84" s="456"/>
      <c r="K84" s="246"/>
      <c r="L84" s="261"/>
      <c r="M84" s="456"/>
      <c r="N84" s="246"/>
      <c r="O84" s="456"/>
      <c r="P84" s="246"/>
      <c r="Q84" s="456"/>
      <c r="R84" s="246"/>
      <c r="S84" s="261"/>
      <c r="T84" s="456"/>
      <c r="U84" s="246"/>
      <c r="V84" s="456"/>
      <c r="W84" s="246"/>
      <c r="X84" s="456"/>
      <c r="Y84" s="246"/>
      <c r="Z84" s="261"/>
      <c r="AA84" s="456"/>
      <c r="AB84" s="246"/>
      <c r="AC84" s="456"/>
      <c r="AD84" s="246"/>
      <c r="AE84" s="456"/>
      <c r="AF84" s="246"/>
      <c r="AG84" s="261"/>
      <c r="AH84" s="456"/>
      <c r="AI84" s="246"/>
      <c r="AJ84" s="456"/>
      <c r="AK84" s="246"/>
      <c r="AL84" s="456"/>
      <c r="AM84" s="246"/>
      <c r="AN84" s="261"/>
      <c r="AO84" s="456"/>
      <c r="AP84" s="246"/>
      <c r="AQ84" s="456"/>
      <c r="AR84" s="246"/>
      <c r="AS84" s="456"/>
      <c r="AT84" s="254" t="str">
        <f t="shared" si="26"/>
        <v/>
      </c>
      <c r="AU84" s="269"/>
      <c r="AV84" s="269"/>
      <c r="AW84" s="206" t="str">
        <f t="shared" si="22"/>
        <v>#REF!</v>
      </c>
      <c r="AX84" s="207">
        <f t="shared" si="2"/>
        <v>0</v>
      </c>
      <c r="AY84" s="208">
        <f t="shared" si="3"/>
        <v>0</v>
      </c>
      <c r="AZ84" s="208">
        <f t="shared" si="4"/>
        <v>0</v>
      </c>
      <c r="BA84" s="208">
        <f t="shared" si="5"/>
        <v>0</v>
      </c>
      <c r="BB84" s="209">
        <f t="shared" si="6"/>
        <v>0</v>
      </c>
      <c r="BC84" s="210">
        <f t="shared" si="7"/>
        <v>0</v>
      </c>
      <c r="BD84" s="211"/>
      <c r="BE84" s="212"/>
    </row>
    <row r="85">
      <c r="A85" s="94"/>
      <c r="B85" s="457" t="s">
        <v>735</v>
      </c>
      <c r="C85" s="458" t="s">
        <v>737</v>
      </c>
      <c r="D85" s="363"/>
      <c r="E85" s="259"/>
      <c r="F85" s="406"/>
      <c r="G85" s="246"/>
      <c r="H85" s="406"/>
      <c r="I85" s="246"/>
      <c r="J85" s="406"/>
      <c r="K85" s="246"/>
      <c r="L85" s="261"/>
      <c r="M85" s="406"/>
      <c r="N85" s="246"/>
      <c r="O85" s="406"/>
      <c r="P85" s="246"/>
      <c r="Q85" s="406"/>
      <c r="R85" s="246"/>
      <c r="S85" s="261"/>
      <c r="T85" s="406"/>
      <c r="U85" s="246"/>
      <c r="V85" s="406"/>
      <c r="W85" s="246"/>
      <c r="X85" s="406"/>
      <c r="Y85" s="246"/>
      <c r="Z85" s="261"/>
      <c r="AA85" s="406"/>
      <c r="AB85" s="246"/>
      <c r="AC85" s="406"/>
      <c r="AD85" s="246"/>
      <c r="AE85" s="406"/>
      <c r="AF85" s="246"/>
      <c r="AG85" s="261"/>
      <c r="AH85" s="406"/>
      <c r="AI85" s="246"/>
      <c r="AJ85" s="406"/>
      <c r="AK85" s="246"/>
      <c r="AL85" s="406"/>
      <c r="AM85" s="246"/>
      <c r="AN85" s="261"/>
      <c r="AO85" s="406"/>
      <c r="AP85" s="246"/>
      <c r="AQ85" s="406"/>
      <c r="AR85" s="246"/>
      <c r="AS85" s="406"/>
      <c r="AT85" s="254" t="str">
        <f t="shared" si="26"/>
        <v/>
      </c>
      <c r="AU85" s="269"/>
      <c r="AV85" s="269"/>
      <c r="AW85" s="206" t="str">
        <f t="shared" si="22"/>
        <v>#REF!</v>
      </c>
      <c r="AX85" s="207">
        <f t="shared" si="2"/>
        <v>0</v>
      </c>
      <c r="AY85" s="208">
        <f t="shared" si="3"/>
        <v>0</v>
      </c>
      <c r="AZ85" s="208">
        <f t="shared" si="4"/>
        <v>0</v>
      </c>
      <c r="BA85" s="208">
        <f t="shared" si="5"/>
        <v>0</v>
      </c>
      <c r="BB85" s="209">
        <f t="shared" si="6"/>
        <v>0</v>
      </c>
      <c r="BC85" s="210">
        <f t="shared" si="7"/>
        <v>0</v>
      </c>
      <c r="BD85" s="211"/>
      <c r="BE85" s="212"/>
    </row>
    <row r="86">
      <c r="A86" s="270"/>
      <c r="B86" s="459"/>
      <c r="C86" s="460" t="s">
        <v>738</v>
      </c>
      <c r="D86" s="363"/>
      <c r="E86" s="259"/>
      <c r="F86" s="461" t="s">
        <v>906</v>
      </c>
      <c r="G86" s="246"/>
      <c r="H86" s="132"/>
      <c r="I86" s="246"/>
      <c r="J86" s="132"/>
      <c r="K86" s="246"/>
      <c r="L86" s="462"/>
      <c r="M86" s="461" t="s">
        <v>510</v>
      </c>
      <c r="N86" s="246"/>
      <c r="O86" s="132"/>
      <c r="P86" s="246"/>
      <c r="Q86" s="132"/>
      <c r="R86" s="246"/>
      <c r="S86" s="462"/>
      <c r="T86" s="461" t="s">
        <v>525</v>
      </c>
      <c r="U86" s="246"/>
      <c r="V86" s="132"/>
      <c r="W86" s="246"/>
      <c r="X86" s="132"/>
      <c r="Y86" s="246"/>
      <c r="Z86" s="462"/>
      <c r="AA86" s="461"/>
      <c r="AB86" s="246"/>
      <c r="AC86" s="132"/>
      <c r="AD86" s="246"/>
      <c r="AE86" s="132"/>
      <c r="AF86" s="246"/>
      <c r="AG86" s="462"/>
      <c r="AH86" s="461" t="s">
        <v>508</v>
      </c>
      <c r="AI86" s="246"/>
      <c r="AJ86" s="132"/>
      <c r="AK86" s="246"/>
      <c r="AL86" s="132"/>
      <c r="AM86" s="246"/>
      <c r="AN86" s="462"/>
      <c r="AO86" s="461" t="s">
        <v>907</v>
      </c>
      <c r="AP86" s="246"/>
      <c r="AQ86" s="132"/>
      <c r="AR86" s="246"/>
      <c r="AS86" s="132"/>
      <c r="AT86" s="460"/>
      <c r="AU86" s="269"/>
      <c r="AV86" s="269"/>
      <c r="AW86" s="206" t="str">
        <f t="shared" ref="AW86:AW88" si="27">TEAM!B88</f>
        <v>#REF!</v>
      </c>
      <c r="AX86" s="207">
        <f t="shared" si="2"/>
        <v>0</v>
      </c>
      <c r="AY86" s="208">
        <f t="shared" si="3"/>
        <v>0</v>
      </c>
      <c r="AZ86" s="208">
        <f t="shared" si="4"/>
        <v>0</v>
      </c>
      <c r="BA86" s="208">
        <f t="shared" si="5"/>
        <v>0</v>
      </c>
      <c r="BB86" s="209">
        <f t="shared" si="6"/>
        <v>0</v>
      </c>
      <c r="BC86" s="210">
        <f t="shared" si="7"/>
        <v>0</v>
      </c>
      <c r="BD86" s="211"/>
      <c r="BE86" s="212"/>
    </row>
    <row r="87">
      <c r="A87" s="236"/>
      <c r="B87" s="459"/>
      <c r="C87" s="460" t="s">
        <v>738</v>
      </c>
      <c r="D87" s="363"/>
      <c r="E87" s="259"/>
      <c r="F87" s="132"/>
      <c r="G87" s="246"/>
      <c r="H87" s="132"/>
      <c r="I87" s="246"/>
      <c r="J87" s="132"/>
      <c r="K87" s="246"/>
      <c r="L87" s="462"/>
      <c r="M87" s="132"/>
      <c r="N87" s="246"/>
      <c r="O87" s="132"/>
      <c r="P87" s="246"/>
      <c r="Q87" s="132"/>
      <c r="R87" s="246"/>
      <c r="S87" s="462"/>
      <c r="T87" s="132"/>
      <c r="U87" s="246"/>
      <c r="V87" s="132"/>
      <c r="W87" s="246"/>
      <c r="X87" s="132"/>
      <c r="Y87" s="246"/>
      <c r="Z87" s="462"/>
      <c r="AA87" s="132"/>
      <c r="AB87" s="246"/>
      <c r="AC87" s="132"/>
      <c r="AD87" s="246"/>
      <c r="AE87" s="132"/>
      <c r="AF87" s="246"/>
      <c r="AG87" s="462"/>
      <c r="AH87" s="132"/>
      <c r="AI87" s="246"/>
      <c r="AJ87" s="132"/>
      <c r="AK87" s="246"/>
      <c r="AL87" s="132"/>
      <c r="AM87" s="246"/>
      <c r="AN87" s="462"/>
      <c r="AO87" s="132"/>
      <c r="AP87" s="246"/>
      <c r="AQ87" s="132"/>
      <c r="AR87" s="246"/>
      <c r="AS87" s="132"/>
      <c r="AT87" s="460"/>
      <c r="AU87" s="236"/>
      <c r="AV87" s="236"/>
      <c r="AW87" s="206" t="str">
        <f t="shared" si="27"/>
        <v>#REF!</v>
      </c>
      <c r="AX87" s="207">
        <f t="shared" si="2"/>
        <v>0</v>
      </c>
      <c r="AY87" s="208">
        <f t="shared" si="3"/>
        <v>0</v>
      </c>
      <c r="AZ87" s="208">
        <f t="shared" si="4"/>
        <v>0</v>
      </c>
      <c r="BA87" s="208">
        <f t="shared" si="5"/>
        <v>0</v>
      </c>
      <c r="BB87" s="209">
        <f t="shared" si="6"/>
        <v>0</v>
      </c>
      <c r="BC87" s="210">
        <f t="shared" si="7"/>
        <v>0</v>
      </c>
      <c r="BD87" s="211"/>
      <c r="BE87" s="212"/>
    </row>
    <row r="88">
      <c r="A88" s="236"/>
      <c r="B88" s="459"/>
      <c r="C88" s="460" t="s">
        <v>738</v>
      </c>
      <c r="D88" s="363"/>
      <c r="E88" s="259"/>
      <c r="F88" s="132"/>
      <c r="G88" s="246"/>
      <c r="H88" s="132"/>
      <c r="I88" s="246"/>
      <c r="J88" s="132"/>
      <c r="K88" s="246"/>
      <c r="L88" s="462"/>
      <c r="M88" s="132"/>
      <c r="N88" s="246"/>
      <c r="O88" s="132"/>
      <c r="P88" s="246"/>
      <c r="Q88" s="132"/>
      <c r="R88" s="246"/>
      <c r="S88" s="462"/>
      <c r="T88" s="132"/>
      <c r="U88" s="246"/>
      <c r="V88" s="132"/>
      <c r="W88" s="246"/>
      <c r="X88" s="132"/>
      <c r="Y88" s="246"/>
      <c r="Z88" s="462"/>
      <c r="AA88" s="132"/>
      <c r="AB88" s="246"/>
      <c r="AC88" s="132"/>
      <c r="AD88" s="246"/>
      <c r="AE88" s="132"/>
      <c r="AF88" s="246"/>
      <c r="AG88" s="462"/>
      <c r="AH88" s="461"/>
      <c r="AI88" s="246"/>
      <c r="AJ88" s="132"/>
      <c r="AK88" s="246"/>
      <c r="AL88" s="132"/>
      <c r="AM88" s="246"/>
      <c r="AN88" s="462"/>
      <c r="AO88" s="461"/>
      <c r="AP88" s="246"/>
      <c r="AQ88" s="132"/>
      <c r="AR88" s="246"/>
      <c r="AS88" s="132"/>
      <c r="AT88" s="460"/>
      <c r="AU88" s="236"/>
      <c r="AV88" s="236"/>
      <c r="AW88" s="206" t="str">
        <f t="shared" si="27"/>
        <v>#REF!</v>
      </c>
      <c r="AX88" s="207">
        <f t="shared" si="2"/>
        <v>0</v>
      </c>
      <c r="AY88" s="208">
        <f t="shared" si="3"/>
        <v>0</v>
      </c>
      <c r="AZ88" s="208">
        <f t="shared" si="4"/>
        <v>0</v>
      </c>
      <c r="BA88" s="208">
        <f t="shared" si="5"/>
        <v>0</v>
      </c>
      <c r="BB88" s="209">
        <f t="shared" si="6"/>
        <v>0</v>
      </c>
      <c r="BC88" s="210">
        <f t="shared" si="7"/>
        <v>0</v>
      </c>
      <c r="BD88" s="211"/>
      <c r="BE88" s="212"/>
    </row>
    <row r="89">
      <c r="A89" s="182"/>
      <c r="B89" s="183" t="s">
        <v>746</v>
      </c>
      <c r="C89" s="184" t="s">
        <v>605</v>
      </c>
      <c r="D89" s="185" t="s">
        <v>486</v>
      </c>
      <c r="E89" s="186"/>
      <c r="F89" s="185" t="s">
        <v>487</v>
      </c>
      <c r="M89" s="185" t="s">
        <v>488</v>
      </c>
      <c r="T89" s="185" t="s">
        <v>489</v>
      </c>
      <c r="AA89" s="185" t="s">
        <v>490</v>
      </c>
      <c r="AH89" s="185" t="s">
        <v>491</v>
      </c>
      <c r="AO89" s="185" t="s">
        <v>492</v>
      </c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</row>
    <row r="90">
      <c r="A90" s="182"/>
      <c r="B90" s="187"/>
      <c r="C90" s="187"/>
      <c r="D90" s="188">
        <f>AO4+1</f>
        <v>8</v>
      </c>
      <c r="E90" s="189"/>
      <c r="F90" s="188">
        <f>D90+1</f>
        <v>9</v>
      </c>
      <c r="M90" s="188">
        <f>F90+1</f>
        <v>10</v>
      </c>
      <c r="T90" s="188">
        <f>M90+1</f>
        <v>11</v>
      </c>
      <c r="AA90" s="188">
        <f>T90+1</f>
        <v>12</v>
      </c>
      <c r="AH90" s="188">
        <f>AA90+1</f>
        <v>13</v>
      </c>
      <c r="AO90" s="188">
        <f>AH90+1</f>
        <v>14</v>
      </c>
      <c r="AU90" s="182"/>
      <c r="AV90" s="182"/>
      <c r="AW90" s="190" t="s">
        <v>606</v>
      </c>
      <c r="BB90" s="190"/>
      <c r="BC90" s="191" t="s">
        <v>607</v>
      </c>
      <c r="BD90" s="191"/>
      <c r="BE90" s="192"/>
    </row>
    <row r="91">
      <c r="A91" s="182"/>
      <c r="B91" s="193" t="s">
        <v>608</v>
      </c>
      <c r="C91" s="193" t="s">
        <v>609</v>
      </c>
      <c r="D91" s="187"/>
      <c r="E91" s="189"/>
      <c r="F91" s="194" t="s">
        <v>610</v>
      </c>
      <c r="G91" s="195"/>
      <c r="H91" s="193" t="s">
        <v>611</v>
      </c>
      <c r="J91" s="194" t="s">
        <v>612</v>
      </c>
      <c r="M91" s="194" t="s">
        <v>610</v>
      </c>
      <c r="N91" s="195"/>
      <c r="O91" s="193" t="s">
        <v>611</v>
      </c>
      <c r="P91" s="195"/>
      <c r="Q91" s="194" t="s">
        <v>612</v>
      </c>
      <c r="S91" s="193"/>
      <c r="T91" s="194" t="s">
        <v>610</v>
      </c>
      <c r="U91" s="195"/>
      <c r="V91" s="193" t="s">
        <v>611</v>
      </c>
      <c r="W91" s="195"/>
      <c r="X91" s="194" t="s">
        <v>612</v>
      </c>
      <c r="Z91" s="193"/>
      <c r="AA91" s="194" t="s">
        <v>610</v>
      </c>
      <c r="AB91" s="195"/>
      <c r="AC91" s="193" t="s">
        <v>611</v>
      </c>
      <c r="AD91" s="195"/>
      <c r="AE91" s="194" t="s">
        <v>612</v>
      </c>
      <c r="AG91" s="193"/>
      <c r="AH91" s="194" t="s">
        <v>610</v>
      </c>
      <c r="AI91" s="195"/>
      <c r="AJ91" s="193" t="s">
        <v>611</v>
      </c>
      <c r="AK91" s="195"/>
      <c r="AL91" s="194" t="s">
        <v>612</v>
      </c>
      <c r="AN91" s="193"/>
      <c r="AO91" s="194" t="s">
        <v>610</v>
      </c>
      <c r="AP91" s="195"/>
      <c r="AQ91" s="193" t="s">
        <v>611</v>
      </c>
      <c r="AR91" s="195"/>
      <c r="AS91" s="194" t="s">
        <v>612</v>
      </c>
      <c r="AU91" s="182"/>
      <c r="AV91" s="182"/>
      <c r="AW91" s="196" t="s">
        <v>613</v>
      </c>
      <c r="AX91" s="197" t="s">
        <v>614</v>
      </c>
      <c r="AY91" s="197" t="s">
        <v>615</v>
      </c>
      <c r="AZ91" s="197" t="s">
        <v>616</v>
      </c>
      <c r="BA91" s="197" t="s">
        <v>617</v>
      </c>
      <c r="BB91" s="197" t="s">
        <v>618</v>
      </c>
      <c r="BC91" s="197" t="s">
        <v>619</v>
      </c>
      <c r="BD91" s="197"/>
      <c r="BE91" s="198"/>
    </row>
    <row r="92" ht="15.0" customHeight="1">
      <c r="A92" s="199"/>
      <c r="B92" s="200" t="s">
        <v>620</v>
      </c>
      <c r="C92" s="201"/>
      <c r="D92" s="201"/>
      <c r="E92" s="202"/>
      <c r="F92" s="203"/>
      <c r="G92" s="204"/>
      <c r="H92" s="203"/>
      <c r="I92" s="204"/>
      <c r="J92" s="203"/>
      <c r="K92" s="204"/>
      <c r="L92" s="205"/>
      <c r="M92" s="203" t="s">
        <v>747</v>
      </c>
      <c r="N92" s="204"/>
      <c r="O92" s="203" t="s">
        <v>748</v>
      </c>
      <c r="P92" s="204"/>
      <c r="Q92" s="203" t="s">
        <v>620</v>
      </c>
      <c r="R92" s="204"/>
      <c r="S92" s="205"/>
      <c r="T92" s="203"/>
      <c r="U92" s="204"/>
      <c r="V92" s="203"/>
      <c r="W92" s="204"/>
      <c r="X92" s="203"/>
      <c r="Y92" s="204"/>
      <c r="Z92" s="205"/>
      <c r="AA92" s="203"/>
      <c r="AB92" s="204"/>
      <c r="AC92" s="203"/>
      <c r="AD92" s="204"/>
      <c r="AE92" s="203"/>
      <c r="AF92" s="204"/>
      <c r="AG92" s="205"/>
      <c r="AH92" s="203"/>
      <c r="AI92" s="204"/>
      <c r="AJ92" s="203"/>
      <c r="AK92" s="204"/>
      <c r="AL92" s="203" t="s">
        <v>908</v>
      </c>
      <c r="AM92" s="204"/>
      <c r="AN92" s="205"/>
      <c r="AO92" s="203"/>
      <c r="AP92" s="204"/>
      <c r="AQ92" s="203"/>
      <c r="AR92" s="204"/>
      <c r="AS92" s="639" t="s">
        <v>909</v>
      </c>
      <c r="AT92" s="204"/>
      <c r="AU92" s="199"/>
      <c r="AV92" s="199"/>
      <c r="AW92" s="463" t="str">
        <f t="shared" ref="AW92:BD92" si="28">AW6</f>
        <v>#REF!</v>
      </c>
      <c r="AX92" s="206">
        <f t="shared" si="28"/>
        <v>0</v>
      </c>
      <c r="AY92" s="464">
        <f t="shared" si="28"/>
        <v>0</v>
      </c>
      <c r="AZ92" s="206">
        <f t="shared" si="28"/>
        <v>0</v>
      </c>
      <c r="BA92" s="206">
        <f t="shared" si="28"/>
        <v>0</v>
      </c>
      <c r="BB92" s="206">
        <f t="shared" si="28"/>
        <v>0</v>
      </c>
      <c r="BC92" s="465">
        <f t="shared" si="28"/>
        <v>0</v>
      </c>
      <c r="BD92" s="206" t="str">
        <f t="shared" si="28"/>
        <v/>
      </c>
      <c r="BE92" s="466"/>
    </row>
    <row r="93" ht="15.0" customHeight="1">
      <c r="A93" s="199"/>
      <c r="B93" s="213" t="s">
        <v>623</v>
      </c>
      <c r="C93" s="214"/>
      <c r="D93" s="215"/>
      <c r="E93" s="216"/>
      <c r="F93" s="561" t="s">
        <v>626</v>
      </c>
      <c r="G93" s="218"/>
      <c r="H93" s="223" t="s">
        <v>628</v>
      </c>
      <c r="I93" s="220"/>
      <c r="J93" s="561" t="s">
        <v>626</v>
      </c>
      <c r="K93" s="221"/>
      <c r="L93" s="216"/>
      <c r="M93" s="217"/>
      <c r="N93" s="218"/>
      <c r="O93" s="222" t="s">
        <v>625</v>
      </c>
      <c r="P93" s="220"/>
      <c r="Q93" s="561" t="s">
        <v>626</v>
      </c>
      <c r="R93" s="221"/>
      <c r="S93" s="216"/>
      <c r="T93" s="217"/>
      <c r="U93" s="218"/>
      <c r="V93" s="223" t="s">
        <v>628</v>
      </c>
      <c r="W93" s="220"/>
      <c r="X93" s="561" t="s">
        <v>626</v>
      </c>
      <c r="Y93" s="221"/>
      <c r="Z93" s="216"/>
      <c r="AA93" s="217"/>
      <c r="AB93" s="218"/>
      <c r="AC93" s="222" t="s">
        <v>625</v>
      </c>
      <c r="AD93" s="220"/>
      <c r="AE93" s="561" t="s">
        <v>626</v>
      </c>
      <c r="AF93" s="221"/>
      <c r="AG93" s="216"/>
      <c r="AH93" s="561" t="s">
        <v>627</v>
      </c>
      <c r="AI93" s="218"/>
      <c r="AJ93" s="223" t="s">
        <v>628</v>
      </c>
      <c r="AK93" s="220"/>
      <c r="AL93" s="561" t="s">
        <v>626</v>
      </c>
      <c r="AM93" s="221"/>
      <c r="AN93" s="216"/>
      <c r="AO93" s="561"/>
      <c r="AP93" s="218"/>
      <c r="AQ93" s="222" t="s">
        <v>625</v>
      </c>
      <c r="AR93" s="220"/>
      <c r="AS93" s="561" t="s">
        <v>626</v>
      </c>
      <c r="AT93" s="221"/>
      <c r="AU93" s="225">
        <f>counta(F93:AT93)*20</f>
        <v>280</v>
      </c>
      <c r="AW93" s="463" t="str">
        <f t="shared" ref="AW93:BD93" si="29">AW7</f>
        <v>#REF!</v>
      </c>
      <c r="AX93" s="206">
        <f t="shared" si="29"/>
        <v>0</v>
      </c>
      <c r="AY93" s="464">
        <f t="shared" si="29"/>
        <v>0</v>
      </c>
      <c r="AZ93" s="206">
        <f t="shared" si="29"/>
        <v>0</v>
      </c>
      <c r="BA93" s="206">
        <f t="shared" si="29"/>
        <v>0</v>
      </c>
      <c r="BB93" s="206">
        <f t="shared" si="29"/>
        <v>0</v>
      </c>
      <c r="BC93" s="465">
        <f t="shared" si="29"/>
        <v>0</v>
      </c>
      <c r="BD93" s="206" t="str">
        <f t="shared" si="29"/>
        <v/>
      </c>
      <c r="BE93" s="466"/>
    </row>
    <row r="94" ht="15.0" customHeight="1">
      <c r="A94" s="199"/>
      <c r="B94" s="226" t="s">
        <v>629</v>
      </c>
      <c r="C94" s="214"/>
      <c r="D94" s="215"/>
      <c r="E94" s="216"/>
      <c r="F94" s="227">
        <v>4.0</v>
      </c>
      <c r="G94" s="218"/>
      <c r="H94" s="227">
        <v>5.0</v>
      </c>
      <c r="I94" s="220"/>
      <c r="J94" s="227">
        <v>6.0</v>
      </c>
      <c r="K94" s="221"/>
      <c r="L94" s="216"/>
      <c r="M94" s="227"/>
      <c r="N94" s="218"/>
      <c r="O94" s="227">
        <v>4.0</v>
      </c>
      <c r="P94" s="220"/>
      <c r="Q94" s="227">
        <v>8.0</v>
      </c>
      <c r="R94" s="221"/>
      <c r="S94" s="216"/>
      <c r="T94" s="227"/>
      <c r="U94" s="218"/>
      <c r="V94" s="227">
        <v>4.0</v>
      </c>
      <c r="W94" s="220"/>
      <c r="X94" s="227">
        <v>8.0</v>
      </c>
      <c r="Y94" s="221"/>
      <c r="Z94" s="216"/>
      <c r="AA94" s="227"/>
      <c r="AB94" s="218"/>
      <c r="AC94" s="227">
        <v>4.0</v>
      </c>
      <c r="AD94" s="220"/>
      <c r="AE94" s="227">
        <v>8.0</v>
      </c>
      <c r="AF94" s="221"/>
      <c r="AG94" s="216"/>
      <c r="AH94" s="227">
        <v>0.0</v>
      </c>
      <c r="AI94" s="218"/>
      <c r="AJ94" s="227">
        <v>4.0</v>
      </c>
      <c r="AK94" s="220"/>
      <c r="AL94" s="227">
        <v>6.0</v>
      </c>
      <c r="AM94" s="221"/>
      <c r="AN94" s="216"/>
      <c r="AO94" s="227"/>
      <c r="AP94" s="218"/>
      <c r="AQ94" s="227">
        <v>4.0</v>
      </c>
      <c r="AR94" s="220"/>
      <c r="AS94" s="563">
        <v>6.0</v>
      </c>
      <c r="AT94" s="221"/>
      <c r="AU94" s="225">
        <f>sum(F94:AK94)</f>
        <v>55</v>
      </c>
      <c r="AW94" s="463" t="str">
        <f t="shared" ref="AW94:BD94" si="30">AW8</f>
        <v>#REF!</v>
      </c>
      <c r="AX94" s="206">
        <f t="shared" si="30"/>
        <v>0</v>
      </c>
      <c r="AY94" s="464">
        <f t="shared" si="30"/>
        <v>0</v>
      </c>
      <c r="AZ94" s="206">
        <f t="shared" si="30"/>
        <v>0</v>
      </c>
      <c r="BA94" s="206">
        <f t="shared" si="30"/>
        <v>0</v>
      </c>
      <c r="BB94" s="206">
        <f t="shared" si="30"/>
        <v>0</v>
      </c>
      <c r="BC94" s="465">
        <f t="shared" si="30"/>
        <v>0</v>
      </c>
      <c r="BD94" s="206" t="str">
        <f t="shared" si="30"/>
        <v/>
      </c>
      <c r="BE94" s="466"/>
    </row>
    <row r="95" ht="15.0" customHeight="1">
      <c r="A95" s="199"/>
      <c r="B95" s="213" t="s">
        <v>630</v>
      </c>
      <c r="C95" s="214"/>
      <c r="D95" s="215"/>
      <c r="E95" s="216"/>
      <c r="F95" s="215"/>
      <c r="G95" s="218"/>
      <c r="H95" s="215"/>
      <c r="I95" s="220"/>
      <c r="J95" s="215"/>
      <c r="K95" s="221"/>
      <c r="L95" s="216"/>
      <c r="M95" s="215"/>
      <c r="N95" s="218"/>
      <c r="O95" s="215"/>
      <c r="P95" s="220"/>
      <c r="Q95" s="215"/>
      <c r="R95" s="221"/>
      <c r="S95" s="216"/>
      <c r="T95" s="215"/>
      <c r="U95" s="218"/>
      <c r="V95" s="215"/>
      <c r="W95" s="220"/>
      <c r="X95" s="215"/>
      <c r="Y95" s="221"/>
      <c r="Z95" s="216"/>
      <c r="AA95" s="215"/>
      <c r="AB95" s="218"/>
      <c r="AC95" s="640" t="s">
        <v>910</v>
      </c>
      <c r="AD95" s="220"/>
      <c r="AE95" s="215"/>
      <c r="AF95" s="221"/>
      <c r="AG95" s="216"/>
      <c r="AH95" s="215"/>
      <c r="AI95" s="218"/>
      <c r="AJ95" s="215"/>
      <c r="AK95" s="220"/>
      <c r="AL95" s="640" t="s">
        <v>910</v>
      </c>
      <c r="AM95" s="221"/>
      <c r="AN95" s="216"/>
      <c r="AO95" s="215"/>
      <c r="AP95" s="218"/>
      <c r="AQ95" s="215"/>
      <c r="AR95" s="220"/>
      <c r="AS95" s="215"/>
      <c r="AT95" s="221"/>
      <c r="AU95" s="225">
        <f>countA(F95:AJ95)*5</f>
        <v>5</v>
      </c>
      <c r="AW95" s="463" t="str">
        <f t="shared" ref="AW95:BD95" si="31">AW9</f>
        <v>#REF!</v>
      </c>
      <c r="AX95" s="206">
        <f t="shared" si="31"/>
        <v>0</v>
      </c>
      <c r="AY95" s="464">
        <f t="shared" si="31"/>
        <v>0</v>
      </c>
      <c r="AZ95" s="206">
        <f t="shared" si="31"/>
        <v>0</v>
      </c>
      <c r="BA95" s="206">
        <f t="shared" si="31"/>
        <v>0</v>
      </c>
      <c r="BB95" s="206">
        <f t="shared" si="31"/>
        <v>0</v>
      </c>
      <c r="BC95" s="465">
        <f t="shared" si="31"/>
        <v>0</v>
      </c>
      <c r="BD95" s="206" t="str">
        <f t="shared" si="31"/>
        <v/>
      </c>
      <c r="BE95" s="466"/>
    </row>
    <row r="96" ht="15.0" customHeight="1">
      <c r="A96" s="199"/>
      <c r="B96" s="229" t="s">
        <v>632</v>
      </c>
      <c r="C96" s="214"/>
      <c r="D96" s="215"/>
      <c r="E96" s="216"/>
      <c r="F96" s="215"/>
      <c r="G96" s="221"/>
      <c r="H96" s="215"/>
      <c r="I96" s="220"/>
      <c r="J96" s="215"/>
      <c r="K96" s="221"/>
      <c r="L96" s="216"/>
      <c r="M96" s="215"/>
      <c r="N96" s="221"/>
      <c r="O96" s="215"/>
      <c r="P96" s="220"/>
      <c r="Q96" s="215"/>
      <c r="R96" s="221"/>
      <c r="S96" s="216"/>
      <c r="T96" s="215"/>
      <c r="U96" s="221"/>
      <c r="V96" s="215"/>
      <c r="W96" s="220"/>
      <c r="X96" s="215"/>
      <c r="Y96" s="221"/>
      <c r="Z96" s="216"/>
      <c r="AA96" s="215"/>
      <c r="AB96" s="221"/>
      <c r="AC96" s="215"/>
      <c r="AD96" s="220"/>
      <c r="AE96" s="215"/>
      <c r="AF96" s="221"/>
      <c r="AG96" s="216"/>
      <c r="AH96" s="215"/>
      <c r="AI96" s="221"/>
      <c r="AJ96" s="215"/>
      <c r="AK96" s="220"/>
      <c r="AL96" s="215"/>
      <c r="AM96" s="221"/>
      <c r="AN96" s="216"/>
      <c r="AO96" s="215"/>
      <c r="AP96" s="221"/>
      <c r="AQ96" s="215"/>
      <c r="AR96" s="220"/>
      <c r="AS96" s="215"/>
      <c r="AT96" s="221"/>
      <c r="AU96" s="225">
        <f>countA(F96:AK96)*12</f>
        <v>0</v>
      </c>
      <c r="AW96" s="463" t="str">
        <f t="shared" ref="AW96:BD96" si="32">AW10</f>
        <v>#REF!</v>
      </c>
      <c r="AX96" s="206">
        <f t="shared" si="32"/>
        <v>0</v>
      </c>
      <c r="AY96" s="464">
        <f t="shared" si="32"/>
        <v>0</v>
      </c>
      <c r="AZ96" s="206">
        <f t="shared" si="32"/>
        <v>0</v>
      </c>
      <c r="BA96" s="206">
        <f t="shared" si="32"/>
        <v>0</v>
      </c>
      <c r="BB96" s="206">
        <f t="shared" si="32"/>
        <v>0</v>
      </c>
      <c r="BC96" s="465">
        <f t="shared" si="32"/>
        <v>0</v>
      </c>
      <c r="BD96" s="206" t="str">
        <f t="shared" si="32"/>
        <v/>
      </c>
      <c r="BE96" s="466"/>
    </row>
    <row r="97" ht="15.0" customHeight="1">
      <c r="A97" s="199"/>
      <c r="B97" s="213" t="s">
        <v>633</v>
      </c>
      <c r="C97" s="214"/>
      <c r="D97" s="215"/>
      <c r="E97" s="216"/>
      <c r="F97" s="215"/>
      <c r="G97" s="230"/>
      <c r="H97" s="215"/>
      <c r="I97" s="231"/>
      <c r="J97" s="215"/>
      <c r="K97" s="216"/>
      <c r="L97" s="216"/>
      <c r="M97" s="215"/>
      <c r="N97" s="230"/>
      <c r="O97" s="630" t="s">
        <v>911</v>
      </c>
      <c r="P97" s="231"/>
      <c r="Q97" s="215"/>
      <c r="R97" s="216"/>
      <c r="S97" s="216"/>
      <c r="T97" s="215"/>
      <c r="U97" s="230"/>
      <c r="V97" s="215"/>
      <c r="W97" s="231"/>
      <c r="X97" s="631" t="s">
        <v>753</v>
      </c>
      <c r="Y97" s="216"/>
      <c r="Z97" s="216"/>
      <c r="AA97" s="215"/>
      <c r="AB97" s="230"/>
      <c r="AC97" s="215"/>
      <c r="AD97" s="231"/>
      <c r="AE97" s="631" t="s">
        <v>912</v>
      </c>
      <c r="AF97" s="216"/>
      <c r="AG97" s="216"/>
      <c r="AH97" s="215"/>
      <c r="AI97" s="230"/>
      <c r="AJ97" s="233" t="s">
        <v>755</v>
      </c>
      <c r="AK97" s="231"/>
      <c r="AL97" s="215"/>
      <c r="AM97" s="216"/>
      <c r="AN97" s="216"/>
      <c r="AO97" s="215"/>
      <c r="AP97" s="230"/>
      <c r="AQ97" s="215"/>
      <c r="AR97" s="231"/>
      <c r="AS97" s="215"/>
      <c r="AT97" s="216"/>
      <c r="AU97" s="225">
        <f>counta(F97:AT97)*4</f>
        <v>16</v>
      </c>
      <c r="AW97" s="463" t="str">
        <f t="shared" ref="AW97:BD97" si="33">AW11</f>
        <v>#REF!</v>
      </c>
      <c r="AX97" s="206">
        <f t="shared" si="33"/>
        <v>0</v>
      </c>
      <c r="AY97" s="464">
        <f t="shared" si="33"/>
        <v>0</v>
      </c>
      <c r="AZ97" s="206">
        <f t="shared" si="33"/>
        <v>0</v>
      </c>
      <c r="BA97" s="206">
        <f t="shared" si="33"/>
        <v>0</v>
      </c>
      <c r="BB97" s="206">
        <f t="shared" si="33"/>
        <v>0</v>
      </c>
      <c r="BC97" s="465">
        <f t="shared" si="33"/>
        <v>0</v>
      </c>
      <c r="BD97" s="206" t="str">
        <f t="shared" si="33"/>
        <v/>
      </c>
      <c r="BE97" s="466"/>
    </row>
    <row r="98" ht="15.0" customHeight="1">
      <c r="A98" s="199"/>
      <c r="B98" s="213" t="s">
        <v>637</v>
      </c>
      <c r="C98" s="214"/>
      <c r="D98" s="215"/>
      <c r="E98" s="216"/>
      <c r="F98" s="215"/>
      <c r="G98" s="230"/>
      <c r="H98" s="215"/>
      <c r="I98" s="231"/>
      <c r="J98" s="215"/>
      <c r="K98" s="216"/>
      <c r="L98" s="216"/>
      <c r="M98" s="215"/>
      <c r="N98" s="230"/>
      <c r="O98" s="215"/>
      <c r="P98" s="231"/>
      <c r="Q98" s="227" t="s">
        <v>756</v>
      </c>
      <c r="R98" s="216"/>
      <c r="S98" s="216"/>
      <c r="T98" s="215"/>
      <c r="U98" s="230"/>
      <c r="V98" s="215"/>
      <c r="W98" s="231"/>
      <c r="X98" s="215"/>
      <c r="Y98" s="216"/>
      <c r="Z98" s="216"/>
      <c r="AA98" s="215"/>
      <c r="AB98" s="230"/>
      <c r="AC98" s="215"/>
      <c r="AD98" s="231"/>
      <c r="AE98" s="227" t="s">
        <v>756</v>
      </c>
      <c r="AF98" s="216"/>
      <c r="AG98" s="216"/>
      <c r="AH98" s="215"/>
      <c r="AI98" s="230"/>
      <c r="AJ98" s="215"/>
      <c r="AK98" s="231"/>
      <c r="AL98" s="215"/>
      <c r="AM98" s="216"/>
      <c r="AN98" s="216"/>
      <c r="AO98" s="215"/>
      <c r="AP98" s="230"/>
      <c r="AQ98" s="215"/>
      <c r="AR98" s="231"/>
      <c r="AS98" s="215"/>
      <c r="AT98" s="216"/>
      <c r="AU98" s="225">
        <f>sum(F98:AT98)</f>
        <v>0</v>
      </c>
      <c r="AW98" s="463" t="str">
        <f t="shared" ref="AW98:BD98" si="34">AW12</f>
        <v>#REF!</v>
      </c>
      <c r="AX98" s="206">
        <f t="shared" si="34"/>
        <v>0</v>
      </c>
      <c r="AY98" s="464">
        <f t="shared" si="34"/>
        <v>0</v>
      </c>
      <c r="AZ98" s="206">
        <f t="shared" si="34"/>
        <v>0</v>
      </c>
      <c r="BA98" s="206">
        <f t="shared" si="34"/>
        <v>0</v>
      </c>
      <c r="BB98" s="206">
        <f t="shared" si="34"/>
        <v>0</v>
      </c>
      <c r="BC98" s="465">
        <f t="shared" si="34"/>
        <v>0</v>
      </c>
      <c r="BD98" s="206" t="str">
        <f t="shared" si="34"/>
        <v/>
      </c>
      <c r="BE98" s="466"/>
    </row>
    <row r="99">
      <c r="A99" s="234"/>
      <c r="B99" s="235" t="s">
        <v>608</v>
      </c>
      <c r="C99" s="195" t="s">
        <v>609</v>
      </c>
      <c r="D99" s="236"/>
      <c r="E99" s="237"/>
      <c r="F99" s="238"/>
      <c r="G99" s="182"/>
      <c r="H99" s="238"/>
      <c r="I99" s="239"/>
      <c r="J99" s="238"/>
      <c r="K99" s="239"/>
      <c r="L99" s="237"/>
      <c r="M99" s="238"/>
      <c r="N99" s="182"/>
      <c r="O99" s="238"/>
      <c r="P99" s="239"/>
      <c r="Q99" s="238"/>
      <c r="R99" s="239"/>
      <c r="S99" s="237"/>
      <c r="T99" s="238"/>
      <c r="U99" s="182"/>
      <c r="V99" s="238"/>
      <c r="W99" s="239"/>
      <c r="X99" s="238"/>
      <c r="Y99" s="239"/>
      <c r="Z99" s="237"/>
      <c r="AA99" s="238"/>
      <c r="AB99" s="182"/>
      <c r="AC99" s="238"/>
      <c r="AD99" s="239"/>
      <c r="AE99" s="238"/>
      <c r="AF99" s="239"/>
      <c r="AG99" s="237"/>
      <c r="AH99" s="238"/>
      <c r="AI99" s="182"/>
      <c r="AJ99" s="238"/>
      <c r="AK99" s="239"/>
      <c r="AL99" s="238"/>
      <c r="AM99" s="239"/>
      <c r="AN99" s="237"/>
      <c r="AO99" s="238"/>
      <c r="AP99" s="182"/>
      <c r="AQ99" s="238"/>
      <c r="AR99" s="239"/>
      <c r="AS99" s="238"/>
      <c r="AT99" s="239"/>
      <c r="AU99" s="236"/>
      <c r="AV99" s="236"/>
      <c r="AW99" s="463" t="str">
        <f t="shared" ref="AW99:BD99" si="35">AW13</f>
        <v>#REF!</v>
      </c>
      <c r="AX99" s="206">
        <f t="shared" si="35"/>
        <v>0</v>
      </c>
      <c r="AY99" s="464">
        <f t="shared" si="35"/>
        <v>0</v>
      </c>
      <c r="AZ99" s="206">
        <f t="shared" si="35"/>
        <v>0</v>
      </c>
      <c r="BA99" s="206">
        <f t="shared" si="35"/>
        <v>0</v>
      </c>
      <c r="BB99" s="206">
        <f t="shared" si="35"/>
        <v>0</v>
      </c>
      <c r="BC99" s="465">
        <f t="shared" si="35"/>
        <v>0</v>
      </c>
      <c r="BD99" s="206" t="str">
        <f t="shared" si="35"/>
        <v/>
      </c>
      <c r="BE99" s="466"/>
    </row>
    <row r="100" ht="14.25" customHeight="1">
      <c r="A100" s="240"/>
      <c r="B100" s="241" t="s">
        <v>638</v>
      </c>
      <c r="C100" s="242" t="s">
        <v>639</v>
      </c>
      <c r="D100" s="243"/>
      <c r="E100" s="244"/>
      <c r="F100" s="371"/>
      <c r="G100" s="246"/>
      <c r="H100" s="282"/>
      <c r="I100" s="246"/>
      <c r="J100" s="282"/>
      <c r="K100" s="246"/>
      <c r="L100" s="249"/>
      <c r="M100" s="250"/>
      <c r="N100" s="246"/>
      <c r="P100" s="246"/>
      <c r="Q100" s="336" t="s">
        <v>414</v>
      </c>
      <c r="R100" s="246"/>
      <c r="S100" s="249"/>
      <c r="T100" s="250"/>
      <c r="U100" s="246"/>
      <c r="V100" s="282"/>
      <c r="W100" s="246"/>
      <c r="X100" s="251" t="s">
        <v>405</v>
      </c>
      <c r="Y100" s="246"/>
      <c r="Z100" s="249"/>
      <c r="AA100" s="250"/>
      <c r="AB100" s="246"/>
      <c r="AD100" s="246"/>
      <c r="AE100" s="641" t="s">
        <v>419</v>
      </c>
      <c r="AF100" s="246"/>
      <c r="AG100" s="249"/>
      <c r="AH100" s="371"/>
      <c r="AI100" s="246"/>
      <c r="AK100" s="246"/>
      <c r="AM100" s="246"/>
      <c r="AN100" s="249"/>
      <c r="AO100" s="371"/>
      <c r="AP100" s="246"/>
      <c r="AQ100" s="252"/>
      <c r="AR100" s="246"/>
      <c r="AS100" s="252"/>
      <c r="AT100" s="254" t="str">
        <f>IF(COUNTIF($AO$86:$AT$88, #REF!) &gt; 0, "X", "")</f>
        <v/>
      </c>
      <c r="AU100" s="255"/>
      <c r="AV100" s="255"/>
      <c r="AW100" s="463" t="str">
        <f t="shared" ref="AW100:BD100" si="36">AW14</f>
        <v>#REF!</v>
      </c>
      <c r="AX100" s="206">
        <f t="shared" si="36"/>
        <v>0</v>
      </c>
      <c r="AY100" s="464">
        <f t="shared" si="36"/>
        <v>0</v>
      </c>
      <c r="AZ100" s="206">
        <f t="shared" si="36"/>
        <v>0</v>
      </c>
      <c r="BA100" s="206">
        <f t="shared" si="36"/>
        <v>0</v>
      </c>
      <c r="BB100" s="206">
        <f t="shared" si="36"/>
        <v>0</v>
      </c>
      <c r="BC100" s="465">
        <f t="shared" si="36"/>
        <v>0</v>
      </c>
      <c r="BD100" s="206" t="str">
        <f t="shared" si="36"/>
        <v/>
      </c>
      <c r="BE100" s="466"/>
    </row>
    <row r="101" ht="13.5" customHeight="1">
      <c r="A101" s="94"/>
      <c r="B101" s="256" t="s">
        <v>638</v>
      </c>
      <c r="C101" s="257" t="s">
        <v>639</v>
      </c>
      <c r="D101" s="258"/>
      <c r="E101" s="259"/>
      <c r="F101" s="371"/>
      <c r="G101" s="246"/>
      <c r="H101" s="282"/>
      <c r="I101" s="246"/>
      <c r="K101" s="246"/>
      <c r="L101" s="249"/>
      <c r="M101" s="250"/>
      <c r="N101" s="246"/>
      <c r="O101" s="641" t="s">
        <v>419</v>
      </c>
      <c r="P101" s="246"/>
      <c r="R101" s="246"/>
      <c r="S101" s="249"/>
      <c r="T101" s="250"/>
      <c r="U101" s="246"/>
      <c r="V101" s="282"/>
      <c r="W101" s="246"/>
      <c r="Y101" s="246"/>
      <c r="Z101" s="249"/>
      <c r="AA101" s="250"/>
      <c r="AB101" s="246"/>
      <c r="AD101" s="246"/>
      <c r="AE101" s="336" t="s">
        <v>414</v>
      </c>
      <c r="AF101" s="246"/>
      <c r="AG101" s="249"/>
      <c r="AH101" s="371"/>
      <c r="AI101" s="246"/>
      <c r="AK101" s="246"/>
      <c r="AL101" s="274"/>
      <c r="AM101" s="246"/>
      <c r="AN101" s="249"/>
      <c r="AO101" s="371"/>
      <c r="AP101" s="246"/>
      <c r="AQ101" s="252"/>
      <c r="AR101" s="246"/>
      <c r="AT101" s="254" t="str">
        <f>IF(COUNTIF($AO$86:$AT$88, AS107) &gt; 0, "X", "")</f>
        <v/>
      </c>
      <c r="AU101" s="269"/>
      <c r="AV101" s="269"/>
      <c r="AW101" s="463" t="str">
        <f t="shared" ref="AW101:BD101" si="37">AW15</f>
        <v>#REF!</v>
      </c>
      <c r="AX101" s="206">
        <f t="shared" si="37"/>
        <v>0</v>
      </c>
      <c r="AY101" s="464">
        <f t="shared" si="37"/>
        <v>0</v>
      </c>
      <c r="AZ101" s="206">
        <f t="shared" si="37"/>
        <v>0</v>
      </c>
      <c r="BA101" s="206">
        <f t="shared" si="37"/>
        <v>0</v>
      </c>
      <c r="BB101" s="206">
        <f t="shared" si="37"/>
        <v>0</v>
      </c>
      <c r="BC101" s="465">
        <f t="shared" si="37"/>
        <v>0</v>
      </c>
      <c r="BD101" s="206" t="str">
        <f t="shared" si="37"/>
        <v/>
      </c>
      <c r="BE101" s="466"/>
    </row>
    <row r="102" ht="13.5" customHeight="1">
      <c r="A102" s="270"/>
      <c r="B102" s="271" t="s">
        <v>642</v>
      </c>
      <c r="C102" s="272" t="s">
        <v>639</v>
      </c>
      <c r="D102" s="258"/>
      <c r="E102" s="259"/>
      <c r="F102" s="426"/>
      <c r="G102" s="246"/>
      <c r="H102" s="426"/>
      <c r="I102" s="246"/>
      <c r="J102" s="265"/>
      <c r="K102" s="246"/>
      <c r="L102" s="261"/>
      <c r="M102" s="262"/>
      <c r="N102" s="246"/>
      <c r="O102" s="642" t="s">
        <v>421</v>
      </c>
      <c r="P102" s="246"/>
      <c r="R102" s="246"/>
      <c r="S102" s="261"/>
      <c r="T102" s="262"/>
      <c r="U102" s="246"/>
      <c r="V102" s="251" t="s">
        <v>432</v>
      </c>
      <c r="W102" s="246"/>
      <c r="Y102" s="246"/>
      <c r="Z102" s="261"/>
      <c r="AA102" s="262"/>
      <c r="AB102" s="246"/>
      <c r="AC102" s="311" t="s">
        <v>432</v>
      </c>
      <c r="AD102" s="246"/>
      <c r="AF102" s="246"/>
      <c r="AG102" s="261"/>
      <c r="AH102" s="426"/>
      <c r="AI102" s="246"/>
      <c r="AK102" s="246"/>
      <c r="AL102" s="265"/>
      <c r="AM102" s="246"/>
      <c r="AN102" s="261"/>
      <c r="AO102" s="371"/>
      <c r="AP102" s="246"/>
      <c r="AQ102" s="426"/>
      <c r="AR102" s="246"/>
      <c r="AT102" s="254" t="str">
        <f>IF(COUNTIF($AO$86:$AT$88, #REF!) &gt; 0, "X", "")</f>
        <v/>
      </c>
      <c r="AU102" s="269"/>
      <c r="AV102" s="269"/>
      <c r="AW102" s="463" t="str">
        <f t="shared" ref="AW102:BD102" si="38">AW16</f>
        <v>#REF!</v>
      </c>
      <c r="AX102" s="206">
        <f t="shared" si="38"/>
        <v>0</v>
      </c>
      <c r="AY102" s="464">
        <f t="shared" si="38"/>
        <v>0</v>
      </c>
      <c r="AZ102" s="206">
        <f t="shared" si="38"/>
        <v>0</v>
      </c>
      <c r="BA102" s="206">
        <f t="shared" si="38"/>
        <v>0</v>
      </c>
      <c r="BB102" s="206">
        <f t="shared" si="38"/>
        <v>0</v>
      </c>
      <c r="BC102" s="465">
        <f t="shared" si="38"/>
        <v>0</v>
      </c>
      <c r="BD102" s="206" t="str">
        <f t="shared" si="38"/>
        <v/>
      </c>
      <c r="BE102" s="466"/>
    </row>
    <row r="103" ht="14.25" customHeight="1">
      <c r="A103" s="234"/>
      <c r="B103" s="277" t="s">
        <v>644</v>
      </c>
      <c r="C103" s="278" t="s">
        <v>645</v>
      </c>
      <c r="D103" s="243"/>
      <c r="E103" s="259"/>
      <c r="F103" s="281"/>
      <c r="G103" s="246"/>
      <c r="H103" s="280" t="s">
        <v>400</v>
      </c>
      <c r="I103" s="246"/>
      <c r="J103" s="282"/>
      <c r="K103" s="246"/>
      <c r="L103" s="261"/>
      <c r="M103" s="250"/>
      <c r="N103" s="246"/>
      <c r="O103" s="280" t="s">
        <v>400</v>
      </c>
      <c r="P103" s="246"/>
      <c r="Q103" s="282"/>
      <c r="R103" s="246"/>
      <c r="S103" s="261"/>
      <c r="T103" s="250"/>
      <c r="U103" s="246"/>
      <c r="V103" s="281"/>
      <c r="W103" s="246"/>
      <c r="X103" s="280" t="s">
        <v>400</v>
      </c>
      <c r="Y103" s="246"/>
      <c r="Z103" s="261"/>
      <c r="AA103" s="250"/>
      <c r="AB103" s="246"/>
      <c r="AC103" s="280" t="s">
        <v>400</v>
      </c>
      <c r="AD103" s="246"/>
      <c r="AE103" s="340"/>
      <c r="AF103" s="246"/>
      <c r="AG103" s="261"/>
      <c r="AH103" s="281"/>
      <c r="AI103" s="246"/>
      <c r="AJ103" s="280" t="s">
        <v>400</v>
      </c>
      <c r="AK103" s="246"/>
      <c r="AL103" s="281"/>
      <c r="AM103" s="246"/>
      <c r="AN103" s="261"/>
      <c r="AO103" s="371"/>
      <c r="AP103" s="246"/>
      <c r="AQ103" s="281"/>
      <c r="AR103" s="246"/>
      <c r="AT103" s="254" t="str">
        <f>IF(COUNTIF($AO$86:$AT$88, Q129) &gt; 0, "X", "")</f>
        <v/>
      </c>
      <c r="AU103" s="269"/>
      <c r="AV103" s="269"/>
      <c r="AW103" s="463" t="str">
        <f t="shared" ref="AW103:BD103" si="39">AW17</f>
        <v>#REF!</v>
      </c>
      <c r="AX103" s="206">
        <f t="shared" si="39"/>
        <v>0</v>
      </c>
      <c r="AY103" s="464">
        <f t="shared" si="39"/>
        <v>0</v>
      </c>
      <c r="AZ103" s="206">
        <f t="shared" si="39"/>
        <v>0</v>
      </c>
      <c r="BA103" s="206">
        <f t="shared" si="39"/>
        <v>0</v>
      </c>
      <c r="BB103" s="206">
        <f t="shared" si="39"/>
        <v>0</v>
      </c>
      <c r="BC103" s="465">
        <f t="shared" si="39"/>
        <v>0</v>
      </c>
      <c r="BD103" s="206" t="str">
        <f t="shared" si="39"/>
        <v/>
      </c>
      <c r="BE103" s="466"/>
    </row>
    <row r="104">
      <c r="A104" s="94"/>
      <c r="B104" s="256" t="s">
        <v>757</v>
      </c>
      <c r="C104" s="257" t="s">
        <v>645</v>
      </c>
      <c r="D104" s="243"/>
      <c r="E104" s="259"/>
      <c r="F104" s="274" t="s">
        <v>402</v>
      </c>
      <c r="G104" s="246"/>
      <c r="H104" s="371"/>
      <c r="I104" s="246"/>
      <c r="J104" s="371"/>
      <c r="K104" s="246"/>
      <c r="L104" s="261"/>
      <c r="M104" s="250"/>
      <c r="N104" s="246"/>
      <c r="O104" s="371"/>
      <c r="P104" s="246"/>
      <c r="Q104" s="280" t="s">
        <v>402</v>
      </c>
      <c r="R104" s="246"/>
      <c r="S104" s="261"/>
      <c r="T104" s="250"/>
      <c r="U104" s="246"/>
      <c r="V104" s="371"/>
      <c r="W104" s="246"/>
      <c r="X104" s="274" t="s">
        <v>402</v>
      </c>
      <c r="Y104" s="246"/>
      <c r="Z104" s="261"/>
      <c r="AA104" s="250"/>
      <c r="AB104" s="246"/>
      <c r="AC104" s="371"/>
      <c r="AD104" s="246"/>
      <c r="AE104" s="340" t="s">
        <v>406</v>
      </c>
      <c r="AF104" s="246"/>
      <c r="AG104" s="261"/>
      <c r="AH104" s="371"/>
      <c r="AI104" s="246"/>
      <c r="AJ104" s="371"/>
      <c r="AK104" s="246"/>
      <c r="AL104" s="274" t="s">
        <v>402</v>
      </c>
      <c r="AM104" s="246"/>
      <c r="AN104" s="261"/>
      <c r="AO104" s="371"/>
      <c r="AP104" s="246"/>
      <c r="AQ104" s="274" t="s">
        <v>402</v>
      </c>
      <c r="AR104" s="246"/>
      <c r="AT104" s="254" t="str">
        <f t="shared" ref="AT104:AT105" si="41">IF(COUNTIF($AO$86:$AT$88, AS105) &gt; 0, "X", "")</f>
        <v/>
      </c>
      <c r="AU104" s="269"/>
      <c r="AV104" s="269"/>
      <c r="AW104" s="463" t="str">
        <f t="shared" ref="AW104:BD104" si="40">AW18</f>
        <v>#REF!</v>
      </c>
      <c r="AX104" s="206">
        <f t="shared" si="40"/>
        <v>0</v>
      </c>
      <c r="AY104" s="464">
        <f t="shared" si="40"/>
        <v>0</v>
      </c>
      <c r="AZ104" s="206">
        <f t="shared" si="40"/>
        <v>0</v>
      </c>
      <c r="BA104" s="206">
        <f t="shared" si="40"/>
        <v>0</v>
      </c>
      <c r="BB104" s="206">
        <f t="shared" si="40"/>
        <v>0</v>
      </c>
      <c r="BC104" s="465">
        <f t="shared" si="40"/>
        <v>0</v>
      </c>
      <c r="BD104" s="206" t="str">
        <f t="shared" si="40"/>
        <v/>
      </c>
      <c r="BE104" s="466"/>
    </row>
    <row r="105">
      <c r="A105" s="94"/>
      <c r="B105" s="284" t="s">
        <v>646</v>
      </c>
      <c r="C105" s="285" t="s">
        <v>647</v>
      </c>
      <c r="D105" s="243"/>
      <c r="E105" s="259"/>
      <c r="F105" s="251" t="s">
        <v>427</v>
      </c>
      <c r="G105" s="246"/>
      <c r="H105" s="399"/>
      <c r="I105" s="246"/>
      <c r="J105" s="399"/>
      <c r="K105" s="246"/>
      <c r="L105" s="261"/>
      <c r="M105" s="324"/>
      <c r="N105" s="246"/>
      <c r="P105" s="246"/>
      <c r="Q105" s="251" t="s">
        <v>427</v>
      </c>
      <c r="R105" s="246"/>
      <c r="S105" s="261"/>
      <c r="T105" s="324"/>
      <c r="U105" s="246"/>
      <c r="V105" s="282"/>
      <c r="W105" s="246"/>
      <c r="X105" s="251" t="s">
        <v>427</v>
      </c>
      <c r="Y105" s="246"/>
      <c r="Z105" s="261"/>
      <c r="AA105" s="324"/>
      <c r="AB105" s="246"/>
      <c r="AD105" s="246"/>
      <c r="AE105" s="251" t="s">
        <v>427</v>
      </c>
      <c r="AF105" s="246"/>
      <c r="AG105" s="261"/>
      <c r="AH105" s="251" t="s">
        <v>427</v>
      </c>
      <c r="AI105" s="246"/>
      <c r="AJ105" s="399"/>
      <c r="AK105" s="246"/>
      <c r="AL105" s="282"/>
      <c r="AM105" s="246"/>
      <c r="AN105" s="261"/>
      <c r="AO105" s="371"/>
      <c r="AP105" s="246"/>
      <c r="AQ105" s="399"/>
      <c r="AR105" s="246"/>
      <c r="AS105" s="399"/>
      <c r="AT105" s="254" t="str">
        <f t="shared" si="41"/>
        <v/>
      </c>
      <c r="AU105" s="269"/>
      <c r="AV105" s="269"/>
      <c r="AW105" s="463" t="str">
        <f t="shared" ref="AW105:BD105" si="42">AW19</f>
        <v>#REF!</v>
      </c>
      <c r="AX105" s="206">
        <f t="shared" si="42"/>
        <v>0</v>
      </c>
      <c r="AY105" s="464">
        <f t="shared" si="42"/>
        <v>0</v>
      </c>
      <c r="AZ105" s="206">
        <f t="shared" si="42"/>
        <v>0</v>
      </c>
      <c r="BA105" s="206">
        <f t="shared" si="42"/>
        <v>0</v>
      </c>
      <c r="BB105" s="206">
        <f t="shared" si="42"/>
        <v>0</v>
      </c>
      <c r="BC105" s="465">
        <f t="shared" si="42"/>
        <v>0</v>
      </c>
      <c r="BD105" s="206" t="str">
        <f t="shared" si="42"/>
        <v/>
      </c>
      <c r="BE105" s="466"/>
    </row>
    <row r="106">
      <c r="A106" s="270"/>
      <c r="B106" s="291" t="s">
        <v>648</v>
      </c>
      <c r="C106" s="292" t="s">
        <v>649</v>
      </c>
      <c r="D106" s="243"/>
      <c r="E106" s="259"/>
      <c r="F106" s="294"/>
      <c r="G106" s="246"/>
      <c r="H106" s="293" t="s">
        <v>418</v>
      </c>
      <c r="I106" s="246"/>
      <c r="J106" s="294"/>
      <c r="K106" s="246"/>
      <c r="L106" s="261"/>
      <c r="M106" s="250"/>
      <c r="N106" s="246"/>
      <c r="O106" s="293" t="s">
        <v>418</v>
      </c>
      <c r="P106" s="246"/>
      <c r="Q106" s="294"/>
      <c r="R106" s="246"/>
      <c r="S106" s="261"/>
      <c r="T106" s="250"/>
      <c r="U106" s="246"/>
      <c r="V106" s="294"/>
      <c r="W106" s="246"/>
      <c r="X106" s="293" t="s">
        <v>418</v>
      </c>
      <c r="Y106" s="246"/>
      <c r="Z106" s="261"/>
      <c r="AA106" s="250"/>
      <c r="AB106" s="246"/>
      <c r="AC106" s="294"/>
      <c r="AD106" s="246"/>
      <c r="AE106" s="293" t="s">
        <v>418</v>
      </c>
      <c r="AF106" s="246"/>
      <c r="AG106" s="261"/>
      <c r="AH106" s="294"/>
      <c r="AI106" s="246"/>
      <c r="AJ106" s="293" t="s">
        <v>418</v>
      </c>
      <c r="AK106" s="246"/>
      <c r="AL106" s="294"/>
      <c r="AM106" s="246"/>
      <c r="AN106" s="261"/>
      <c r="AO106" s="294"/>
      <c r="AP106" s="246"/>
      <c r="AQ106" s="294"/>
      <c r="AR106" s="246"/>
      <c r="AS106" s="294"/>
      <c r="AT106" s="254" t="str">
        <f t="shared" ref="AT106:AT107" si="44">IF(COUNTIF($AO$86:$AT$88, #REF!) &gt; 0, "X", "")</f>
        <v/>
      </c>
      <c r="AU106" s="269"/>
      <c r="AV106" s="269"/>
      <c r="AW106" s="463" t="str">
        <f t="shared" ref="AW106:BD106" si="43">AW20</f>
        <v>#REF!</v>
      </c>
      <c r="AX106" s="206">
        <f t="shared" si="43"/>
        <v>0</v>
      </c>
      <c r="AY106" s="464">
        <f t="shared" si="43"/>
        <v>0</v>
      </c>
      <c r="AZ106" s="206">
        <f t="shared" si="43"/>
        <v>0</v>
      </c>
      <c r="BA106" s="206">
        <f t="shared" si="43"/>
        <v>0</v>
      </c>
      <c r="BB106" s="206">
        <f t="shared" si="43"/>
        <v>0</v>
      </c>
      <c r="BC106" s="465">
        <f t="shared" si="43"/>
        <v>0</v>
      </c>
      <c r="BD106" s="206" t="str">
        <f t="shared" si="43"/>
        <v/>
      </c>
      <c r="BE106" s="466"/>
    </row>
    <row r="107">
      <c r="A107" s="94"/>
      <c r="B107" s="296" t="s">
        <v>650</v>
      </c>
      <c r="C107" s="297" t="s">
        <v>649</v>
      </c>
      <c r="D107" s="243"/>
      <c r="E107" s="259"/>
      <c r="F107" s="299"/>
      <c r="G107" s="298"/>
      <c r="H107" s="299"/>
      <c r="I107" s="298"/>
      <c r="J107" s="299"/>
      <c r="K107" s="298"/>
      <c r="L107" s="261"/>
      <c r="M107" s="250"/>
      <c r="N107" s="298"/>
      <c r="O107" s="299"/>
      <c r="P107" s="298"/>
      <c r="Q107" s="299"/>
      <c r="R107" s="298"/>
      <c r="S107" s="261"/>
      <c r="T107" s="250"/>
      <c r="U107" s="298"/>
      <c r="V107" s="299"/>
      <c r="W107" s="298"/>
      <c r="X107" s="299"/>
      <c r="Y107" s="298"/>
      <c r="Z107" s="261"/>
      <c r="AA107" s="250"/>
      <c r="AB107" s="298"/>
      <c r="AC107" s="299"/>
      <c r="AD107" s="298"/>
      <c r="AE107" s="299"/>
      <c r="AF107" s="298"/>
      <c r="AG107" s="261"/>
      <c r="AH107" s="299"/>
      <c r="AI107" s="298"/>
      <c r="AJ107" s="299"/>
      <c r="AK107" s="298"/>
      <c r="AL107" s="299"/>
      <c r="AM107" s="298"/>
      <c r="AN107" s="261"/>
      <c r="AO107" s="299"/>
      <c r="AP107" s="298"/>
      <c r="AQ107" s="299"/>
      <c r="AR107" s="298"/>
      <c r="AS107" s="299"/>
      <c r="AT107" s="254" t="str">
        <f t="shared" si="44"/>
        <v/>
      </c>
      <c r="AU107" s="269"/>
      <c r="AV107" s="269"/>
      <c r="AW107" s="463" t="str">
        <f t="shared" ref="AW107:BD107" si="45">AW21</f>
        <v>#REF!</v>
      </c>
      <c r="AX107" s="206">
        <f t="shared" si="45"/>
        <v>0</v>
      </c>
      <c r="AY107" s="464">
        <f t="shared" si="45"/>
        <v>0</v>
      </c>
      <c r="AZ107" s="206">
        <f t="shared" si="45"/>
        <v>0</v>
      </c>
      <c r="BA107" s="206">
        <f t="shared" si="45"/>
        <v>0</v>
      </c>
      <c r="BB107" s="206">
        <f t="shared" si="45"/>
        <v>0</v>
      </c>
      <c r="BC107" s="465">
        <f t="shared" si="45"/>
        <v>0</v>
      </c>
      <c r="BD107" s="206" t="str">
        <f t="shared" si="45"/>
        <v/>
      </c>
      <c r="BE107" s="466"/>
    </row>
    <row r="108">
      <c r="A108" s="94"/>
      <c r="B108" s="301" t="s">
        <v>651</v>
      </c>
      <c r="C108" s="302" t="s">
        <v>652</v>
      </c>
      <c r="D108" s="243"/>
      <c r="E108" s="259"/>
      <c r="F108" s="303"/>
      <c r="G108" s="298"/>
      <c r="H108" s="303"/>
      <c r="I108" s="298"/>
      <c r="J108" s="303"/>
      <c r="K108" s="298"/>
      <c r="L108" s="261"/>
      <c r="M108" s="250"/>
      <c r="N108" s="298"/>
      <c r="O108" s="303"/>
      <c r="P108" s="298"/>
      <c r="Q108" s="303"/>
      <c r="R108" s="298"/>
      <c r="S108" s="261"/>
      <c r="T108" s="250"/>
      <c r="U108" s="298"/>
      <c r="V108" s="303"/>
      <c r="W108" s="298"/>
      <c r="X108" s="303"/>
      <c r="Y108" s="298"/>
      <c r="Z108" s="261"/>
      <c r="AA108" s="250"/>
      <c r="AB108" s="298"/>
      <c r="AC108" s="303"/>
      <c r="AD108" s="298"/>
      <c r="AE108" s="303"/>
      <c r="AF108" s="298"/>
      <c r="AG108" s="261"/>
      <c r="AH108" s="303"/>
      <c r="AI108" s="298"/>
      <c r="AJ108" s="303"/>
      <c r="AK108" s="298"/>
      <c r="AL108" s="303"/>
      <c r="AM108" s="298"/>
      <c r="AN108" s="261"/>
      <c r="AO108" s="303"/>
      <c r="AP108" s="298"/>
      <c r="AQ108" s="303"/>
      <c r="AR108" s="298"/>
      <c r="AS108" s="303"/>
      <c r="AT108" s="254" t="str">
        <f t="shared" ref="AT108:AT109" si="47">IF(COUNTIF($AO$86:$AT$88, AS109) &gt; 0, "X", "")</f>
        <v/>
      </c>
      <c r="AU108" s="269"/>
      <c r="AV108" s="269"/>
      <c r="AW108" s="463" t="str">
        <f t="shared" ref="AW108:BD108" si="46">AW22</f>
        <v>#REF!</v>
      </c>
      <c r="AX108" s="206">
        <f t="shared" si="46"/>
        <v>0</v>
      </c>
      <c r="AY108" s="464">
        <f t="shared" si="46"/>
        <v>0</v>
      </c>
      <c r="AZ108" s="206">
        <f t="shared" si="46"/>
        <v>0</v>
      </c>
      <c r="BA108" s="206">
        <f t="shared" si="46"/>
        <v>0</v>
      </c>
      <c r="BB108" s="206">
        <f t="shared" si="46"/>
        <v>0</v>
      </c>
      <c r="BC108" s="465">
        <f t="shared" si="46"/>
        <v>0</v>
      </c>
      <c r="BD108" s="206" t="str">
        <f t="shared" si="46"/>
        <v/>
      </c>
      <c r="BE108" s="466"/>
    </row>
    <row r="109">
      <c r="A109" s="94"/>
      <c r="B109" s="305" t="s">
        <v>653</v>
      </c>
      <c r="C109" s="306" t="s">
        <v>654</v>
      </c>
      <c r="D109" s="243"/>
      <c r="E109" s="259"/>
      <c r="F109" s="307"/>
      <c r="G109" s="298"/>
      <c r="H109" s="307"/>
      <c r="I109" s="298"/>
      <c r="J109" s="307"/>
      <c r="K109" s="298"/>
      <c r="L109" s="261"/>
      <c r="M109" s="250"/>
      <c r="N109" s="298"/>
      <c r="O109" s="307"/>
      <c r="P109" s="298"/>
      <c r="Q109" s="307"/>
      <c r="R109" s="298"/>
      <c r="S109" s="261"/>
      <c r="T109" s="250"/>
      <c r="U109" s="298"/>
      <c r="V109" s="307"/>
      <c r="W109" s="298"/>
      <c r="X109" s="307"/>
      <c r="Y109" s="298"/>
      <c r="Z109" s="261"/>
      <c r="AA109" s="250"/>
      <c r="AB109" s="298"/>
      <c r="AC109" s="307"/>
      <c r="AD109" s="298"/>
      <c r="AE109" s="643" t="s">
        <v>913</v>
      </c>
      <c r="AF109" s="298"/>
      <c r="AG109" s="261"/>
      <c r="AH109" s="307"/>
      <c r="AI109" s="298"/>
      <c r="AJ109" s="307"/>
      <c r="AK109" s="298"/>
      <c r="AL109" s="307"/>
      <c r="AM109" s="298"/>
      <c r="AN109" s="261"/>
      <c r="AO109" s="307"/>
      <c r="AP109" s="298"/>
      <c r="AQ109" s="307"/>
      <c r="AR109" s="298"/>
      <c r="AS109" s="307"/>
      <c r="AT109" s="254" t="str">
        <f t="shared" si="47"/>
        <v/>
      </c>
      <c r="AU109" s="269"/>
      <c r="AV109" s="269"/>
      <c r="AW109" s="463" t="str">
        <f t="shared" ref="AW109:BD109" si="48">AW23</f>
        <v>#REF!</v>
      </c>
      <c r="AX109" s="206">
        <f t="shared" si="48"/>
        <v>0</v>
      </c>
      <c r="AY109" s="464">
        <f t="shared" si="48"/>
        <v>0</v>
      </c>
      <c r="AZ109" s="206">
        <f t="shared" si="48"/>
        <v>0</v>
      </c>
      <c r="BA109" s="206">
        <f t="shared" si="48"/>
        <v>0</v>
      </c>
      <c r="BB109" s="206">
        <f t="shared" si="48"/>
        <v>0</v>
      </c>
      <c r="BC109" s="465">
        <f t="shared" si="48"/>
        <v>0</v>
      </c>
      <c r="BD109" s="206" t="str">
        <f t="shared" si="48"/>
        <v/>
      </c>
      <c r="BE109" s="466"/>
    </row>
    <row r="110">
      <c r="A110" s="94"/>
      <c r="B110" s="310" t="s">
        <v>656</v>
      </c>
      <c r="C110" s="278" t="s">
        <v>657</v>
      </c>
      <c r="D110" s="243"/>
      <c r="E110" s="259"/>
      <c r="F110" s="281"/>
      <c r="G110" s="246"/>
      <c r="H110" s="282"/>
      <c r="I110" s="246"/>
      <c r="J110" s="282"/>
      <c r="K110" s="246"/>
      <c r="L110" s="261"/>
      <c r="M110" s="250"/>
      <c r="N110" s="246"/>
      <c r="O110" s="274" t="s">
        <v>458</v>
      </c>
      <c r="P110" s="246"/>
      <c r="Q110" s="281"/>
      <c r="R110" s="246"/>
      <c r="S110" s="261"/>
      <c r="T110" s="250"/>
      <c r="U110" s="246"/>
      <c r="W110" s="246"/>
      <c r="X110" s="282"/>
      <c r="Y110" s="246"/>
      <c r="Z110" s="261"/>
      <c r="AA110" s="250"/>
      <c r="AB110" s="246"/>
      <c r="AC110" s="282"/>
      <c r="AD110" s="246"/>
      <c r="AE110" s="644" t="s">
        <v>666</v>
      </c>
      <c r="AF110" s="246"/>
      <c r="AG110" s="261"/>
      <c r="AH110" s="282"/>
      <c r="AI110" s="246"/>
      <c r="AJ110" s="282"/>
      <c r="AK110" s="246"/>
      <c r="AL110" s="282"/>
      <c r="AM110" s="246"/>
      <c r="AN110" s="261"/>
      <c r="AO110" s="371"/>
      <c r="AP110" s="246"/>
      <c r="AQ110" s="371"/>
      <c r="AR110" s="246"/>
      <c r="AS110" s="281"/>
      <c r="AT110" s="254" t="str">
        <f t="shared" ref="AT110:AT112" si="50">IF(COUNTIF($AO$86:$AT$88, #REF!) &gt; 0, "X", "")</f>
        <v/>
      </c>
      <c r="AU110" s="269"/>
      <c r="AV110" s="269"/>
      <c r="AW110" s="463" t="str">
        <f t="shared" ref="AW110:BD110" si="49">AW24</f>
        <v>#REF!</v>
      </c>
      <c r="AX110" s="206">
        <f t="shared" si="49"/>
        <v>0</v>
      </c>
      <c r="AY110" s="464">
        <f t="shared" si="49"/>
        <v>0</v>
      </c>
      <c r="AZ110" s="206">
        <f t="shared" si="49"/>
        <v>0</v>
      </c>
      <c r="BA110" s="206">
        <f t="shared" si="49"/>
        <v>0</v>
      </c>
      <c r="BB110" s="206">
        <f t="shared" si="49"/>
        <v>0</v>
      </c>
      <c r="BC110" s="465">
        <f t="shared" si="49"/>
        <v>0</v>
      </c>
      <c r="BD110" s="206" t="str">
        <f t="shared" si="49"/>
        <v/>
      </c>
      <c r="BE110" s="466"/>
    </row>
    <row r="111">
      <c r="A111" s="94"/>
      <c r="B111" s="277" t="s">
        <v>658</v>
      </c>
      <c r="C111" s="278" t="s">
        <v>657</v>
      </c>
      <c r="D111" s="243"/>
      <c r="E111" s="259"/>
      <c r="F111" s="282"/>
      <c r="G111" s="246"/>
      <c r="H111" s="282"/>
      <c r="I111" s="246"/>
      <c r="J111" s="281"/>
      <c r="K111" s="246"/>
      <c r="L111" s="261"/>
      <c r="M111" s="250"/>
      <c r="N111" s="246"/>
      <c r="O111" s="311" t="s">
        <v>459</v>
      </c>
      <c r="P111" s="246"/>
      <c r="Q111" s="282"/>
      <c r="R111" s="246"/>
      <c r="S111" s="261"/>
      <c r="T111" s="250"/>
      <c r="U111" s="246"/>
      <c r="W111" s="246"/>
      <c r="Y111" s="246"/>
      <c r="Z111" s="261"/>
      <c r="AA111" s="250"/>
      <c r="AB111" s="246"/>
      <c r="AD111" s="246"/>
      <c r="AE111" s="282"/>
      <c r="AF111" s="246"/>
      <c r="AG111" s="261"/>
      <c r="AH111" s="282"/>
      <c r="AI111" s="246"/>
      <c r="AJ111" s="282"/>
      <c r="AK111" s="246"/>
      <c r="AL111" s="471" t="s">
        <v>419</v>
      </c>
      <c r="AM111" s="246"/>
      <c r="AN111" s="261"/>
      <c r="AO111" s="371"/>
      <c r="AP111" s="246"/>
      <c r="AQ111" s="282"/>
      <c r="AR111" s="246"/>
      <c r="AS111" s="282"/>
      <c r="AT111" s="254" t="str">
        <f t="shared" si="50"/>
        <v/>
      </c>
      <c r="AU111" s="269"/>
      <c r="AV111" s="269"/>
      <c r="AW111" s="463" t="str">
        <f t="shared" ref="AW111:BD111" si="51">AW25</f>
        <v>#REF!</v>
      </c>
      <c r="AX111" s="206">
        <f t="shared" si="51"/>
        <v>0</v>
      </c>
      <c r="AY111" s="464">
        <f t="shared" si="51"/>
        <v>0</v>
      </c>
      <c r="AZ111" s="206">
        <f t="shared" si="51"/>
        <v>0</v>
      </c>
      <c r="BA111" s="206">
        <f t="shared" si="51"/>
        <v>0</v>
      </c>
      <c r="BB111" s="206">
        <f t="shared" si="51"/>
        <v>0</v>
      </c>
      <c r="BC111" s="465">
        <f t="shared" si="51"/>
        <v>0</v>
      </c>
      <c r="BD111" s="206" t="str">
        <f t="shared" si="51"/>
        <v/>
      </c>
      <c r="BE111" s="466"/>
    </row>
    <row r="112">
      <c r="A112" s="94"/>
      <c r="B112" s="314" t="s">
        <v>660</v>
      </c>
      <c r="C112" s="315" t="s">
        <v>649</v>
      </c>
      <c r="D112" s="243"/>
      <c r="E112" s="259"/>
      <c r="F112" s="293" t="s">
        <v>424</v>
      </c>
      <c r="G112" s="246"/>
      <c r="H112" s="293" t="s">
        <v>416</v>
      </c>
      <c r="I112" s="246"/>
      <c r="J112" s="356" t="s">
        <v>423</v>
      </c>
      <c r="K112" s="246"/>
      <c r="L112" s="261"/>
      <c r="M112" s="316"/>
      <c r="N112" s="246"/>
      <c r="O112" s="293" t="s">
        <v>416</v>
      </c>
      <c r="P112" s="246"/>
      <c r="Q112" s="293" t="s">
        <v>424</v>
      </c>
      <c r="R112" s="246"/>
      <c r="S112" s="261"/>
      <c r="T112" s="316"/>
      <c r="U112" s="246"/>
      <c r="V112" s="353" t="s">
        <v>421</v>
      </c>
      <c r="W112" s="246"/>
      <c r="X112" s="353" t="s">
        <v>424</v>
      </c>
      <c r="Y112" s="246"/>
      <c r="Z112" s="261"/>
      <c r="AA112" s="316"/>
      <c r="AB112" s="246"/>
      <c r="AC112" s="293" t="s">
        <v>416</v>
      </c>
      <c r="AD112" s="246"/>
      <c r="AE112" s="353" t="s">
        <v>424</v>
      </c>
      <c r="AF112" s="246"/>
      <c r="AG112" s="261"/>
      <c r="AI112" s="246"/>
      <c r="AJ112" s="293" t="s">
        <v>416</v>
      </c>
      <c r="AK112" s="246"/>
      <c r="AL112" s="632" t="s">
        <v>423</v>
      </c>
      <c r="AM112" s="246"/>
      <c r="AN112" s="261"/>
      <c r="AO112" s="317"/>
      <c r="AP112" s="246"/>
      <c r="AQ112" s="293" t="s">
        <v>416</v>
      </c>
      <c r="AR112" s="246"/>
      <c r="AS112" s="353" t="s">
        <v>421</v>
      </c>
      <c r="AT112" s="254" t="str">
        <f t="shared" si="50"/>
        <v/>
      </c>
      <c r="AU112" s="269"/>
      <c r="AV112" s="269"/>
      <c r="AW112" s="463" t="str">
        <f t="shared" ref="AW112:BD112" si="52">AW26</f>
        <v>#REF!</v>
      </c>
      <c r="AX112" s="206">
        <f t="shared" si="52"/>
        <v>0</v>
      </c>
      <c r="AY112" s="464">
        <f t="shared" si="52"/>
        <v>0</v>
      </c>
      <c r="AZ112" s="206">
        <f t="shared" si="52"/>
        <v>0</v>
      </c>
      <c r="BA112" s="206">
        <f t="shared" si="52"/>
        <v>0</v>
      </c>
      <c r="BB112" s="206">
        <f t="shared" si="52"/>
        <v>0</v>
      </c>
      <c r="BC112" s="465">
        <f t="shared" si="52"/>
        <v>0</v>
      </c>
      <c r="BD112" s="206" t="str">
        <f t="shared" si="52"/>
        <v/>
      </c>
      <c r="BE112" s="466"/>
    </row>
    <row r="113">
      <c r="A113" s="94"/>
      <c r="B113" s="296" t="s">
        <v>650</v>
      </c>
      <c r="C113" s="297" t="s">
        <v>649</v>
      </c>
      <c r="D113" s="243"/>
      <c r="E113" s="259"/>
      <c r="F113" s="299"/>
      <c r="G113" s="298"/>
      <c r="H113" s="299"/>
      <c r="I113" s="298"/>
      <c r="J113" s="299"/>
      <c r="K113" s="298"/>
      <c r="L113" s="261"/>
      <c r="M113" s="250"/>
      <c r="N113" s="298"/>
      <c r="O113" s="299"/>
      <c r="P113" s="298"/>
      <c r="Q113" s="632" t="s">
        <v>423</v>
      </c>
      <c r="R113" s="298"/>
      <c r="S113" s="261"/>
      <c r="T113" s="250"/>
      <c r="U113" s="298"/>
      <c r="V113" s="300"/>
      <c r="W113" s="298"/>
      <c r="X113" s="632" t="s">
        <v>423</v>
      </c>
      <c r="Y113" s="298"/>
      <c r="Z113" s="261"/>
      <c r="AA113" s="250"/>
      <c r="AB113" s="298"/>
      <c r="AC113" s="300"/>
      <c r="AD113" s="298"/>
      <c r="AE113" s="632" t="s">
        <v>423</v>
      </c>
      <c r="AF113" s="298"/>
      <c r="AG113" s="261"/>
      <c r="AH113" s="317"/>
      <c r="AI113" s="298"/>
      <c r="AJ113" s="300"/>
      <c r="AK113" s="298"/>
      <c r="AL113" s="353" t="s">
        <v>426</v>
      </c>
      <c r="AM113" s="298"/>
      <c r="AN113" s="261"/>
      <c r="AO113" s="320"/>
      <c r="AP113" s="298"/>
      <c r="AQ113" s="299"/>
      <c r="AR113" s="298"/>
      <c r="AS113" s="299"/>
      <c r="AT113" s="254" t="str">
        <f>IF(COUNTIF($AO$86:$AT$88, AS114) &gt; 0, "X", "")</f>
        <v/>
      </c>
      <c r="AU113" s="269"/>
      <c r="AV113" s="269"/>
      <c r="AW113" s="463" t="str">
        <f t="shared" ref="AW113:BD113" si="53">AW27</f>
        <v>#REF!</v>
      </c>
      <c r="AX113" s="206">
        <f t="shared" si="53"/>
        <v>0</v>
      </c>
      <c r="AY113" s="464">
        <f t="shared" si="53"/>
        <v>0</v>
      </c>
      <c r="AZ113" s="206">
        <f t="shared" si="53"/>
        <v>0</v>
      </c>
      <c r="BA113" s="206">
        <f t="shared" si="53"/>
        <v>0</v>
      </c>
      <c r="BB113" s="206">
        <f t="shared" si="53"/>
        <v>0</v>
      </c>
      <c r="BC113" s="465">
        <f t="shared" si="53"/>
        <v>0</v>
      </c>
      <c r="BD113" s="206" t="str">
        <f t="shared" si="53"/>
        <v/>
      </c>
      <c r="BE113" s="466"/>
    </row>
    <row r="114">
      <c r="A114" s="94"/>
      <c r="B114" s="301" t="s">
        <v>651</v>
      </c>
      <c r="C114" s="302" t="s">
        <v>652</v>
      </c>
      <c r="D114" s="323"/>
      <c r="E114" s="259"/>
      <c r="F114" s="303"/>
      <c r="G114" s="298"/>
      <c r="H114" s="303"/>
      <c r="I114" s="298"/>
      <c r="J114" s="303"/>
      <c r="K114" s="298"/>
      <c r="L114" s="261"/>
      <c r="M114" s="250"/>
      <c r="N114" s="298"/>
      <c r="O114" s="303"/>
      <c r="P114" s="298"/>
      <c r="Q114" s="303"/>
      <c r="R114" s="298"/>
      <c r="S114" s="261"/>
      <c r="T114" s="250"/>
      <c r="U114" s="298"/>
      <c r="V114" s="303"/>
      <c r="W114" s="298"/>
      <c r="X114" s="303"/>
      <c r="Y114" s="298"/>
      <c r="Z114" s="261"/>
      <c r="AA114" s="250"/>
      <c r="AB114" s="298"/>
      <c r="AC114" s="303"/>
      <c r="AD114" s="298"/>
      <c r="AE114" s="303"/>
      <c r="AF114" s="298"/>
      <c r="AG114" s="261"/>
      <c r="AH114" s="320"/>
      <c r="AI114" s="298"/>
      <c r="AJ114" s="303"/>
      <c r="AK114" s="298"/>
      <c r="AL114" s="484"/>
      <c r="AM114" s="298"/>
      <c r="AN114" s="261"/>
      <c r="AO114" s="317"/>
      <c r="AP114" s="298"/>
      <c r="AQ114" s="303"/>
      <c r="AR114" s="298"/>
      <c r="AS114" s="303"/>
      <c r="AT114" s="254" t="str">
        <f t="shared" ref="AT114:AT115" si="55">IF(COUNTIF($AO$86:$AT$88, #REF!) &gt; 0, "X", "")</f>
        <v/>
      </c>
      <c r="AU114" s="269"/>
      <c r="AV114" s="269"/>
      <c r="AW114" s="463" t="str">
        <f t="shared" ref="AW114:BD114" si="54">AW28</f>
        <v>#REF!</v>
      </c>
      <c r="AX114" s="206">
        <f t="shared" si="54"/>
        <v>0</v>
      </c>
      <c r="AY114" s="464">
        <f t="shared" si="54"/>
        <v>0</v>
      </c>
      <c r="AZ114" s="206">
        <f t="shared" si="54"/>
        <v>0</v>
      </c>
      <c r="BA114" s="206">
        <f t="shared" si="54"/>
        <v>0</v>
      </c>
      <c r="BB114" s="206">
        <f t="shared" si="54"/>
        <v>0</v>
      </c>
      <c r="BC114" s="465">
        <f t="shared" si="54"/>
        <v>0</v>
      </c>
      <c r="BD114" s="206" t="str">
        <f t="shared" si="54"/>
        <v/>
      </c>
      <c r="BE114" s="466"/>
    </row>
    <row r="115">
      <c r="A115" s="94"/>
      <c r="B115" s="322" t="s">
        <v>662</v>
      </c>
      <c r="C115" s="306" t="s">
        <v>663</v>
      </c>
      <c r="D115" s="330"/>
      <c r="E115" s="259"/>
      <c r="F115" s="307"/>
      <c r="G115" s="298"/>
      <c r="H115" s="307"/>
      <c r="I115" s="298"/>
      <c r="J115" s="395" t="s">
        <v>414</v>
      </c>
      <c r="K115" s="298"/>
      <c r="L115" s="261"/>
      <c r="M115" s="324"/>
      <c r="N115" s="298"/>
      <c r="O115" s="307"/>
      <c r="P115" s="298"/>
      <c r="Q115" s="309" t="s">
        <v>409</v>
      </c>
      <c r="R115" s="298"/>
      <c r="S115" s="261"/>
      <c r="T115" s="324"/>
      <c r="U115" s="298"/>
      <c r="V115" s="307"/>
      <c r="W115" s="298"/>
      <c r="X115" s="309" t="s">
        <v>409</v>
      </c>
      <c r="Y115" s="298"/>
      <c r="Z115" s="261"/>
      <c r="AA115" s="324"/>
      <c r="AB115" s="298"/>
      <c r="AC115" s="307"/>
      <c r="AD115" s="298"/>
      <c r="AE115" s="395"/>
      <c r="AF115" s="298"/>
      <c r="AG115" s="261"/>
      <c r="AH115" s="317"/>
      <c r="AI115" s="298"/>
      <c r="AJ115" s="307"/>
      <c r="AK115" s="298"/>
      <c r="AL115" s="309" t="s">
        <v>414</v>
      </c>
      <c r="AM115" s="298"/>
      <c r="AN115" s="261"/>
      <c r="AO115" s="506"/>
      <c r="AP115" s="298"/>
      <c r="AQ115" s="307"/>
      <c r="AR115" s="298"/>
      <c r="AS115" s="307"/>
      <c r="AT115" s="254" t="str">
        <f t="shared" si="55"/>
        <v/>
      </c>
      <c r="AU115" s="269"/>
      <c r="AV115" s="269"/>
      <c r="AW115" s="463" t="str">
        <f t="shared" ref="AW115:BD115" si="56">AW29</f>
        <v>#REF!</v>
      </c>
      <c r="AX115" s="206">
        <f t="shared" si="56"/>
        <v>0</v>
      </c>
      <c r="AY115" s="464">
        <f t="shared" si="56"/>
        <v>0</v>
      </c>
      <c r="AZ115" s="206">
        <f t="shared" si="56"/>
        <v>0</v>
      </c>
      <c r="BA115" s="206">
        <f t="shared" si="56"/>
        <v>0</v>
      </c>
      <c r="BB115" s="206">
        <f t="shared" si="56"/>
        <v>0</v>
      </c>
      <c r="BC115" s="465">
        <f t="shared" si="56"/>
        <v>0</v>
      </c>
      <c r="BD115" s="206" t="str">
        <f t="shared" si="56"/>
        <v/>
      </c>
      <c r="BE115" s="466"/>
    </row>
    <row r="116">
      <c r="A116" s="94"/>
      <c r="B116" s="328" t="s">
        <v>665</v>
      </c>
      <c r="C116" s="329" t="s">
        <v>654</v>
      </c>
      <c r="D116" s="330"/>
      <c r="E116" s="259"/>
      <c r="F116" s="274" t="s">
        <v>443</v>
      </c>
      <c r="G116" s="246"/>
      <c r="H116" s="274" t="s">
        <v>458</v>
      </c>
      <c r="I116" s="246"/>
      <c r="J116" s="311" t="s">
        <v>434</v>
      </c>
      <c r="K116" s="246"/>
      <c r="L116" s="261"/>
      <c r="M116" s="333"/>
      <c r="N116" s="246"/>
      <c r="O116" s="251" t="s">
        <v>398</v>
      </c>
      <c r="P116" s="246"/>
      <c r="Q116" s="274" t="s">
        <v>449</v>
      </c>
      <c r="R116" s="246"/>
      <c r="S116" s="261"/>
      <c r="T116" s="333"/>
      <c r="U116" s="246"/>
      <c r="V116" s="274" t="s">
        <v>458</v>
      </c>
      <c r="W116" s="246"/>
      <c r="X116" s="311" t="s">
        <v>434</v>
      </c>
      <c r="Y116" s="246"/>
      <c r="Z116" s="261"/>
      <c r="AA116" s="333"/>
      <c r="AB116" s="246"/>
      <c r="AC116" s="274" t="s">
        <v>439</v>
      </c>
      <c r="AD116" s="246"/>
      <c r="AE116" s="311" t="s">
        <v>434</v>
      </c>
      <c r="AF116" s="246"/>
      <c r="AG116" s="261"/>
      <c r="AH116" s="506"/>
      <c r="AI116" s="246"/>
      <c r="AJ116" s="274" t="s">
        <v>439</v>
      </c>
      <c r="AK116" s="246"/>
      <c r="AL116" s="274" t="s">
        <v>443</v>
      </c>
      <c r="AM116" s="246"/>
      <c r="AN116" s="261"/>
      <c r="AO116" s="317"/>
      <c r="AP116" s="246"/>
      <c r="AQ116" s="274" t="s">
        <v>458</v>
      </c>
      <c r="AR116" s="246"/>
      <c r="AS116" s="274" t="s">
        <v>449</v>
      </c>
      <c r="AT116" s="254" t="str">
        <f>IF(COUNTIF($AO$86:$AT$88, AL124) &gt; 0, "X", "")</f>
        <v/>
      </c>
      <c r="AU116" s="269"/>
      <c r="AV116" s="269"/>
      <c r="AW116" s="463" t="str">
        <f t="shared" ref="AW116:BD116" si="57">AW30</f>
        <v>#REF!</v>
      </c>
      <c r="AX116" s="206">
        <f t="shared" si="57"/>
        <v>0</v>
      </c>
      <c r="AY116" s="464">
        <f t="shared" si="57"/>
        <v>0</v>
      </c>
      <c r="AZ116" s="206">
        <f t="shared" si="57"/>
        <v>0</v>
      </c>
      <c r="BA116" s="206">
        <f t="shared" si="57"/>
        <v>0</v>
      </c>
      <c r="BB116" s="206">
        <f t="shared" si="57"/>
        <v>0</v>
      </c>
      <c r="BC116" s="465">
        <f t="shared" si="57"/>
        <v>0</v>
      </c>
      <c r="BD116" s="206" t="str">
        <f t="shared" si="57"/>
        <v/>
      </c>
      <c r="BE116" s="466"/>
    </row>
    <row r="117">
      <c r="A117" s="94"/>
      <c r="B117" s="337" t="s">
        <v>665</v>
      </c>
      <c r="C117" s="338" t="s">
        <v>657</v>
      </c>
      <c r="D117" s="330"/>
      <c r="E117" s="259"/>
      <c r="F117" s="274" t="s">
        <v>439</v>
      </c>
      <c r="G117" s="246"/>
      <c r="H117" s="283" t="s">
        <v>450</v>
      </c>
      <c r="I117" s="246"/>
      <c r="J117" s="274" t="s">
        <v>409</v>
      </c>
      <c r="K117" s="246"/>
      <c r="L117" s="261"/>
      <c r="M117" s="324"/>
      <c r="N117" s="246"/>
      <c r="O117" s="283" t="s">
        <v>450</v>
      </c>
      <c r="P117" s="246"/>
      <c r="Q117" s="311" t="s">
        <v>434</v>
      </c>
      <c r="R117" s="246"/>
      <c r="S117" s="261"/>
      <c r="T117" s="324"/>
      <c r="U117" s="246"/>
      <c r="V117" s="283" t="s">
        <v>450</v>
      </c>
      <c r="W117" s="246"/>
      <c r="X117" s="274" t="s">
        <v>443</v>
      </c>
      <c r="Y117" s="246"/>
      <c r="Z117" s="261"/>
      <c r="AA117" s="324"/>
      <c r="AB117" s="246"/>
      <c r="AC117" s="336" t="s">
        <v>450</v>
      </c>
      <c r="AD117" s="246"/>
      <c r="AE117" s="274" t="s">
        <v>409</v>
      </c>
      <c r="AF117" s="246"/>
      <c r="AG117" s="261"/>
      <c r="AH117" s="506"/>
      <c r="AI117" s="246"/>
      <c r="AJ117" s="283" t="s">
        <v>450</v>
      </c>
      <c r="AK117" s="246"/>
      <c r="AL117" s="311" t="s">
        <v>434</v>
      </c>
      <c r="AM117" s="246"/>
      <c r="AN117" s="261"/>
      <c r="AO117" s="320"/>
      <c r="AP117" s="246"/>
      <c r="AQ117" s="311" t="s">
        <v>459</v>
      </c>
      <c r="AR117" s="246"/>
      <c r="AS117" s="274" t="s">
        <v>443</v>
      </c>
      <c r="AT117" s="254" t="str">
        <f t="shared" ref="AT117:AT121" si="59">IF(COUNTIF($AO$86:$AT$88, #REF!) &gt; 0, "X", "")</f>
        <v/>
      </c>
      <c r="AU117" s="269"/>
      <c r="AV117" s="269"/>
      <c r="AW117" s="463" t="str">
        <f t="shared" ref="AW117:BD117" si="58">AW31</f>
        <v>#REF!</v>
      </c>
      <c r="AX117" s="206">
        <f t="shared" si="58"/>
        <v>0</v>
      </c>
      <c r="AY117" s="464">
        <f t="shared" si="58"/>
        <v>0</v>
      </c>
      <c r="AZ117" s="206">
        <f t="shared" si="58"/>
        <v>0</v>
      </c>
      <c r="BA117" s="206">
        <f t="shared" si="58"/>
        <v>0</v>
      </c>
      <c r="BB117" s="206">
        <f t="shared" si="58"/>
        <v>0</v>
      </c>
      <c r="BC117" s="465">
        <f t="shared" si="58"/>
        <v>0</v>
      </c>
      <c r="BD117" s="206" t="str">
        <f t="shared" si="58"/>
        <v/>
      </c>
      <c r="BE117" s="466"/>
    </row>
    <row r="118">
      <c r="A118" s="94"/>
      <c r="B118" s="256" t="s">
        <v>665</v>
      </c>
      <c r="C118" s="257" t="s">
        <v>663</v>
      </c>
      <c r="D118" s="330"/>
      <c r="E118" s="259"/>
      <c r="G118" s="246"/>
      <c r="H118" s="251" t="s">
        <v>398</v>
      </c>
      <c r="I118" s="246"/>
      <c r="K118" s="246"/>
      <c r="L118" s="261"/>
      <c r="M118" s="341"/>
      <c r="N118" s="246"/>
      <c r="P118" s="246"/>
      <c r="Q118" s="274" t="s">
        <v>448</v>
      </c>
      <c r="R118" s="246"/>
      <c r="S118" s="261"/>
      <c r="T118" s="341"/>
      <c r="U118" s="246"/>
      <c r="W118" s="246"/>
      <c r="X118" s="251" t="s">
        <v>398</v>
      </c>
      <c r="Y118" s="246"/>
      <c r="Z118" s="261"/>
      <c r="AA118" s="341"/>
      <c r="AB118" s="246"/>
      <c r="AC118" s="516"/>
      <c r="AD118" s="246"/>
      <c r="AE118" s="274" t="s">
        <v>415</v>
      </c>
      <c r="AF118" s="246"/>
      <c r="AG118" s="261"/>
      <c r="AH118" s="506"/>
      <c r="AI118" s="246"/>
      <c r="AJ118" s="282"/>
      <c r="AK118" s="246"/>
      <c r="AL118" s="339" t="s">
        <v>468</v>
      </c>
      <c r="AM118" s="246"/>
      <c r="AN118" s="261"/>
      <c r="AO118" s="317"/>
      <c r="AP118" s="246"/>
      <c r="AR118" s="246"/>
      <c r="AS118" s="339" t="s">
        <v>447</v>
      </c>
      <c r="AT118" s="254" t="str">
        <f t="shared" si="59"/>
        <v/>
      </c>
      <c r="AU118" s="269"/>
      <c r="AV118" s="269"/>
      <c r="AW118" s="463" t="str">
        <f t="shared" ref="AW118:BD118" si="60">AW32</f>
        <v>#REF!</v>
      </c>
      <c r="AX118" s="206">
        <f t="shared" si="60"/>
        <v>0</v>
      </c>
      <c r="AY118" s="464">
        <f t="shared" si="60"/>
        <v>0</v>
      </c>
      <c r="AZ118" s="206">
        <f t="shared" si="60"/>
        <v>0</v>
      </c>
      <c r="BA118" s="206">
        <f t="shared" si="60"/>
        <v>0</v>
      </c>
      <c r="BB118" s="206">
        <f t="shared" si="60"/>
        <v>0</v>
      </c>
      <c r="BC118" s="465">
        <f t="shared" si="60"/>
        <v>0</v>
      </c>
      <c r="BD118" s="206" t="str">
        <f t="shared" si="60"/>
        <v/>
      </c>
      <c r="BE118" s="466"/>
    </row>
    <row r="119">
      <c r="A119" s="94"/>
      <c r="B119" s="328" t="s">
        <v>665</v>
      </c>
      <c r="C119" s="329" t="s">
        <v>645</v>
      </c>
      <c r="D119" s="323"/>
      <c r="E119" s="261"/>
      <c r="F119" s="274" t="s">
        <v>415</v>
      </c>
      <c r="G119" s="246"/>
      <c r="H119" s="311" t="s">
        <v>459</v>
      </c>
      <c r="I119" s="246"/>
      <c r="J119" s="274" t="s">
        <v>448</v>
      </c>
      <c r="K119" s="246"/>
      <c r="L119" s="261"/>
      <c r="M119" s="341"/>
      <c r="N119" s="246"/>
      <c r="O119" s="274" t="s">
        <v>439</v>
      </c>
      <c r="P119" s="246"/>
      <c r="Q119" s="274" t="s">
        <v>443</v>
      </c>
      <c r="R119" s="246"/>
      <c r="S119" s="261"/>
      <c r="T119" s="341"/>
      <c r="U119" s="246"/>
      <c r="V119" s="311" t="s">
        <v>459</v>
      </c>
      <c r="W119" s="246"/>
      <c r="X119" s="274" t="s">
        <v>448</v>
      </c>
      <c r="Y119" s="246"/>
      <c r="Z119" s="261"/>
      <c r="AA119" s="341"/>
      <c r="AB119" s="246"/>
      <c r="AC119" s="311" t="s">
        <v>459</v>
      </c>
      <c r="AD119" s="246"/>
      <c r="AE119" s="274" t="s">
        <v>448</v>
      </c>
      <c r="AF119" s="246"/>
      <c r="AG119" s="261"/>
      <c r="AH119" s="282"/>
      <c r="AI119" s="246"/>
      <c r="AJ119" s="274" t="s">
        <v>448</v>
      </c>
      <c r="AK119" s="246"/>
      <c r="AL119" s="274" t="s">
        <v>415</v>
      </c>
      <c r="AM119" s="246"/>
      <c r="AN119" s="261"/>
      <c r="AO119" s="506"/>
      <c r="AP119" s="246"/>
      <c r="AQ119" s="274" t="s">
        <v>415</v>
      </c>
      <c r="AR119" s="246"/>
      <c r="AS119" s="274" t="s">
        <v>409</v>
      </c>
      <c r="AT119" s="254" t="str">
        <f t="shared" si="59"/>
        <v/>
      </c>
      <c r="AU119" s="269"/>
      <c r="AV119" s="269"/>
      <c r="AW119" s="463" t="str">
        <f t="shared" ref="AW119:BD119" si="61">AW33</f>
        <v>#REF!</v>
      </c>
      <c r="AX119" s="206">
        <f t="shared" si="61"/>
        <v>0</v>
      </c>
      <c r="AY119" s="464">
        <f t="shared" si="61"/>
        <v>0</v>
      </c>
      <c r="AZ119" s="206">
        <f t="shared" si="61"/>
        <v>0</v>
      </c>
      <c r="BA119" s="206">
        <f t="shared" si="61"/>
        <v>0</v>
      </c>
      <c r="BB119" s="206">
        <f t="shared" si="61"/>
        <v>0</v>
      </c>
      <c r="BC119" s="465">
        <f t="shared" si="61"/>
        <v>0</v>
      </c>
      <c r="BD119" s="206" t="str">
        <f t="shared" si="61"/>
        <v/>
      </c>
      <c r="BE119" s="466"/>
    </row>
    <row r="120">
      <c r="A120" s="94"/>
      <c r="B120" s="342" t="s">
        <v>667</v>
      </c>
      <c r="C120" s="343" t="s">
        <v>657</v>
      </c>
      <c r="D120" s="351"/>
      <c r="E120" s="259"/>
      <c r="F120" s="345" t="s">
        <v>401</v>
      </c>
      <c r="G120" s="246"/>
      <c r="I120" s="246"/>
      <c r="J120" s="339" t="s">
        <v>447</v>
      </c>
      <c r="K120" s="246"/>
      <c r="L120" s="261"/>
      <c r="M120" s="346"/>
      <c r="N120" s="246"/>
      <c r="O120" s="345" t="s">
        <v>401</v>
      </c>
      <c r="P120" s="246"/>
      <c r="R120" s="246"/>
      <c r="S120" s="261"/>
      <c r="T120" s="346"/>
      <c r="U120" s="246"/>
      <c r="V120" s="347" t="s">
        <v>401</v>
      </c>
      <c r="W120" s="246"/>
      <c r="Y120" s="246"/>
      <c r="Z120" s="261"/>
      <c r="AA120" s="346"/>
      <c r="AB120" s="246"/>
      <c r="AC120" s="347" t="s">
        <v>401</v>
      </c>
      <c r="AD120" s="246"/>
      <c r="AF120" s="246"/>
      <c r="AG120" s="261"/>
      <c r="AH120" s="347" t="s">
        <v>401</v>
      </c>
      <c r="AI120" s="246"/>
      <c r="AK120" s="246"/>
      <c r="AM120" s="246"/>
      <c r="AN120" s="261"/>
      <c r="AO120" s="317"/>
      <c r="AP120" s="246"/>
      <c r="AQ120" s="347" t="s">
        <v>401</v>
      </c>
      <c r="AR120" s="246"/>
      <c r="AS120" s="339" t="s">
        <v>468</v>
      </c>
      <c r="AT120" s="254" t="str">
        <f t="shared" si="59"/>
        <v/>
      </c>
      <c r="AU120" s="269"/>
      <c r="AV120" s="269"/>
      <c r="AW120" s="463" t="str">
        <f t="shared" ref="AW120:BD120" si="62">AW34</f>
        <v>#REF!</v>
      </c>
      <c r="AX120" s="206">
        <f t="shared" si="62"/>
        <v>0</v>
      </c>
      <c r="AY120" s="464">
        <f t="shared" si="62"/>
        <v>0</v>
      </c>
      <c r="AZ120" s="206">
        <f t="shared" si="62"/>
        <v>0</v>
      </c>
      <c r="BA120" s="206">
        <f t="shared" si="62"/>
        <v>0</v>
      </c>
      <c r="BB120" s="206">
        <f t="shared" si="62"/>
        <v>0</v>
      </c>
      <c r="BC120" s="465">
        <f t="shared" si="62"/>
        <v>0</v>
      </c>
      <c r="BD120" s="206" t="str">
        <f t="shared" si="62"/>
        <v/>
      </c>
      <c r="BE120" s="466"/>
    </row>
    <row r="121">
      <c r="A121" s="94"/>
      <c r="B121" s="349" t="s">
        <v>669</v>
      </c>
      <c r="C121" s="350" t="s">
        <v>649</v>
      </c>
      <c r="D121" s="323"/>
      <c r="E121" s="259"/>
      <c r="F121" s="353" t="s">
        <v>426</v>
      </c>
      <c r="G121" s="246"/>
      <c r="H121" s="633" t="s">
        <v>420</v>
      </c>
      <c r="I121" s="246"/>
      <c r="J121" s="293" t="s">
        <v>422</v>
      </c>
      <c r="K121" s="246"/>
      <c r="L121" s="261"/>
      <c r="M121" s="354"/>
      <c r="N121" s="246"/>
      <c r="O121" s="253" t="s">
        <v>417</v>
      </c>
      <c r="P121" s="246"/>
      <c r="Q121" s="293" t="s">
        <v>422</v>
      </c>
      <c r="R121" s="246"/>
      <c r="S121" s="261"/>
      <c r="T121" s="354"/>
      <c r="U121" s="246"/>
      <c r="V121" s="355" t="s">
        <v>670</v>
      </c>
      <c r="W121" s="246"/>
      <c r="X121" s="353" t="s">
        <v>426</v>
      </c>
      <c r="Y121" s="246"/>
      <c r="Z121" s="261"/>
      <c r="AA121" s="354"/>
      <c r="AB121" s="246"/>
      <c r="AC121" s="355" t="s">
        <v>420</v>
      </c>
      <c r="AD121" s="246"/>
      <c r="AE121" s="353" t="s">
        <v>421</v>
      </c>
      <c r="AF121" s="246"/>
      <c r="AG121" s="261"/>
      <c r="AH121" s="353" t="s">
        <v>424</v>
      </c>
      <c r="AI121" s="246"/>
      <c r="AJ121" s="355" t="s">
        <v>420</v>
      </c>
      <c r="AK121" s="246"/>
      <c r="AL121" s="353" t="s">
        <v>421</v>
      </c>
      <c r="AM121" s="246"/>
      <c r="AN121" s="261"/>
      <c r="AO121" s="320"/>
      <c r="AP121" s="246"/>
      <c r="AQ121" s="645" t="s">
        <v>417</v>
      </c>
      <c r="AR121" s="246"/>
      <c r="AS121" s="293" t="s">
        <v>422</v>
      </c>
      <c r="AT121" s="254" t="str">
        <f t="shared" si="59"/>
        <v/>
      </c>
      <c r="AU121" s="269"/>
      <c r="AV121" s="269"/>
      <c r="AW121" s="463" t="str">
        <f t="shared" ref="AW121:BD121" si="63">AW35</f>
        <v>#REF!</v>
      </c>
      <c r="AX121" s="206">
        <f t="shared" si="63"/>
        <v>0</v>
      </c>
      <c r="AY121" s="464">
        <f t="shared" si="63"/>
        <v>0</v>
      </c>
      <c r="AZ121" s="206">
        <f t="shared" si="63"/>
        <v>0</v>
      </c>
      <c r="BA121" s="206">
        <f t="shared" si="63"/>
        <v>0</v>
      </c>
      <c r="BB121" s="206">
        <f t="shared" si="63"/>
        <v>0</v>
      </c>
      <c r="BC121" s="465">
        <f t="shared" si="63"/>
        <v>0</v>
      </c>
      <c r="BD121" s="206" t="str">
        <f t="shared" si="63"/>
        <v/>
      </c>
      <c r="BE121" s="466"/>
    </row>
    <row r="122">
      <c r="A122" s="234"/>
      <c r="B122" s="296" t="s">
        <v>650</v>
      </c>
      <c r="C122" s="297" t="s">
        <v>649</v>
      </c>
      <c r="D122" s="330"/>
      <c r="E122" s="259"/>
      <c r="F122" s="299"/>
      <c r="G122" s="298"/>
      <c r="H122" s="617" t="s">
        <v>397</v>
      </c>
      <c r="I122" s="298"/>
      <c r="J122" s="299"/>
      <c r="K122" s="298"/>
      <c r="L122" s="261"/>
      <c r="M122" s="324"/>
      <c r="N122" s="298"/>
      <c r="O122" s="319"/>
      <c r="P122" s="298"/>
      <c r="Q122" s="319"/>
      <c r="R122" s="298"/>
      <c r="S122" s="261"/>
      <c r="T122" s="324"/>
      <c r="U122" s="298"/>
      <c r="V122" s="645" t="s">
        <v>417</v>
      </c>
      <c r="W122" s="298"/>
      <c r="X122" s="300"/>
      <c r="Y122" s="298"/>
      <c r="Z122" s="261"/>
      <c r="AA122" s="324"/>
      <c r="AB122" s="298"/>
      <c r="AC122" s="353" t="s">
        <v>426</v>
      </c>
      <c r="AD122" s="298"/>
      <c r="AE122" s="645" t="s">
        <v>417</v>
      </c>
      <c r="AF122" s="298"/>
      <c r="AG122" s="261"/>
      <c r="AH122" s="300"/>
      <c r="AI122" s="298"/>
      <c r="AJ122" s="645" t="s">
        <v>417</v>
      </c>
      <c r="AK122" s="298"/>
      <c r="AL122" s="293" t="s">
        <v>422</v>
      </c>
      <c r="AM122" s="298"/>
      <c r="AN122" s="261"/>
      <c r="AO122" s="317"/>
      <c r="AP122" s="298"/>
      <c r="AQ122" s="299"/>
      <c r="AR122" s="298"/>
      <c r="AS122" s="299"/>
      <c r="AT122" s="254" t="str">
        <f>IF(COUNTIF($AO$86:$AT$88, AS123) &gt; 0, "X", "")</f>
        <v/>
      </c>
      <c r="AU122" s="269"/>
      <c r="AV122" s="269"/>
      <c r="AW122" s="463" t="str">
        <f t="shared" ref="AW122:BD122" si="64">AW36</f>
        <v>#REF!</v>
      </c>
      <c r="AX122" s="206">
        <f t="shared" si="64"/>
        <v>0</v>
      </c>
      <c r="AY122" s="464">
        <f t="shared" si="64"/>
        <v>0</v>
      </c>
      <c r="AZ122" s="206">
        <f t="shared" si="64"/>
        <v>0</v>
      </c>
      <c r="BA122" s="206">
        <f t="shared" si="64"/>
        <v>0</v>
      </c>
      <c r="BB122" s="206">
        <f t="shared" si="64"/>
        <v>0</v>
      </c>
      <c r="BC122" s="465">
        <f t="shared" si="64"/>
        <v>0</v>
      </c>
      <c r="BD122" s="206" t="str">
        <f t="shared" si="64"/>
        <v/>
      </c>
      <c r="BE122" s="466"/>
    </row>
    <row r="123">
      <c r="A123" s="94"/>
      <c r="B123" s="301" t="s">
        <v>651</v>
      </c>
      <c r="C123" s="302" t="s">
        <v>652</v>
      </c>
      <c r="D123" s="363"/>
      <c r="E123" s="259"/>
      <c r="F123" s="303"/>
      <c r="G123" s="298"/>
      <c r="H123" s="360" t="s">
        <v>899</v>
      </c>
      <c r="I123" s="298"/>
      <c r="J123" s="484"/>
      <c r="K123" s="298"/>
      <c r="L123" s="261"/>
      <c r="M123" s="250"/>
      <c r="N123" s="298"/>
      <c r="O123" s="303"/>
      <c r="P123" s="298"/>
      <c r="Q123" s="303"/>
      <c r="R123" s="298"/>
      <c r="S123" s="261"/>
      <c r="T123" s="250"/>
      <c r="U123" s="298"/>
      <c r="V123" s="304"/>
      <c r="W123" s="298"/>
      <c r="X123" s="484"/>
      <c r="Y123" s="298"/>
      <c r="Z123" s="261"/>
      <c r="AA123" s="250"/>
      <c r="AB123" s="298"/>
      <c r="AC123" s="303"/>
      <c r="AD123" s="298"/>
      <c r="AE123" s="303"/>
      <c r="AF123" s="298"/>
      <c r="AG123" s="261"/>
      <c r="AH123" s="304"/>
      <c r="AI123" s="298"/>
      <c r="AJ123" s="360" t="s">
        <v>899</v>
      </c>
      <c r="AK123" s="298"/>
      <c r="AL123" s="303"/>
      <c r="AM123" s="298"/>
      <c r="AN123" s="261"/>
      <c r="AO123" s="506"/>
      <c r="AP123" s="298"/>
      <c r="AQ123" s="303"/>
      <c r="AR123" s="298"/>
      <c r="AS123" s="303"/>
      <c r="AT123" s="254" t="str">
        <f t="shared" ref="AT123:AT130" si="66">IF(COUNTIF($AO$86:$AT$88, #REF!) &gt; 0, "X", "")</f>
        <v/>
      </c>
      <c r="AU123" s="269"/>
      <c r="AV123" s="269"/>
      <c r="AW123" s="463" t="str">
        <f t="shared" ref="AW123:BD123" si="65">AW37</f>
        <v>#REF!</v>
      </c>
      <c r="AX123" s="206">
        <f t="shared" si="65"/>
        <v>0</v>
      </c>
      <c r="AY123" s="464">
        <f t="shared" si="65"/>
        <v>0</v>
      </c>
      <c r="AZ123" s="206">
        <f t="shared" si="65"/>
        <v>0</v>
      </c>
      <c r="BA123" s="206">
        <f t="shared" si="65"/>
        <v>0</v>
      </c>
      <c r="BB123" s="206">
        <f t="shared" si="65"/>
        <v>0</v>
      </c>
      <c r="BC123" s="465">
        <f t="shared" si="65"/>
        <v>0</v>
      </c>
      <c r="BD123" s="206" t="str">
        <f t="shared" si="65"/>
        <v/>
      </c>
      <c r="BE123" s="466"/>
    </row>
    <row r="124">
      <c r="A124" s="94"/>
      <c r="B124" s="361" t="s">
        <v>673</v>
      </c>
      <c r="C124" s="362" t="s">
        <v>674</v>
      </c>
      <c r="D124" s="369"/>
      <c r="E124" s="259"/>
      <c r="F124" s="366" t="s">
        <v>676</v>
      </c>
      <c r="G124" s="298"/>
      <c r="H124" s="251" t="s">
        <v>412</v>
      </c>
      <c r="I124" s="298"/>
      <c r="J124" s="311" t="s">
        <v>765</v>
      </c>
      <c r="K124" s="298"/>
      <c r="L124" s="261"/>
      <c r="M124" s="324"/>
      <c r="N124" s="298"/>
      <c r="O124" s="336" t="s">
        <v>412</v>
      </c>
      <c r="P124" s="298"/>
      <c r="Q124" s="366" t="s">
        <v>676</v>
      </c>
      <c r="R124" s="298"/>
      <c r="S124" s="261"/>
      <c r="T124" s="324"/>
      <c r="U124" s="298"/>
      <c r="V124" s="251" t="s">
        <v>412</v>
      </c>
      <c r="W124" s="298"/>
      <c r="X124" s="366" t="s">
        <v>676</v>
      </c>
      <c r="Y124" s="298"/>
      <c r="Z124" s="261"/>
      <c r="AA124" s="324"/>
      <c r="AB124" s="298"/>
      <c r="AC124" s="251" t="s">
        <v>457</v>
      </c>
      <c r="AD124" s="298"/>
      <c r="AE124" s="274" t="s">
        <v>433</v>
      </c>
      <c r="AF124" s="298"/>
      <c r="AG124" s="261"/>
      <c r="AH124" s="251" t="s">
        <v>457</v>
      </c>
      <c r="AI124" s="298"/>
      <c r="AJ124" s="336" t="s">
        <v>412</v>
      </c>
      <c r="AK124" s="298"/>
      <c r="AL124" s="274" t="s">
        <v>433</v>
      </c>
      <c r="AM124" s="298"/>
      <c r="AN124" s="261"/>
      <c r="AO124" s="317"/>
      <c r="AP124" s="298"/>
      <c r="AQ124" s="251" t="s">
        <v>457</v>
      </c>
      <c r="AR124" s="298"/>
      <c r="AS124" s="274" t="s">
        <v>433</v>
      </c>
      <c r="AT124" s="254" t="str">
        <f t="shared" si="66"/>
        <v/>
      </c>
      <c r="AU124" s="269"/>
      <c r="AV124" s="269"/>
      <c r="AW124" s="463" t="str">
        <f t="shared" ref="AW124:BD124" si="67">AW38</f>
        <v>#REF!</v>
      </c>
      <c r="AX124" s="206">
        <f t="shared" si="67"/>
        <v>0</v>
      </c>
      <c r="AY124" s="464">
        <f t="shared" si="67"/>
        <v>0</v>
      </c>
      <c r="AZ124" s="206">
        <f t="shared" si="67"/>
        <v>0</v>
      </c>
      <c r="BA124" s="206">
        <f t="shared" si="67"/>
        <v>0</v>
      </c>
      <c r="BB124" s="206">
        <f t="shared" si="67"/>
        <v>0</v>
      </c>
      <c r="BC124" s="465">
        <f t="shared" si="67"/>
        <v>0</v>
      </c>
      <c r="BD124" s="206" t="str">
        <f t="shared" si="67"/>
        <v/>
      </c>
      <c r="BE124" s="466"/>
    </row>
    <row r="125">
      <c r="A125" s="94"/>
      <c r="B125" s="367" t="s">
        <v>677</v>
      </c>
      <c r="C125" s="368" t="s">
        <v>674</v>
      </c>
      <c r="D125" s="330"/>
      <c r="E125" s="259"/>
      <c r="F125" s="282"/>
      <c r="G125" s="246"/>
      <c r="I125" s="246"/>
      <c r="K125" s="246"/>
      <c r="L125" s="261"/>
      <c r="M125" s="250"/>
      <c r="N125" s="246"/>
      <c r="O125" s="282"/>
      <c r="P125" s="246"/>
      <c r="Q125" s="282"/>
      <c r="R125" s="246"/>
      <c r="S125" s="261"/>
      <c r="T125" s="250"/>
      <c r="U125" s="246"/>
      <c r="V125" s="282"/>
      <c r="W125" s="246"/>
      <c r="Y125" s="246"/>
      <c r="Z125" s="261"/>
      <c r="AA125" s="250"/>
      <c r="AB125" s="246"/>
      <c r="AD125" s="246"/>
      <c r="AF125" s="246"/>
      <c r="AG125" s="261"/>
      <c r="AH125" s="282"/>
      <c r="AI125" s="246"/>
      <c r="AJ125" s="282"/>
      <c r="AK125" s="246"/>
      <c r="AM125" s="246"/>
      <c r="AN125" s="261"/>
      <c r="AO125" s="320"/>
      <c r="AP125" s="246"/>
      <c r="AQ125" s="282"/>
      <c r="AR125" s="246"/>
      <c r="AS125" s="265"/>
      <c r="AT125" s="254" t="str">
        <f t="shared" si="66"/>
        <v/>
      </c>
      <c r="AU125" s="269"/>
      <c r="AV125" s="269"/>
      <c r="AW125" s="463" t="str">
        <f t="shared" ref="AW125:BD125" si="68">AW39</f>
        <v>#REF!</v>
      </c>
      <c r="AX125" s="206">
        <f t="shared" si="68"/>
        <v>0</v>
      </c>
      <c r="AY125" s="464">
        <f t="shared" si="68"/>
        <v>0</v>
      </c>
      <c r="AZ125" s="206">
        <f t="shared" si="68"/>
        <v>0</v>
      </c>
      <c r="BA125" s="206">
        <f t="shared" si="68"/>
        <v>0</v>
      </c>
      <c r="BB125" s="206">
        <f t="shared" si="68"/>
        <v>0</v>
      </c>
      <c r="BC125" s="465">
        <f t="shared" si="68"/>
        <v>0</v>
      </c>
      <c r="BD125" s="206" t="str">
        <f t="shared" si="68"/>
        <v/>
      </c>
      <c r="BE125" s="466"/>
    </row>
    <row r="126">
      <c r="A126" s="94"/>
      <c r="B126" s="256" t="s">
        <v>679</v>
      </c>
      <c r="C126" s="257" t="s">
        <v>680</v>
      </c>
      <c r="D126" s="330"/>
      <c r="E126" s="259"/>
      <c r="F126" s="311" t="s">
        <v>393</v>
      </c>
      <c r="G126" s="246"/>
      <c r="H126" s="374" t="s">
        <v>436</v>
      </c>
      <c r="I126" s="246"/>
      <c r="J126" s="274" t="s">
        <v>437</v>
      </c>
      <c r="K126" s="246"/>
      <c r="L126" s="261"/>
      <c r="M126" s="333"/>
      <c r="N126" s="246"/>
      <c r="O126" s="374" t="s">
        <v>436</v>
      </c>
      <c r="P126" s="246"/>
      <c r="Q126" s="376" t="s">
        <v>453</v>
      </c>
      <c r="R126" s="246"/>
      <c r="S126" s="261"/>
      <c r="T126" s="333"/>
      <c r="U126" s="246"/>
      <c r="V126" s="374" t="s">
        <v>436</v>
      </c>
      <c r="W126" s="246"/>
      <c r="X126" s="274" t="s">
        <v>433</v>
      </c>
      <c r="Y126" s="246"/>
      <c r="Z126" s="261"/>
      <c r="AA126" s="333"/>
      <c r="AB126" s="246"/>
      <c r="AC126" s="374" t="s">
        <v>436</v>
      </c>
      <c r="AD126" s="246"/>
      <c r="AE126" s="274" t="s">
        <v>449</v>
      </c>
      <c r="AF126" s="246"/>
      <c r="AG126" s="261"/>
      <c r="AH126" s="311" t="s">
        <v>393</v>
      </c>
      <c r="AI126" s="246"/>
      <c r="AJ126" s="374" t="s">
        <v>436</v>
      </c>
      <c r="AK126" s="246"/>
      <c r="AL126" s="274" t="s">
        <v>437</v>
      </c>
      <c r="AM126" s="246"/>
      <c r="AN126" s="261"/>
      <c r="AO126" s="317"/>
      <c r="AP126" s="246"/>
      <c r="AQ126" s="274" t="s">
        <v>406</v>
      </c>
      <c r="AR126" s="246"/>
      <c r="AS126" s="274" t="s">
        <v>437</v>
      </c>
      <c r="AT126" s="254" t="str">
        <f t="shared" si="66"/>
        <v/>
      </c>
      <c r="AU126" s="269"/>
      <c r="AV126" s="269"/>
      <c r="AW126" s="463" t="str">
        <f t="shared" ref="AW126:BD126" si="69">AW40</f>
        <v>#REF!</v>
      </c>
      <c r="AX126" s="206">
        <f t="shared" si="69"/>
        <v>0</v>
      </c>
      <c r="AY126" s="464">
        <f t="shared" si="69"/>
        <v>0</v>
      </c>
      <c r="AZ126" s="206">
        <f t="shared" si="69"/>
        <v>0</v>
      </c>
      <c r="BA126" s="206">
        <f t="shared" si="69"/>
        <v>0</v>
      </c>
      <c r="BB126" s="206">
        <f t="shared" si="69"/>
        <v>0</v>
      </c>
      <c r="BC126" s="465">
        <f t="shared" si="69"/>
        <v>0</v>
      </c>
      <c r="BD126" s="206" t="str">
        <f t="shared" si="69"/>
        <v/>
      </c>
      <c r="BE126" s="466"/>
    </row>
    <row r="127">
      <c r="A127" s="372"/>
      <c r="B127" s="328" t="s">
        <v>679</v>
      </c>
      <c r="C127" s="329" t="s">
        <v>652</v>
      </c>
      <c r="D127" s="330"/>
      <c r="E127" s="259"/>
      <c r="F127" s="282"/>
      <c r="G127" s="246"/>
      <c r="I127" s="246"/>
      <c r="K127" s="246"/>
      <c r="L127" s="261"/>
      <c r="M127" s="346"/>
      <c r="N127" s="246"/>
      <c r="P127" s="246"/>
      <c r="R127" s="246"/>
      <c r="S127" s="261"/>
      <c r="T127" s="346"/>
      <c r="U127" s="246"/>
      <c r="W127" s="246"/>
      <c r="Y127" s="246"/>
      <c r="Z127" s="261"/>
      <c r="AA127" s="346"/>
      <c r="AB127" s="246"/>
      <c r="AD127" s="246"/>
      <c r="AE127" s="274" t="s">
        <v>443</v>
      </c>
      <c r="AF127" s="246"/>
      <c r="AG127" s="261"/>
      <c r="AH127" s="282"/>
      <c r="AI127" s="246"/>
      <c r="AJ127" s="274" t="s">
        <v>406</v>
      </c>
      <c r="AK127" s="246"/>
      <c r="AM127" s="246"/>
      <c r="AN127" s="261"/>
      <c r="AO127" s="506"/>
      <c r="AP127" s="246"/>
      <c r="AR127" s="246"/>
      <c r="AS127" s="265"/>
      <c r="AT127" s="254" t="str">
        <f t="shared" si="66"/>
        <v/>
      </c>
      <c r="AU127" s="269"/>
      <c r="AV127" s="269"/>
      <c r="AW127" s="463" t="str">
        <f t="shared" ref="AW127:BD127" si="70">AW41</f>
        <v>#REF!</v>
      </c>
      <c r="AX127" s="206">
        <f t="shared" si="70"/>
        <v>0</v>
      </c>
      <c r="AY127" s="464">
        <f t="shared" si="70"/>
        <v>0</v>
      </c>
      <c r="AZ127" s="206">
        <f t="shared" si="70"/>
        <v>0</v>
      </c>
      <c r="BA127" s="206">
        <f t="shared" si="70"/>
        <v>0</v>
      </c>
      <c r="BB127" s="206">
        <f t="shared" si="70"/>
        <v>0</v>
      </c>
      <c r="BC127" s="465">
        <f t="shared" si="70"/>
        <v>0</v>
      </c>
      <c r="BD127" s="206" t="str">
        <f t="shared" si="70"/>
        <v/>
      </c>
      <c r="BE127" s="466"/>
    </row>
    <row r="128">
      <c r="A128" s="94"/>
      <c r="B128" s="328" t="s">
        <v>679</v>
      </c>
      <c r="C128" s="329" t="s">
        <v>683</v>
      </c>
      <c r="D128" s="379"/>
      <c r="E128" s="380"/>
      <c r="F128" s="311" t="s">
        <v>466</v>
      </c>
      <c r="G128" s="246"/>
      <c r="H128" s="274" t="s">
        <v>406</v>
      </c>
      <c r="I128" s="246"/>
      <c r="J128" s="280" t="s">
        <v>433</v>
      </c>
      <c r="K128" s="246"/>
      <c r="L128" s="261"/>
      <c r="M128" s="341"/>
      <c r="N128" s="246"/>
      <c r="O128" s="311" t="s">
        <v>407</v>
      </c>
      <c r="P128" s="246"/>
      <c r="Q128" s="311" t="s">
        <v>455</v>
      </c>
      <c r="R128" s="246"/>
      <c r="S128" s="261"/>
      <c r="T128" s="341"/>
      <c r="U128" s="246"/>
      <c r="V128" s="311" t="s">
        <v>394</v>
      </c>
      <c r="W128" s="246"/>
      <c r="X128" s="274" t="s">
        <v>439</v>
      </c>
      <c r="Y128" s="246"/>
      <c r="Z128" s="261"/>
      <c r="AA128" s="341"/>
      <c r="AB128" s="246"/>
      <c r="AC128" s="646" t="s">
        <v>676</v>
      </c>
      <c r="AD128" s="246"/>
      <c r="AF128" s="246"/>
      <c r="AG128" s="261"/>
      <c r="AH128" s="376" t="s">
        <v>453</v>
      </c>
      <c r="AI128" s="246"/>
      <c r="AJ128" s="366" t="s">
        <v>676</v>
      </c>
      <c r="AK128" s="246"/>
      <c r="AL128" s="376" t="s">
        <v>466</v>
      </c>
      <c r="AM128" s="246"/>
      <c r="AN128" s="261"/>
      <c r="AO128" s="317"/>
      <c r="AP128" s="246"/>
      <c r="AQ128" s="311" t="s">
        <v>407</v>
      </c>
      <c r="AR128" s="246"/>
      <c r="AS128" s="376" t="s">
        <v>466</v>
      </c>
      <c r="AT128" s="254" t="str">
        <f t="shared" si="66"/>
        <v/>
      </c>
      <c r="AU128" s="269"/>
      <c r="AV128" s="269"/>
      <c r="AW128" s="463" t="str">
        <f t="shared" ref="AW128:BD128" si="71">AW42</f>
        <v>#REF!</v>
      </c>
      <c r="AX128" s="206">
        <f t="shared" si="71"/>
        <v>0</v>
      </c>
      <c r="AY128" s="464">
        <f t="shared" si="71"/>
        <v>0</v>
      </c>
      <c r="AZ128" s="206">
        <f t="shared" si="71"/>
        <v>0</v>
      </c>
      <c r="BA128" s="206">
        <f t="shared" si="71"/>
        <v>0</v>
      </c>
      <c r="BB128" s="206">
        <f t="shared" si="71"/>
        <v>0</v>
      </c>
      <c r="BC128" s="465">
        <f t="shared" si="71"/>
        <v>0</v>
      </c>
      <c r="BD128" s="206" t="str">
        <f t="shared" si="71"/>
        <v/>
      </c>
      <c r="BE128" s="466"/>
    </row>
    <row r="129">
      <c r="A129" s="94"/>
      <c r="B129" s="377" t="s">
        <v>684</v>
      </c>
      <c r="C129" s="378" t="s">
        <v>685</v>
      </c>
      <c r="D129" s="363"/>
      <c r="E129" s="259"/>
      <c r="F129" s="311" t="s">
        <v>410</v>
      </c>
      <c r="G129" s="246"/>
      <c r="I129" s="246"/>
      <c r="K129" s="246"/>
      <c r="L129" s="381"/>
      <c r="M129" s="341"/>
      <c r="N129" s="246"/>
      <c r="O129" s="274" t="s">
        <v>406</v>
      </c>
      <c r="P129" s="246"/>
      <c r="Q129" s="251" t="s">
        <v>405</v>
      </c>
      <c r="R129" s="246"/>
      <c r="S129" s="381"/>
      <c r="T129" s="341"/>
      <c r="U129" s="246"/>
      <c r="V129" s="274" t="s">
        <v>406</v>
      </c>
      <c r="W129" s="246"/>
      <c r="X129" s="251" t="s">
        <v>410</v>
      </c>
      <c r="Y129" s="246"/>
      <c r="Z129" s="381"/>
      <c r="AA129" s="341"/>
      <c r="AB129" s="246"/>
      <c r="AC129" s="282"/>
      <c r="AD129" s="246"/>
      <c r="AE129" s="251" t="s">
        <v>405</v>
      </c>
      <c r="AF129" s="246"/>
      <c r="AG129" s="381"/>
      <c r="AH129" s="282"/>
      <c r="AI129" s="246"/>
      <c r="AK129" s="246"/>
      <c r="AL129" s="251" t="s">
        <v>405</v>
      </c>
      <c r="AM129" s="246"/>
      <c r="AN129" s="381"/>
      <c r="AO129" s="320"/>
      <c r="AP129" s="246"/>
      <c r="AR129" s="246"/>
      <c r="AS129" s="265"/>
      <c r="AT129" s="254" t="str">
        <f t="shared" si="66"/>
        <v/>
      </c>
      <c r="AU129" s="269"/>
      <c r="AV129" s="269"/>
      <c r="AW129" s="463" t="str">
        <f t="shared" ref="AW129:BD129" si="72">AW43</f>
        <v>#REF!</v>
      </c>
      <c r="AX129" s="206">
        <f t="shared" si="72"/>
        <v>0</v>
      </c>
      <c r="AY129" s="464">
        <f t="shared" si="72"/>
        <v>0</v>
      </c>
      <c r="AZ129" s="206">
        <f t="shared" si="72"/>
        <v>0</v>
      </c>
      <c r="BA129" s="206">
        <f t="shared" si="72"/>
        <v>0</v>
      </c>
      <c r="BB129" s="206">
        <f t="shared" si="72"/>
        <v>0</v>
      </c>
      <c r="BC129" s="465">
        <f t="shared" si="72"/>
        <v>0</v>
      </c>
      <c r="BD129" s="206" t="str">
        <f t="shared" si="72"/>
        <v/>
      </c>
      <c r="BE129" s="466"/>
    </row>
    <row r="130">
      <c r="A130" s="270"/>
      <c r="B130" s="382" t="s">
        <v>686</v>
      </c>
      <c r="C130" s="242" t="s">
        <v>652</v>
      </c>
      <c r="D130" s="330"/>
      <c r="E130" s="259"/>
      <c r="F130" s="251" t="s">
        <v>429</v>
      </c>
      <c r="G130" s="246"/>
      <c r="H130" s="280" t="s">
        <v>435</v>
      </c>
      <c r="I130" s="246"/>
      <c r="J130" s="376" t="s">
        <v>453</v>
      </c>
      <c r="K130" s="246"/>
      <c r="L130" s="261"/>
      <c r="M130" s="341"/>
      <c r="N130" s="246"/>
      <c r="O130" s="365" t="s">
        <v>435</v>
      </c>
      <c r="P130" s="246"/>
      <c r="Q130" s="251" t="s">
        <v>429</v>
      </c>
      <c r="R130" s="246"/>
      <c r="S130" s="261"/>
      <c r="T130" s="341"/>
      <c r="U130" s="246"/>
      <c r="V130" s="251" t="s">
        <v>435</v>
      </c>
      <c r="W130" s="246"/>
      <c r="X130" s="251" t="s">
        <v>429</v>
      </c>
      <c r="Y130" s="246"/>
      <c r="Z130" s="261"/>
      <c r="AA130" s="341"/>
      <c r="AB130" s="246"/>
      <c r="AC130" s="383" t="s">
        <v>428</v>
      </c>
      <c r="AD130" s="246"/>
      <c r="AE130" s="251" t="s">
        <v>429</v>
      </c>
      <c r="AF130" s="246"/>
      <c r="AG130" s="261"/>
      <c r="AH130" s="311" t="s">
        <v>455</v>
      </c>
      <c r="AI130" s="246"/>
      <c r="AJ130" s="280" t="s">
        <v>435</v>
      </c>
      <c r="AK130" s="246"/>
      <c r="AL130" s="251" t="s">
        <v>429</v>
      </c>
      <c r="AM130" s="246"/>
      <c r="AN130" s="261"/>
      <c r="AO130" s="317"/>
      <c r="AP130" s="246"/>
      <c r="AQ130" s="274" t="s">
        <v>435</v>
      </c>
      <c r="AR130" s="246"/>
      <c r="AS130" s="251" t="s">
        <v>429</v>
      </c>
      <c r="AT130" s="254" t="str">
        <f t="shared" si="66"/>
        <v/>
      </c>
      <c r="AU130" s="269"/>
      <c r="AV130" s="269"/>
      <c r="AW130" s="463" t="str">
        <f t="shared" ref="AW130:BD130" si="73">AW44</f>
        <v>#REF!</v>
      </c>
      <c r="AX130" s="206">
        <f t="shared" si="73"/>
        <v>0</v>
      </c>
      <c r="AY130" s="464">
        <f t="shared" si="73"/>
        <v>0</v>
      </c>
      <c r="AZ130" s="206">
        <f t="shared" si="73"/>
        <v>0</v>
      </c>
      <c r="BA130" s="206">
        <f t="shared" si="73"/>
        <v>0</v>
      </c>
      <c r="BB130" s="206">
        <f t="shared" si="73"/>
        <v>0</v>
      </c>
      <c r="BC130" s="465">
        <f t="shared" si="73"/>
        <v>0</v>
      </c>
      <c r="BD130" s="206" t="str">
        <f t="shared" si="73"/>
        <v/>
      </c>
      <c r="BE130" s="466"/>
    </row>
    <row r="131">
      <c r="A131" s="234"/>
      <c r="B131" s="337" t="s">
        <v>686</v>
      </c>
      <c r="C131" s="338" t="s">
        <v>687</v>
      </c>
      <c r="D131" s="330"/>
      <c r="E131" s="259"/>
      <c r="G131" s="246"/>
      <c r="H131" s="383" t="s">
        <v>428</v>
      </c>
      <c r="I131" s="246"/>
      <c r="J131" s="311" t="s">
        <v>455</v>
      </c>
      <c r="K131" s="246"/>
      <c r="L131" s="261"/>
      <c r="M131" s="250"/>
      <c r="N131" s="246"/>
      <c r="O131" s="311" t="s">
        <v>466</v>
      </c>
      <c r="P131" s="246"/>
      <c r="R131" s="246"/>
      <c r="S131" s="261"/>
      <c r="T131" s="250"/>
      <c r="U131" s="246"/>
      <c r="V131" s="383" t="s">
        <v>428</v>
      </c>
      <c r="W131" s="246"/>
      <c r="X131" s="311" t="s">
        <v>455</v>
      </c>
      <c r="Y131" s="246"/>
      <c r="Z131" s="261"/>
      <c r="AA131" s="250"/>
      <c r="AB131" s="246"/>
      <c r="AC131" s="376" t="s">
        <v>453</v>
      </c>
      <c r="AD131" s="246"/>
      <c r="AE131" s="311" t="s">
        <v>455</v>
      </c>
      <c r="AF131" s="246"/>
      <c r="AG131" s="261"/>
      <c r="AH131" s="282"/>
      <c r="AI131" s="246"/>
      <c r="AJ131" s="383" t="s">
        <v>428</v>
      </c>
      <c r="AK131" s="246"/>
      <c r="AM131" s="246"/>
      <c r="AN131" s="261"/>
      <c r="AO131" s="506"/>
      <c r="AP131" s="246"/>
      <c r="AQ131" s="383" t="s">
        <v>428</v>
      </c>
      <c r="AR131" s="246"/>
      <c r="AS131" s="376" t="s">
        <v>453</v>
      </c>
      <c r="AT131" s="254" t="str">
        <f>IF(COUNTIF($AO$86:$AT$88, AQ131) &gt; 0, "X", "")</f>
        <v/>
      </c>
      <c r="AU131" s="269"/>
      <c r="AV131" s="269"/>
      <c r="AW131" s="463" t="str">
        <f t="shared" ref="AW131:BD131" si="74">AW45</f>
        <v>#REF!</v>
      </c>
      <c r="AX131" s="206">
        <f t="shared" si="74"/>
        <v>0</v>
      </c>
      <c r="AY131" s="464">
        <f t="shared" si="74"/>
        <v>0</v>
      </c>
      <c r="AZ131" s="206">
        <f t="shared" si="74"/>
        <v>0</v>
      </c>
      <c r="BA131" s="206">
        <f t="shared" si="74"/>
        <v>0</v>
      </c>
      <c r="BB131" s="206">
        <f t="shared" si="74"/>
        <v>0</v>
      </c>
      <c r="BC131" s="465">
        <f t="shared" si="74"/>
        <v>0</v>
      </c>
      <c r="BD131" s="206" t="str">
        <f t="shared" si="74"/>
        <v/>
      </c>
      <c r="BE131" s="466"/>
    </row>
    <row r="132">
      <c r="A132" s="94"/>
      <c r="B132" s="337" t="s">
        <v>688</v>
      </c>
      <c r="C132" s="285" t="s">
        <v>687</v>
      </c>
      <c r="D132" s="389"/>
      <c r="E132" s="259"/>
      <c r="F132" s="265"/>
      <c r="G132" s="246"/>
      <c r="H132" s="265"/>
      <c r="I132" s="246"/>
      <c r="K132" s="246"/>
      <c r="L132" s="261"/>
      <c r="M132" s="262"/>
      <c r="N132" s="246"/>
      <c r="O132" s="265"/>
      <c r="P132" s="246"/>
      <c r="Q132" s="265"/>
      <c r="R132" s="246"/>
      <c r="S132" s="261"/>
      <c r="T132" s="262"/>
      <c r="U132" s="246"/>
      <c r="V132" s="265"/>
      <c r="W132" s="246"/>
      <c r="X132" s="384" t="s">
        <v>900</v>
      </c>
      <c r="Y132" s="246"/>
      <c r="Z132" s="261"/>
      <c r="AA132" s="262"/>
      <c r="AB132" s="246"/>
      <c r="AC132" s="579" t="s">
        <v>837</v>
      </c>
      <c r="AD132" s="246"/>
      <c r="AF132" s="246"/>
      <c r="AG132" s="261"/>
      <c r="AH132" s="265"/>
      <c r="AI132" s="246"/>
      <c r="AJ132" s="265"/>
      <c r="AK132" s="246"/>
      <c r="AL132" s="265"/>
      <c r="AM132" s="246"/>
      <c r="AN132" s="261"/>
      <c r="AO132" s="317"/>
      <c r="AP132" s="246"/>
      <c r="AQ132" s="265"/>
      <c r="AR132" s="246"/>
      <c r="AS132" s="265"/>
      <c r="AT132" s="254" t="str">
        <f>IF(COUNTIF($AO$86:$AT$88, #REF!) &gt; 0, "X", "")</f>
        <v/>
      </c>
      <c r="AU132" s="269"/>
      <c r="AV132" s="269"/>
      <c r="AW132" s="463" t="str">
        <f t="shared" ref="AW132:BD132" si="75">AW46</f>
        <v>#REF!</v>
      </c>
      <c r="AX132" s="206">
        <f t="shared" si="75"/>
        <v>0</v>
      </c>
      <c r="AY132" s="464">
        <f t="shared" si="75"/>
        <v>0</v>
      </c>
      <c r="AZ132" s="206">
        <f t="shared" si="75"/>
        <v>0</v>
      </c>
      <c r="BA132" s="206">
        <f t="shared" si="75"/>
        <v>0</v>
      </c>
      <c r="BB132" s="206">
        <f t="shared" si="75"/>
        <v>0</v>
      </c>
      <c r="BC132" s="465">
        <f t="shared" si="75"/>
        <v>0</v>
      </c>
      <c r="BD132" s="206" t="str">
        <f t="shared" si="75"/>
        <v/>
      </c>
      <c r="BE132" s="466"/>
    </row>
    <row r="133">
      <c r="A133" s="94"/>
      <c r="B133" s="387" t="s">
        <v>690</v>
      </c>
      <c r="C133" s="388" t="s">
        <v>649</v>
      </c>
      <c r="D133" s="323"/>
      <c r="E133" s="259"/>
      <c r="F133" s="390"/>
      <c r="G133" s="246"/>
      <c r="H133" s="390"/>
      <c r="I133" s="246"/>
      <c r="J133" s="390"/>
      <c r="K133" s="246"/>
      <c r="L133" s="261"/>
      <c r="M133" s="250"/>
      <c r="N133" s="246"/>
      <c r="O133" s="357" t="s">
        <v>420</v>
      </c>
      <c r="P133" s="246"/>
      <c r="Q133" s="390"/>
      <c r="R133" s="246"/>
      <c r="S133" s="261"/>
      <c r="T133" s="250"/>
      <c r="U133" s="246"/>
      <c r="V133" s="355" t="s">
        <v>420</v>
      </c>
      <c r="W133" s="246"/>
      <c r="X133" s="390"/>
      <c r="Y133" s="246"/>
      <c r="Z133" s="261"/>
      <c r="AA133" s="250"/>
      <c r="AB133" s="246"/>
      <c r="AC133" s="355" t="s">
        <v>670</v>
      </c>
      <c r="AD133" s="246"/>
      <c r="AE133" s="390"/>
      <c r="AF133" s="246"/>
      <c r="AG133" s="261"/>
      <c r="AH133" s="390"/>
      <c r="AI133" s="246"/>
      <c r="AJ133" s="390"/>
      <c r="AK133" s="246"/>
      <c r="AL133" s="357"/>
      <c r="AM133" s="246"/>
      <c r="AN133" s="261"/>
      <c r="AO133" s="320"/>
      <c r="AP133" s="246"/>
      <c r="AQ133" s="390"/>
      <c r="AR133" s="246"/>
      <c r="AS133" s="390"/>
      <c r="AT133" s="254" t="str">
        <f t="shared" ref="AT133:AT140" si="77">IF(COUNTIF($AO$86:$AT$88, AS134) &gt; 0, "X", "")</f>
        <v/>
      </c>
      <c r="AU133" s="269"/>
      <c r="AV133" s="269"/>
      <c r="AW133" s="463" t="str">
        <f t="shared" ref="AW133:BD133" si="76">AW47</f>
        <v>#REF!</v>
      </c>
      <c r="AX133" s="206">
        <f t="shared" si="76"/>
        <v>0</v>
      </c>
      <c r="AY133" s="464">
        <f t="shared" si="76"/>
        <v>0</v>
      </c>
      <c r="AZ133" s="206">
        <f t="shared" si="76"/>
        <v>0</v>
      </c>
      <c r="BA133" s="206">
        <f t="shared" si="76"/>
        <v>0</v>
      </c>
      <c r="BB133" s="206">
        <f t="shared" si="76"/>
        <v>0</v>
      </c>
      <c r="BC133" s="465">
        <f t="shared" si="76"/>
        <v>0</v>
      </c>
      <c r="BD133" s="206" t="str">
        <f t="shared" si="76"/>
        <v/>
      </c>
      <c r="BE133" s="466"/>
    </row>
    <row r="134">
      <c r="A134" s="94"/>
      <c r="B134" s="296" t="s">
        <v>650</v>
      </c>
      <c r="C134" s="297" t="s">
        <v>649</v>
      </c>
      <c r="D134" s="323"/>
      <c r="E134" s="261"/>
      <c r="F134" s="300"/>
      <c r="G134" s="246"/>
      <c r="H134" s="319"/>
      <c r="I134" s="246"/>
      <c r="J134" s="300"/>
      <c r="K134" s="246"/>
      <c r="L134" s="261"/>
      <c r="M134" s="250"/>
      <c r="N134" s="246"/>
      <c r="O134" s="300"/>
      <c r="P134" s="246"/>
      <c r="Q134" s="300"/>
      <c r="R134" s="246"/>
      <c r="S134" s="261"/>
      <c r="T134" s="250"/>
      <c r="U134" s="246"/>
      <c r="V134" s="319"/>
      <c r="W134" s="246"/>
      <c r="X134" s="300"/>
      <c r="Y134" s="246"/>
      <c r="Z134" s="261"/>
      <c r="AA134" s="250"/>
      <c r="AB134" s="246"/>
      <c r="AC134" s="521"/>
      <c r="AD134" s="246"/>
      <c r="AE134" s="300"/>
      <c r="AF134" s="246"/>
      <c r="AG134" s="261"/>
      <c r="AH134" s="300"/>
      <c r="AI134" s="246"/>
      <c r="AJ134" s="300"/>
      <c r="AK134" s="246"/>
      <c r="AL134" s="300"/>
      <c r="AM134" s="246"/>
      <c r="AN134" s="261"/>
      <c r="AO134" s="317"/>
      <c r="AP134" s="246"/>
      <c r="AQ134" s="300"/>
      <c r="AR134" s="246"/>
      <c r="AS134" s="300"/>
      <c r="AT134" s="254" t="str">
        <f t="shared" si="77"/>
        <v/>
      </c>
      <c r="AU134" s="269"/>
      <c r="AV134" s="269"/>
      <c r="AW134" s="463" t="str">
        <f t="shared" ref="AW134:BD134" si="78">AW48</f>
        <v>#REF!</v>
      </c>
      <c r="AX134" s="206">
        <f t="shared" si="78"/>
        <v>0</v>
      </c>
      <c r="AY134" s="464">
        <f t="shared" si="78"/>
        <v>0</v>
      </c>
      <c r="AZ134" s="206">
        <f t="shared" si="78"/>
        <v>0</v>
      </c>
      <c r="BA134" s="206">
        <f t="shared" si="78"/>
        <v>0</v>
      </c>
      <c r="BB134" s="206">
        <f t="shared" si="78"/>
        <v>0</v>
      </c>
      <c r="BC134" s="465">
        <f t="shared" si="78"/>
        <v>0</v>
      </c>
      <c r="BD134" s="206" t="str">
        <f t="shared" si="78"/>
        <v/>
      </c>
      <c r="BE134" s="466"/>
    </row>
    <row r="135">
      <c r="A135" s="94"/>
      <c r="B135" s="301" t="s">
        <v>651</v>
      </c>
      <c r="C135" s="391" t="s">
        <v>652</v>
      </c>
      <c r="D135" s="323"/>
      <c r="E135" s="259"/>
      <c r="F135" s="304"/>
      <c r="G135" s="246"/>
      <c r="H135" s="304"/>
      <c r="I135" s="246"/>
      <c r="J135" s="304"/>
      <c r="K135" s="246"/>
      <c r="L135" s="261"/>
      <c r="M135" s="250"/>
      <c r="N135" s="246"/>
      <c r="O135" s="360" t="s">
        <v>899</v>
      </c>
      <c r="P135" s="246"/>
      <c r="Q135" s="304"/>
      <c r="R135" s="246"/>
      <c r="S135" s="261"/>
      <c r="T135" s="250"/>
      <c r="U135" s="246"/>
      <c r="V135" s="360" t="s">
        <v>899</v>
      </c>
      <c r="W135" s="246"/>
      <c r="X135" s="304"/>
      <c r="Y135" s="246"/>
      <c r="Z135" s="261"/>
      <c r="AA135" s="250"/>
      <c r="AB135" s="246"/>
      <c r="AC135" s="360" t="s">
        <v>899</v>
      </c>
      <c r="AD135" s="246"/>
      <c r="AE135" s="304"/>
      <c r="AF135" s="246"/>
      <c r="AG135" s="261"/>
      <c r="AH135" s="304"/>
      <c r="AI135" s="246"/>
      <c r="AJ135" s="304"/>
      <c r="AK135" s="246"/>
      <c r="AL135" s="304"/>
      <c r="AM135" s="246"/>
      <c r="AN135" s="261"/>
      <c r="AO135" s="506"/>
      <c r="AP135" s="246"/>
      <c r="AQ135" s="304"/>
      <c r="AR135" s="246"/>
      <c r="AS135" s="304"/>
      <c r="AT135" s="254" t="str">
        <f t="shared" si="77"/>
        <v/>
      </c>
      <c r="AU135" s="269"/>
      <c r="AV135" s="269"/>
      <c r="AW135" s="463" t="str">
        <f t="shared" ref="AW135:BD135" si="79">AW49</f>
        <v>#REF!</v>
      </c>
      <c r="AX135" s="206">
        <f t="shared" si="79"/>
        <v>0</v>
      </c>
      <c r="AY135" s="464">
        <f t="shared" si="79"/>
        <v>0</v>
      </c>
      <c r="AZ135" s="206">
        <f t="shared" si="79"/>
        <v>0</v>
      </c>
      <c r="BA135" s="206">
        <f t="shared" si="79"/>
        <v>0</v>
      </c>
      <c r="BB135" s="206">
        <f t="shared" si="79"/>
        <v>0</v>
      </c>
      <c r="BC135" s="465">
        <f t="shared" si="79"/>
        <v>0</v>
      </c>
      <c r="BD135" s="206" t="str">
        <f t="shared" si="79"/>
        <v/>
      </c>
      <c r="BE135" s="466"/>
    </row>
    <row r="136">
      <c r="A136" s="94"/>
      <c r="B136" s="392" t="s">
        <v>691</v>
      </c>
      <c r="C136" s="393" t="s">
        <v>652</v>
      </c>
      <c r="D136" s="330"/>
      <c r="E136" s="259"/>
      <c r="F136" s="307"/>
      <c r="G136" s="246"/>
      <c r="H136" s="307"/>
      <c r="I136" s="246"/>
      <c r="J136" s="307"/>
      <c r="K136" s="246"/>
      <c r="L136" s="261"/>
      <c r="M136" s="250"/>
      <c r="N136" s="246"/>
      <c r="O136" s="647" t="s">
        <v>397</v>
      </c>
      <c r="P136" s="246"/>
      <c r="Q136" s="307"/>
      <c r="R136" s="246"/>
      <c r="S136" s="261"/>
      <c r="T136" s="250"/>
      <c r="U136" s="246"/>
      <c r="V136" s="647" t="s">
        <v>397</v>
      </c>
      <c r="W136" s="246"/>
      <c r="X136" s="307"/>
      <c r="Y136" s="246"/>
      <c r="Z136" s="261"/>
      <c r="AA136" s="250"/>
      <c r="AB136" s="246"/>
      <c r="AC136" s="394" t="s">
        <v>398</v>
      </c>
      <c r="AD136" s="246"/>
      <c r="AE136" s="307"/>
      <c r="AF136" s="246"/>
      <c r="AG136" s="261"/>
      <c r="AH136" s="307"/>
      <c r="AI136" s="246"/>
      <c r="AJ136" s="394"/>
      <c r="AK136" s="246"/>
      <c r="AL136" s="394"/>
      <c r="AM136" s="246"/>
      <c r="AN136" s="261"/>
      <c r="AO136" s="317"/>
      <c r="AP136" s="246"/>
      <c r="AQ136" s="307"/>
      <c r="AR136" s="246"/>
      <c r="AS136" s="307"/>
      <c r="AT136" s="254" t="str">
        <f t="shared" si="77"/>
        <v/>
      </c>
      <c r="AU136" s="269"/>
      <c r="AV136" s="269"/>
      <c r="AW136" s="463" t="str">
        <f t="shared" ref="AW136:BD136" si="80">AW50</f>
        <v>#REF!</v>
      </c>
      <c r="AX136" s="206">
        <f t="shared" si="80"/>
        <v>0</v>
      </c>
      <c r="AY136" s="464">
        <f t="shared" si="80"/>
        <v>0</v>
      </c>
      <c r="AZ136" s="206">
        <f t="shared" si="80"/>
        <v>0</v>
      </c>
      <c r="BA136" s="206">
        <f t="shared" si="80"/>
        <v>0</v>
      </c>
      <c r="BB136" s="206">
        <f t="shared" si="80"/>
        <v>0</v>
      </c>
      <c r="BC136" s="465">
        <f t="shared" si="80"/>
        <v>0</v>
      </c>
      <c r="BD136" s="206" t="str">
        <f t="shared" si="80"/>
        <v/>
      </c>
      <c r="BE136" s="466"/>
    </row>
    <row r="137">
      <c r="A137" s="94"/>
      <c r="B137" s="328" t="s">
        <v>692</v>
      </c>
      <c r="C137" s="329" t="s">
        <v>652</v>
      </c>
      <c r="D137" s="369"/>
      <c r="E137" s="259"/>
      <c r="F137" s="282"/>
      <c r="G137" s="246"/>
      <c r="H137" s="371"/>
      <c r="I137" s="246"/>
      <c r="J137" s="371"/>
      <c r="K137" s="246"/>
      <c r="L137" s="261"/>
      <c r="M137" s="250"/>
      <c r="N137" s="246"/>
      <c r="P137" s="246"/>
      <c r="Q137" s="371"/>
      <c r="R137" s="246"/>
      <c r="S137" s="261"/>
      <c r="T137" s="250"/>
      <c r="U137" s="246"/>
      <c r="W137" s="246"/>
      <c r="X137" s="282"/>
      <c r="Y137" s="246"/>
      <c r="Z137" s="261"/>
      <c r="AA137" s="250"/>
      <c r="AB137" s="246"/>
      <c r="AC137" s="371"/>
      <c r="AD137" s="246"/>
      <c r="AF137" s="246"/>
      <c r="AG137" s="261"/>
      <c r="AH137" s="371"/>
      <c r="AI137" s="246"/>
      <c r="AJ137" s="371"/>
      <c r="AK137" s="246"/>
      <c r="AL137" s="371"/>
      <c r="AM137" s="246"/>
      <c r="AN137" s="261"/>
      <c r="AO137" s="320"/>
      <c r="AP137" s="246"/>
      <c r="AQ137" s="371"/>
      <c r="AR137" s="246"/>
      <c r="AS137" s="371"/>
      <c r="AT137" s="254" t="str">
        <f t="shared" si="77"/>
        <v/>
      </c>
      <c r="AU137" s="269"/>
      <c r="AV137" s="269"/>
      <c r="AW137" s="463" t="str">
        <f t="shared" ref="AW137:BD137" si="81">AW51</f>
        <v>#REF!</v>
      </c>
      <c r="AX137" s="206">
        <f t="shared" si="81"/>
        <v>0</v>
      </c>
      <c r="AY137" s="464">
        <f t="shared" si="81"/>
        <v>0</v>
      </c>
      <c r="AZ137" s="206">
        <f t="shared" si="81"/>
        <v>0</v>
      </c>
      <c r="BA137" s="206">
        <f t="shared" si="81"/>
        <v>0</v>
      </c>
      <c r="BB137" s="206">
        <f t="shared" si="81"/>
        <v>0</v>
      </c>
      <c r="BC137" s="465">
        <f t="shared" si="81"/>
        <v>0</v>
      </c>
      <c r="BD137" s="206" t="str">
        <f t="shared" si="81"/>
        <v/>
      </c>
      <c r="BE137" s="466"/>
    </row>
    <row r="138">
      <c r="A138" s="94"/>
      <c r="B138" s="397" t="s">
        <v>692</v>
      </c>
      <c r="C138" s="398" t="s">
        <v>687</v>
      </c>
      <c r="D138" s="389"/>
      <c r="E138" s="259"/>
      <c r="F138" s="399"/>
      <c r="G138" s="246"/>
      <c r="H138" s="399"/>
      <c r="I138" s="246"/>
      <c r="J138" s="399"/>
      <c r="K138" s="246"/>
      <c r="L138" s="261"/>
      <c r="M138" s="250"/>
      <c r="N138" s="246"/>
      <c r="O138" s="282"/>
      <c r="P138" s="246"/>
      <c r="Q138" s="399"/>
      <c r="R138" s="246"/>
      <c r="S138" s="261"/>
      <c r="T138" s="250"/>
      <c r="U138" s="246"/>
      <c r="V138" s="282"/>
      <c r="W138" s="246"/>
      <c r="X138" s="282"/>
      <c r="Y138" s="246"/>
      <c r="Z138" s="261"/>
      <c r="AA138" s="250"/>
      <c r="AB138" s="246"/>
      <c r="AC138" s="399"/>
      <c r="AD138" s="246"/>
      <c r="AE138" s="399"/>
      <c r="AF138" s="246"/>
      <c r="AG138" s="261"/>
      <c r="AH138" s="399"/>
      <c r="AI138" s="246"/>
      <c r="AJ138" s="399"/>
      <c r="AK138" s="246"/>
      <c r="AL138" s="399"/>
      <c r="AM138" s="246"/>
      <c r="AN138" s="261"/>
      <c r="AO138" s="317"/>
      <c r="AP138" s="246"/>
      <c r="AQ138" s="399"/>
      <c r="AR138" s="246"/>
      <c r="AS138" s="399"/>
      <c r="AT138" s="254" t="str">
        <f t="shared" si="77"/>
        <v/>
      </c>
      <c r="AU138" s="269"/>
      <c r="AV138" s="269"/>
      <c r="AW138" s="463" t="str">
        <f t="shared" ref="AW138:BD138" si="82">AW52</f>
        <v>#REF!</v>
      </c>
      <c r="AX138" s="206">
        <f t="shared" si="82"/>
        <v>0</v>
      </c>
      <c r="AY138" s="464">
        <f t="shared" si="82"/>
        <v>0</v>
      </c>
      <c r="AZ138" s="206">
        <f t="shared" si="82"/>
        <v>0</v>
      </c>
      <c r="BA138" s="206">
        <f t="shared" si="82"/>
        <v>0</v>
      </c>
      <c r="BB138" s="206">
        <f t="shared" si="82"/>
        <v>0</v>
      </c>
      <c r="BC138" s="465">
        <f t="shared" si="82"/>
        <v>0</v>
      </c>
      <c r="BD138" s="206" t="str">
        <f t="shared" si="82"/>
        <v/>
      </c>
      <c r="BE138" s="466"/>
    </row>
    <row r="139">
      <c r="A139" s="94"/>
      <c r="B139" s="387" t="s">
        <v>694</v>
      </c>
      <c r="C139" s="388" t="s">
        <v>649</v>
      </c>
      <c r="D139" s="323"/>
      <c r="E139" s="259"/>
      <c r="F139" s="390"/>
      <c r="G139" s="246"/>
      <c r="H139" s="390"/>
      <c r="I139" s="246"/>
      <c r="J139" s="390"/>
      <c r="K139" s="246"/>
      <c r="L139" s="261"/>
      <c r="M139" s="250"/>
      <c r="N139" s="246"/>
      <c r="O139" s="390"/>
      <c r="P139" s="246"/>
      <c r="Q139" s="357" t="s">
        <v>425</v>
      </c>
      <c r="R139" s="246"/>
      <c r="S139" s="261"/>
      <c r="T139" s="250"/>
      <c r="U139" s="246"/>
      <c r="V139" s="390"/>
      <c r="W139" s="246"/>
      <c r="X139" s="357" t="s">
        <v>425</v>
      </c>
      <c r="Y139" s="246"/>
      <c r="Z139" s="261"/>
      <c r="AA139" s="250"/>
      <c r="AB139" s="246"/>
      <c r="AC139" s="390"/>
      <c r="AD139" s="246"/>
      <c r="AE139" s="357" t="s">
        <v>425</v>
      </c>
      <c r="AF139" s="246"/>
      <c r="AG139" s="261"/>
      <c r="AH139" s="390"/>
      <c r="AI139" s="246"/>
      <c r="AJ139" s="390"/>
      <c r="AK139" s="246"/>
      <c r="AL139" s="390"/>
      <c r="AM139" s="246"/>
      <c r="AN139" s="261"/>
      <c r="AO139" s="506"/>
      <c r="AP139" s="246"/>
      <c r="AQ139" s="390"/>
      <c r="AR139" s="246"/>
      <c r="AS139" s="357"/>
      <c r="AT139" s="254" t="str">
        <f t="shared" si="77"/>
        <v/>
      </c>
      <c r="AU139" s="269"/>
      <c r="AV139" s="269"/>
      <c r="AW139" s="463" t="str">
        <f t="shared" ref="AW139:BD139" si="83">AW53</f>
        <v>#REF!</v>
      </c>
      <c r="AX139" s="206">
        <f t="shared" si="83"/>
        <v>0</v>
      </c>
      <c r="AY139" s="464">
        <f t="shared" si="83"/>
        <v>0</v>
      </c>
      <c r="AZ139" s="206">
        <f t="shared" si="83"/>
        <v>0</v>
      </c>
      <c r="BA139" s="206">
        <f t="shared" si="83"/>
        <v>0</v>
      </c>
      <c r="BB139" s="206">
        <f t="shared" si="83"/>
        <v>0</v>
      </c>
      <c r="BC139" s="465">
        <f t="shared" si="83"/>
        <v>0</v>
      </c>
      <c r="BD139" s="206" t="str">
        <f t="shared" si="83"/>
        <v/>
      </c>
      <c r="BE139" s="466"/>
    </row>
    <row r="140">
      <c r="A140" s="94"/>
      <c r="B140" s="296" t="s">
        <v>650</v>
      </c>
      <c r="C140" s="297" t="s">
        <v>649</v>
      </c>
      <c r="D140" s="323"/>
      <c r="E140" s="261"/>
      <c r="F140" s="300"/>
      <c r="G140" s="298"/>
      <c r="H140" s="300"/>
      <c r="I140" s="298"/>
      <c r="J140" s="300"/>
      <c r="K140" s="298"/>
      <c r="L140" s="261"/>
      <c r="M140" s="250"/>
      <c r="N140" s="298"/>
      <c r="O140" s="300"/>
      <c r="P140" s="298"/>
      <c r="Q140" s="319"/>
      <c r="R140" s="298"/>
      <c r="S140" s="261"/>
      <c r="T140" s="250"/>
      <c r="U140" s="298"/>
      <c r="V140" s="300"/>
      <c r="W140" s="298"/>
      <c r="X140" s="300"/>
      <c r="Y140" s="298"/>
      <c r="Z140" s="261"/>
      <c r="AA140" s="250"/>
      <c r="AB140" s="298"/>
      <c r="AC140" s="300"/>
      <c r="AD140" s="298"/>
      <c r="AE140" s="300"/>
      <c r="AF140" s="298"/>
      <c r="AG140" s="261"/>
      <c r="AH140" s="300"/>
      <c r="AI140" s="298"/>
      <c r="AJ140" s="300"/>
      <c r="AK140" s="298"/>
      <c r="AL140" s="300"/>
      <c r="AM140" s="298"/>
      <c r="AN140" s="261"/>
      <c r="AO140" s="317"/>
      <c r="AP140" s="298"/>
      <c r="AQ140" s="300"/>
      <c r="AR140" s="298"/>
      <c r="AS140" s="299"/>
      <c r="AT140" s="254" t="str">
        <f t="shared" si="77"/>
        <v/>
      </c>
      <c r="AU140" s="269"/>
      <c r="AV140" s="269"/>
      <c r="AW140" s="648" t="str">
        <f t="shared" ref="AW140:BD140" si="84">AW54</f>
        <v>#REF!</v>
      </c>
      <c r="AX140" s="206">
        <f t="shared" si="84"/>
        <v>0</v>
      </c>
      <c r="AY140" s="464">
        <f t="shared" si="84"/>
        <v>0</v>
      </c>
      <c r="AZ140" s="206">
        <f t="shared" si="84"/>
        <v>0</v>
      </c>
      <c r="BA140" s="206">
        <f t="shared" si="84"/>
        <v>0</v>
      </c>
      <c r="BB140" s="206">
        <f t="shared" si="84"/>
        <v>0</v>
      </c>
      <c r="BC140" s="465">
        <f t="shared" si="84"/>
        <v>0</v>
      </c>
      <c r="BD140" s="206" t="str">
        <f t="shared" si="84"/>
        <v/>
      </c>
      <c r="BE140" s="466"/>
    </row>
    <row r="141">
      <c r="A141" s="94"/>
      <c r="B141" s="301" t="s">
        <v>651</v>
      </c>
      <c r="C141" s="391" t="s">
        <v>652</v>
      </c>
      <c r="D141" s="323"/>
      <c r="E141" s="259"/>
      <c r="F141" s="304"/>
      <c r="G141" s="298"/>
      <c r="H141" s="304"/>
      <c r="I141" s="298"/>
      <c r="J141" s="304"/>
      <c r="K141" s="298"/>
      <c r="L141" s="261"/>
      <c r="M141" s="250"/>
      <c r="N141" s="298"/>
      <c r="O141" s="304"/>
      <c r="P141" s="298"/>
      <c r="Q141" s="304"/>
      <c r="R141" s="298"/>
      <c r="S141" s="261"/>
      <c r="T141" s="250"/>
      <c r="U141" s="298"/>
      <c r="V141" s="304"/>
      <c r="W141" s="298"/>
      <c r="X141" s="304"/>
      <c r="Y141" s="298"/>
      <c r="Z141" s="261"/>
      <c r="AA141" s="250"/>
      <c r="AB141" s="298"/>
      <c r="AC141" s="304"/>
      <c r="AD141" s="298"/>
      <c r="AE141" s="304"/>
      <c r="AF141" s="298"/>
      <c r="AG141" s="261"/>
      <c r="AH141" s="304"/>
      <c r="AI141" s="298"/>
      <c r="AJ141" s="304"/>
      <c r="AK141" s="298"/>
      <c r="AL141" s="304"/>
      <c r="AM141" s="298"/>
      <c r="AN141" s="261"/>
      <c r="AO141" s="320"/>
      <c r="AP141" s="298"/>
      <c r="AQ141" s="304"/>
      <c r="AR141" s="298"/>
      <c r="AS141" s="303"/>
      <c r="AT141" s="254" t="str">
        <f t="shared" ref="AT141:AT142" si="86">IF(COUNTIF($AO$86:$AT$88, #REF!) &gt; 0, "X", "")</f>
        <v/>
      </c>
      <c r="AU141" s="269"/>
      <c r="AV141" s="269"/>
      <c r="AW141" s="463" t="str">
        <f t="shared" ref="AW141:BD141" si="85">AW55</f>
        <v>#REF!</v>
      </c>
      <c r="AX141" s="206">
        <f t="shared" si="85"/>
        <v>0</v>
      </c>
      <c r="AY141" s="464">
        <f t="shared" si="85"/>
        <v>0</v>
      </c>
      <c r="AZ141" s="206">
        <f t="shared" si="85"/>
        <v>0</v>
      </c>
      <c r="BA141" s="206">
        <f t="shared" si="85"/>
        <v>0</v>
      </c>
      <c r="BB141" s="206">
        <f t="shared" si="85"/>
        <v>0</v>
      </c>
      <c r="BC141" s="465">
        <f t="shared" si="85"/>
        <v>0</v>
      </c>
      <c r="BD141" s="206" t="str">
        <f t="shared" si="85"/>
        <v/>
      </c>
      <c r="BE141" s="466"/>
    </row>
    <row r="142">
      <c r="A142" s="94"/>
      <c r="B142" s="392" t="s">
        <v>691</v>
      </c>
      <c r="C142" s="393" t="s">
        <v>652</v>
      </c>
      <c r="D142" s="330"/>
      <c r="E142" s="259"/>
      <c r="F142" s="307"/>
      <c r="G142" s="298"/>
      <c r="H142" s="307"/>
      <c r="I142" s="298"/>
      <c r="J142" s="307"/>
      <c r="K142" s="298"/>
      <c r="L142" s="261"/>
      <c r="M142" s="250"/>
      <c r="N142" s="298"/>
      <c r="O142" s="307"/>
      <c r="P142" s="298"/>
      <c r="Q142" s="307"/>
      <c r="R142" s="298"/>
      <c r="S142" s="261"/>
      <c r="T142" s="250"/>
      <c r="U142" s="298"/>
      <c r="V142" s="307"/>
      <c r="W142" s="298"/>
      <c r="X142" s="492" t="s">
        <v>430</v>
      </c>
      <c r="Y142" s="298"/>
      <c r="Z142" s="261"/>
      <c r="AA142" s="250"/>
      <c r="AB142" s="298"/>
      <c r="AC142" s="307"/>
      <c r="AD142" s="298"/>
      <c r="AE142" s="492" t="s">
        <v>430</v>
      </c>
      <c r="AF142" s="298"/>
      <c r="AG142" s="261"/>
      <c r="AH142" s="307"/>
      <c r="AI142" s="298"/>
      <c r="AJ142" s="307"/>
      <c r="AK142" s="298"/>
      <c r="AL142" s="308"/>
      <c r="AM142" s="298"/>
      <c r="AN142" s="261"/>
      <c r="AO142" s="317"/>
      <c r="AP142" s="298"/>
      <c r="AQ142" s="307"/>
      <c r="AR142" s="298"/>
      <c r="AS142" s="308"/>
      <c r="AT142" s="254" t="str">
        <f t="shared" si="86"/>
        <v/>
      </c>
      <c r="AU142" s="269"/>
      <c r="AV142" s="269"/>
      <c r="AW142" s="463" t="str">
        <f t="shared" ref="AW142:BD142" si="87">AW56</f>
        <v>#REF!</v>
      </c>
      <c r="AX142" s="206">
        <f t="shared" si="87"/>
        <v>0</v>
      </c>
      <c r="AY142" s="464">
        <f t="shared" si="87"/>
        <v>0</v>
      </c>
      <c r="AZ142" s="206">
        <f t="shared" si="87"/>
        <v>0</v>
      </c>
      <c r="BA142" s="206">
        <f t="shared" si="87"/>
        <v>0</v>
      </c>
      <c r="BB142" s="206">
        <f t="shared" si="87"/>
        <v>0</v>
      </c>
      <c r="BC142" s="465">
        <f t="shared" si="87"/>
        <v>0</v>
      </c>
      <c r="BD142" s="206" t="str">
        <f t="shared" si="87"/>
        <v/>
      </c>
      <c r="BE142" s="466"/>
    </row>
    <row r="143">
      <c r="A143" s="94"/>
      <c r="B143" s="328" t="s">
        <v>692</v>
      </c>
      <c r="C143" s="329" t="s">
        <v>652</v>
      </c>
      <c r="D143" s="369"/>
      <c r="E143" s="259"/>
      <c r="F143" s="371"/>
      <c r="G143" s="246"/>
      <c r="H143" s="371"/>
      <c r="I143" s="246"/>
      <c r="J143" s="282"/>
      <c r="K143" s="246"/>
      <c r="L143" s="261"/>
      <c r="M143" s="250"/>
      <c r="N143" s="246"/>
      <c r="O143" s="371"/>
      <c r="P143" s="246"/>
      <c r="Q143" s="282"/>
      <c r="R143" s="246"/>
      <c r="S143" s="261"/>
      <c r="T143" s="250"/>
      <c r="U143" s="246"/>
      <c r="W143" s="246"/>
      <c r="Y143" s="246"/>
      <c r="Z143" s="261"/>
      <c r="AA143" s="250"/>
      <c r="AB143" s="246"/>
      <c r="AC143" s="282"/>
      <c r="AD143" s="246"/>
      <c r="AF143" s="246"/>
      <c r="AG143" s="261"/>
      <c r="AH143" s="371"/>
      <c r="AI143" s="246"/>
      <c r="AJ143" s="371"/>
      <c r="AK143" s="246"/>
      <c r="AL143" s="282"/>
      <c r="AM143" s="246"/>
      <c r="AN143" s="261"/>
      <c r="AO143" s="506"/>
      <c r="AP143" s="246"/>
      <c r="AQ143" s="371"/>
      <c r="AR143" s="246"/>
      <c r="AS143" s="282"/>
      <c r="AT143" s="254" t="str">
        <f t="shared" ref="AT143:AT146" si="89">IF(COUNTIF($AO$86:$AT$88, AS144) &gt; 0, "X", "")</f>
        <v/>
      </c>
      <c r="AU143" s="269"/>
      <c r="AV143" s="269"/>
      <c r="AW143" s="463" t="str">
        <f t="shared" ref="AW143:BD143" si="88">AW57</f>
        <v>#REF!</v>
      </c>
      <c r="AX143" s="206">
        <f t="shared" si="88"/>
        <v>0</v>
      </c>
      <c r="AY143" s="464">
        <f t="shared" si="88"/>
        <v>0</v>
      </c>
      <c r="AZ143" s="206">
        <f t="shared" si="88"/>
        <v>0</v>
      </c>
      <c r="BA143" s="206">
        <f t="shared" si="88"/>
        <v>0</v>
      </c>
      <c r="BB143" s="206">
        <f t="shared" si="88"/>
        <v>0</v>
      </c>
      <c r="BC143" s="465">
        <f t="shared" si="88"/>
        <v>0</v>
      </c>
      <c r="BD143" s="206" t="str">
        <f t="shared" si="88"/>
        <v/>
      </c>
      <c r="BE143" s="466"/>
    </row>
    <row r="144">
      <c r="A144" s="94"/>
      <c r="B144" s="397" t="s">
        <v>692</v>
      </c>
      <c r="C144" s="398" t="s">
        <v>687</v>
      </c>
      <c r="D144" s="404"/>
      <c r="E144" s="259"/>
      <c r="F144" s="399"/>
      <c r="G144" s="246"/>
      <c r="H144" s="399"/>
      <c r="I144" s="246"/>
      <c r="J144" s="252"/>
      <c r="K144" s="246"/>
      <c r="L144" s="261"/>
      <c r="M144" s="250"/>
      <c r="N144" s="246"/>
      <c r="O144" s="399"/>
      <c r="P144" s="246"/>
      <c r="Q144" s="399"/>
      <c r="R144" s="246"/>
      <c r="S144" s="261"/>
      <c r="T144" s="250"/>
      <c r="U144" s="246"/>
      <c r="V144" s="399"/>
      <c r="W144" s="246"/>
      <c r="X144" s="399"/>
      <c r="Y144" s="246"/>
      <c r="Z144" s="261"/>
      <c r="AA144" s="250"/>
      <c r="AB144" s="246"/>
      <c r="AC144" s="282"/>
      <c r="AD144" s="246"/>
      <c r="AF144" s="246"/>
      <c r="AG144" s="261"/>
      <c r="AH144" s="399"/>
      <c r="AI144" s="246"/>
      <c r="AJ144" s="399"/>
      <c r="AK144" s="246"/>
      <c r="AL144" s="399"/>
      <c r="AM144" s="246"/>
      <c r="AN144" s="261"/>
      <c r="AO144" s="317"/>
      <c r="AP144" s="246"/>
      <c r="AQ144" s="399"/>
      <c r="AR144" s="246"/>
      <c r="AS144" s="399"/>
      <c r="AT144" s="254" t="str">
        <f t="shared" si="89"/>
        <v/>
      </c>
      <c r="AU144" s="269"/>
      <c r="AV144" s="269"/>
      <c r="AW144" s="463" t="str">
        <f t="shared" ref="AW144:BD144" si="90">AW58</f>
        <v>#REF!</v>
      </c>
      <c r="AX144" s="206">
        <f t="shared" si="90"/>
        <v>0</v>
      </c>
      <c r="AY144" s="464">
        <f t="shared" si="90"/>
        <v>0</v>
      </c>
      <c r="AZ144" s="206">
        <f t="shared" si="90"/>
        <v>0</v>
      </c>
      <c r="BA144" s="206">
        <f t="shared" si="90"/>
        <v>0</v>
      </c>
      <c r="BB144" s="206">
        <f t="shared" si="90"/>
        <v>0</v>
      </c>
      <c r="BC144" s="465">
        <f t="shared" si="90"/>
        <v>0</v>
      </c>
      <c r="BD144" s="206" t="str">
        <f t="shared" si="90"/>
        <v/>
      </c>
      <c r="BE144" s="466"/>
    </row>
    <row r="145">
      <c r="A145" s="270"/>
      <c r="B145" s="402" t="s">
        <v>699</v>
      </c>
      <c r="C145" s="403" t="s">
        <v>649</v>
      </c>
      <c r="D145" s="330"/>
      <c r="E145" s="259"/>
      <c r="F145" s="294"/>
      <c r="G145" s="246"/>
      <c r="H145" s="294"/>
      <c r="I145" s="246"/>
      <c r="J145" s="294"/>
      <c r="K145" s="246"/>
      <c r="L145" s="261"/>
      <c r="M145" s="250"/>
      <c r="N145" s="246"/>
      <c r="O145" s="294"/>
      <c r="P145" s="246"/>
      <c r="Q145" s="353" t="s">
        <v>426</v>
      </c>
      <c r="R145" s="246"/>
      <c r="S145" s="261"/>
      <c r="T145" s="250"/>
      <c r="U145" s="246"/>
      <c r="V145" s="294"/>
      <c r="W145" s="246"/>
      <c r="X145" s="294"/>
      <c r="Y145" s="246"/>
      <c r="Z145" s="261"/>
      <c r="AA145" s="250"/>
      <c r="AB145" s="246"/>
      <c r="AC145" s="294"/>
      <c r="AD145" s="246"/>
      <c r="AE145" s="293" t="s">
        <v>422</v>
      </c>
      <c r="AF145" s="246"/>
      <c r="AG145" s="261"/>
      <c r="AH145" s="294"/>
      <c r="AI145" s="246"/>
      <c r="AJ145" s="294"/>
      <c r="AK145" s="246"/>
      <c r="AL145" s="294"/>
      <c r="AM145" s="246"/>
      <c r="AN145" s="261"/>
      <c r="AO145" s="320"/>
      <c r="AP145" s="246"/>
      <c r="AQ145" s="294"/>
      <c r="AR145" s="246"/>
      <c r="AS145" s="294"/>
      <c r="AT145" s="254" t="str">
        <f t="shared" si="89"/>
        <v/>
      </c>
      <c r="AU145" s="269"/>
      <c r="AV145" s="269"/>
      <c r="AW145" s="463" t="str">
        <f t="shared" ref="AW145:BD145" si="91">AW59</f>
        <v>#REF!</v>
      </c>
      <c r="AX145" s="206">
        <f t="shared" si="91"/>
        <v>0</v>
      </c>
      <c r="AY145" s="464">
        <f t="shared" si="91"/>
        <v>0</v>
      </c>
      <c r="AZ145" s="206">
        <f t="shared" si="91"/>
        <v>0</v>
      </c>
      <c r="BA145" s="206">
        <f t="shared" si="91"/>
        <v>0</v>
      </c>
      <c r="BB145" s="206">
        <f t="shared" si="91"/>
        <v>0</v>
      </c>
      <c r="BC145" s="465">
        <f t="shared" si="91"/>
        <v>0</v>
      </c>
      <c r="BD145" s="206" t="str">
        <f t="shared" si="91"/>
        <v/>
      </c>
      <c r="BE145" s="466"/>
    </row>
    <row r="146">
      <c r="A146" s="94"/>
      <c r="B146" s="328" t="s">
        <v>700</v>
      </c>
      <c r="C146" s="329" t="s">
        <v>657</v>
      </c>
      <c r="D146" s="330"/>
      <c r="E146" s="259"/>
      <c r="F146" s="371"/>
      <c r="G146" s="246"/>
      <c r="H146" s="282"/>
      <c r="I146" s="246"/>
      <c r="J146" s="282"/>
      <c r="K146" s="246"/>
      <c r="L146" s="261"/>
      <c r="M146" s="250"/>
      <c r="N146" s="246"/>
      <c r="O146" s="371"/>
      <c r="P146" s="246"/>
      <c r="Q146" s="280" t="s">
        <v>437</v>
      </c>
      <c r="R146" s="246"/>
      <c r="S146" s="261"/>
      <c r="T146" s="250"/>
      <c r="U146" s="246"/>
      <c r="V146" s="371"/>
      <c r="W146" s="246"/>
      <c r="X146" s="371"/>
      <c r="Y146" s="246"/>
      <c r="Z146" s="261"/>
      <c r="AA146" s="250"/>
      <c r="AB146" s="246"/>
      <c r="AC146" s="371"/>
      <c r="AD146" s="246"/>
      <c r="AE146" s="274" t="s">
        <v>437</v>
      </c>
      <c r="AF146" s="246"/>
      <c r="AG146" s="261"/>
      <c r="AH146" s="371"/>
      <c r="AI146" s="246"/>
      <c r="AJ146" s="371"/>
      <c r="AK146" s="246"/>
      <c r="AL146" s="371"/>
      <c r="AM146" s="246"/>
      <c r="AN146" s="261"/>
      <c r="AO146" s="317"/>
      <c r="AP146" s="246"/>
      <c r="AQ146" s="371"/>
      <c r="AR146" s="246"/>
      <c r="AS146" s="371"/>
      <c r="AT146" s="254" t="str">
        <f t="shared" si="89"/>
        <v/>
      </c>
      <c r="AU146" s="269"/>
      <c r="AV146" s="269"/>
      <c r="AW146" s="463" t="str">
        <f t="shared" ref="AW146:BD146" si="92">AW60</f>
        <v>#REF!</v>
      </c>
      <c r="AX146" s="206">
        <f t="shared" si="92"/>
        <v>0</v>
      </c>
      <c r="AY146" s="464">
        <f t="shared" si="92"/>
        <v>0</v>
      </c>
      <c r="AZ146" s="206">
        <f t="shared" si="92"/>
        <v>0</v>
      </c>
      <c r="BA146" s="206">
        <f t="shared" si="92"/>
        <v>0</v>
      </c>
      <c r="BB146" s="206">
        <f t="shared" si="92"/>
        <v>0</v>
      </c>
      <c r="BC146" s="465">
        <f t="shared" si="92"/>
        <v>0</v>
      </c>
      <c r="BD146" s="206" t="str">
        <f t="shared" si="92"/>
        <v/>
      </c>
      <c r="BE146" s="466"/>
    </row>
    <row r="147">
      <c r="A147" s="94"/>
      <c r="B147" s="328" t="s">
        <v>700</v>
      </c>
      <c r="C147" s="329" t="s">
        <v>657</v>
      </c>
      <c r="D147" s="330"/>
      <c r="E147" s="259"/>
      <c r="F147" s="264"/>
      <c r="G147" s="246"/>
      <c r="H147" s="265"/>
      <c r="I147" s="246"/>
      <c r="K147" s="246"/>
      <c r="L147" s="261"/>
      <c r="M147" s="262"/>
      <c r="N147" s="246"/>
      <c r="O147" s="264"/>
      <c r="P147" s="246"/>
      <c r="Q147" s="405" t="s">
        <v>462</v>
      </c>
      <c r="R147" s="246"/>
      <c r="S147" s="261"/>
      <c r="T147" s="262"/>
      <c r="U147" s="246"/>
      <c r="V147" s="264"/>
      <c r="W147" s="246"/>
      <c r="X147" s="264"/>
      <c r="Y147" s="246"/>
      <c r="Z147" s="261"/>
      <c r="AA147" s="262"/>
      <c r="AB147" s="246"/>
      <c r="AC147" s="264"/>
      <c r="AD147" s="246"/>
      <c r="AE147" s="405" t="s">
        <v>462</v>
      </c>
      <c r="AF147" s="246"/>
      <c r="AG147" s="261"/>
      <c r="AH147" s="264"/>
      <c r="AI147" s="246"/>
      <c r="AJ147" s="264"/>
      <c r="AK147" s="246"/>
      <c r="AL147" s="265"/>
      <c r="AM147" s="246"/>
      <c r="AN147" s="261"/>
      <c r="AO147" s="506"/>
      <c r="AP147" s="246"/>
      <c r="AQ147" s="264"/>
      <c r="AR147" s="246"/>
      <c r="AS147" s="264"/>
      <c r="AT147" s="254" t="str">
        <f>IF(COUNTIF($AO$86:$AT$88, #REF!) &gt; 0, "X", "")</f>
        <v/>
      </c>
      <c r="AU147" s="269"/>
      <c r="AV147" s="269"/>
      <c r="AW147" s="463" t="str">
        <f t="shared" ref="AW147:BD147" si="93">AW61</f>
        <v>#REF!</v>
      </c>
      <c r="AX147" s="206">
        <f t="shared" si="93"/>
        <v>0</v>
      </c>
      <c r="AY147" s="464">
        <f t="shared" si="93"/>
        <v>0</v>
      </c>
      <c r="AZ147" s="206">
        <f t="shared" si="93"/>
        <v>0</v>
      </c>
      <c r="BA147" s="206">
        <f t="shared" si="93"/>
        <v>0</v>
      </c>
      <c r="BB147" s="206">
        <f t="shared" si="93"/>
        <v>0</v>
      </c>
      <c r="BC147" s="465">
        <f t="shared" si="93"/>
        <v>0</v>
      </c>
      <c r="BD147" s="206" t="str">
        <f t="shared" si="93"/>
        <v/>
      </c>
      <c r="BE147" s="466"/>
    </row>
    <row r="148">
      <c r="A148" s="94"/>
      <c r="B148" s="328" t="s">
        <v>700</v>
      </c>
      <c r="C148" s="329" t="s">
        <v>657</v>
      </c>
      <c r="D148" s="351"/>
      <c r="E148" s="259"/>
      <c r="F148" s="371"/>
      <c r="G148" s="246"/>
      <c r="I148" s="246"/>
      <c r="J148" s="282"/>
      <c r="K148" s="246"/>
      <c r="L148" s="261"/>
      <c r="M148" s="250"/>
      <c r="N148" s="246"/>
      <c r="O148" s="282"/>
      <c r="P148" s="246"/>
      <c r="Q148" s="282"/>
      <c r="R148" s="246"/>
      <c r="S148" s="261"/>
      <c r="T148" s="250"/>
      <c r="U148" s="246"/>
      <c r="V148" s="282"/>
      <c r="W148" s="246"/>
      <c r="X148" s="282"/>
      <c r="Y148" s="246"/>
      <c r="Z148" s="261"/>
      <c r="AA148" s="250"/>
      <c r="AB148" s="246"/>
      <c r="AC148" s="325" t="s">
        <v>841</v>
      </c>
      <c r="AD148" s="246"/>
      <c r="AF148" s="246"/>
      <c r="AG148" s="261"/>
      <c r="AH148" s="371"/>
      <c r="AI148" s="246"/>
      <c r="AJ148" s="325" t="s">
        <v>841</v>
      </c>
      <c r="AK148" s="246"/>
      <c r="AM148" s="246"/>
      <c r="AN148" s="261"/>
      <c r="AO148" s="317"/>
      <c r="AP148" s="246"/>
      <c r="AQ148" s="282"/>
      <c r="AR148" s="246"/>
      <c r="AS148" s="282"/>
      <c r="AT148" s="254" t="str">
        <f t="shared" ref="AT148:AT149" si="95">IF(COUNTIF($AO$86:$AT$88, AS149) &gt; 0, "X", "")</f>
        <v/>
      </c>
      <c r="AU148" s="269"/>
      <c r="AV148" s="269"/>
      <c r="AW148" s="463" t="str">
        <f t="shared" ref="AW148:BD148" si="94">AW62</f>
        <v>#REF!</v>
      </c>
      <c r="AX148" s="206">
        <f t="shared" si="94"/>
        <v>0</v>
      </c>
      <c r="AY148" s="464">
        <f t="shared" si="94"/>
        <v>0</v>
      </c>
      <c r="AZ148" s="206">
        <f t="shared" si="94"/>
        <v>0</v>
      </c>
      <c r="BA148" s="206">
        <f t="shared" si="94"/>
        <v>0</v>
      </c>
      <c r="BB148" s="206">
        <f t="shared" si="94"/>
        <v>0</v>
      </c>
      <c r="BC148" s="465">
        <f t="shared" si="94"/>
        <v>0</v>
      </c>
      <c r="BD148" s="206" t="str">
        <f t="shared" si="94"/>
        <v/>
      </c>
      <c r="BE148" s="466"/>
    </row>
    <row r="149">
      <c r="A149" s="94"/>
      <c r="B149" s="408" t="s">
        <v>702</v>
      </c>
      <c r="C149" s="409" t="s">
        <v>652</v>
      </c>
      <c r="D149" s="323"/>
      <c r="E149" s="259"/>
      <c r="F149" s="411"/>
      <c r="G149" s="246"/>
      <c r="H149" s="411"/>
      <c r="I149" s="246"/>
      <c r="J149" s="411"/>
      <c r="K149" s="246"/>
      <c r="L149" s="261"/>
      <c r="M149" s="262"/>
      <c r="N149" s="246"/>
      <c r="O149" s="411"/>
      <c r="P149" s="246"/>
      <c r="Q149" s="411"/>
      <c r="R149" s="246"/>
      <c r="S149" s="261"/>
      <c r="T149" s="262"/>
      <c r="U149" s="246"/>
      <c r="V149" s="411"/>
      <c r="W149" s="246"/>
      <c r="X149" s="411"/>
      <c r="Y149" s="246"/>
      <c r="Z149" s="261"/>
      <c r="AA149" s="262"/>
      <c r="AB149" s="246"/>
      <c r="AC149" s="411"/>
      <c r="AD149" s="246"/>
      <c r="AE149" s="411"/>
      <c r="AF149" s="246"/>
      <c r="AG149" s="261"/>
      <c r="AH149" s="411"/>
      <c r="AI149" s="246"/>
      <c r="AJ149" s="411"/>
      <c r="AK149" s="246"/>
      <c r="AL149" s="411"/>
      <c r="AM149" s="246"/>
      <c r="AN149" s="261"/>
      <c r="AO149" s="320"/>
      <c r="AP149" s="246"/>
      <c r="AQ149" s="411"/>
      <c r="AR149" s="246"/>
      <c r="AS149" s="411"/>
      <c r="AT149" s="254" t="str">
        <f t="shared" si="95"/>
        <v/>
      </c>
      <c r="AU149" s="269"/>
      <c r="AV149" s="269"/>
      <c r="AW149" s="463" t="str">
        <f t="shared" ref="AW149:BD149" si="96">AW63</f>
        <v>#REF!</v>
      </c>
      <c r="AX149" s="206">
        <f t="shared" si="96"/>
        <v>0</v>
      </c>
      <c r="AY149" s="464">
        <f t="shared" si="96"/>
        <v>0</v>
      </c>
      <c r="AZ149" s="206">
        <f t="shared" si="96"/>
        <v>0</v>
      </c>
      <c r="BA149" s="206">
        <f t="shared" si="96"/>
        <v>0</v>
      </c>
      <c r="BB149" s="206">
        <f t="shared" si="96"/>
        <v>0</v>
      </c>
      <c r="BC149" s="465">
        <f t="shared" si="96"/>
        <v>0</v>
      </c>
      <c r="BD149" s="206" t="str">
        <f t="shared" si="96"/>
        <v/>
      </c>
      <c r="BE149" s="466"/>
    </row>
    <row r="150">
      <c r="A150" s="234"/>
      <c r="B150" s="401" t="s">
        <v>703</v>
      </c>
      <c r="C150" s="412" t="s">
        <v>704</v>
      </c>
      <c r="D150" s="330"/>
      <c r="E150" s="259"/>
      <c r="F150" s="413"/>
      <c r="G150" s="246"/>
      <c r="H150" s="413"/>
      <c r="I150" s="246"/>
      <c r="J150" s="413"/>
      <c r="K150" s="246"/>
      <c r="L150" s="261"/>
      <c r="M150" s="262"/>
      <c r="N150" s="246"/>
      <c r="O150" s="413"/>
      <c r="P150" s="246"/>
      <c r="Q150" s="413"/>
      <c r="R150" s="246"/>
      <c r="S150" s="261"/>
      <c r="T150" s="262"/>
      <c r="U150" s="246"/>
      <c r="V150" s="413"/>
      <c r="W150" s="246"/>
      <c r="X150" s="413"/>
      <c r="Y150" s="246"/>
      <c r="Z150" s="261"/>
      <c r="AA150" s="262"/>
      <c r="AB150" s="246"/>
      <c r="AC150" s="413"/>
      <c r="AD150" s="246"/>
      <c r="AE150" s="413"/>
      <c r="AF150" s="246"/>
      <c r="AG150" s="261"/>
      <c r="AH150" s="413"/>
      <c r="AI150" s="246"/>
      <c r="AJ150" s="413"/>
      <c r="AK150" s="246"/>
      <c r="AL150" s="413"/>
      <c r="AM150" s="246"/>
      <c r="AN150" s="261"/>
      <c r="AO150" s="317"/>
      <c r="AP150" s="246"/>
      <c r="AQ150" s="413"/>
      <c r="AR150" s="246"/>
      <c r="AS150" s="413"/>
      <c r="AT150" s="254" t="str">
        <f t="shared" ref="AT150:AT154" si="98">IF(COUNTIF($AO$86:$AT$88, #REF!) &gt; 0, "X", "")</f>
        <v/>
      </c>
      <c r="AU150" s="269"/>
      <c r="AV150" s="269"/>
      <c r="AW150" s="463" t="str">
        <f t="shared" ref="AW150:BD150" si="97">AW64</f>
        <v>#REF!</v>
      </c>
      <c r="AX150" s="206">
        <f t="shared" si="97"/>
        <v>0</v>
      </c>
      <c r="AY150" s="464">
        <f t="shared" si="97"/>
        <v>0</v>
      </c>
      <c r="AZ150" s="206">
        <f t="shared" si="97"/>
        <v>0</v>
      </c>
      <c r="BA150" s="206">
        <f t="shared" si="97"/>
        <v>0</v>
      </c>
      <c r="BB150" s="206">
        <f t="shared" si="97"/>
        <v>0</v>
      </c>
      <c r="BC150" s="465">
        <f t="shared" si="97"/>
        <v>0</v>
      </c>
      <c r="BD150" s="206" t="str">
        <f t="shared" si="97"/>
        <v/>
      </c>
      <c r="BE150" s="466"/>
    </row>
    <row r="151">
      <c r="A151" s="234"/>
      <c r="B151" s="414" t="s">
        <v>705</v>
      </c>
      <c r="C151" s="415" t="s">
        <v>704</v>
      </c>
      <c r="D151" s="330"/>
      <c r="E151" s="259"/>
      <c r="F151" s="311" t="s">
        <v>467</v>
      </c>
      <c r="G151" s="246"/>
      <c r="H151" s="311" t="s">
        <v>438</v>
      </c>
      <c r="I151" s="246"/>
      <c r="J151" s="586" t="s">
        <v>452</v>
      </c>
      <c r="K151" s="246"/>
      <c r="L151" s="261"/>
      <c r="M151" s="341"/>
      <c r="N151" s="246"/>
      <c r="O151" s="311" t="s">
        <v>394</v>
      </c>
      <c r="P151" s="246"/>
      <c r="Q151" s="311" t="s">
        <v>432</v>
      </c>
      <c r="R151" s="246"/>
      <c r="S151" s="261"/>
      <c r="T151" s="341"/>
      <c r="U151" s="246"/>
      <c r="V151" s="311" t="s">
        <v>438</v>
      </c>
      <c r="W151" s="246"/>
      <c r="X151" s="311" t="s">
        <v>467</v>
      </c>
      <c r="Y151" s="246"/>
      <c r="Z151" s="261"/>
      <c r="AA151" s="341"/>
      <c r="AB151" s="246"/>
      <c r="AC151" s="311" t="s">
        <v>394</v>
      </c>
      <c r="AD151" s="246"/>
      <c r="AE151" s="251" t="s">
        <v>410</v>
      </c>
      <c r="AF151" s="246"/>
      <c r="AG151" s="261"/>
      <c r="AI151" s="246"/>
      <c r="AJ151" s="606" t="s">
        <v>407</v>
      </c>
      <c r="AK151" s="246"/>
      <c r="AL151" s="586" t="s">
        <v>452</v>
      </c>
      <c r="AM151" s="246"/>
      <c r="AN151" s="261"/>
      <c r="AO151" s="317"/>
      <c r="AP151" s="246"/>
      <c r="AQ151" s="311" t="s">
        <v>394</v>
      </c>
      <c r="AR151" s="246"/>
      <c r="AS151" s="374" t="s">
        <v>410</v>
      </c>
      <c r="AT151" s="254" t="str">
        <f t="shared" si="98"/>
        <v/>
      </c>
      <c r="AU151" s="269"/>
      <c r="AV151" s="269"/>
      <c r="AW151" s="463" t="str">
        <f t="shared" ref="AW151:BD151" si="99">AW65</f>
        <v>#REF!</v>
      </c>
      <c r="AX151" s="206">
        <f t="shared" si="99"/>
        <v>0</v>
      </c>
      <c r="AY151" s="464">
        <f t="shared" si="99"/>
        <v>0</v>
      </c>
      <c r="AZ151" s="206">
        <f t="shared" si="99"/>
        <v>0</v>
      </c>
      <c r="BA151" s="206">
        <f t="shared" si="99"/>
        <v>0</v>
      </c>
      <c r="BB151" s="206">
        <f t="shared" si="99"/>
        <v>0</v>
      </c>
      <c r="BC151" s="465">
        <f t="shared" si="99"/>
        <v>0</v>
      </c>
      <c r="BD151" s="206" t="str">
        <f t="shared" si="99"/>
        <v/>
      </c>
      <c r="BE151" s="466"/>
    </row>
    <row r="152">
      <c r="A152" s="94"/>
      <c r="B152" s="328" t="s">
        <v>705</v>
      </c>
      <c r="C152" s="257" t="s">
        <v>657</v>
      </c>
      <c r="D152" s="330"/>
      <c r="E152" s="259"/>
      <c r="F152" s="311" t="s">
        <v>470</v>
      </c>
      <c r="G152" s="246"/>
      <c r="H152" s="325" t="s">
        <v>836</v>
      </c>
      <c r="I152" s="246"/>
      <c r="J152" s="311" t="s">
        <v>432</v>
      </c>
      <c r="K152" s="246"/>
      <c r="L152" s="261"/>
      <c r="M152" s="341"/>
      <c r="N152" s="246"/>
      <c r="O152" s="311" t="s">
        <v>438</v>
      </c>
      <c r="P152" s="246"/>
      <c r="Q152" s="251" t="s">
        <v>410</v>
      </c>
      <c r="R152" s="246"/>
      <c r="S152" s="261"/>
      <c r="T152" s="341"/>
      <c r="U152" s="246"/>
      <c r="V152" s="251" t="s">
        <v>440</v>
      </c>
      <c r="W152" s="246"/>
      <c r="X152" s="649" t="s">
        <v>452</v>
      </c>
      <c r="Y152" s="246"/>
      <c r="Z152" s="261"/>
      <c r="AA152" s="341"/>
      <c r="AB152" s="246"/>
      <c r="AC152" s="311" t="s">
        <v>470</v>
      </c>
      <c r="AD152" s="246"/>
      <c r="AE152" s="311" t="s">
        <v>467</v>
      </c>
      <c r="AF152" s="246"/>
      <c r="AG152" s="261"/>
      <c r="AH152" s="311" t="s">
        <v>470</v>
      </c>
      <c r="AI152" s="246"/>
      <c r="AJ152" s="339" t="s">
        <v>404</v>
      </c>
      <c r="AK152" s="246"/>
      <c r="AL152" s="251" t="s">
        <v>440</v>
      </c>
      <c r="AM152" s="246"/>
      <c r="AN152" s="261"/>
      <c r="AO152" s="317"/>
      <c r="AP152" s="246"/>
      <c r="AQ152" s="251" t="s">
        <v>432</v>
      </c>
      <c r="AR152" s="246"/>
      <c r="AS152" s="384" t="s">
        <v>900</v>
      </c>
      <c r="AT152" s="254" t="str">
        <f t="shared" si="98"/>
        <v/>
      </c>
      <c r="AU152" s="269"/>
      <c r="AV152" s="269"/>
      <c r="AW152" s="463" t="str">
        <f t="shared" ref="AW152:BD152" si="100">AW66</f>
        <v>#REF!</v>
      </c>
      <c r="AX152" s="206">
        <f t="shared" si="100"/>
        <v>0</v>
      </c>
      <c r="AY152" s="464">
        <f t="shared" si="100"/>
        <v>0</v>
      </c>
      <c r="AZ152" s="206">
        <f t="shared" si="100"/>
        <v>0</v>
      </c>
      <c r="BA152" s="206">
        <f t="shared" si="100"/>
        <v>0</v>
      </c>
      <c r="BB152" s="206">
        <f t="shared" si="100"/>
        <v>0</v>
      </c>
      <c r="BC152" s="465">
        <f t="shared" si="100"/>
        <v>0</v>
      </c>
      <c r="BD152" s="206" t="str">
        <f t="shared" si="100"/>
        <v/>
      </c>
      <c r="BE152" s="466"/>
    </row>
    <row r="153">
      <c r="A153" s="94"/>
      <c r="B153" s="277" t="s">
        <v>705</v>
      </c>
      <c r="C153" s="329" t="s">
        <v>685</v>
      </c>
      <c r="D153" s="369"/>
      <c r="E153" s="259"/>
      <c r="G153" s="246"/>
      <c r="H153" s="251" t="s">
        <v>440</v>
      </c>
      <c r="I153" s="246"/>
      <c r="J153" s="251" t="s">
        <v>405</v>
      </c>
      <c r="K153" s="246"/>
      <c r="L153" s="261"/>
      <c r="M153" s="341"/>
      <c r="N153" s="246"/>
      <c r="O153" s="325" t="s">
        <v>857</v>
      </c>
      <c r="P153" s="246"/>
      <c r="Q153" s="384" t="s">
        <v>900</v>
      </c>
      <c r="R153" s="246"/>
      <c r="S153" s="261"/>
      <c r="T153" s="341"/>
      <c r="U153" s="246"/>
      <c r="V153" s="374" t="s">
        <v>407</v>
      </c>
      <c r="W153" s="246"/>
      <c r="Y153" s="246"/>
      <c r="Z153" s="261"/>
      <c r="AA153" s="341"/>
      <c r="AB153" s="246"/>
      <c r="AC153" s="251" t="s">
        <v>440</v>
      </c>
      <c r="AD153" s="246"/>
      <c r="AE153" s="384" t="s">
        <v>900</v>
      </c>
      <c r="AF153" s="246"/>
      <c r="AG153" s="261"/>
      <c r="AH153" s="325" t="s">
        <v>785</v>
      </c>
      <c r="AI153" s="246"/>
      <c r="AK153" s="246"/>
      <c r="AM153" s="246"/>
      <c r="AN153" s="261"/>
      <c r="AO153" s="317"/>
      <c r="AP153" s="246"/>
      <c r="AQ153" s="311" t="s">
        <v>470</v>
      </c>
      <c r="AR153" s="246"/>
      <c r="AS153" s="649" t="s">
        <v>452</v>
      </c>
      <c r="AT153" s="254" t="str">
        <f t="shared" si="98"/>
        <v/>
      </c>
      <c r="AU153" s="269"/>
      <c r="AV153" s="269"/>
      <c r="AW153" s="463" t="str">
        <f t="shared" ref="AW153:BD153" si="101">AW67</f>
        <v>#REF!</v>
      </c>
      <c r="AX153" s="206">
        <f t="shared" si="101"/>
        <v>0</v>
      </c>
      <c r="AY153" s="464">
        <f t="shared" si="101"/>
        <v>0</v>
      </c>
      <c r="AZ153" s="206">
        <f t="shared" si="101"/>
        <v>0</v>
      </c>
      <c r="BA153" s="206">
        <f t="shared" si="101"/>
        <v>0</v>
      </c>
      <c r="BB153" s="206">
        <f t="shared" si="101"/>
        <v>0</v>
      </c>
      <c r="BC153" s="465">
        <f t="shared" si="101"/>
        <v>0</v>
      </c>
      <c r="BD153" s="206" t="str">
        <f t="shared" si="101"/>
        <v/>
      </c>
      <c r="BE153" s="466"/>
    </row>
    <row r="154">
      <c r="A154" s="94"/>
      <c r="B154" s="271" t="s">
        <v>705</v>
      </c>
      <c r="C154" s="272" t="s">
        <v>687</v>
      </c>
      <c r="D154" s="330"/>
      <c r="E154" s="259"/>
      <c r="F154" s="282"/>
      <c r="G154" s="246"/>
      <c r="I154" s="246"/>
      <c r="J154" s="339" t="s">
        <v>404</v>
      </c>
      <c r="K154" s="246"/>
      <c r="L154" s="261"/>
      <c r="M154" s="341"/>
      <c r="N154" s="246"/>
      <c r="O154" s="339" t="s">
        <v>404</v>
      </c>
      <c r="P154" s="246"/>
      <c r="R154" s="246"/>
      <c r="S154" s="261"/>
      <c r="T154" s="341"/>
      <c r="U154" s="246"/>
      <c r="W154" s="246"/>
      <c r="X154" s="325" t="s">
        <v>857</v>
      </c>
      <c r="Y154" s="246"/>
      <c r="Z154" s="261"/>
      <c r="AA154" s="341"/>
      <c r="AB154" s="246"/>
      <c r="AC154" s="339" t="s">
        <v>404</v>
      </c>
      <c r="AD154" s="246"/>
      <c r="AF154" s="246"/>
      <c r="AG154" s="261"/>
      <c r="AI154" s="246"/>
      <c r="AJ154" s="325" t="s">
        <v>701</v>
      </c>
      <c r="AK154" s="246"/>
      <c r="AL154" s="384" t="s">
        <v>900</v>
      </c>
      <c r="AM154" s="246"/>
      <c r="AN154" s="261"/>
      <c r="AO154" s="317"/>
      <c r="AP154" s="246"/>
      <c r="AQ154" s="339" t="s">
        <v>404</v>
      </c>
      <c r="AR154" s="246"/>
      <c r="AT154" s="254" t="str">
        <f t="shared" si="98"/>
        <v/>
      </c>
      <c r="AU154" s="269"/>
      <c r="AV154" s="269"/>
      <c r="AW154" s="463" t="str">
        <f t="shared" ref="AW154:BD154" si="102">AW68</f>
        <v>#REF!</v>
      </c>
      <c r="AX154" s="206">
        <f t="shared" si="102"/>
        <v>0</v>
      </c>
      <c r="AY154" s="464">
        <f t="shared" si="102"/>
        <v>0</v>
      </c>
      <c r="AZ154" s="206">
        <f t="shared" si="102"/>
        <v>0</v>
      </c>
      <c r="BA154" s="206">
        <f t="shared" si="102"/>
        <v>0</v>
      </c>
      <c r="BB154" s="206">
        <f t="shared" si="102"/>
        <v>0</v>
      </c>
      <c r="BC154" s="465">
        <f t="shared" si="102"/>
        <v>0</v>
      </c>
      <c r="BD154" s="206" t="str">
        <f t="shared" si="102"/>
        <v/>
      </c>
      <c r="BE154" s="466"/>
    </row>
    <row r="155">
      <c r="A155" s="270"/>
      <c r="B155" s="397" t="s">
        <v>708</v>
      </c>
      <c r="C155" s="329" t="s">
        <v>652</v>
      </c>
      <c r="D155" s="330"/>
      <c r="E155" s="259"/>
      <c r="F155" s="275"/>
      <c r="G155" s="246"/>
      <c r="H155" s="311" t="s">
        <v>441</v>
      </c>
      <c r="I155" s="246"/>
      <c r="J155" s="374" t="s">
        <v>446</v>
      </c>
      <c r="K155" s="246"/>
      <c r="L155" s="261"/>
      <c r="M155" s="341"/>
      <c r="N155" s="246"/>
      <c r="O155" s="311" t="s">
        <v>441</v>
      </c>
      <c r="P155" s="246"/>
      <c r="Q155" s="374" t="s">
        <v>446</v>
      </c>
      <c r="R155" s="246"/>
      <c r="S155" s="261"/>
      <c r="T155" s="341"/>
      <c r="U155" s="246"/>
      <c r="V155" s="365" t="s">
        <v>469</v>
      </c>
      <c r="W155" s="246"/>
      <c r="X155" s="311" t="s">
        <v>441</v>
      </c>
      <c r="Y155" s="246"/>
      <c r="Z155" s="261"/>
      <c r="AA155" s="341"/>
      <c r="AB155" s="246"/>
      <c r="AC155" s="311" t="s">
        <v>441</v>
      </c>
      <c r="AD155" s="246"/>
      <c r="AE155" s="374" t="s">
        <v>446</v>
      </c>
      <c r="AF155" s="246"/>
      <c r="AG155" s="261"/>
      <c r="AH155" s="374" t="s">
        <v>446</v>
      </c>
      <c r="AI155" s="246"/>
      <c r="AJ155" s="311" t="s">
        <v>441</v>
      </c>
      <c r="AK155" s="246"/>
      <c r="AM155" s="246"/>
      <c r="AN155" s="261"/>
      <c r="AO155" s="317"/>
      <c r="AP155" s="246"/>
      <c r="AQ155" s="365" t="s">
        <v>469</v>
      </c>
      <c r="AR155" s="246"/>
      <c r="AS155" s="374" t="s">
        <v>446</v>
      </c>
      <c r="AT155" s="254" t="str">
        <f t="shared" ref="AT155:AT156" si="104">IF(COUNTIF($AO$86:$AT$88, AS156) &gt; 0, "X", "")</f>
        <v/>
      </c>
      <c r="AU155" s="269"/>
      <c r="AV155" s="269"/>
      <c r="AW155" s="463" t="str">
        <f t="shared" ref="AW155:BD155" si="103">AW69</f>
        <v>#REF!</v>
      </c>
      <c r="AX155" s="206">
        <f t="shared" si="103"/>
        <v>0</v>
      </c>
      <c r="AY155" s="464">
        <f t="shared" si="103"/>
        <v>0</v>
      </c>
      <c r="AZ155" s="206">
        <f t="shared" si="103"/>
        <v>0</v>
      </c>
      <c r="BA155" s="206">
        <f t="shared" si="103"/>
        <v>0</v>
      </c>
      <c r="BB155" s="206">
        <f t="shared" si="103"/>
        <v>0</v>
      </c>
      <c r="BC155" s="465">
        <f t="shared" si="103"/>
        <v>0</v>
      </c>
      <c r="BD155" s="206" t="str">
        <f t="shared" si="103"/>
        <v/>
      </c>
      <c r="BE155" s="466"/>
    </row>
    <row r="156">
      <c r="A156" s="94"/>
      <c r="B156" s="277" t="s">
        <v>709</v>
      </c>
      <c r="C156" s="278" t="s">
        <v>710</v>
      </c>
      <c r="D156" s="323"/>
      <c r="E156" s="259"/>
      <c r="F156" s="281"/>
      <c r="G156" s="246"/>
      <c r="H156" s="281"/>
      <c r="I156" s="246"/>
      <c r="J156" s="281"/>
      <c r="K156" s="246"/>
      <c r="L156" s="261"/>
      <c r="M156" s="286"/>
      <c r="N156" s="246"/>
      <c r="O156" s="281"/>
      <c r="P156" s="246"/>
      <c r="Q156" s="251" t="s">
        <v>440</v>
      </c>
      <c r="R156" s="246"/>
      <c r="S156" s="261"/>
      <c r="T156" s="286"/>
      <c r="U156" s="246"/>
      <c r="V156" s="282"/>
      <c r="W156" s="246"/>
      <c r="X156" s="281"/>
      <c r="Y156" s="246"/>
      <c r="Z156" s="261"/>
      <c r="AA156" s="286"/>
      <c r="AB156" s="246"/>
      <c r="AC156" s="282"/>
      <c r="AD156" s="246"/>
      <c r="AE156" s="282"/>
      <c r="AF156" s="246"/>
      <c r="AG156" s="261"/>
      <c r="AH156" s="281"/>
      <c r="AI156" s="246"/>
      <c r="AJ156" s="281"/>
      <c r="AK156" s="246"/>
      <c r="AL156" s="281"/>
      <c r="AM156" s="246"/>
      <c r="AN156" s="261"/>
      <c r="AO156" s="317"/>
      <c r="AP156" s="246"/>
      <c r="AQ156" s="281"/>
      <c r="AR156" s="246"/>
      <c r="AS156" s="281"/>
      <c r="AT156" s="254" t="str">
        <f t="shared" si="104"/>
        <v/>
      </c>
      <c r="AU156" s="269"/>
      <c r="AV156" s="269"/>
      <c r="AW156" s="463" t="str">
        <f t="shared" ref="AW156:BD156" si="105">AW70</f>
        <v>#REF!</v>
      </c>
      <c r="AX156" s="206">
        <f t="shared" si="105"/>
        <v>0</v>
      </c>
      <c r="AY156" s="464">
        <f t="shared" si="105"/>
        <v>0</v>
      </c>
      <c r="AZ156" s="206">
        <f t="shared" si="105"/>
        <v>0</v>
      </c>
      <c r="BA156" s="206">
        <f t="shared" si="105"/>
        <v>0</v>
      </c>
      <c r="BB156" s="206">
        <f t="shared" si="105"/>
        <v>0</v>
      </c>
      <c r="BC156" s="465">
        <f t="shared" si="105"/>
        <v>0</v>
      </c>
      <c r="BD156" s="206" t="str">
        <f t="shared" si="105"/>
        <v/>
      </c>
      <c r="BE156" s="466"/>
    </row>
    <row r="157">
      <c r="A157" s="94"/>
      <c r="B157" s="271" t="s">
        <v>712</v>
      </c>
      <c r="C157" s="272" t="s">
        <v>710</v>
      </c>
      <c r="D157" s="431"/>
      <c r="E157" s="259"/>
      <c r="F157" s="282"/>
      <c r="G157" s="246"/>
      <c r="H157" s="282"/>
      <c r="I157" s="246"/>
      <c r="J157" s="282"/>
      <c r="K157" s="246"/>
      <c r="L157" s="261"/>
      <c r="M157" s="341"/>
      <c r="N157" s="246"/>
      <c r="O157" s="282"/>
      <c r="P157" s="246"/>
      <c r="Q157" s="282"/>
      <c r="R157" s="246"/>
      <c r="S157" s="261"/>
      <c r="T157" s="341"/>
      <c r="U157" s="246"/>
      <c r="V157" s="282"/>
      <c r="W157" s="246"/>
      <c r="X157" s="282"/>
      <c r="Y157" s="246"/>
      <c r="Z157" s="261"/>
      <c r="AA157" s="341"/>
      <c r="AB157" s="246"/>
      <c r="AC157" s="282"/>
      <c r="AD157" s="246"/>
      <c r="AE157" s="282"/>
      <c r="AF157" s="246"/>
      <c r="AG157" s="261"/>
      <c r="AH157" s="282"/>
      <c r="AI157" s="246"/>
      <c r="AJ157" s="282"/>
      <c r="AK157" s="246"/>
      <c r="AL157" s="282"/>
      <c r="AM157" s="246"/>
      <c r="AN157" s="261"/>
      <c r="AO157" s="317"/>
      <c r="AP157" s="246"/>
      <c r="AQ157" s="282"/>
      <c r="AR157" s="246"/>
      <c r="AS157" s="282"/>
      <c r="AT157" s="430"/>
      <c r="AU157" s="269"/>
      <c r="AV157" s="269"/>
      <c r="AW157" s="463" t="str">
        <f t="shared" ref="AW157:BD157" si="106">AW71</f>
        <v>#REF!</v>
      </c>
      <c r="AX157" s="206">
        <f t="shared" si="106"/>
        <v>0</v>
      </c>
      <c r="AY157" s="464">
        <f t="shared" si="106"/>
        <v>0</v>
      </c>
      <c r="AZ157" s="206">
        <f t="shared" si="106"/>
        <v>0</v>
      </c>
      <c r="BA157" s="206">
        <f t="shared" si="106"/>
        <v>0</v>
      </c>
      <c r="BB157" s="206">
        <f t="shared" si="106"/>
        <v>0</v>
      </c>
      <c r="BC157" s="465">
        <f t="shared" si="106"/>
        <v>0</v>
      </c>
      <c r="BD157" s="206" t="str">
        <f t="shared" si="106"/>
        <v/>
      </c>
      <c r="BE157" s="466"/>
    </row>
    <row r="158">
      <c r="A158" s="94"/>
      <c r="B158" s="429" t="s">
        <v>714</v>
      </c>
      <c r="C158" s="430"/>
      <c r="D158" s="323"/>
      <c r="E158" s="259"/>
      <c r="F158" s="432"/>
      <c r="G158" s="432"/>
      <c r="H158" s="432"/>
      <c r="I158" s="432"/>
      <c r="J158" s="432"/>
      <c r="K158" s="432"/>
      <c r="L158" s="261"/>
      <c r="M158" s="432"/>
      <c r="N158" s="433"/>
      <c r="O158" s="432"/>
      <c r="P158" s="432"/>
      <c r="Q158" s="432"/>
      <c r="R158" s="432"/>
      <c r="S158" s="261"/>
      <c r="T158" s="432"/>
      <c r="U158" s="433"/>
      <c r="V158" s="432"/>
      <c r="W158" s="432"/>
      <c r="X158" s="432"/>
      <c r="Y158" s="432"/>
      <c r="Z158" s="261"/>
      <c r="AA158" s="432"/>
      <c r="AB158" s="433"/>
      <c r="AC158" s="432"/>
      <c r="AD158" s="432"/>
      <c r="AE158" s="432"/>
      <c r="AF158" s="432"/>
      <c r="AG158" s="261"/>
      <c r="AH158" s="432"/>
      <c r="AI158" s="433"/>
      <c r="AJ158" s="432"/>
      <c r="AK158" s="432"/>
      <c r="AL158" s="432"/>
      <c r="AM158" s="432"/>
      <c r="AN158" s="261"/>
      <c r="AO158" s="432"/>
      <c r="AP158" s="433"/>
      <c r="AQ158" s="432"/>
      <c r="AR158" s="432"/>
      <c r="AS158" s="432"/>
      <c r="AT158" s="254" t="str">
        <f t="shared" ref="AT158:AT163" si="108">IF(COUNTIF($AO$86:$AT$88, AS159) &gt; 0, "X", "")</f>
        <v/>
      </c>
      <c r="AU158" s="269"/>
      <c r="AV158" s="269"/>
      <c r="AW158" s="463" t="str">
        <f t="shared" ref="AW158:BD158" si="107">AW72</f>
        <v>#REF!</v>
      </c>
      <c r="AX158" s="206">
        <f t="shared" si="107"/>
        <v>0</v>
      </c>
      <c r="AY158" s="464">
        <f t="shared" si="107"/>
        <v>0</v>
      </c>
      <c r="AZ158" s="206">
        <f t="shared" si="107"/>
        <v>0</v>
      </c>
      <c r="BA158" s="206">
        <f t="shared" si="107"/>
        <v>0</v>
      </c>
      <c r="BB158" s="206">
        <f t="shared" si="107"/>
        <v>0</v>
      </c>
      <c r="BC158" s="465">
        <f t="shared" si="107"/>
        <v>0</v>
      </c>
      <c r="BD158" s="206" t="str">
        <f t="shared" si="107"/>
        <v/>
      </c>
      <c r="BE158" s="466"/>
    </row>
    <row r="159">
      <c r="A159" s="94"/>
      <c r="B159" s="401" t="s">
        <v>715</v>
      </c>
      <c r="C159" s="412" t="s">
        <v>716</v>
      </c>
      <c r="D159" s="323"/>
      <c r="E159" s="259"/>
      <c r="F159" s="434" t="s">
        <v>465</v>
      </c>
      <c r="G159" s="246"/>
      <c r="H159" s="592" t="s">
        <v>403</v>
      </c>
      <c r="I159" s="246"/>
      <c r="J159" s="434"/>
      <c r="K159" s="246"/>
      <c r="L159" s="261"/>
      <c r="M159" s="434" t="s">
        <v>465</v>
      </c>
      <c r="N159" s="246"/>
      <c r="O159" s="434" t="s">
        <v>403</v>
      </c>
      <c r="P159" s="246"/>
      <c r="Q159" s="434"/>
      <c r="R159" s="246"/>
      <c r="S159" s="261"/>
      <c r="T159" s="434"/>
      <c r="U159" s="246"/>
      <c r="V159" s="434" t="s">
        <v>403</v>
      </c>
      <c r="W159" s="246"/>
      <c r="X159" s="434"/>
      <c r="Y159" s="246"/>
      <c r="Z159" s="261"/>
      <c r="AA159" s="434" t="s">
        <v>465</v>
      </c>
      <c r="AB159" s="246"/>
      <c r="AC159" s="434" t="s">
        <v>403</v>
      </c>
      <c r="AD159" s="246"/>
      <c r="AE159" s="434"/>
      <c r="AF159" s="246"/>
      <c r="AG159" s="261"/>
      <c r="AH159" s="434" t="s">
        <v>465</v>
      </c>
      <c r="AI159" s="246"/>
      <c r="AJ159" s="434" t="s">
        <v>403</v>
      </c>
      <c r="AK159" s="246"/>
      <c r="AL159" s="434"/>
      <c r="AM159" s="246"/>
      <c r="AN159" s="261"/>
      <c r="AO159" s="434"/>
      <c r="AP159" s="246"/>
      <c r="AQ159" s="434" t="s">
        <v>465</v>
      </c>
      <c r="AR159" s="246"/>
      <c r="AS159" s="434"/>
      <c r="AT159" s="254" t="str">
        <f t="shared" si="108"/>
        <v/>
      </c>
      <c r="AU159" s="269"/>
      <c r="AV159" s="269"/>
      <c r="AW159" s="463" t="str">
        <f t="shared" ref="AW159:BD159" si="109">AW73</f>
        <v>#REF!</v>
      </c>
      <c r="AX159" s="206">
        <f t="shared" si="109"/>
        <v>0</v>
      </c>
      <c r="AY159" s="464">
        <f t="shared" si="109"/>
        <v>0</v>
      </c>
      <c r="AZ159" s="206">
        <f t="shared" si="109"/>
        <v>0</v>
      </c>
      <c r="BA159" s="206">
        <f t="shared" si="109"/>
        <v>0</v>
      </c>
      <c r="BB159" s="206">
        <f t="shared" si="109"/>
        <v>0</v>
      </c>
      <c r="BC159" s="465">
        <f t="shared" si="109"/>
        <v>0</v>
      </c>
      <c r="BD159" s="206" t="str">
        <f t="shared" si="109"/>
        <v/>
      </c>
      <c r="BE159" s="466"/>
    </row>
    <row r="160">
      <c r="A160" s="94"/>
      <c r="B160" s="435" t="s">
        <v>717</v>
      </c>
      <c r="C160" s="415" t="s">
        <v>718</v>
      </c>
      <c r="D160" s="363"/>
      <c r="E160" s="259"/>
      <c r="F160" s="434"/>
      <c r="G160" s="246"/>
      <c r="H160" s="434" t="s">
        <v>442</v>
      </c>
      <c r="I160" s="246"/>
      <c r="J160" s="434"/>
      <c r="K160" s="246"/>
      <c r="L160" s="261"/>
      <c r="M160" s="434" t="s">
        <v>914</v>
      </c>
      <c r="N160" s="246"/>
      <c r="O160" s="434" t="s">
        <v>442</v>
      </c>
      <c r="P160" s="246"/>
      <c r="Q160" s="434"/>
      <c r="R160" s="246"/>
      <c r="S160" s="261"/>
      <c r="T160" s="434"/>
      <c r="U160" s="246"/>
      <c r="V160" s="434" t="s">
        <v>442</v>
      </c>
      <c r="W160" s="246"/>
      <c r="X160" s="434"/>
      <c r="Y160" s="246"/>
      <c r="Z160" s="261"/>
      <c r="AA160" s="434"/>
      <c r="AB160" s="246"/>
      <c r="AC160" s="434" t="s">
        <v>442</v>
      </c>
      <c r="AD160" s="246"/>
      <c r="AE160" s="434"/>
      <c r="AF160" s="246"/>
      <c r="AG160" s="261"/>
      <c r="AH160" s="434"/>
      <c r="AI160" s="246"/>
      <c r="AJ160" s="434" t="s">
        <v>442</v>
      </c>
      <c r="AK160" s="246"/>
      <c r="AL160" s="434"/>
      <c r="AM160" s="246"/>
      <c r="AN160" s="261"/>
      <c r="AO160" s="406" t="s">
        <v>460</v>
      </c>
      <c r="AP160" s="246"/>
      <c r="AQ160" s="620" t="s">
        <v>915</v>
      </c>
      <c r="AR160" s="246"/>
      <c r="AS160" s="434"/>
      <c r="AT160" s="254" t="str">
        <f t="shared" si="108"/>
        <v/>
      </c>
      <c r="AU160" s="269"/>
      <c r="AV160" s="269"/>
      <c r="AW160" s="463" t="str">
        <f t="shared" ref="AW160:BD160" si="110">AW74</f>
        <v>#REF!</v>
      </c>
      <c r="AX160" s="206">
        <f t="shared" si="110"/>
        <v>0</v>
      </c>
      <c r="AY160" s="464">
        <f t="shared" si="110"/>
        <v>0</v>
      </c>
      <c r="AZ160" s="206">
        <f t="shared" si="110"/>
        <v>0</v>
      </c>
      <c r="BA160" s="206">
        <f t="shared" si="110"/>
        <v>0</v>
      </c>
      <c r="BB160" s="206">
        <f t="shared" si="110"/>
        <v>0</v>
      </c>
      <c r="BC160" s="465">
        <f t="shared" si="110"/>
        <v>0</v>
      </c>
      <c r="BD160" s="206" t="str">
        <f t="shared" si="110"/>
        <v/>
      </c>
      <c r="BE160" s="466"/>
    </row>
    <row r="161">
      <c r="A161" s="94"/>
      <c r="B161" s="436" t="s">
        <v>719</v>
      </c>
      <c r="C161" s="437" t="s">
        <v>720</v>
      </c>
      <c r="D161" s="330"/>
      <c r="E161" s="259"/>
      <c r="F161" s="406"/>
      <c r="G161" s="246"/>
      <c r="H161" s="406" t="s">
        <v>463</v>
      </c>
      <c r="I161" s="246"/>
      <c r="J161" s="406"/>
      <c r="K161" s="246"/>
      <c r="L161" s="261"/>
      <c r="M161" s="406"/>
      <c r="N161" s="246"/>
      <c r="O161" s="406" t="s">
        <v>463</v>
      </c>
      <c r="P161" s="246"/>
      <c r="Q161" s="406"/>
      <c r="R161" s="246"/>
      <c r="S161" s="261"/>
      <c r="T161" s="406"/>
      <c r="U161" s="246"/>
      <c r="V161" s="406" t="s">
        <v>463</v>
      </c>
      <c r="W161" s="246"/>
      <c r="X161" s="406"/>
      <c r="Y161" s="246"/>
      <c r="Z161" s="261"/>
      <c r="AA161" s="592" t="s">
        <v>767</v>
      </c>
      <c r="AB161" s="246"/>
      <c r="AC161" s="620" t="s">
        <v>768</v>
      </c>
      <c r="AD161" s="246"/>
      <c r="AE161" s="406"/>
      <c r="AF161" s="246"/>
      <c r="AG161" s="261"/>
      <c r="AH161" s="406" t="s">
        <v>460</v>
      </c>
      <c r="AI161" s="246"/>
      <c r="AJ161" s="620" t="s">
        <v>768</v>
      </c>
      <c r="AK161" s="246"/>
      <c r="AL161" s="406"/>
      <c r="AM161" s="246"/>
      <c r="AN161" s="261"/>
      <c r="AO161" s="406"/>
      <c r="AP161" s="246"/>
      <c r="AQ161" s="406"/>
      <c r="AR161" s="246"/>
      <c r="AS161" s="406"/>
      <c r="AT161" s="254" t="str">
        <f t="shared" si="108"/>
        <v/>
      </c>
      <c r="AU161" s="269"/>
      <c r="AV161" s="269"/>
      <c r="AW161" s="463" t="str">
        <f t="shared" ref="AW161:BD161" si="111">AW75</f>
        <v>#REF!</v>
      </c>
      <c r="AX161" s="206">
        <f t="shared" si="111"/>
        <v>0</v>
      </c>
      <c r="AY161" s="464">
        <f t="shared" si="111"/>
        <v>0</v>
      </c>
      <c r="AZ161" s="206">
        <f t="shared" si="111"/>
        <v>0</v>
      </c>
      <c r="BA161" s="206">
        <f t="shared" si="111"/>
        <v>0</v>
      </c>
      <c r="BB161" s="206">
        <f t="shared" si="111"/>
        <v>0</v>
      </c>
      <c r="BC161" s="465">
        <f t="shared" si="111"/>
        <v>0</v>
      </c>
      <c r="BD161" s="206" t="str">
        <f t="shared" si="111"/>
        <v/>
      </c>
      <c r="BE161" s="466"/>
    </row>
    <row r="162">
      <c r="A162" s="94"/>
      <c r="B162" s="439" t="s">
        <v>721</v>
      </c>
      <c r="C162" s="440" t="s">
        <v>722</v>
      </c>
      <c r="D162" s="330"/>
      <c r="E162" s="259"/>
      <c r="F162" s="406"/>
      <c r="G162" s="246"/>
      <c r="H162" s="592" t="s">
        <v>860</v>
      </c>
      <c r="I162" s="246"/>
      <c r="J162" s="406"/>
      <c r="K162" s="246"/>
      <c r="L162" s="261"/>
      <c r="M162" s="406"/>
      <c r="N162" s="246"/>
      <c r="O162" s="406" t="s">
        <v>844</v>
      </c>
      <c r="P162" s="246"/>
      <c r="Q162" s="406"/>
      <c r="R162" s="246"/>
      <c r="S162" s="261"/>
      <c r="T162" s="406"/>
      <c r="U162" s="246"/>
      <c r="V162" s="406" t="s">
        <v>844</v>
      </c>
      <c r="W162" s="246"/>
      <c r="X162" s="406"/>
      <c r="Y162" s="246"/>
      <c r="Z162" s="261"/>
      <c r="AA162" s="406"/>
      <c r="AB162" s="246"/>
      <c r="AC162" s="406" t="s">
        <v>844</v>
      </c>
      <c r="AD162" s="246"/>
      <c r="AE162" s="406"/>
      <c r="AF162" s="246"/>
      <c r="AG162" s="261"/>
      <c r="AH162" s="406"/>
      <c r="AI162" s="246"/>
      <c r="AJ162" s="406" t="s">
        <v>844</v>
      </c>
      <c r="AK162" s="246"/>
      <c r="AL162" s="406"/>
      <c r="AM162" s="246"/>
      <c r="AN162" s="261"/>
      <c r="AO162" s="406"/>
      <c r="AP162" s="246"/>
      <c r="AQ162" s="406"/>
      <c r="AR162" s="246"/>
      <c r="AS162" s="406"/>
      <c r="AT162" s="254" t="str">
        <f t="shared" si="108"/>
        <v/>
      </c>
      <c r="AU162" s="269"/>
      <c r="AV162" s="269"/>
      <c r="AW162" s="463" t="str">
        <f t="shared" ref="AW162:BD162" si="112">AW76</f>
        <v>#REF!</v>
      </c>
      <c r="AX162" s="206">
        <f t="shared" si="112"/>
        <v>0</v>
      </c>
      <c r="AY162" s="464">
        <f t="shared" si="112"/>
        <v>0</v>
      </c>
      <c r="AZ162" s="206">
        <f t="shared" si="112"/>
        <v>0</v>
      </c>
      <c r="BA162" s="206">
        <f t="shared" si="112"/>
        <v>0</v>
      </c>
      <c r="BB162" s="206">
        <f t="shared" si="112"/>
        <v>0</v>
      </c>
      <c r="BC162" s="465">
        <f t="shared" si="112"/>
        <v>0</v>
      </c>
      <c r="BD162" s="206" t="str">
        <f t="shared" si="112"/>
        <v/>
      </c>
      <c r="BE162" s="466"/>
    </row>
    <row r="163">
      <c r="A163" s="94"/>
      <c r="B163" s="439" t="s">
        <v>723</v>
      </c>
      <c r="C163" s="440" t="s">
        <v>724</v>
      </c>
      <c r="D163" s="330"/>
      <c r="E163" s="259"/>
      <c r="F163" s="406"/>
      <c r="G163" s="246"/>
      <c r="H163" s="406" t="s">
        <v>845</v>
      </c>
      <c r="I163" s="246"/>
      <c r="J163" s="406"/>
      <c r="K163" s="246"/>
      <c r="L163" s="261"/>
      <c r="M163" s="406"/>
      <c r="N163" s="246"/>
      <c r="O163" s="592" t="s">
        <v>768</v>
      </c>
      <c r="P163" s="246"/>
      <c r="Q163" s="406"/>
      <c r="R163" s="246"/>
      <c r="S163" s="261"/>
      <c r="T163" s="406"/>
      <c r="U163" s="246"/>
      <c r="V163" s="592" t="s">
        <v>768</v>
      </c>
      <c r="W163" s="246"/>
      <c r="X163" s="406"/>
      <c r="Y163" s="246"/>
      <c r="Z163" s="261"/>
      <c r="AA163" s="406"/>
      <c r="AB163" s="246"/>
      <c r="AC163" s="206" t="s">
        <v>463</v>
      </c>
      <c r="AD163" s="246"/>
      <c r="AE163" s="406"/>
      <c r="AF163" s="246"/>
      <c r="AG163" s="261"/>
      <c r="AH163" s="406"/>
      <c r="AI163" s="246"/>
      <c r="AJ163" s="406" t="s">
        <v>845</v>
      </c>
      <c r="AK163" s="246"/>
      <c r="AL163" s="406"/>
      <c r="AM163" s="246"/>
      <c r="AN163" s="261"/>
      <c r="AO163" s="406"/>
      <c r="AP163" s="246"/>
      <c r="AQ163" s="620" t="s">
        <v>460</v>
      </c>
      <c r="AR163" s="246"/>
      <c r="AS163" s="406"/>
      <c r="AT163" s="254" t="str">
        <f t="shared" si="108"/>
        <v/>
      </c>
      <c r="AU163" s="269"/>
      <c r="AV163" s="269"/>
      <c r="AW163" s="463" t="str">
        <f t="shared" ref="AW163:BD163" si="113">AW77</f>
        <v>#REF!</v>
      </c>
      <c r="AX163" s="206">
        <f t="shared" si="113"/>
        <v>0</v>
      </c>
      <c r="AY163" s="464">
        <f t="shared" si="113"/>
        <v>0</v>
      </c>
      <c r="AZ163" s="206">
        <f t="shared" si="113"/>
        <v>0</v>
      </c>
      <c r="BA163" s="206">
        <f t="shared" si="113"/>
        <v>0</v>
      </c>
      <c r="BB163" s="206">
        <f t="shared" si="113"/>
        <v>0</v>
      </c>
      <c r="BC163" s="465">
        <f t="shared" si="113"/>
        <v>0</v>
      </c>
      <c r="BD163" s="206" t="str">
        <f t="shared" si="113"/>
        <v/>
      </c>
      <c r="BE163" s="466"/>
    </row>
    <row r="164">
      <c r="A164" s="94"/>
      <c r="B164" s="439" t="s">
        <v>725</v>
      </c>
      <c r="C164" s="442" t="s">
        <v>726</v>
      </c>
      <c r="D164" s="330"/>
      <c r="E164" s="259"/>
      <c r="F164" s="441"/>
      <c r="G164" s="246"/>
      <c r="H164" s="592" t="s">
        <v>769</v>
      </c>
      <c r="I164" s="246"/>
      <c r="J164" s="441"/>
      <c r="K164" s="246"/>
      <c r="L164" s="261"/>
      <c r="M164" s="441"/>
      <c r="N164" s="246"/>
      <c r="O164" s="406" t="s">
        <v>845</v>
      </c>
      <c r="P164" s="246"/>
      <c r="Q164" s="441"/>
      <c r="R164" s="246"/>
      <c r="S164" s="261"/>
      <c r="T164" s="441"/>
      <c r="U164" s="246"/>
      <c r="V164" s="206" t="s">
        <v>847</v>
      </c>
      <c r="W164" s="246"/>
      <c r="X164" s="441"/>
      <c r="Y164" s="246"/>
      <c r="Z164" s="261"/>
      <c r="AA164" s="441"/>
      <c r="AB164" s="246"/>
      <c r="AC164" s="406" t="s">
        <v>845</v>
      </c>
      <c r="AD164" s="246"/>
      <c r="AE164" s="441"/>
      <c r="AF164" s="246"/>
      <c r="AG164" s="261"/>
      <c r="AH164" s="441"/>
      <c r="AI164" s="246"/>
      <c r="AJ164" s="406" t="s">
        <v>463</v>
      </c>
      <c r="AK164" s="246"/>
      <c r="AL164" s="441"/>
      <c r="AM164" s="246"/>
      <c r="AN164" s="261"/>
      <c r="AO164" s="441"/>
      <c r="AP164" s="246"/>
      <c r="AQ164" s="406"/>
      <c r="AR164" s="246"/>
      <c r="AS164" s="441"/>
      <c r="AT164" s="254" t="str">
        <f>IF(COUNTIF($AO$86:$AT$88, #REF!) &gt; 0, "X", "")</f>
        <v/>
      </c>
      <c r="AU164" s="269"/>
      <c r="AV164" s="269"/>
      <c r="AW164" s="463" t="str">
        <f t="shared" ref="AW164:BD164" si="114">AW78</f>
        <v>#REF!</v>
      </c>
      <c r="AX164" s="206">
        <f t="shared" si="114"/>
        <v>0</v>
      </c>
      <c r="AY164" s="464">
        <f t="shared" si="114"/>
        <v>0</v>
      </c>
      <c r="AZ164" s="206">
        <f t="shared" si="114"/>
        <v>0</v>
      </c>
      <c r="BA164" s="206">
        <f t="shared" si="114"/>
        <v>0</v>
      </c>
      <c r="BB164" s="206">
        <f t="shared" si="114"/>
        <v>0</v>
      </c>
      <c r="BC164" s="465">
        <f t="shared" si="114"/>
        <v>0</v>
      </c>
      <c r="BD164" s="206" t="str">
        <f t="shared" si="114"/>
        <v/>
      </c>
      <c r="BE164" s="466"/>
    </row>
    <row r="165">
      <c r="A165" s="94"/>
      <c r="B165" s="447" t="s">
        <v>729</v>
      </c>
      <c r="C165" s="448" t="s">
        <v>730</v>
      </c>
      <c r="D165" s="330"/>
      <c r="E165" s="259"/>
      <c r="F165" s="441"/>
      <c r="G165" s="246"/>
      <c r="H165" s="406"/>
      <c r="I165" s="246"/>
      <c r="J165" s="441"/>
      <c r="K165" s="246"/>
      <c r="L165" s="261"/>
      <c r="M165" s="441"/>
      <c r="N165" s="246"/>
      <c r="O165" s="406"/>
      <c r="P165" s="246"/>
      <c r="Q165" s="441"/>
      <c r="R165" s="246"/>
      <c r="S165" s="261"/>
      <c r="T165" s="441"/>
      <c r="U165" s="246"/>
      <c r="V165" s="592" t="s">
        <v>846</v>
      </c>
      <c r="W165" s="246"/>
      <c r="X165" s="441"/>
      <c r="Y165" s="246"/>
      <c r="Z165" s="261"/>
      <c r="AA165" s="441"/>
      <c r="AB165" s="246"/>
      <c r="AC165" s="406"/>
      <c r="AD165" s="246"/>
      <c r="AE165" s="441"/>
      <c r="AF165" s="246"/>
      <c r="AG165" s="261"/>
      <c r="AH165" s="441"/>
      <c r="AI165" s="246"/>
      <c r="AJ165" s="406"/>
      <c r="AK165" s="246"/>
      <c r="AL165" s="441"/>
      <c r="AM165" s="246"/>
      <c r="AN165" s="261"/>
      <c r="AO165" s="441"/>
      <c r="AP165" s="246"/>
      <c r="AQ165" s="406" t="s">
        <v>845</v>
      </c>
      <c r="AR165" s="246"/>
      <c r="AS165" s="441"/>
      <c r="AT165" s="254" t="str">
        <f t="shared" ref="AT165:AT167" si="116">IF(COUNTIF($AO$86:$AT$88, AS165) &gt; 0, "X", "")</f>
        <v/>
      </c>
      <c r="AU165" s="269"/>
      <c r="AV165" s="269"/>
      <c r="AW165" s="463" t="str">
        <f t="shared" ref="AW165:BD165" si="115">AW79</f>
        <v>#REF!</v>
      </c>
      <c r="AX165" s="206">
        <f t="shared" si="115"/>
        <v>0</v>
      </c>
      <c r="AY165" s="464">
        <f t="shared" si="115"/>
        <v>0</v>
      </c>
      <c r="AZ165" s="206">
        <f t="shared" si="115"/>
        <v>0</v>
      </c>
      <c r="BA165" s="206">
        <f t="shared" si="115"/>
        <v>0</v>
      </c>
      <c r="BB165" s="206">
        <f t="shared" si="115"/>
        <v>0</v>
      </c>
      <c r="BC165" s="465">
        <f t="shared" si="115"/>
        <v>0</v>
      </c>
      <c r="BD165" s="206" t="str">
        <f t="shared" si="115"/>
        <v/>
      </c>
      <c r="BE165" s="466"/>
    </row>
    <row r="166">
      <c r="A166" s="94"/>
      <c r="B166" s="450" t="s">
        <v>731</v>
      </c>
      <c r="C166" s="451" t="s">
        <v>732</v>
      </c>
      <c r="D166" s="363"/>
      <c r="E166" s="259"/>
      <c r="F166" s="206"/>
      <c r="G166" s="246"/>
      <c r="H166" s="206" t="s">
        <v>847</v>
      </c>
      <c r="I166" s="246"/>
      <c r="J166" s="206"/>
      <c r="K166" s="246"/>
      <c r="L166" s="261"/>
      <c r="M166" s="206"/>
      <c r="N166" s="246"/>
      <c r="O166" s="206" t="s">
        <v>847</v>
      </c>
      <c r="P166" s="246"/>
      <c r="Q166" s="206"/>
      <c r="R166" s="246"/>
      <c r="S166" s="261"/>
      <c r="T166" s="206"/>
      <c r="U166" s="246"/>
      <c r="V166" s="406" t="s">
        <v>460</v>
      </c>
      <c r="W166" s="246"/>
      <c r="X166" s="206"/>
      <c r="Y166" s="246"/>
      <c r="Z166" s="261"/>
      <c r="AA166" s="206" t="s">
        <v>454</v>
      </c>
      <c r="AB166" s="246"/>
      <c r="AC166" s="620" t="s">
        <v>862</v>
      </c>
      <c r="AD166" s="246"/>
      <c r="AE166" s="206"/>
      <c r="AF166" s="246"/>
      <c r="AG166" s="261"/>
      <c r="AH166" s="650" t="s">
        <v>915</v>
      </c>
      <c r="AI166" s="246"/>
      <c r="AJ166" s="651" t="s">
        <v>916</v>
      </c>
      <c r="AK166" s="246"/>
      <c r="AL166" s="206"/>
      <c r="AM166" s="246"/>
      <c r="AN166" s="261"/>
      <c r="AO166" s="206"/>
      <c r="AP166" s="246"/>
      <c r="AQ166" s="206"/>
      <c r="AR166" s="246"/>
      <c r="AS166" s="206"/>
      <c r="AT166" s="254" t="str">
        <f t="shared" si="116"/>
        <v/>
      </c>
      <c r="AU166" s="269"/>
      <c r="AV166" s="269"/>
      <c r="AW166" s="463" t="str">
        <f t="shared" ref="AW166:BD166" si="117">AW80</f>
        <v>#REF!</v>
      </c>
      <c r="AX166" s="206">
        <f t="shared" si="117"/>
        <v>0</v>
      </c>
      <c r="AY166" s="464">
        <f t="shared" si="117"/>
        <v>0</v>
      </c>
      <c r="AZ166" s="206">
        <f t="shared" si="117"/>
        <v>0</v>
      </c>
      <c r="BA166" s="206">
        <f t="shared" si="117"/>
        <v>0</v>
      </c>
      <c r="BB166" s="206">
        <f t="shared" si="117"/>
        <v>0</v>
      </c>
      <c r="BC166" s="465">
        <f t="shared" si="117"/>
        <v>0</v>
      </c>
      <c r="BD166" s="206" t="str">
        <f t="shared" si="117"/>
        <v/>
      </c>
      <c r="BE166" s="466"/>
    </row>
    <row r="167">
      <c r="A167" s="94"/>
      <c r="B167" s="452" t="s">
        <v>733</v>
      </c>
      <c r="C167" s="453" t="s">
        <v>734</v>
      </c>
      <c r="D167" s="363"/>
      <c r="E167" s="259"/>
      <c r="F167" s="74"/>
      <c r="G167" s="246"/>
      <c r="H167" s="594" t="s">
        <v>395</v>
      </c>
      <c r="I167" s="246"/>
      <c r="J167" s="74"/>
      <c r="K167" s="246"/>
      <c r="L167" s="261"/>
      <c r="M167" s="74"/>
      <c r="N167" s="246"/>
      <c r="O167" s="594" t="s">
        <v>395</v>
      </c>
      <c r="P167" s="246"/>
      <c r="Q167" s="74"/>
      <c r="R167" s="246"/>
      <c r="S167" s="261"/>
      <c r="T167" s="74"/>
      <c r="U167" s="246"/>
      <c r="V167" s="594" t="s">
        <v>395</v>
      </c>
      <c r="W167" s="246"/>
      <c r="X167" s="74"/>
      <c r="Y167" s="246"/>
      <c r="Z167" s="261"/>
      <c r="AA167" s="74"/>
      <c r="AB167" s="246"/>
      <c r="AC167" s="594" t="s">
        <v>395</v>
      </c>
      <c r="AD167" s="246"/>
      <c r="AE167" s="74"/>
      <c r="AF167" s="246"/>
      <c r="AG167" s="261"/>
      <c r="AH167" s="74"/>
      <c r="AI167" s="246"/>
      <c r="AJ167" s="594" t="s">
        <v>395</v>
      </c>
      <c r="AK167" s="246"/>
      <c r="AL167" s="74"/>
      <c r="AM167" s="246"/>
      <c r="AN167" s="261"/>
      <c r="AO167" s="652" t="s">
        <v>917</v>
      </c>
      <c r="AP167" s="246"/>
      <c r="AQ167" s="653" t="s">
        <v>395</v>
      </c>
      <c r="AR167" s="246"/>
      <c r="AS167" s="654" t="s">
        <v>403</v>
      </c>
      <c r="AT167" s="254" t="str">
        <f t="shared" si="116"/>
        <v/>
      </c>
      <c r="AU167" s="269"/>
      <c r="AV167" s="269"/>
      <c r="AW167" s="463" t="str">
        <f t="shared" ref="AW167:BD167" si="118">AW81</f>
        <v>#REF!</v>
      </c>
      <c r="AX167" s="206">
        <f t="shared" si="118"/>
        <v>0</v>
      </c>
      <c r="AY167" s="464">
        <f t="shared" si="118"/>
        <v>0</v>
      </c>
      <c r="AZ167" s="206">
        <f t="shared" si="118"/>
        <v>0</v>
      </c>
      <c r="BA167" s="206">
        <f t="shared" si="118"/>
        <v>0</v>
      </c>
      <c r="BB167" s="206">
        <f t="shared" si="118"/>
        <v>0</v>
      </c>
      <c r="BC167" s="465">
        <f t="shared" si="118"/>
        <v>0</v>
      </c>
      <c r="BD167" s="206" t="str">
        <f t="shared" si="118"/>
        <v/>
      </c>
      <c r="BE167" s="466"/>
    </row>
    <row r="168">
      <c r="A168" s="94"/>
      <c r="B168" s="636"/>
      <c r="C168" s="637"/>
      <c r="D168" s="269"/>
      <c r="E168" s="638"/>
      <c r="F168" s="446"/>
      <c r="G168" s="246"/>
      <c r="H168" s="446"/>
      <c r="I168" s="246"/>
      <c r="J168" s="446"/>
      <c r="K168" s="246"/>
      <c r="L168" s="462"/>
      <c r="M168" s="446"/>
      <c r="N168" s="246"/>
      <c r="O168" s="446"/>
      <c r="P168" s="246"/>
      <c r="Q168" s="446"/>
      <c r="R168" s="246"/>
      <c r="S168" s="462"/>
      <c r="T168" s="446"/>
      <c r="U168" s="246"/>
      <c r="V168" s="446"/>
      <c r="W168" s="246"/>
      <c r="X168" s="446"/>
      <c r="Y168" s="246"/>
      <c r="Z168" s="462"/>
      <c r="AA168" s="446"/>
      <c r="AB168" s="246"/>
      <c r="AC168" s="446"/>
      <c r="AD168" s="246"/>
      <c r="AE168" s="446"/>
      <c r="AF168" s="246"/>
      <c r="AG168" s="462"/>
      <c r="AH168" s="446"/>
      <c r="AI168" s="246"/>
      <c r="AJ168" s="446"/>
      <c r="AK168" s="246"/>
      <c r="AL168" s="446"/>
      <c r="AM168" s="246"/>
      <c r="AN168" s="462"/>
      <c r="AO168" s="446"/>
      <c r="AP168" s="246"/>
      <c r="AQ168" s="446"/>
      <c r="AR168" s="246"/>
      <c r="AS168" s="446"/>
      <c r="AT168" s="254"/>
      <c r="AU168" s="269"/>
      <c r="AV168" s="269"/>
      <c r="AW168" s="463" t="str">
        <f t="shared" ref="AW168:BD168" si="119">AW82</f>
        <v>#REF!</v>
      </c>
      <c r="AX168" s="206">
        <f t="shared" si="119"/>
        <v>0</v>
      </c>
      <c r="AY168" s="464">
        <f t="shared" si="119"/>
        <v>0</v>
      </c>
      <c r="AZ168" s="206">
        <f t="shared" si="119"/>
        <v>0</v>
      </c>
      <c r="BA168" s="206">
        <f t="shared" si="119"/>
        <v>0</v>
      </c>
      <c r="BB168" s="206">
        <f t="shared" si="119"/>
        <v>0</v>
      </c>
      <c r="BC168" s="465">
        <f t="shared" si="119"/>
        <v>0</v>
      </c>
      <c r="BD168" s="206" t="str">
        <f t="shared" si="119"/>
        <v/>
      </c>
      <c r="BE168" s="466"/>
    </row>
    <row r="169">
      <c r="A169" s="94"/>
      <c r="B169" s="454" t="s">
        <v>735</v>
      </c>
      <c r="C169" s="455" t="s">
        <v>736</v>
      </c>
      <c r="D169" s="363"/>
      <c r="E169" s="259"/>
      <c r="F169" s="441"/>
      <c r="G169" s="246"/>
      <c r="H169" s="441"/>
      <c r="I169" s="246"/>
      <c r="J169" s="405" t="s">
        <v>462</v>
      </c>
      <c r="K169" s="246"/>
      <c r="L169" s="261"/>
      <c r="M169" s="441"/>
      <c r="N169" s="246"/>
      <c r="O169" s="441"/>
      <c r="P169" s="246"/>
      <c r="Q169" s="441"/>
      <c r="R169" s="246"/>
      <c r="S169" s="261"/>
      <c r="T169" s="441"/>
      <c r="U169" s="246"/>
      <c r="V169" s="441"/>
      <c r="W169" s="246"/>
      <c r="X169" s="405" t="s">
        <v>462</v>
      </c>
      <c r="Y169" s="246"/>
      <c r="Z169" s="261"/>
      <c r="AA169" s="441"/>
      <c r="AB169" s="246"/>
      <c r="AC169" s="441"/>
      <c r="AD169" s="246"/>
      <c r="AE169" s="441"/>
      <c r="AF169" s="246"/>
      <c r="AG169" s="261"/>
      <c r="AH169" s="441"/>
      <c r="AI169" s="246"/>
      <c r="AJ169" s="441"/>
      <c r="AK169" s="246"/>
      <c r="AL169" s="405" t="s">
        <v>462</v>
      </c>
      <c r="AM169" s="246"/>
      <c r="AN169" s="261"/>
      <c r="AO169" s="441"/>
      <c r="AP169" s="246"/>
      <c r="AQ169" s="441"/>
      <c r="AR169" s="246"/>
      <c r="AS169" s="441"/>
      <c r="AT169" s="254" t="str">
        <f t="shared" ref="AT169:AT171" si="121">IF(COUNTIF($AO$86:$AT$88, AS169) &gt; 0, "X", "")</f>
        <v/>
      </c>
      <c r="AU169" s="269"/>
      <c r="AV169" s="269"/>
      <c r="AW169" s="463" t="str">
        <f t="shared" ref="AW169:BD169" si="120">AW83</f>
        <v>#REF!</v>
      </c>
      <c r="AX169" s="206">
        <f t="shared" si="120"/>
        <v>0</v>
      </c>
      <c r="AY169" s="464">
        <f t="shared" si="120"/>
        <v>0</v>
      </c>
      <c r="AZ169" s="206">
        <f t="shared" si="120"/>
        <v>0</v>
      </c>
      <c r="BA169" s="206">
        <f t="shared" si="120"/>
        <v>0</v>
      </c>
      <c r="BB169" s="206">
        <f t="shared" si="120"/>
        <v>0</v>
      </c>
      <c r="BC169" s="465">
        <f t="shared" si="120"/>
        <v>0</v>
      </c>
      <c r="BD169" s="206" t="str">
        <f t="shared" si="120"/>
        <v/>
      </c>
      <c r="BE169" s="466"/>
    </row>
    <row r="170">
      <c r="A170" s="94"/>
      <c r="B170" s="454" t="s">
        <v>735</v>
      </c>
      <c r="C170" s="442" t="s">
        <v>736</v>
      </c>
      <c r="D170" s="363"/>
      <c r="E170" s="259"/>
      <c r="F170" s="456"/>
      <c r="G170" s="246"/>
      <c r="H170" s="456"/>
      <c r="I170" s="246"/>
      <c r="J170" s="456"/>
      <c r="K170" s="246"/>
      <c r="L170" s="261"/>
      <c r="M170" s="456"/>
      <c r="N170" s="246"/>
      <c r="O170" s="456"/>
      <c r="P170" s="246"/>
      <c r="Q170" s="456"/>
      <c r="R170" s="246"/>
      <c r="S170" s="261"/>
      <c r="T170" s="456"/>
      <c r="U170" s="246"/>
      <c r="V170" s="456"/>
      <c r="W170" s="246"/>
      <c r="X170" s="456"/>
      <c r="Y170" s="246"/>
      <c r="Z170" s="261"/>
      <c r="AA170" s="456"/>
      <c r="AB170" s="246"/>
      <c r="AC170" s="456"/>
      <c r="AD170" s="246"/>
      <c r="AE170" s="456"/>
      <c r="AF170" s="246"/>
      <c r="AG170" s="261"/>
      <c r="AH170" s="456"/>
      <c r="AI170" s="246"/>
      <c r="AJ170" s="456"/>
      <c r="AK170" s="246"/>
      <c r="AL170" s="456"/>
      <c r="AM170" s="246"/>
      <c r="AN170" s="261"/>
      <c r="AO170" s="456"/>
      <c r="AP170" s="246"/>
      <c r="AQ170" s="456"/>
      <c r="AR170" s="246"/>
      <c r="AS170" s="456"/>
      <c r="AT170" s="254" t="str">
        <f t="shared" si="121"/>
        <v/>
      </c>
      <c r="AU170" s="269"/>
      <c r="AV170" s="269"/>
      <c r="AW170" s="463" t="str">
        <f t="shared" ref="AW170:BD170" si="122">AW84</f>
        <v>#REF!</v>
      </c>
      <c r="AX170" s="206">
        <f t="shared" si="122"/>
        <v>0</v>
      </c>
      <c r="AY170" s="464">
        <f t="shared" si="122"/>
        <v>0</v>
      </c>
      <c r="AZ170" s="206">
        <f t="shared" si="122"/>
        <v>0</v>
      </c>
      <c r="BA170" s="206">
        <f t="shared" si="122"/>
        <v>0</v>
      </c>
      <c r="BB170" s="206">
        <f t="shared" si="122"/>
        <v>0</v>
      </c>
      <c r="BC170" s="465">
        <f t="shared" si="122"/>
        <v>0</v>
      </c>
      <c r="BD170" s="206" t="str">
        <f t="shared" si="122"/>
        <v/>
      </c>
      <c r="BE170" s="466"/>
    </row>
    <row r="171">
      <c r="A171" s="94"/>
      <c r="B171" s="457" t="s">
        <v>735</v>
      </c>
      <c r="C171" s="458" t="s">
        <v>737</v>
      </c>
      <c r="D171" s="363"/>
      <c r="E171" s="259"/>
      <c r="F171" s="406"/>
      <c r="G171" s="246"/>
      <c r="H171" s="406"/>
      <c r="I171" s="246"/>
      <c r="J171" s="406"/>
      <c r="K171" s="246"/>
      <c r="L171" s="261"/>
      <c r="M171" s="406"/>
      <c r="N171" s="246"/>
      <c r="O171" s="406"/>
      <c r="P171" s="246"/>
      <c r="Q171" s="406"/>
      <c r="R171" s="246"/>
      <c r="S171" s="261"/>
      <c r="T171" s="406"/>
      <c r="U171" s="246"/>
      <c r="V171" s="406"/>
      <c r="W171" s="246"/>
      <c r="X171" s="406"/>
      <c r="Y171" s="246"/>
      <c r="Z171" s="261"/>
      <c r="AA171" s="406"/>
      <c r="AB171" s="246"/>
      <c r="AC171" s="406"/>
      <c r="AD171" s="246"/>
      <c r="AE171" s="406"/>
      <c r="AF171" s="246"/>
      <c r="AG171" s="261"/>
      <c r="AH171" s="406"/>
      <c r="AI171" s="246"/>
      <c r="AJ171" s="406"/>
      <c r="AK171" s="246"/>
      <c r="AL171" s="406"/>
      <c r="AM171" s="246"/>
      <c r="AN171" s="261"/>
      <c r="AO171" s="406"/>
      <c r="AP171" s="246"/>
      <c r="AQ171" s="406"/>
      <c r="AR171" s="246"/>
      <c r="AS171" s="406"/>
      <c r="AT171" s="254" t="str">
        <f t="shared" si="121"/>
        <v/>
      </c>
      <c r="AU171" s="269"/>
      <c r="AV171" s="269"/>
      <c r="AW171" s="463" t="str">
        <f t="shared" ref="AW171:BD171" si="123">AW85</f>
        <v>#REF!</v>
      </c>
      <c r="AX171" s="206">
        <f t="shared" si="123"/>
        <v>0</v>
      </c>
      <c r="AY171" s="464">
        <f t="shared" si="123"/>
        <v>0</v>
      </c>
      <c r="AZ171" s="206">
        <f t="shared" si="123"/>
        <v>0</v>
      </c>
      <c r="BA171" s="206">
        <f t="shared" si="123"/>
        <v>0</v>
      </c>
      <c r="BB171" s="206">
        <f t="shared" si="123"/>
        <v>0</v>
      </c>
      <c r="BC171" s="465">
        <f t="shared" si="123"/>
        <v>0</v>
      </c>
      <c r="BD171" s="206" t="str">
        <f t="shared" si="123"/>
        <v/>
      </c>
      <c r="BE171" s="466"/>
    </row>
    <row r="172">
      <c r="A172" s="94"/>
      <c r="B172" s="459"/>
      <c r="C172" s="460" t="s">
        <v>738</v>
      </c>
      <c r="D172" s="363"/>
      <c r="E172" s="259"/>
      <c r="F172" s="461" t="s">
        <v>508</v>
      </c>
      <c r="G172" s="246"/>
      <c r="H172" s="132"/>
      <c r="I172" s="246"/>
      <c r="J172" s="132"/>
      <c r="K172" s="246"/>
      <c r="L172" s="462"/>
      <c r="M172" s="461"/>
      <c r="N172" s="246"/>
      <c r="O172" s="132"/>
      <c r="P172" s="246"/>
      <c r="Q172" s="132"/>
      <c r="R172" s="246"/>
      <c r="S172" s="462"/>
      <c r="T172" s="461" t="s">
        <v>517</v>
      </c>
      <c r="U172" s="246"/>
      <c r="V172" s="132"/>
      <c r="W172" s="246"/>
      <c r="X172" s="132"/>
      <c r="Y172" s="246"/>
      <c r="Z172" s="462"/>
      <c r="AA172" s="461" t="s">
        <v>918</v>
      </c>
      <c r="AB172" s="246"/>
      <c r="AC172" s="132"/>
      <c r="AD172" s="246"/>
      <c r="AE172" s="132"/>
      <c r="AF172" s="246"/>
      <c r="AG172" s="462"/>
      <c r="AH172" s="461" t="s">
        <v>919</v>
      </c>
      <c r="AI172" s="246"/>
      <c r="AJ172" s="132"/>
      <c r="AK172" s="246"/>
      <c r="AL172" s="132"/>
      <c r="AM172" s="246"/>
      <c r="AN172" s="462"/>
      <c r="AO172" s="461" t="s">
        <v>920</v>
      </c>
      <c r="AP172" s="246"/>
      <c r="AQ172" s="132"/>
      <c r="AR172" s="246"/>
      <c r="AS172" s="132"/>
      <c r="AT172" s="460"/>
      <c r="AU172" s="269"/>
      <c r="AV172" s="269"/>
      <c r="AW172" s="463" t="str">
        <f t="shared" ref="AW172:BD172" si="124">AW86</f>
        <v>#REF!</v>
      </c>
      <c r="AX172" s="206">
        <f t="shared" si="124"/>
        <v>0</v>
      </c>
      <c r="AY172" s="464">
        <f t="shared" si="124"/>
        <v>0</v>
      </c>
      <c r="AZ172" s="206">
        <f t="shared" si="124"/>
        <v>0</v>
      </c>
      <c r="BA172" s="206">
        <f t="shared" si="124"/>
        <v>0</v>
      </c>
      <c r="BB172" s="206">
        <f t="shared" si="124"/>
        <v>0</v>
      </c>
      <c r="BC172" s="465">
        <f t="shared" si="124"/>
        <v>0</v>
      </c>
      <c r="BD172" s="206" t="str">
        <f t="shared" si="124"/>
        <v/>
      </c>
      <c r="BE172" s="466"/>
    </row>
    <row r="173">
      <c r="A173" s="270"/>
      <c r="B173" s="459"/>
      <c r="C173" s="460" t="s">
        <v>738</v>
      </c>
      <c r="D173" s="363"/>
      <c r="E173" s="259"/>
      <c r="F173" s="461"/>
      <c r="G173" s="246"/>
      <c r="H173" s="132"/>
      <c r="I173" s="246"/>
      <c r="J173" s="132"/>
      <c r="K173" s="246"/>
      <c r="L173" s="462"/>
      <c r="M173" s="461"/>
      <c r="N173" s="246"/>
      <c r="O173" s="132"/>
      <c r="P173" s="246"/>
      <c r="Q173" s="132"/>
      <c r="R173" s="246"/>
      <c r="S173" s="462"/>
      <c r="T173" s="461"/>
      <c r="U173" s="246"/>
      <c r="V173" s="132"/>
      <c r="W173" s="246"/>
      <c r="X173" s="132"/>
      <c r="Y173" s="246"/>
      <c r="Z173" s="462"/>
      <c r="AA173" s="461"/>
      <c r="AB173" s="246"/>
      <c r="AC173" s="132"/>
      <c r="AD173" s="246"/>
      <c r="AE173" s="132"/>
      <c r="AF173" s="246"/>
      <c r="AG173" s="462"/>
      <c r="AH173" s="461"/>
      <c r="AI173" s="246"/>
      <c r="AJ173" s="132"/>
      <c r="AK173" s="246"/>
      <c r="AL173" s="132"/>
      <c r="AM173" s="246"/>
      <c r="AN173" s="462"/>
      <c r="AO173" s="461" t="s">
        <v>921</v>
      </c>
      <c r="AP173" s="246"/>
      <c r="AQ173" s="132"/>
      <c r="AR173" s="246"/>
      <c r="AS173" s="132"/>
      <c r="AT173" s="460"/>
      <c r="AU173" s="236"/>
      <c r="AV173" s="236"/>
      <c r="AW173" s="463" t="str">
        <f t="shared" ref="AW173:BD173" si="125">AW87</f>
        <v>#REF!</v>
      </c>
      <c r="AX173" s="206">
        <f t="shared" si="125"/>
        <v>0</v>
      </c>
      <c r="AY173" s="464">
        <f t="shared" si="125"/>
        <v>0</v>
      </c>
      <c r="AZ173" s="206">
        <f t="shared" si="125"/>
        <v>0</v>
      </c>
      <c r="BA173" s="206">
        <f t="shared" si="125"/>
        <v>0</v>
      </c>
      <c r="BB173" s="206">
        <f t="shared" si="125"/>
        <v>0</v>
      </c>
      <c r="BC173" s="465">
        <f t="shared" si="125"/>
        <v>0</v>
      </c>
      <c r="BD173" s="206" t="str">
        <f t="shared" si="125"/>
        <v/>
      </c>
      <c r="BE173" s="466"/>
    </row>
    <row r="174">
      <c r="A174" s="236"/>
      <c r="B174" s="459"/>
      <c r="C174" s="460" t="s">
        <v>738</v>
      </c>
      <c r="D174" s="363"/>
      <c r="E174" s="259"/>
      <c r="F174" s="132"/>
      <c r="G174" s="246"/>
      <c r="H174" s="132"/>
      <c r="I174" s="246"/>
      <c r="J174" s="132"/>
      <c r="K174" s="246"/>
      <c r="L174" s="462"/>
      <c r="M174" s="132"/>
      <c r="N174" s="246"/>
      <c r="O174" s="132"/>
      <c r="P174" s="246"/>
      <c r="Q174" s="132"/>
      <c r="R174" s="246"/>
      <c r="S174" s="462"/>
      <c r="T174" s="132"/>
      <c r="U174" s="246"/>
      <c r="V174" s="132"/>
      <c r="W174" s="246"/>
      <c r="X174" s="132"/>
      <c r="Y174" s="246"/>
      <c r="Z174" s="462"/>
      <c r="AA174" s="132"/>
      <c r="AB174" s="246"/>
      <c r="AC174" s="132"/>
      <c r="AD174" s="246"/>
      <c r="AE174" s="132"/>
      <c r="AF174" s="246"/>
      <c r="AG174" s="462"/>
      <c r="AH174" s="461" t="s">
        <v>922</v>
      </c>
      <c r="AI174" s="246"/>
      <c r="AJ174" s="132"/>
      <c r="AK174" s="246"/>
      <c r="AL174" s="132"/>
      <c r="AM174" s="246"/>
      <c r="AN174" s="462"/>
      <c r="AO174" s="461" t="s">
        <v>745</v>
      </c>
      <c r="AP174" s="246"/>
      <c r="AQ174" s="132"/>
      <c r="AR174" s="246"/>
      <c r="AS174" s="132"/>
      <c r="AT174" s="460"/>
      <c r="AU174" s="236"/>
      <c r="AV174" s="236"/>
      <c r="AW174" s="463" t="str">
        <f t="shared" ref="AW174:BD174" si="126">AW88</f>
        <v>#REF!</v>
      </c>
      <c r="AX174" s="206">
        <f t="shared" si="126"/>
        <v>0</v>
      </c>
      <c r="AY174" s="464">
        <f t="shared" si="126"/>
        <v>0</v>
      </c>
      <c r="AZ174" s="206">
        <f t="shared" si="126"/>
        <v>0</v>
      </c>
      <c r="BA174" s="206">
        <f t="shared" si="126"/>
        <v>0</v>
      </c>
      <c r="BB174" s="206">
        <f t="shared" si="126"/>
        <v>0</v>
      </c>
      <c r="BC174" s="465">
        <f t="shared" si="126"/>
        <v>0</v>
      </c>
      <c r="BD174" s="206" t="str">
        <f t="shared" si="126"/>
        <v/>
      </c>
      <c r="BE174" s="466"/>
    </row>
    <row r="175">
      <c r="A175" s="182"/>
      <c r="B175" s="183" t="s">
        <v>778</v>
      </c>
      <c r="C175" s="184" t="s">
        <v>605</v>
      </c>
      <c r="D175" s="185" t="s">
        <v>486</v>
      </c>
      <c r="E175" s="186"/>
      <c r="F175" s="185" t="s">
        <v>487</v>
      </c>
      <c r="M175" s="185" t="s">
        <v>488</v>
      </c>
      <c r="T175" s="185" t="s">
        <v>489</v>
      </c>
      <c r="AA175" s="185" t="s">
        <v>490</v>
      </c>
      <c r="AH175" s="185" t="s">
        <v>491</v>
      </c>
      <c r="AO175" s="185" t="s">
        <v>492</v>
      </c>
      <c r="AU175" s="182"/>
      <c r="AV175" s="182"/>
      <c r="AW175" s="182"/>
      <c r="AX175" s="182"/>
      <c r="AY175" s="182"/>
      <c r="AZ175" s="182"/>
      <c r="BA175" s="182"/>
      <c r="BB175" s="182"/>
      <c r="BC175" s="182"/>
      <c r="BD175" s="182"/>
      <c r="BE175" s="182"/>
    </row>
    <row r="176">
      <c r="A176" s="182"/>
      <c r="B176" s="187"/>
      <c r="C176" s="187"/>
      <c r="D176" s="188">
        <f>AO90+1</f>
        <v>15</v>
      </c>
      <c r="E176" s="189"/>
      <c r="F176" s="188">
        <f>D176+1</f>
        <v>16</v>
      </c>
      <c r="M176" s="188">
        <f>F176+1</f>
        <v>17</v>
      </c>
      <c r="T176" s="188">
        <f>M176+1</f>
        <v>18</v>
      </c>
      <c r="AA176" s="188">
        <f>T176+1</f>
        <v>19</v>
      </c>
      <c r="AH176" s="188">
        <f>AA176+1</f>
        <v>20</v>
      </c>
      <c r="AO176" s="188">
        <f>AH176+1</f>
        <v>21</v>
      </c>
      <c r="AU176" s="182"/>
      <c r="AV176" s="182"/>
      <c r="AW176" s="190" t="s">
        <v>606</v>
      </c>
      <c r="BB176" s="190"/>
      <c r="BC176" s="191" t="s">
        <v>607</v>
      </c>
      <c r="BD176" s="191"/>
      <c r="BE176" s="192"/>
    </row>
    <row r="177">
      <c r="A177" s="182"/>
      <c r="B177" s="193" t="s">
        <v>608</v>
      </c>
      <c r="C177" s="193" t="s">
        <v>609</v>
      </c>
      <c r="D177" s="187"/>
      <c r="E177" s="189"/>
      <c r="F177" s="194" t="s">
        <v>610</v>
      </c>
      <c r="G177" s="195"/>
      <c r="H177" s="193" t="s">
        <v>611</v>
      </c>
      <c r="J177" s="194" t="s">
        <v>612</v>
      </c>
      <c r="M177" s="194" t="s">
        <v>610</v>
      </c>
      <c r="N177" s="195"/>
      <c r="O177" s="193" t="s">
        <v>611</v>
      </c>
      <c r="P177" s="195"/>
      <c r="Q177" s="194" t="s">
        <v>612</v>
      </c>
      <c r="S177" s="193"/>
      <c r="T177" s="194" t="s">
        <v>610</v>
      </c>
      <c r="U177" s="195"/>
      <c r="V177" s="193" t="s">
        <v>611</v>
      </c>
      <c r="W177" s="195"/>
      <c r="X177" s="194" t="s">
        <v>612</v>
      </c>
      <c r="Z177" s="193"/>
      <c r="AA177" s="194" t="s">
        <v>610</v>
      </c>
      <c r="AB177" s="195"/>
      <c r="AC177" s="193" t="s">
        <v>611</v>
      </c>
      <c r="AD177" s="195"/>
      <c r="AE177" s="194" t="s">
        <v>612</v>
      </c>
      <c r="AG177" s="193"/>
      <c r="AH177" s="194" t="s">
        <v>610</v>
      </c>
      <c r="AI177" s="195"/>
      <c r="AJ177" s="193" t="s">
        <v>611</v>
      </c>
      <c r="AK177" s="195"/>
      <c r="AL177" s="194" t="s">
        <v>612</v>
      </c>
      <c r="AN177" s="193"/>
      <c r="AO177" s="194" t="s">
        <v>610</v>
      </c>
      <c r="AP177" s="195"/>
      <c r="AQ177" s="193" t="s">
        <v>611</v>
      </c>
      <c r="AR177" s="195"/>
      <c r="AS177" s="194" t="s">
        <v>612</v>
      </c>
      <c r="AU177" s="182"/>
      <c r="AV177" s="182"/>
      <c r="AW177" s="196" t="s">
        <v>613</v>
      </c>
      <c r="AX177" s="197" t="s">
        <v>614</v>
      </c>
      <c r="AY177" s="197" t="s">
        <v>615</v>
      </c>
      <c r="AZ177" s="197" t="s">
        <v>616</v>
      </c>
      <c r="BA177" s="197" t="s">
        <v>617</v>
      </c>
      <c r="BB177" s="197" t="s">
        <v>618</v>
      </c>
      <c r="BC177" s="197" t="s">
        <v>619</v>
      </c>
      <c r="BD177" s="197"/>
      <c r="BE177" s="198"/>
    </row>
    <row r="178">
      <c r="A178" s="199"/>
      <c r="B178" s="200" t="s">
        <v>620</v>
      </c>
      <c r="C178" s="201"/>
      <c r="D178" s="639" t="s">
        <v>909</v>
      </c>
      <c r="E178" s="202"/>
      <c r="F178" s="203" t="s">
        <v>824</v>
      </c>
      <c r="G178" s="204"/>
      <c r="H178" s="203" t="s">
        <v>825</v>
      </c>
      <c r="I178" s="204"/>
      <c r="J178" s="203" t="s">
        <v>620</v>
      </c>
      <c r="K178" s="204"/>
      <c r="L178" s="205"/>
      <c r="M178" s="203"/>
      <c r="N178" s="204"/>
      <c r="O178" s="203"/>
      <c r="P178" s="204"/>
      <c r="Q178" s="203" t="s">
        <v>779</v>
      </c>
      <c r="R178" s="204"/>
      <c r="S178" s="205"/>
      <c r="T178" s="203"/>
      <c r="U178" s="204"/>
      <c r="V178" s="203"/>
      <c r="W178" s="204"/>
      <c r="X178" s="203"/>
      <c r="Y178" s="204"/>
      <c r="Z178" s="205"/>
      <c r="AA178" s="203"/>
      <c r="AB178" s="204"/>
      <c r="AC178" s="203"/>
      <c r="AD178" s="204"/>
      <c r="AE178" s="203" t="s">
        <v>779</v>
      </c>
      <c r="AF178" s="204"/>
      <c r="AG178" s="205"/>
      <c r="AH178" s="203"/>
      <c r="AI178" s="204"/>
      <c r="AJ178" s="203"/>
      <c r="AK178" s="204"/>
      <c r="AL178" s="203" t="s">
        <v>923</v>
      </c>
      <c r="AM178" s="204"/>
      <c r="AN178" s="205"/>
      <c r="AO178" s="203"/>
      <c r="AP178" s="204"/>
      <c r="AQ178" s="203"/>
      <c r="AR178" s="204"/>
      <c r="AS178" s="203"/>
      <c r="AT178" s="204"/>
      <c r="AU178" s="199"/>
      <c r="AV178" s="199"/>
      <c r="AW178" s="206" t="str">
        <f t="shared" ref="AW178:BC178" si="127">AW6</f>
        <v>#REF!</v>
      </c>
      <c r="AX178" s="206">
        <f t="shared" si="127"/>
        <v>0</v>
      </c>
      <c r="AY178" s="206">
        <f t="shared" si="127"/>
        <v>0</v>
      </c>
      <c r="AZ178" s="464">
        <f t="shared" si="127"/>
        <v>0</v>
      </c>
      <c r="BA178" s="206">
        <f t="shared" si="127"/>
        <v>0</v>
      </c>
      <c r="BB178" s="206">
        <f t="shared" si="127"/>
        <v>0</v>
      </c>
      <c r="BC178" s="465">
        <f t="shared" si="127"/>
        <v>0</v>
      </c>
      <c r="BD178" s="206"/>
      <c r="BE178" s="466"/>
    </row>
    <row r="179">
      <c r="A179" s="199"/>
      <c r="B179" s="213" t="s">
        <v>623</v>
      </c>
      <c r="C179" s="214"/>
      <c r="D179" s="215"/>
      <c r="E179" s="216"/>
      <c r="F179" s="219" t="s">
        <v>627</v>
      </c>
      <c r="G179" s="218"/>
      <c r="H179" s="223" t="s">
        <v>628</v>
      </c>
      <c r="I179" s="220"/>
      <c r="J179" s="219" t="s">
        <v>626</v>
      </c>
      <c r="K179" s="221"/>
      <c r="L179" s="216"/>
      <c r="M179" s="217"/>
      <c r="N179" s="218"/>
      <c r="O179" s="222" t="s">
        <v>625</v>
      </c>
      <c r="P179" s="220"/>
      <c r="Q179" s="219" t="s">
        <v>626</v>
      </c>
      <c r="R179" s="221"/>
      <c r="S179" s="216"/>
      <c r="T179" s="217"/>
      <c r="U179" s="218"/>
      <c r="V179" s="223" t="s">
        <v>628</v>
      </c>
      <c r="W179" s="220"/>
      <c r="X179" s="219" t="s">
        <v>626</v>
      </c>
      <c r="Y179" s="221"/>
      <c r="Z179" s="216"/>
      <c r="AA179" s="217"/>
      <c r="AB179" s="218"/>
      <c r="AC179" s="222" t="s">
        <v>625</v>
      </c>
      <c r="AD179" s="220"/>
      <c r="AE179" s="219" t="s">
        <v>626</v>
      </c>
      <c r="AF179" s="221"/>
      <c r="AG179" s="216"/>
      <c r="AH179" s="219" t="s">
        <v>626</v>
      </c>
      <c r="AI179" s="218"/>
      <c r="AJ179" s="223" t="s">
        <v>628</v>
      </c>
      <c r="AK179" s="220"/>
      <c r="AL179" s="655" t="s">
        <v>924</v>
      </c>
      <c r="AM179" s="221"/>
      <c r="AN179" s="216"/>
      <c r="AO179" s="217"/>
      <c r="AP179" s="218"/>
      <c r="AQ179" s="222" t="s">
        <v>625</v>
      </c>
      <c r="AR179" s="220"/>
      <c r="AS179" s="219" t="s">
        <v>626</v>
      </c>
      <c r="AT179" s="221"/>
      <c r="AU179" s="225">
        <f>counta(F179:AT179)*20</f>
        <v>280</v>
      </c>
      <c r="AW179" s="206" t="str">
        <f t="shared" ref="AW179:BC179" si="128">AW7</f>
        <v>#REF!</v>
      </c>
      <c r="AX179" s="206">
        <f t="shared" si="128"/>
        <v>0</v>
      </c>
      <c r="AY179" s="206">
        <f t="shared" si="128"/>
        <v>0</v>
      </c>
      <c r="AZ179" s="464">
        <f t="shared" si="128"/>
        <v>0</v>
      </c>
      <c r="BA179" s="206">
        <f t="shared" si="128"/>
        <v>0</v>
      </c>
      <c r="BB179" s="206">
        <f t="shared" si="128"/>
        <v>0</v>
      </c>
      <c r="BC179" s="465">
        <f t="shared" si="128"/>
        <v>0</v>
      </c>
      <c r="BD179" s="206"/>
      <c r="BE179" s="466"/>
    </row>
    <row r="180">
      <c r="A180" s="199"/>
      <c r="B180" s="226" t="s">
        <v>629</v>
      </c>
      <c r="C180" s="214"/>
      <c r="D180" s="215"/>
      <c r="E180" s="216"/>
      <c r="F180" s="227">
        <v>0.0</v>
      </c>
      <c r="G180" s="218"/>
      <c r="H180" s="227">
        <v>5.0</v>
      </c>
      <c r="I180" s="220"/>
      <c r="J180" s="227">
        <v>8.0</v>
      </c>
      <c r="K180" s="221"/>
      <c r="L180" s="216"/>
      <c r="M180" s="227"/>
      <c r="N180" s="218"/>
      <c r="O180" s="227">
        <v>4.0</v>
      </c>
      <c r="P180" s="220"/>
      <c r="Q180" s="227">
        <v>4.0</v>
      </c>
      <c r="R180" s="221"/>
      <c r="S180" s="216"/>
      <c r="T180" s="227"/>
      <c r="U180" s="218"/>
      <c r="V180" s="227">
        <v>4.0</v>
      </c>
      <c r="W180" s="220"/>
      <c r="X180" s="227">
        <v>8.0</v>
      </c>
      <c r="Y180" s="221"/>
      <c r="Z180" s="216"/>
      <c r="AA180" s="469">
        <v>3.0</v>
      </c>
      <c r="AB180" s="218"/>
      <c r="AC180" s="227">
        <v>6.0</v>
      </c>
      <c r="AD180" s="220"/>
      <c r="AE180" s="233">
        <v>0.0</v>
      </c>
      <c r="AF180" s="221"/>
      <c r="AG180" s="216"/>
      <c r="AH180" s="227">
        <v>0.0</v>
      </c>
      <c r="AI180" s="218"/>
      <c r="AJ180" s="227">
        <v>4.0</v>
      </c>
      <c r="AK180" s="220"/>
      <c r="AL180" s="227">
        <v>7.0</v>
      </c>
      <c r="AM180" s="221"/>
      <c r="AN180" s="216"/>
      <c r="AO180" s="227"/>
      <c r="AP180" s="218"/>
      <c r="AQ180" s="227">
        <v>4.0</v>
      </c>
      <c r="AR180" s="220"/>
      <c r="AS180" s="227">
        <v>4.0</v>
      </c>
      <c r="AT180" s="221"/>
      <c r="AU180" s="225">
        <f>sum(F180:AK180)</f>
        <v>46</v>
      </c>
      <c r="AW180" s="206" t="str">
        <f t="shared" ref="AW180:BC180" si="129">AW8</f>
        <v>#REF!</v>
      </c>
      <c r="AX180" s="206">
        <f t="shared" si="129"/>
        <v>0</v>
      </c>
      <c r="AY180" s="206">
        <f t="shared" si="129"/>
        <v>0</v>
      </c>
      <c r="AZ180" s="464">
        <f t="shared" si="129"/>
        <v>0</v>
      </c>
      <c r="BA180" s="206">
        <f t="shared" si="129"/>
        <v>0</v>
      </c>
      <c r="BB180" s="206">
        <f t="shared" si="129"/>
        <v>0</v>
      </c>
      <c r="BC180" s="465">
        <f t="shared" si="129"/>
        <v>0</v>
      </c>
      <c r="BD180" s="206"/>
      <c r="BE180" s="466"/>
    </row>
    <row r="181">
      <c r="A181" s="199"/>
      <c r="B181" s="213" t="s">
        <v>630</v>
      </c>
      <c r="C181" s="214"/>
      <c r="D181" s="215"/>
      <c r="E181" s="216"/>
      <c r="F181" s="215"/>
      <c r="G181" s="218"/>
      <c r="H181" s="215"/>
      <c r="I181" s="220"/>
      <c r="J181" s="215"/>
      <c r="K181" s="221"/>
      <c r="L181" s="216"/>
      <c r="M181" s="215"/>
      <c r="N181" s="218"/>
      <c r="O181" s="228" t="s">
        <v>631</v>
      </c>
      <c r="P181" s="220"/>
      <c r="Q181" s="215"/>
      <c r="R181" s="221"/>
      <c r="S181" s="216"/>
      <c r="T181" s="215"/>
      <c r="U181" s="218"/>
      <c r="V181" s="215"/>
      <c r="W181" s="220"/>
      <c r="X181" s="228" t="s">
        <v>631</v>
      </c>
      <c r="Y181" s="221"/>
      <c r="Z181" s="216"/>
      <c r="AA181" s="215"/>
      <c r="AB181" s="218"/>
      <c r="AC181" s="228" t="s">
        <v>631</v>
      </c>
      <c r="AD181" s="220"/>
      <c r="AE181" s="215"/>
      <c r="AF181" s="221"/>
      <c r="AG181" s="216"/>
      <c r="AH181" s="215"/>
      <c r="AI181" s="218"/>
      <c r="AJ181" s="215"/>
      <c r="AK181" s="220"/>
      <c r="AL181" s="215"/>
      <c r="AM181" s="221"/>
      <c r="AN181" s="216"/>
      <c r="AO181" s="215"/>
      <c r="AP181" s="218"/>
      <c r="AQ181" s="215"/>
      <c r="AR181" s="220"/>
      <c r="AS181" s="215"/>
      <c r="AT181" s="221"/>
      <c r="AU181" s="225">
        <f>countA(F181:AJ181)*5</f>
        <v>15</v>
      </c>
      <c r="AW181" s="206" t="str">
        <f t="shared" ref="AW181:BC181" si="130">AW9</f>
        <v>#REF!</v>
      </c>
      <c r="AX181" s="206">
        <f t="shared" si="130"/>
        <v>0</v>
      </c>
      <c r="AY181" s="206">
        <f t="shared" si="130"/>
        <v>0</v>
      </c>
      <c r="AZ181" s="464">
        <f t="shared" si="130"/>
        <v>0</v>
      </c>
      <c r="BA181" s="206">
        <f t="shared" si="130"/>
        <v>0</v>
      </c>
      <c r="BB181" s="206">
        <f t="shared" si="130"/>
        <v>0</v>
      </c>
      <c r="BC181" s="465">
        <f t="shared" si="130"/>
        <v>0</v>
      </c>
      <c r="BD181" s="206"/>
      <c r="BE181" s="466"/>
    </row>
    <row r="182">
      <c r="A182" s="199"/>
      <c r="B182" s="229" t="s">
        <v>632</v>
      </c>
      <c r="C182" s="214"/>
      <c r="D182" s="215"/>
      <c r="E182" s="216"/>
      <c r="F182" s="215"/>
      <c r="G182" s="221"/>
      <c r="H182" s="215"/>
      <c r="I182" s="220"/>
      <c r="J182" s="215"/>
      <c r="K182" s="221"/>
      <c r="L182" s="216"/>
      <c r="M182" s="215"/>
      <c r="N182" s="221"/>
      <c r="O182" s="215"/>
      <c r="P182" s="220"/>
      <c r="Q182" s="215"/>
      <c r="R182" s="221"/>
      <c r="S182" s="216"/>
      <c r="T182" s="215"/>
      <c r="U182" s="221"/>
      <c r="V182" s="215"/>
      <c r="W182" s="220"/>
      <c r="X182" s="215"/>
      <c r="Y182" s="221"/>
      <c r="Z182" s="216"/>
      <c r="AA182" s="215"/>
      <c r="AB182" s="221"/>
      <c r="AC182" s="215"/>
      <c r="AD182" s="220"/>
      <c r="AE182" s="215"/>
      <c r="AF182" s="221"/>
      <c r="AG182" s="216"/>
      <c r="AH182" s="215"/>
      <c r="AI182" s="221"/>
      <c r="AJ182" s="215"/>
      <c r="AK182" s="220"/>
      <c r="AL182" s="215"/>
      <c r="AM182" s="221"/>
      <c r="AN182" s="216"/>
      <c r="AO182" s="215"/>
      <c r="AP182" s="221"/>
      <c r="AQ182" s="215"/>
      <c r="AR182" s="220"/>
      <c r="AS182" s="215"/>
      <c r="AT182" s="221"/>
      <c r="AU182" s="225">
        <f>countA(F182:AK182)*12</f>
        <v>0</v>
      </c>
      <c r="AW182" s="206" t="str">
        <f t="shared" ref="AW182:BC182" si="131">AW10</f>
        <v>#REF!</v>
      </c>
      <c r="AX182" s="206">
        <f t="shared" si="131"/>
        <v>0</v>
      </c>
      <c r="AY182" s="206">
        <f t="shared" si="131"/>
        <v>0</v>
      </c>
      <c r="AZ182" s="464">
        <f t="shared" si="131"/>
        <v>0</v>
      </c>
      <c r="BA182" s="206">
        <f t="shared" si="131"/>
        <v>0</v>
      </c>
      <c r="BB182" s="206">
        <f t="shared" si="131"/>
        <v>0</v>
      </c>
      <c r="BC182" s="465">
        <f t="shared" si="131"/>
        <v>0</v>
      </c>
      <c r="BD182" s="206"/>
      <c r="BE182" s="466"/>
    </row>
    <row r="183">
      <c r="A183" s="199"/>
      <c r="B183" s="213" t="s">
        <v>633</v>
      </c>
      <c r="C183" s="214"/>
      <c r="D183" s="215"/>
      <c r="E183" s="216"/>
      <c r="F183" s="215"/>
      <c r="G183" s="230"/>
      <c r="H183" s="215"/>
      <c r="I183" s="231"/>
      <c r="J183" s="215"/>
      <c r="K183" s="216"/>
      <c r="L183" s="216"/>
      <c r="M183" s="215"/>
      <c r="N183" s="230"/>
      <c r="O183" s="656" t="s">
        <v>925</v>
      </c>
      <c r="P183" s="231"/>
      <c r="Q183" s="215"/>
      <c r="R183" s="216"/>
      <c r="S183" s="216"/>
      <c r="T183" s="215"/>
      <c r="U183" s="230"/>
      <c r="V183" s="215"/>
      <c r="W183" s="231"/>
      <c r="X183" s="232" t="s">
        <v>753</v>
      </c>
      <c r="Y183" s="216"/>
      <c r="Z183" s="216"/>
      <c r="AA183" s="215"/>
      <c r="AB183" s="230"/>
      <c r="AC183" s="233"/>
      <c r="AD183" s="231"/>
      <c r="AE183" s="656" t="s">
        <v>926</v>
      </c>
      <c r="AF183" s="216"/>
      <c r="AG183" s="216"/>
      <c r="AH183" s="215"/>
      <c r="AI183" s="230"/>
      <c r="AJ183" s="215"/>
      <c r="AK183" s="231"/>
      <c r="AL183" s="232" t="s">
        <v>753</v>
      </c>
      <c r="AM183" s="216"/>
      <c r="AN183" s="216"/>
      <c r="AO183" s="215"/>
      <c r="AP183" s="230"/>
      <c r="AQ183" s="215"/>
      <c r="AR183" s="231"/>
      <c r="AS183" s="232" t="s">
        <v>753</v>
      </c>
      <c r="AT183" s="216"/>
      <c r="AU183" s="225">
        <f>counta(F183:AT183)*4</f>
        <v>20</v>
      </c>
      <c r="AW183" s="206" t="str">
        <f t="shared" ref="AW183:BC183" si="132">AW11</f>
        <v>#REF!</v>
      </c>
      <c r="AX183" s="206">
        <f t="shared" si="132"/>
        <v>0</v>
      </c>
      <c r="AY183" s="206">
        <f t="shared" si="132"/>
        <v>0</v>
      </c>
      <c r="AZ183" s="464">
        <f t="shared" si="132"/>
        <v>0</v>
      </c>
      <c r="BA183" s="206">
        <f t="shared" si="132"/>
        <v>0</v>
      </c>
      <c r="BB183" s="206">
        <f t="shared" si="132"/>
        <v>0</v>
      </c>
      <c r="BC183" s="465">
        <f t="shared" si="132"/>
        <v>0</v>
      </c>
      <c r="BD183" s="206"/>
      <c r="BE183" s="466"/>
    </row>
    <row r="184">
      <c r="A184" s="199"/>
      <c r="B184" s="213" t="s">
        <v>637</v>
      </c>
      <c r="C184" s="214"/>
      <c r="D184" s="215"/>
      <c r="E184" s="216"/>
      <c r="F184" s="215"/>
      <c r="G184" s="230"/>
      <c r="H184" s="215"/>
      <c r="I184" s="231"/>
      <c r="J184" s="215"/>
      <c r="K184" s="216"/>
      <c r="L184" s="216"/>
      <c r="M184" s="215"/>
      <c r="N184" s="230"/>
      <c r="O184" s="215"/>
      <c r="P184" s="231"/>
      <c r="Q184" s="227" t="s">
        <v>756</v>
      </c>
      <c r="R184" s="216"/>
      <c r="S184" s="216"/>
      <c r="T184" s="215"/>
      <c r="U184" s="230"/>
      <c r="V184" s="215"/>
      <c r="W184" s="231"/>
      <c r="X184" s="215"/>
      <c r="Y184" s="216"/>
      <c r="Z184" s="216"/>
      <c r="AA184" s="215"/>
      <c r="AB184" s="230"/>
      <c r="AC184" s="215"/>
      <c r="AD184" s="231"/>
      <c r="AE184" s="227" t="s">
        <v>756</v>
      </c>
      <c r="AF184" s="216"/>
      <c r="AG184" s="216"/>
      <c r="AH184" s="215"/>
      <c r="AI184" s="230"/>
      <c r="AJ184" s="215"/>
      <c r="AK184" s="231"/>
      <c r="AL184" s="215"/>
      <c r="AM184" s="216"/>
      <c r="AN184" s="216"/>
      <c r="AO184" s="215"/>
      <c r="AP184" s="230"/>
      <c r="AQ184" s="215"/>
      <c r="AR184" s="231"/>
      <c r="AS184" s="215"/>
      <c r="AT184" s="216"/>
      <c r="AU184" s="225">
        <f>sum(F184:AT184)</f>
        <v>0</v>
      </c>
      <c r="AW184" s="206" t="str">
        <f t="shared" ref="AW184:BC184" si="133">AW12</f>
        <v>#REF!</v>
      </c>
      <c r="AX184" s="206">
        <f t="shared" si="133"/>
        <v>0</v>
      </c>
      <c r="AY184" s="206">
        <f t="shared" si="133"/>
        <v>0</v>
      </c>
      <c r="AZ184" s="464">
        <f t="shared" si="133"/>
        <v>0</v>
      </c>
      <c r="BA184" s="206">
        <f t="shared" si="133"/>
        <v>0</v>
      </c>
      <c r="BB184" s="206">
        <f t="shared" si="133"/>
        <v>0</v>
      </c>
      <c r="BC184" s="465">
        <f t="shared" si="133"/>
        <v>0</v>
      </c>
      <c r="BD184" s="206"/>
      <c r="BE184" s="466"/>
    </row>
    <row r="185">
      <c r="A185" s="234"/>
      <c r="B185" s="235" t="s">
        <v>608</v>
      </c>
      <c r="C185" s="195" t="s">
        <v>609</v>
      </c>
      <c r="D185" s="236"/>
      <c r="E185" s="237"/>
      <c r="F185" s="238"/>
      <c r="G185" s="182"/>
      <c r="H185" s="238"/>
      <c r="I185" s="239"/>
      <c r="J185" s="238"/>
      <c r="K185" s="239"/>
      <c r="L185" s="237"/>
      <c r="M185" s="238"/>
      <c r="N185" s="182"/>
      <c r="O185" s="238"/>
      <c r="P185" s="239"/>
      <c r="Q185" s="238"/>
      <c r="R185" s="239"/>
      <c r="S185" s="237"/>
      <c r="T185" s="238"/>
      <c r="U185" s="182"/>
      <c r="V185" s="238"/>
      <c r="W185" s="239"/>
      <c r="X185" s="238"/>
      <c r="Y185" s="239"/>
      <c r="Z185" s="237"/>
      <c r="AA185" s="238"/>
      <c r="AB185" s="182"/>
      <c r="AC185" s="238"/>
      <c r="AD185" s="239"/>
      <c r="AE185" s="238"/>
      <c r="AF185" s="239"/>
      <c r="AG185" s="237"/>
      <c r="AH185" s="238"/>
      <c r="AI185" s="182"/>
      <c r="AJ185" s="238"/>
      <c r="AK185" s="239"/>
      <c r="AL185" s="238"/>
      <c r="AM185" s="239"/>
      <c r="AN185" s="237"/>
      <c r="AO185" s="238"/>
      <c r="AP185" s="182"/>
      <c r="AQ185" s="238"/>
      <c r="AR185" s="239"/>
      <c r="AS185" s="238"/>
      <c r="AT185" s="239"/>
      <c r="AU185" s="236"/>
      <c r="AV185" s="236"/>
      <c r="AW185" s="206" t="str">
        <f t="shared" ref="AW185:BC185" si="134">AW13</f>
        <v>#REF!</v>
      </c>
      <c r="AX185" s="206">
        <f t="shared" si="134"/>
        <v>0</v>
      </c>
      <c r="AY185" s="206">
        <f t="shared" si="134"/>
        <v>0</v>
      </c>
      <c r="AZ185" s="464">
        <f t="shared" si="134"/>
        <v>0</v>
      </c>
      <c r="BA185" s="206">
        <f t="shared" si="134"/>
        <v>0</v>
      </c>
      <c r="BB185" s="206">
        <f t="shared" si="134"/>
        <v>0</v>
      </c>
      <c r="BC185" s="465">
        <f t="shared" si="134"/>
        <v>0</v>
      </c>
      <c r="BD185" s="206"/>
      <c r="BE185" s="466"/>
    </row>
    <row r="186">
      <c r="A186" s="240"/>
      <c r="B186" s="241" t="s">
        <v>638</v>
      </c>
      <c r="C186" s="242" t="s">
        <v>639</v>
      </c>
      <c r="D186" s="243"/>
      <c r="E186" s="244"/>
      <c r="F186" s="371"/>
      <c r="G186" s="246"/>
      <c r="H186" s="274" t="s">
        <v>419</v>
      </c>
      <c r="I186" s="246"/>
      <c r="K186" s="246"/>
      <c r="L186" s="249"/>
      <c r="M186" s="250"/>
      <c r="N186" s="246"/>
      <c r="P186" s="246"/>
      <c r="Q186" s="274" t="s">
        <v>419</v>
      </c>
      <c r="R186" s="246"/>
      <c r="S186" s="249"/>
      <c r="T186" s="250"/>
      <c r="U186" s="246"/>
      <c r="V186" s="282"/>
      <c r="W186" s="246"/>
      <c r="X186" s="274" t="s">
        <v>419</v>
      </c>
      <c r="Y186" s="246"/>
      <c r="Z186" s="249"/>
      <c r="AA186" s="250"/>
      <c r="AB186" s="246"/>
      <c r="AC186" s="282"/>
      <c r="AD186" s="246"/>
      <c r="AE186" s="274" t="s">
        <v>414</v>
      </c>
      <c r="AF186" s="246"/>
      <c r="AG186" s="249"/>
      <c r="AH186" s="371"/>
      <c r="AI186" s="246"/>
      <c r="AJ186" s="282"/>
      <c r="AK186" s="246"/>
      <c r="AM186" s="246"/>
      <c r="AN186" s="249"/>
      <c r="AO186" s="250"/>
      <c r="AP186" s="246"/>
      <c r="AQ186" s="657" t="s">
        <v>927</v>
      </c>
      <c r="AR186" s="246"/>
      <c r="AT186" s="254" t="str">
        <f>IF(COUNTIF($AO$86:$AT$88, #REF!) &gt; 0, "X", "")</f>
        <v/>
      </c>
      <c r="AU186" s="255"/>
      <c r="AV186" s="255"/>
      <c r="AW186" s="206" t="str">
        <f t="shared" ref="AW186:BC186" si="135">AW14</f>
        <v>#REF!</v>
      </c>
      <c r="AX186" s="206">
        <f t="shared" si="135"/>
        <v>0</v>
      </c>
      <c r="AY186" s="206">
        <f t="shared" si="135"/>
        <v>0</v>
      </c>
      <c r="AZ186" s="464">
        <f t="shared" si="135"/>
        <v>0</v>
      </c>
      <c r="BA186" s="206">
        <f t="shared" si="135"/>
        <v>0</v>
      </c>
      <c r="BB186" s="206">
        <f t="shared" si="135"/>
        <v>0</v>
      </c>
      <c r="BC186" s="465">
        <f t="shared" si="135"/>
        <v>0</v>
      </c>
      <c r="BD186" s="206"/>
      <c r="BE186" s="466"/>
    </row>
    <row r="187">
      <c r="A187" s="94"/>
      <c r="B187" s="256" t="s">
        <v>638</v>
      </c>
      <c r="C187" s="257" t="s">
        <v>639</v>
      </c>
      <c r="D187" s="258"/>
      <c r="E187" s="259"/>
      <c r="F187" s="371"/>
      <c r="G187" s="246"/>
      <c r="I187" s="246"/>
      <c r="K187" s="246"/>
      <c r="L187" s="249"/>
      <c r="M187" s="250"/>
      <c r="N187" s="246"/>
      <c r="P187" s="246"/>
      <c r="Q187" s="274" t="s">
        <v>409</v>
      </c>
      <c r="R187" s="246"/>
      <c r="S187" s="249"/>
      <c r="T187" s="250"/>
      <c r="U187" s="246"/>
      <c r="V187" s="282"/>
      <c r="W187" s="246"/>
      <c r="X187" s="274" t="s">
        <v>414</v>
      </c>
      <c r="Y187" s="246"/>
      <c r="Z187" s="249"/>
      <c r="AA187" s="250"/>
      <c r="AB187" s="246"/>
      <c r="AC187" s="282"/>
      <c r="AD187" s="246"/>
      <c r="AF187" s="246"/>
      <c r="AG187" s="249"/>
      <c r="AI187" s="246"/>
      <c r="AJ187" s="282"/>
      <c r="AK187" s="246"/>
      <c r="AM187" s="246"/>
      <c r="AN187" s="249"/>
      <c r="AO187" s="250"/>
      <c r="AP187" s="246"/>
      <c r="AQ187" s="658" t="s">
        <v>928</v>
      </c>
      <c r="AR187" s="246"/>
      <c r="AT187" s="254" t="str">
        <f>IF(COUNTIF($AO$86:$AT$88, AS193) &gt; 0, "X", "")</f>
        <v/>
      </c>
      <c r="AU187" s="269"/>
      <c r="AV187" s="269"/>
      <c r="AW187" s="206" t="str">
        <f t="shared" ref="AW187:BC187" si="136">AW15</f>
        <v>#REF!</v>
      </c>
      <c r="AX187" s="206">
        <f t="shared" si="136"/>
        <v>0</v>
      </c>
      <c r="AY187" s="206">
        <f t="shared" si="136"/>
        <v>0</v>
      </c>
      <c r="AZ187" s="464">
        <f t="shared" si="136"/>
        <v>0</v>
      </c>
      <c r="BA187" s="206">
        <f t="shared" si="136"/>
        <v>0</v>
      </c>
      <c r="BB187" s="206">
        <f t="shared" si="136"/>
        <v>0</v>
      </c>
      <c r="BC187" s="465">
        <f t="shared" si="136"/>
        <v>0</v>
      </c>
      <c r="BD187" s="206"/>
      <c r="BE187" s="466"/>
    </row>
    <row r="188">
      <c r="A188" s="270"/>
      <c r="B188" s="271" t="s">
        <v>642</v>
      </c>
      <c r="C188" s="272" t="s">
        <v>639</v>
      </c>
      <c r="D188" s="258"/>
      <c r="E188" s="259"/>
      <c r="F188" s="426"/>
      <c r="G188" s="246"/>
      <c r="I188" s="246"/>
      <c r="J188" s="265"/>
      <c r="K188" s="246"/>
      <c r="L188" s="261"/>
      <c r="M188" s="262"/>
      <c r="N188" s="246"/>
      <c r="O188" s="265"/>
      <c r="P188" s="246"/>
      <c r="Q188" s="474" t="s">
        <v>421</v>
      </c>
      <c r="R188" s="246"/>
      <c r="S188" s="261"/>
      <c r="T188" s="262"/>
      <c r="U188" s="246"/>
      <c r="V188" s="311" t="s">
        <v>432</v>
      </c>
      <c r="W188" s="246"/>
      <c r="X188" s="251" t="s">
        <v>405</v>
      </c>
      <c r="Y188" s="246"/>
      <c r="Z188" s="261"/>
      <c r="AA188" s="262"/>
      <c r="AB188" s="246"/>
      <c r="AC188" s="265"/>
      <c r="AD188" s="246"/>
      <c r="AF188" s="246"/>
      <c r="AG188" s="261"/>
      <c r="AI188" s="246"/>
      <c r="AJ188" s="251" t="s">
        <v>432</v>
      </c>
      <c r="AK188" s="246"/>
      <c r="AL188" s="289"/>
      <c r="AM188" s="246"/>
      <c r="AN188" s="261"/>
      <c r="AO188" s="262"/>
      <c r="AP188" s="246"/>
      <c r="AQ188" s="659" t="s">
        <v>426</v>
      </c>
      <c r="AR188" s="246"/>
      <c r="AT188" s="254" t="str">
        <f t="shared" ref="AT188:AT189" si="138">IF(COUNTIF($AO$86:$AT$88, #REF!) &gt; 0, "X", "")</f>
        <v/>
      </c>
      <c r="AU188" s="269"/>
      <c r="AV188" s="269"/>
      <c r="AW188" s="206" t="str">
        <f t="shared" ref="AW188:BC188" si="137">AW16</f>
        <v>#REF!</v>
      </c>
      <c r="AX188" s="206">
        <f t="shared" si="137"/>
        <v>0</v>
      </c>
      <c r="AY188" s="206">
        <f t="shared" si="137"/>
        <v>0</v>
      </c>
      <c r="AZ188" s="464">
        <f t="shared" si="137"/>
        <v>0</v>
      </c>
      <c r="BA188" s="206">
        <f t="shared" si="137"/>
        <v>0</v>
      </c>
      <c r="BB188" s="206">
        <f t="shared" si="137"/>
        <v>0</v>
      </c>
      <c r="BC188" s="465">
        <f t="shared" si="137"/>
        <v>0</v>
      </c>
      <c r="BD188" s="206"/>
      <c r="BE188" s="466"/>
    </row>
    <row r="189">
      <c r="A189" s="234"/>
      <c r="B189" s="277" t="s">
        <v>644</v>
      </c>
      <c r="C189" s="278" t="s">
        <v>645</v>
      </c>
      <c r="D189" s="258"/>
      <c r="E189" s="259"/>
      <c r="F189" s="281"/>
      <c r="G189" s="246"/>
      <c r="H189" s="280" t="s">
        <v>400</v>
      </c>
      <c r="I189" s="246"/>
      <c r="J189" s="282"/>
      <c r="K189" s="246"/>
      <c r="L189" s="261"/>
      <c r="M189" s="250"/>
      <c r="N189" s="246"/>
      <c r="O189" s="281"/>
      <c r="P189" s="246"/>
      <c r="Q189" s="660" t="s">
        <v>405</v>
      </c>
      <c r="R189" s="246"/>
      <c r="S189" s="261"/>
      <c r="T189" s="250"/>
      <c r="U189" s="246"/>
      <c r="V189" s="281"/>
      <c r="W189" s="246"/>
      <c r="X189" s="280" t="s">
        <v>400</v>
      </c>
      <c r="Y189" s="246"/>
      <c r="Z189" s="261"/>
      <c r="AA189" s="250"/>
      <c r="AB189" s="246"/>
      <c r="AC189" s="281"/>
      <c r="AD189" s="246"/>
      <c r="AE189" s="280" t="s">
        <v>400</v>
      </c>
      <c r="AF189" s="246"/>
      <c r="AG189" s="261"/>
      <c r="AI189" s="246"/>
      <c r="AJ189" s="280" t="s">
        <v>400</v>
      </c>
      <c r="AK189" s="246"/>
      <c r="AL189" s="281"/>
      <c r="AM189" s="246"/>
      <c r="AN189" s="261"/>
      <c r="AO189" s="250"/>
      <c r="AP189" s="246"/>
      <c r="AQ189" s="661" t="s">
        <v>406</v>
      </c>
      <c r="AR189" s="246"/>
      <c r="AT189" s="254" t="str">
        <f t="shared" si="138"/>
        <v/>
      </c>
      <c r="AU189" s="269"/>
      <c r="AV189" s="269"/>
      <c r="AW189" s="206" t="str">
        <f t="shared" ref="AW189:BC189" si="139">AW17</f>
        <v>#REF!</v>
      </c>
      <c r="AX189" s="206">
        <f t="shared" si="139"/>
        <v>0</v>
      </c>
      <c r="AY189" s="206">
        <f t="shared" si="139"/>
        <v>0</v>
      </c>
      <c r="AZ189" s="464">
        <f t="shared" si="139"/>
        <v>0</v>
      </c>
      <c r="BA189" s="206">
        <f t="shared" si="139"/>
        <v>0</v>
      </c>
      <c r="BB189" s="206">
        <f t="shared" si="139"/>
        <v>0</v>
      </c>
      <c r="BC189" s="465">
        <f t="shared" si="139"/>
        <v>0</v>
      </c>
      <c r="BD189" s="206"/>
      <c r="BE189" s="466"/>
    </row>
    <row r="190">
      <c r="A190" s="94"/>
      <c r="B190" s="256" t="s">
        <v>757</v>
      </c>
      <c r="C190" s="257" t="s">
        <v>645</v>
      </c>
      <c r="D190" s="258"/>
      <c r="E190" s="259"/>
      <c r="F190" s="274" t="s">
        <v>402</v>
      </c>
      <c r="G190" s="246"/>
      <c r="H190" s="371"/>
      <c r="I190" s="246"/>
      <c r="J190" s="371"/>
      <c r="K190" s="246"/>
      <c r="L190" s="261"/>
      <c r="M190" s="250"/>
      <c r="N190" s="246"/>
      <c r="O190" s="280" t="s">
        <v>402</v>
      </c>
      <c r="P190" s="246"/>
      <c r="Q190" s="280" t="s">
        <v>400</v>
      </c>
      <c r="R190" s="246"/>
      <c r="S190" s="261"/>
      <c r="T190" s="250"/>
      <c r="U190" s="246"/>
      <c r="V190" s="371"/>
      <c r="W190" s="246"/>
      <c r="X190" s="274" t="s">
        <v>402</v>
      </c>
      <c r="Y190" s="246"/>
      <c r="Z190" s="261"/>
      <c r="AA190" s="250"/>
      <c r="AB190" s="246"/>
      <c r="AC190" s="274" t="s">
        <v>402</v>
      </c>
      <c r="AD190" s="246"/>
      <c r="AE190" s="282"/>
      <c r="AF190" s="246"/>
      <c r="AG190" s="261"/>
      <c r="AH190" s="371"/>
      <c r="AI190" s="246"/>
      <c r="AJ190" s="371"/>
      <c r="AK190" s="246"/>
      <c r="AL190" s="274" t="s">
        <v>402</v>
      </c>
      <c r="AM190" s="246"/>
      <c r="AN190" s="261"/>
      <c r="AO190" s="250"/>
      <c r="AP190" s="246"/>
      <c r="AQ190" s="311" t="s">
        <v>432</v>
      </c>
      <c r="AR190" s="246"/>
      <c r="AT190" s="254" t="str">
        <f t="shared" ref="AT190:AT191" si="141">IF(COUNTIF($AO$86:$AT$88, AS191) &gt; 0, "X", "")</f>
        <v/>
      </c>
      <c r="AU190" s="269"/>
      <c r="AV190" s="269"/>
      <c r="AW190" s="206" t="str">
        <f t="shared" ref="AW190:BC190" si="140">AW18</f>
        <v>#REF!</v>
      </c>
      <c r="AX190" s="206">
        <f t="shared" si="140"/>
        <v>0</v>
      </c>
      <c r="AY190" s="206">
        <f t="shared" si="140"/>
        <v>0</v>
      </c>
      <c r="AZ190" s="464">
        <f t="shared" si="140"/>
        <v>0</v>
      </c>
      <c r="BA190" s="206">
        <f t="shared" si="140"/>
        <v>0</v>
      </c>
      <c r="BB190" s="206">
        <f t="shared" si="140"/>
        <v>0</v>
      </c>
      <c r="BC190" s="465">
        <f t="shared" si="140"/>
        <v>0</v>
      </c>
      <c r="BD190" s="206"/>
      <c r="BE190" s="466"/>
    </row>
    <row r="191">
      <c r="A191" s="94"/>
      <c r="B191" s="284" t="s">
        <v>646</v>
      </c>
      <c r="C191" s="285" t="s">
        <v>647</v>
      </c>
      <c r="D191" s="258"/>
      <c r="E191" s="259"/>
      <c r="F191" s="251" t="s">
        <v>427</v>
      </c>
      <c r="G191" s="246"/>
      <c r="H191" s="399"/>
      <c r="I191" s="246"/>
      <c r="J191" s="399"/>
      <c r="K191" s="246"/>
      <c r="L191" s="261"/>
      <c r="M191" s="324"/>
      <c r="N191" s="246"/>
      <c r="O191" s="399"/>
      <c r="P191" s="246"/>
      <c r="Q191" s="287" t="s">
        <v>427</v>
      </c>
      <c r="R191" s="246"/>
      <c r="S191" s="261"/>
      <c r="T191" s="324"/>
      <c r="U191" s="246"/>
      <c r="W191" s="246"/>
      <c r="X191" s="251" t="s">
        <v>427</v>
      </c>
      <c r="Y191" s="246"/>
      <c r="Z191" s="261"/>
      <c r="AA191" s="324"/>
      <c r="AB191" s="246"/>
      <c r="AD191" s="246"/>
      <c r="AE191" s="251" t="s">
        <v>427</v>
      </c>
      <c r="AF191" s="246"/>
      <c r="AG191" s="261"/>
      <c r="AH191" s="251" t="s">
        <v>427</v>
      </c>
      <c r="AI191" s="246"/>
      <c r="AK191" s="246"/>
      <c r="AL191" s="282"/>
      <c r="AM191" s="246"/>
      <c r="AN191" s="261"/>
      <c r="AO191" s="324"/>
      <c r="AP191" s="246"/>
      <c r="AQ191" s="662" t="s">
        <v>514</v>
      </c>
      <c r="AR191" s="246"/>
      <c r="AS191" s="252"/>
      <c r="AT191" s="254" t="str">
        <f t="shared" si="141"/>
        <v/>
      </c>
      <c r="AU191" s="269"/>
      <c r="AV191" s="269"/>
      <c r="AW191" s="206" t="str">
        <f t="shared" ref="AW191:BC191" si="142">AW19</f>
        <v>#REF!</v>
      </c>
      <c r="AX191" s="206">
        <f t="shared" si="142"/>
        <v>0</v>
      </c>
      <c r="AY191" s="206">
        <f t="shared" si="142"/>
        <v>0</v>
      </c>
      <c r="AZ191" s="464">
        <f t="shared" si="142"/>
        <v>0</v>
      </c>
      <c r="BA191" s="206">
        <f t="shared" si="142"/>
        <v>0</v>
      </c>
      <c r="BB191" s="206">
        <f t="shared" si="142"/>
        <v>0</v>
      </c>
      <c r="BC191" s="465">
        <f t="shared" si="142"/>
        <v>0</v>
      </c>
      <c r="BD191" s="206"/>
      <c r="BE191" s="466"/>
    </row>
    <row r="192">
      <c r="A192" s="270"/>
      <c r="B192" s="291" t="s">
        <v>648</v>
      </c>
      <c r="C192" s="292" t="s">
        <v>649</v>
      </c>
      <c r="D192" s="243"/>
      <c r="E192" s="259"/>
      <c r="F192" s="294"/>
      <c r="G192" s="246"/>
      <c r="H192" s="293"/>
      <c r="I192" s="246"/>
      <c r="J192" s="294"/>
      <c r="K192" s="246"/>
      <c r="L192" s="261"/>
      <c r="M192" s="250"/>
      <c r="N192" s="246"/>
      <c r="O192" s="356" t="s">
        <v>423</v>
      </c>
      <c r="P192" s="246"/>
      <c r="Q192" s="294"/>
      <c r="R192" s="246"/>
      <c r="S192" s="261"/>
      <c r="T192" s="250"/>
      <c r="U192" s="246"/>
      <c r="V192" s="294"/>
      <c r="W192" s="246"/>
      <c r="X192" s="293"/>
      <c r="Y192" s="246"/>
      <c r="Z192" s="261"/>
      <c r="AA192" s="250"/>
      <c r="AB192" s="246"/>
      <c r="AC192" s="294"/>
      <c r="AD192" s="246"/>
      <c r="AE192" s="356" t="s">
        <v>423</v>
      </c>
      <c r="AF192" s="246"/>
      <c r="AG192" s="261"/>
      <c r="AH192" s="294"/>
      <c r="AI192" s="246"/>
      <c r="AJ192" s="293"/>
      <c r="AK192" s="246"/>
      <c r="AL192" s="294"/>
      <c r="AM192" s="246"/>
      <c r="AN192" s="261"/>
      <c r="AO192" s="250"/>
      <c r="AP192" s="246"/>
      <c r="AQ192" s="251" t="s">
        <v>440</v>
      </c>
      <c r="AR192" s="246"/>
      <c r="AS192" s="294"/>
      <c r="AT192" s="254" t="str">
        <f t="shared" ref="AT192:AT193" si="144">IF(COUNTIF($AO$86:$AT$88, #REF!) &gt; 0, "X", "")</f>
        <v/>
      </c>
      <c r="AU192" s="269"/>
      <c r="AV192" s="269"/>
      <c r="AW192" s="206" t="str">
        <f t="shared" ref="AW192:BC192" si="143">AW20</f>
        <v>#REF!</v>
      </c>
      <c r="AX192" s="206">
        <f t="shared" si="143"/>
        <v>0</v>
      </c>
      <c r="AY192" s="206">
        <f t="shared" si="143"/>
        <v>0</v>
      </c>
      <c r="AZ192" s="464">
        <f t="shared" si="143"/>
        <v>0</v>
      </c>
      <c r="BA192" s="206">
        <f t="shared" si="143"/>
        <v>0</v>
      </c>
      <c r="BB192" s="206">
        <f t="shared" si="143"/>
        <v>0</v>
      </c>
      <c r="BC192" s="465">
        <f t="shared" si="143"/>
        <v>0</v>
      </c>
      <c r="BD192" s="206"/>
      <c r="BE192" s="466"/>
    </row>
    <row r="193">
      <c r="A193" s="94"/>
      <c r="B193" s="296" t="s">
        <v>650</v>
      </c>
      <c r="C193" s="297" t="s">
        <v>649</v>
      </c>
      <c r="D193" s="243"/>
      <c r="E193" s="259"/>
      <c r="F193" s="299"/>
      <c r="G193" s="298"/>
      <c r="H193" s="299"/>
      <c r="I193" s="298"/>
      <c r="J193" s="299"/>
      <c r="K193" s="298"/>
      <c r="L193" s="261"/>
      <c r="M193" s="250"/>
      <c r="N193" s="298"/>
      <c r="O193" s="299"/>
      <c r="P193" s="298"/>
      <c r="Q193" s="299"/>
      <c r="R193" s="298"/>
      <c r="S193" s="261"/>
      <c r="T193" s="250"/>
      <c r="U193" s="298"/>
      <c r="V193" s="299"/>
      <c r="W193" s="298"/>
      <c r="X193" s="299"/>
      <c r="Y193" s="298"/>
      <c r="Z193" s="261"/>
      <c r="AA193" s="250"/>
      <c r="AB193" s="298"/>
      <c r="AC193" s="299"/>
      <c r="AD193" s="298"/>
      <c r="AE193" s="299"/>
      <c r="AF193" s="298"/>
      <c r="AG193" s="261"/>
      <c r="AH193" s="299"/>
      <c r="AI193" s="298"/>
      <c r="AJ193" s="299"/>
      <c r="AK193" s="298"/>
      <c r="AL193" s="299"/>
      <c r="AM193" s="298"/>
      <c r="AN193" s="261"/>
      <c r="AO193" s="250"/>
      <c r="AP193" s="298"/>
      <c r="AQ193" s="300"/>
      <c r="AR193" s="298"/>
      <c r="AS193" s="300"/>
      <c r="AT193" s="254" t="str">
        <f t="shared" si="144"/>
        <v/>
      </c>
      <c r="AU193" s="269"/>
      <c r="AV193" s="269"/>
      <c r="AW193" s="206" t="str">
        <f t="shared" ref="AW193:BC193" si="145">AW21</f>
        <v>#REF!</v>
      </c>
      <c r="AX193" s="206">
        <f t="shared" si="145"/>
        <v>0</v>
      </c>
      <c r="AY193" s="206">
        <f t="shared" si="145"/>
        <v>0</v>
      </c>
      <c r="AZ193" s="464">
        <f t="shared" si="145"/>
        <v>0</v>
      </c>
      <c r="BA193" s="206">
        <f t="shared" si="145"/>
        <v>0</v>
      </c>
      <c r="BB193" s="206">
        <f t="shared" si="145"/>
        <v>0</v>
      </c>
      <c r="BC193" s="465">
        <f t="shared" si="145"/>
        <v>0</v>
      </c>
      <c r="BD193" s="206"/>
      <c r="BE193" s="466"/>
    </row>
    <row r="194">
      <c r="A194" s="94"/>
      <c r="B194" s="301" t="s">
        <v>651</v>
      </c>
      <c r="C194" s="302" t="s">
        <v>652</v>
      </c>
      <c r="D194" s="243"/>
      <c r="E194" s="259"/>
      <c r="F194" s="303"/>
      <c r="G194" s="298"/>
      <c r="H194" s="303"/>
      <c r="I194" s="298"/>
      <c r="J194" s="303"/>
      <c r="K194" s="298"/>
      <c r="L194" s="261"/>
      <c r="M194" s="250"/>
      <c r="N194" s="298"/>
      <c r="O194" s="303"/>
      <c r="P194" s="298"/>
      <c r="Q194" s="303"/>
      <c r="R194" s="298"/>
      <c r="S194" s="261"/>
      <c r="T194" s="250"/>
      <c r="U194" s="298"/>
      <c r="V194" s="303"/>
      <c r="W194" s="298"/>
      <c r="X194" s="303"/>
      <c r="Y194" s="298"/>
      <c r="Z194" s="261"/>
      <c r="AA194" s="250"/>
      <c r="AB194" s="298"/>
      <c r="AC194" s="303"/>
      <c r="AD194" s="298"/>
      <c r="AE194" s="303"/>
      <c r="AF194" s="298"/>
      <c r="AG194" s="261"/>
      <c r="AH194" s="303"/>
      <c r="AI194" s="298"/>
      <c r="AJ194" s="303"/>
      <c r="AK194" s="298"/>
      <c r="AL194" s="303"/>
      <c r="AM194" s="298"/>
      <c r="AN194" s="261"/>
      <c r="AO194" s="250"/>
      <c r="AP194" s="298"/>
      <c r="AQ194" s="304"/>
      <c r="AR194" s="298"/>
      <c r="AS194" s="304"/>
      <c r="AT194" s="254" t="str">
        <f>IF(COUNTIF($AO$86:$AT$88, AS195) &gt; 0, "X", "")</f>
        <v/>
      </c>
      <c r="AU194" s="269"/>
      <c r="AV194" s="269"/>
      <c r="AW194" s="206" t="str">
        <f t="shared" ref="AW194:BC194" si="146">AW22</f>
        <v>#REF!</v>
      </c>
      <c r="AX194" s="206">
        <f t="shared" si="146"/>
        <v>0</v>
      </c>
      <c r="AY194" s="206">
        <f t="shared" si="146"/>
        <v>0</v>
      </c>
      <c r="AZ194" s="464">
        <f t="shared" si="146"/>
        <v>0</v>
      </c>
      <c r="BA194" s="206">
        <f t="shared" si="146"/>
        <v>0</v>
      </c>
      <c r="BB194" s="206">
        <f t="shared" si="146"/>
        <v>0</v>
      </c>
      <c r="BC194" s="465">
        <f t="shared" si="146"/>
        <v>0</v>
      </c>
      <c r="BD194" s="206"/>
      <c r="BE194" s="466"/>
    </row>
    <row r="195">
      <c r="A195" s="94"/>
      <c r="B195" s="305" t="s">
        <v>653</v>
      </c>
      <c r="C195" s="306" t="s">
        <v>654</v>
      </c>
      <c r="D195" s="243"/>
      <c r="E195" s="259"/>
      <c r="F195" s="307"/>
      <c r="G195" s="298"/>
      <c r="H195" s="307"/>
      <c r="I195" s="298"/>
      <c r="J195" s="307"/>
      <c r="K195" s="298"/>
      <c r="L195" s="261"/>
      <c r="M195" s="250"/>
      <c r="N195" s="298"/>
      <c r="O195" s="309" t="s">
        <v>414</v>
      </c>
      <c r="P195" s="298"/>
      <c r="Q195" s="307"/>
      <c r="R195" s="298"/>
      <c r="S195" s="261"/>
      <c r="T195" s="250"/>
      <c r="U195" s="298"/>
      <c r="V195" s="307"/>
      <c r="W195" s="298"/>
      <c r="X195" s="307"/>
      <c r="Y195" s="298"/>
      <c r="Z195" s="261"/>
      <c r="AA195" s="250"/>
      <c r="AB195" s="298"/>
      <c r="AC195" s="307"/>
      <c r="AD195" s="298"/>
      <c r="AE195" s="339" t="s">
        <v>468</v>
      </c>
      <c r="AF195" s="298"/>
      <c r="AG195" s="261"/>
      <c r="AH195" s="307"/>
      <c r="AI195" s="298"/>
      <c r="AJ195" s="307"/>
      <c r="AK195" s="298"/>
      <c r="AL195" s="307"/>
      <c r="AM195" s="298"/>
      <c r="AN195" s="261"/>
      <c r="AO195" s="250"/>
      <c r="AP195" s="298"/>
      <c r="AQ195" s="307"/>
      <c r="AR195" s="298"/>
      <c r="AS195" s="307"/>
      <c r="AT195" s="254" t="str">
        <f t="shared" ref="AT195:AT198" si="148">IF(COUNTIF($AO$86:$AT$88, #REF!) &gt; 0, "X", "")</f>
        <v/>
      </c>
      <c r="AU195" s="269"/>
      <c r="AV195" s="269"/>
      <c r="AW195" s="206" t="str">
        <f t="shared" ref="AW195:BC195" si="147">AW23</f>
        <v>#REF!</v>
      </c>
      <c r="AX195" s="206">
        <f t="shared" si="147"/>
        <v>0</v>
      </c>
      <c r="AY195" s="206">
        <f t="shared" si="147"/>
        <v>0</v>
      </c>
      <c r="AZ195" s="464">
        <f t="shared" si="147"/>
        <v>0</v>
      </c>
      <c r="BA195" s="206">
        <f t="shared" si="147"/>
        <v>0</v>
      </c>
      <c r="BB195" s="206">
        <f t="shared" si="147"/>
        <v>0</v>
      </c>
      <c r="BC195" s="465">
        <f t="shared" si="147"/>
        <v>0</v>
      </c>
      <c r="BD195" s="206"/>
      <c r="BE195" s="466"/>
    </row>
    <row r="196">
      <c r="A196" s="94"/>
      <c r="B196" s="310" t="s">
        <v>656</v>
      </c>
      <c r="C196" s="278" t="s">
        <v>657</v>
      </c>
      <c r="D196" s="243"/>
      <c r="E196" s="259"/>
      <c r="F196" s="281"/>
      <c r="G196" s="246"/>
      <c r="H196" s="282"/>
      <c r="I196" s="246"/>
      <c r="J196" s="282"/>
      <c r="K196" s="246"/>
      <c r="L196" s="261"/>
      <c r="M196" s="250"/>
      <c r="N196" s="246"/>
      <c r="O196" s="274" t="s">
        <v>458</v>
      </c>
      <c r="P196" s="246"/>
      <c r="Q196" s="281"/>
      <c r="R196" s="246"/>
      <c r="S196" s="261"/>
      <c r="T196" s="250"/>
      <c r="U196" s="246"/>
      <c r="W196" s="246"/>
      <c r="X196" s="663"/>
      <c r="Y196" s="246"/>
      <c r="Z196" s="261"/>
      <c r="AA196" s="250"/>
      <c r="AB196" s="246"/>
      <c r="AC196" s="282"/>
      <c r="AD196" s="246"/>
      <c r="AE196" s="311" t="s">
        <v>434</v>
      </c>
      <c r="AF196" s="246"/>
      <c r="AG196" s="261"/>
      <c r="AH196" s="282"/>
      <c r="AI196" s="246"/>
      <c r="AJ196" s="282"/>
      <c r="AK196" s="246"/>
      <c r="AL196" s="282"/>
      <c r="AM196" s="246"/>
      <c r="AN196" s="261"/>
      <c r="AO196" s="250"/>
      <c r="AP196" s="246"/>
      <c r="AR196" s="246"/>
      <c r="AT196" s="254" t="str">
        <f t="shared" si="148"/>
        <v/>
      </c>
      <c r="AU196" s="269"/>
      <c r="AV196" s="269"/>
      <c r="AW196" s="206" t="str">
        <f t="shared" ref="AW196:BC196" si="149">AW24</f>
        <v>#REF!</v>
      </c>
      <c r="AX196" s="206">
        <f t="shared" si="149"/>
        <v>0</v>
      </c>
      <c r="AY196" s="206">
        <f t="shared" si="149"/>
        <v>0</v>
      </c>
      <c r="AZ196" s="464">
        <f t="shared" si="149"/>
        <v>0</v>
      </c>
      <c r="BA196" s="206">
        <f t="shared" si="149"/>
        <v>0</v>
      </c>
      <c r="BB196" s="206">
        <f t="shared" si="149"/>
        <v>0</v>
      </c>
      <c r="BC196" s="465">
        <f t="shared" si="149"/>
        <v>0</v>
      </c>
      <c r="BD196" s="206"/>
      <c r="BE196" s="466"/>
    </row>
    <row r="197">
      <c r="A197" s="94"/>
      <c r="B197" s="277" t="s">
        <v>658</v>
      </c>
      <c r="C197" s="278" t="s">
        <v>657</v>
      </c>
      <c r="D197" s="243"/>
      <c r="E197" s="259"/>
      <c r="F197" s="282"/>
      <c r="G197" s="246"/>
      <c r="I197" s="246"/>
      <c r="K197" s="246"/>
      <c r="L197" s="261"/>
      <c r="M197" s="250"/>
      <c r="N197" s="246"/>
      <c r="O197" s="339" t="s">
        <v>468</v>
      </c>
      <c r="P197" s="246"/>
      <c r="R197" s="246"/>
      <c r="S197" s="261"/>
      <c r="T197" s="250"/>
      <c r="U197" s="246"/>
      <c r="V197" s="282"/>
      <c r="W197" s="246"/>
      <c r="X197" s="531" t="s">
        <v>929</v>
      </c>
      <c r="Y197" s="246"/>
      <c r="Z197" s="261"/>
      <c r="AA197" s="250"/>
      <c r="AB197" s="246"/>
      <c r="AD197" s="246"/>
      <c r="AF197" s="246"/>
      <c r="AG197" s="261"/>
      <c r="AH197" s="282"/>
      <c r="AI197" s="246"/>
      <c r="AK197" s="246"/>
      <c r="AL197" s="471" t="s">
        <v>419</v>
      </c>
      <c r="AM197" s="246"/>
      <c r="AN197" s="261"/>
      <c r="AO197" s="250"/>
      <c r="AP197" s="246"/>
      <c r="AQ197" s="276"/>
      <c r="AR197" s="246"/>
      <c r="AS197" s="282"/>
      <c r="AT197" s="254" t="str">
        <f t="shared" si="148"/>
        <v/>
      </c>
      <c r="AU197" s="269"/>
      <c r="AV197" s="269"/>
      <c r="AW197" s="206" t="str">
        <f t="shared" ref="AW197:BC197" si="150">AW25</f>
        <v>#REF!</v>
      </c>
      <c r="AX197" s="206">
        <f t="shared" si="150"/>
        <v>0</v>
      </c>
      <c r="AY197" s="206">
        <f t="shared" si="150"/>
        <v>0</v>
      </c>
      <c r="AZ197" s="464">
        <f t="shared" si="150"/>
        <v>0</v>
      </c>
      <c r="BA197" s="206">
        <f t="shared" si="150"/>
        <v>0</v>
      </c>
      <c r="BB197" s="206">
        <f t="shared" si="150"/>
        <v>0</v>
      </c>
      <c r="BC197" s="465">
        <f t="shared" si="150"/>
        <v>0</v>
      </c>
      <c r="BD197" s="206"/>
      <c r="BE197" s="466"/>
    </row>
    <row r="198">
      <c r="A198" s="94"/>
      <c r="B198" s="314" t="s">
        <v>660</v>
      </c>
      <c r="C198" s="315" t="s">
        <v>649</v>
      </c>
      <c r="D198" s="243"/>
      <c r="E198" s="259"/>
      <c r="F198" s="479"/>
      <c r="G198" s="246"/>
      <c r="H198" s="293" t="s">
        <v>416</v>
      </c>
      <c r="I198" s="246"/>
      <c r="J198" s="293" t="s">
        <v>424</v>
      </c>
      <c r="K198" s="246"/>
      <c r="L198" s="261"/>
      <c r="M198" s="316"/>
      <c r="N198" s="246"/>
      <c r="O198" s="293" t="s">
        <v>416</v>
      </c>
      <c r="P198" s="246"/>
      <c r="Q198" s="353" t="s">
        <v>426</v>
      </c>
      <c r="R198" s="246"/>
      <c r="S198" s="261"/>
      <c r="T198" s="316"/>
      <c r="U198" s="246"/>
      <c r="V198" s="293" t="s">
        <v>416</v>
      </c>
      <c r="W198" s="246"/>
      <c r="X198" s="293" t="s">
        <v>421</v>
      </c>
      <c r="Y198" s="246"/>
      <c r="Z198" s="261"/>
      <c r="AA198" s="353" t="s">
        <v>422</v>
      </c>
      <c r="AB198" s="246"/>
      <c r="AC198" s="293" t="s">
        <v>416</v>
      </c>
      <c r="AD198" s="246"/>
      <c r="AE198" s="317"/>
      <c r="AF198" s="246"/>
      <c r="AG198" s="261"/>
      <c r="AH198" s="479"/>
      <c r="AI198" s="246"/>
      <c r="AJ198" s="293" t="s">
        <v>416</v>
      </c>
      <c r="AK198" s="246"/>
      <c r="AL198" s="293" t="s">
        <v>421</v>
      </c>
      <c r="AM198" s="246"/>
      <c r="AN198" s="261"/>
      <c r="AO198" s="316"/>
      <c r="AP198" s="246"/>
      <c r="AQ198" s="253" t="s">
        <v>417</v>
      </c>
      <c r="AR198" s="246"/>
      <c r="AS198" s="356" t="s">
        <v>423</v>
      </c>
      <c r="AT198" s="254" t="str">
        <f t="shared" si="148"/>
        <v/>
      </c>
      <c r="AU198" s="269"/>
      <c r="AV198" s="269"/>
      <c r="AW198" s="206" t="str">
        <f t="shared" ref="AW198:BC198" si="151">AW26</f>
        <v>#REF!</v>
      </c>
      <c r="AX198" s="206">
        <f t="shared" si="151"/>
        <v>0</v>
      </c>
      <c r="AY198" s="206">
        <f t="shared" si="151"/>
        <v>0</v>
      </c>
      <c r="AZ198" s="464">
        <f t="shared" si="151"/>
        <v>0</v>
      </c>
      <c r="BA198" s="206">
        <f t="shared" si="151"/>
        <v>0</v>
      </c>
      <c r="BB198" s="206">
        <f t="shared" si="151"/>
        <v>0</v>
      </c>
      <c r="BC198" s="465">
        <f t="shared" si="151"/>
        <v>0</v>
      </c>
      <c r="BD198" s="206"/>
      <c r="BE198" s="466"/>
    </row>
    <row r="199">
      <c r="A199" s="94"/>
      <c r="B199" s="296" t="s">
        <v>650</v>
      </c>
      <c r="C199" s="297" t="s">
        <v>649</v>
      </c>
      <c r="D199" s="243"/>
      <c r="E199" s="259"/>
      <c r="F199" s="317"/>
      <c r="G199" s="298"/>
      <c r="H199" s="300"/>
      <c r="I199" s="298"/>
      <c r="J199" s="356" t="s">
        <v>423</v>
      </c>
      <c r="K199" s="298"/>
      <c r="L199" s="261"/>
      <c r="M199" s="250"/>
      <c r="N199" s="298"/>
      <c r="O199" s="300"/>
      <c r="P199" s="298"/>
      <c r="Q199" s="300"/>
      <c r="R199" s="298"/>
      <c r="S199" s="261"/>
      <c r="T199" s="250"/>
      <c r="U199" s="298"/>
      <c r="V199" s="300"/>
      <c r="W199" s="298"/>
      <c r="X199" s="293" t="s">
        <v>422</v>
      </c>
      <c r="Y199" s="298"/>
      <c r="Z199" s="261"/>
      <c r="AA199" s="300"/>
      <c r="AB199" s="298"/>
      <c r="AC199" s="300"/>
      <c r="AD199" s="298"/>
      <c r="AE199" s="293" t="s">
        <v>424</v>
      </c>
      <c r="AF199" s="298"/>
      <c r="AG199" s="261"/>
      <c r="AH199" s="317"/>
      <c r="AI199" s="298"/>
      <c r="AJ199" s="300"/>
      <c r="AK199" s="298"/>
      <c r="AL199" s="293" t="s">
        <v>424</v>
      </c>
      <c r="AM199" s="298"/>
      <c r="AN199" s="261"/>
      <c r="AO199" s="250"/>
      <c r="AP199" s="298"/>
      <c r="AQ199" s="300"/>
      <c r="AR199" s="298"/>
      <c r="AS199" s="299"/>
      <c r="AT199" s="254" t="str">
        <f>IF(COUNTIF($AO$86:$AT$88, AS200) &gt; 0, "X", "")</f>
        <v/>
      </c>
      <c r="AU199" s="269"/>
      <c r="AV199" s="269"/>
      <c r="AW199" s="206" t="str">
        <f t="shared" ref="AW199:BC199" si="152">AW27</f>
        <v>#REF!</v>
      </c>
      <c r="AX199" s="206">
        <f t="shared" si="152"/>
        <v>0</v>
      </c>
      <c r="AY199" s="206">
        <f t="shared" si="152"/>
        <v>0</v>
      </c>
      <c r="AZ199" s="464">
        <f t="shared" si="152"/>
        <v>0</v>
      </c>
      <c r="BA199" s="206">
        <f t="shared" si="152"/>
        <v>0</v>
      </c>
      <c r="BB199" s="206">
        <f t="shared" si="152"/>
        <v>0</v>
      </c>
      <c r="BC199" s="465">
        <f t="shared" si="152"/>
        <v>0</v>
      </c>
      <c r="BD199" s="206"/>
      <c r="BE199" s="466"/>
    </row>
    <row r="200">
      <c r="A200" s="94"/>
      <c r="B200" s="301" t="s">
        <v>651</v>
      </c>
      <c r="C200" s="302" t="s">
        <v>652</v>
      </c>
      <c r="D200" s="323"/>
      <c r="E200" s="259"/>
      <c r="F200" s="320"/>
      <c r="G200" s="298"/>
      <c r="H200" s="303"/>
      <c r="I200" s="298"/>
      <c r="J200" s="483" t="s">
        <v>695</v>
      </c>
      <c r="K200" s="298"/>
      <c r="L200" s="261"/>
      <c r="M200" s="250"/>
      <c r="N200" s="298"/>
      <c r="O200" s="303"/>
      <c r="P200" s="298"/>
      <c r="Q200" s="484"/>
      <c r="R200" s="298"/>
      <c r="S200" s="261"/>
      <c r="T200" s="250"/>
      <c r="U200" s="298"/>
      <c r="V200" s="303"/>
      <c r="W200" s="298"/>
      <c r="X200" s="484"/>
      <c r="Y200" s="298"/>
      <c r="Z200" s="261"/>
      <c r="AA200" s="303"/>
      <c r="AB200" s="298"/>
      <c r="AC200" s="303"/>
      <c r="AD200" s="298"/>
      <c r="AE200" s="661" t="s">
        <v>419</v>
      </c>
      <c r="AF200" s="298"/>
      <c r="AG200" s="261"/>
      <c r="AH200" s="320"/>
      <c r="AI200" s="298"/>
      <c r="AJ200" s="303"/>
      <c r="AK200" s="298"/>
      <c r="AM200" s="298"/>
      <c r="AN200" s="261"/>
      <c r="AO200" s="250"/>
      <c r="AP200" s="298"/>
      <c r="AQ200" s="303"/>
      <c r="AR200" s="298"/>
      <c r="AS200" s="303"/>
      <c r="AT200" s="254" t="str">
        <f t="shared" ref="AT200:AT201" si="154">IF(COUNTIF($AO$86:$AT$88, #REF!) &gt; 0, "X", "")</f>
        <v/>
      </c>
      <c r="AU200" s="269"/>
      <c r="AV200" s="269"/>
      <c r="AW200" s="206" t="str">
        <f t="shared" ref="AW200:BC200" si="153">AW28</f>
        <v>#REF!</v>
      </c>
      <c r="AX200" s="206">
        <f t="shared" si="153"/>
        <v>0</v>
      </c>
      <c r="AY200" s="206">
        <f t="shared" si="153"/>
        <v>0</v>
      </c>
      <c r="AZ200" s="464">
        <f t="shared" si="153"/>
        <v>0</v>
      </c>
      <c r="BA200" s="206">
        <f t="shared" si="153"/>
        <v>0</v>
      </c>
      <c r="BB200" s="206">
        <f t="shared" si="153"/>
        <v>0</v>
      </c>
      <c r="BC200" s="465">
        <f t="shared" si="153"/>
        <v>0</v>
      </c>
      <c r="BD200" s="206"/>
      <c r="BE200" s="466"/>
    </row>
    <row r="201">
      <c r="A201" s="94"/>
      <c r="B201" s="322" t="s">
        <v>662</v>
      </c>
      <c r="C201" s="306" t="s">
        <v>663</v>
      </c>
      <c r="D201" s="330"/>
      <c r="E201" s="259"/>
      <c r="F201" s="317"/>
      <c r="G201" s="298"/>
      <c r="H201" s="307"/>
      <c r="I201" s="298"/>
      <c r="J201" s="309" t="s">
        <v>414</v>
      </c>
      <c r="K201" s="298"/>
      <c r="L201" s="261"/>
      <c r="M201" s="324"/>
      <c r="N201" s="298"/>
      <c r="O201" s="307"/>
      <c r="P201" s="298"/>
      <c r="Q201" s="307"/>
      <c r="R201" s="298"/>
      <c r="S201" s="261"/>
      <c r="T201" s="324"/>
      <c r="U201" s="298"/>
      <c r="V201" s="307"/>
      <c r="W201" s="298"/>
      <c r="X201" s="309" t="s">
        <v>409</v>
      </c>
      <c r="Y201" s="298"/>
      <c r="Z201" s="261"/>
      <c r="AA201" s="307"/>
      <c r="AB201" s="298"/>
      <c r="AC201" s="307"/>
      <c r="AD201" s="298"/>
      <c r="AE201" s="659" t="s">
        <v>421</v>
      </c>
      <c r="AF201" s="298"/>
      <c r="AG201" s="261"/>
      <c r="AH201" s="317"/>
      <c r="AI201" s="298"/>
      <c r="AJ201" s="307"/>
      <c r="AK201" s="298"/>
      <c r="AL201" s="309" t="s">
        <v>414</v>
      </c>
      <c r="AM201" s="298"/>
      <c r="AN201" s="261"/>
      <c r="AO201" s="324"/>
      <c r="AP201" s="298"/>
      <c r="AQ201" s="307"/>
      <c r="AR201" s="298"/>
      <c r="AS201" s="307"/>
      <c r="AT201" s="254" t="str">
        <f t="shared" si="154"/>
        <v/>
      </c>
      <c r="AU201" s="269"/>
      <c r="AV201" s="269"/>
      <c r="AW201" s="206" t="str">
        <f t="shared" ref="AW201:BC201" si="155">AW29</f>
        <v>#REF!</v>
      </c>
      <c r="AX201" s="206">
        <f t="shared" si="155"/>
        <v>0</v>
      </c>
      <c r="AY201" s="206">
        <f t="shared" si="155"/>
        <v>0</v>
      </c>
      <c r="AZ201" s="464">
        <f t="shared" si="155"/>
        <v>0</v>
      </c>
      <c r="BA201" s="206">
        <f t="shared" si="155"/>
        <v>0</v>
      </c>
      <c r="BB201" s="206">
        <f t="shared" si="155"/>
        <v>0</v>
      </c>
      <c r="BC201" s="465">
        <f t="shared" si="155"/>
        <v>0</v>
      </c>
      <c r="BD201" s="206"/>
      <c r="BE201" s="466"/>
    </row>
    <row r="202">
      <c r="A202" s="94"/>
      <c r="B202" s="328" t="s">
        <v>665</v>
      </c>
      <c r="C202" s="329" t="s">
        <v>654</v>
      </c>
      <c r="D202" s="330"/>
      <c r="E202" s="259"/>
      <c r="F202" s="479"/>
      <c r="G202" s="246"/>
      <c r="H202" s="274" t="s">
        <v>458</v>
      </c>
      <c r="I202" s="246"/>
      <c r="J202" s="311" t="s">
        <v>434</v>
      </c>
      <c r="K202" s="246"/>
      <c r="L202" s="261"/>
      <c r="M202" s="333"/>
      <c r="N202" s="246"/>
      <c r="O202" s="311" t="s">
        <v>439</v>
      </c>
      <c r="P202" s="246"/>
      <c r="Q202" s="274" t="s">
        <v>449</v>
      </c>
      <c r="R202" s="246"/>
      <c r="S202" s="261"/>
      <c r="T202" s="333"/>
      <c r="U202" s="246"/>
      <c r="V202" s="280" t="s">
        <v>458</v>
      </c>
      <c r="W202" s="246"/>
      <c r="X202" s="311" t="s">
        <v>434</v>
      </c>
      <c r="Y202" s="246"/>
      <c r="Z202" s="261"/>
      <c r="AA202" s="274" t="s">
        <v>443</v>
      </c>
      <c r="AB202" s="246"/>
      <c r="AC202" s="311" t="s">
        <v>439</v>
      </c>
      <c r="AD202" s="246"/>
      <c r="AE202" s="661" t="s">
        <v>409</v>
      </c>
      <c r="AF202" s="246"/>
      <c r="AG202" s="261"/>
      <c r="AH202" s="506"/>
      <c r="AI202" s="246"/>
      <c r="AJ202" s="274" t="s">
        <v>439</v>
      </c>
      <c r="AK202" s="246"/>
      <c r="AL202" s="274" t="s">
        <v>443</v>
      </c>
      <c r="AM202" s="246"/>
      <c r="AN202" s="261"/>
      <c r="AO202" s="333"/>
      <c r="AP202" s="246"/>
      <c r="AQ202" s="274" t="s">
        <v>458</v>
      </c>
      <c r="AR202" s="246"/>
      <c r="AS202" s="274" t="s">
        <v>449</v>
      </c>
      <c r="AT202" s="254" t="str">
        <f>IF(COUNTIF($AO$86:$AT$88, AL210) &gt; 0, "X", "")</f>
        <v/>
      </c>
      <c r="AU202" s="269"/>
      <c r="AV202" s="269"/>
      <c r="AW202" s="206" t="str">
        <f t="shared" ref="AW202:BC202" si="156">AW30</f>
        <v>#REF!</v>
      </c>
      <c r="AX202" s="206">
        <f t="shared" si="156"/>
        <v>0</v>
      </c>
      <c r="AY202" s="206">
        <f t="shared" si="156"/>
        <v>0</v>
      </c>
      <c r="AZ202" s="464">
        <f t="shared" si="156"/>
        <v>0</v>
      </c>
      <c r="BA202" s="206">
        <f t="shared" si="156"/>
        <v>0</v>
      </c>
      <c r="BB202" s="206">
        <f t="shared" si="156"/>
        <v>0</v>
      </c>
      <c r="BC202" s="465">
        <f t="shared" si="156"/>
        <v>0</v>
      </c>
      <c r="BD202" s="206"/>
      <c r="BE202" s="466"/>
    </row>
    <row r="203">
      <c r="A203" s="94"/>
      <c r="B203" s="337" t="s">
        <v>665</v>
      </c>
      <c r="C203" s="338" t="s">
        <v>657</v>
      </c>
      <c r="D203" s="330"/>
      <c r="E203" s="259"/>
      <c r="F203" s="479"/>
      <c r="G203" s="246"/>
      <c r="H203" s="336" t="s">
        <v>450</v>
      </c>
      <c r="I203" s="246"/>
      <c r="J203" s="664" t="s">
        <v>930</v>
      </c>
      <c r="K203" s="246"/>
      <c r="L203" s="261"/>
      <c r="M203" s="324"/>
      <c r="N203" s="246"/>
      <c r="O203" s="311" t="s">
        <v>459</v>
      </c>
      <c r="P203" s="246"/>
      <c r="Q203" s="311" t="s">
        <v>434</v>
      </c>
      <c r="R203" s="246"/>
      <c r="S203" s="261"/>
      <c r="T203" s="324"/>
      <c r="U203" s="246"/>
      <c r="V203" s="336" t="s">
        <v>450</v>
      </c>
      <c r="W203" s="246"/>
      <c r="X203" s="274" t="s">
        <v>443</v>
      </c>
      <c r="Y203" s="246"/>
      <c r="Z203" s="261"/>
      <c r="AA203" s="274" t="s">
        <v>448</v>
      </c>
      <c r="AB203" s="246"/>
      <c r="AC203" s="311" t="s">
        <v>459</v>
      </c>
      <c r="AD203" s="246"/>
      <c r="AF203" s="246"/>
      <c r="AG203" s="261"/>
      <c r="AH203" s="506"/>
      <c r="AI203" s="246"/>
      <c r="AJ203" s="311" t="s">
        <v>459</v>
      </c>
      <c r="AK203" s="246"/>
      <c r="AL203" s="274" t="s">
        <v>409</v>
      </c>
      <c r="AM203" s="246"/>
      <c r="AN203" s="261"/>
      <c r="AO203" s="324"/>
      <c r="AP203" s="246"/>
      <c r="AQ203" s="274" t="s">
        <v>415</v>
      </c>
      <c r="AR203" s="246"/>
      <c r="AS203" s="311" t="s">
        <v>434</v>
      </c>
      <c r="AT203" s="254" t="str">
        <f t="shared" ref="AT203:AT207" si="158">IF(COUNTIF($AO$86:$AT$88, #REF!) &gt; 0, "X", "")</f>
        <v/>
      </c>
      <c r="AU203" s="269"/>
      <c r="AV203" s="269"/>
      <c r="AW203" s="206" t="str">
        <f t="shared" ref="AW203:BC203" si="157">AW31</f>
        <v>#REF!</v>
      </c>
      <c r="AX203" s="206">
        <f t="shared" si="157"/>
        <v>0</v>
      </c>
      <c r="AY203" s="206">
        <f t="shared" si="157"/>
        <v>0</v>
      </c>
      <c r="AZ203" s="464">
        <f t="shared" si="157"/>
        <v>0</v>
      </c>
      <c r="BA203" s="206">
        <f t="shared" si="157"/>
        <v>0</v>
      </c>
      <c r="BB203" s="206">
        <f t="shared" si="157"/>
        <v>0</v>
      </c>
      <c r="BC203" s="465">
        <f t="shared" si="157"/>
        <v>0</v>
      </c>
      <c r="BD203" s="206"/>
      <c r="BE203" s="466"/>
    </row>
    <row r="204">
      <c r="A204" s="94"/>
      <c r="B204" s="256" t="s">
        <v>665</v>
      </c>
      <c r="C204" s="257" t="s">
        <v>663</v>
      </c>
      <c r="D204" s="330"/>
      <c r="E204" s="259"/>
      <c r="F204" s="506"/>
      <c r="G204" s="246"/>
      <c r="H204" s="374" t="s">
        <v>439</v>
      </c>
      <c r="I204" s="246"/>
      <c r="J204" s="274" t="s">
        <v>415</v>
      </c>
      <c r="K204" s="246"/>
      <c r="L204" s="261"/>
      <c r="M204" s="341"/>
      <c r="N204" s="246"/>
      <c r="O204" s="516"/>
      <c r="P204" s="246"/>
      <c r="R204" s="246"/>
      <c r="S204" s="261"/>
      <c r="T204" s="341"/>
      <c r="U204" s="246"/>
      <c r="W204" s="246"/>
      <c r="X204" s="274" t="s">
        <v>415</v>
      </c>
      <c r="Y204" s="246"/>
      <c r="Z204" s="261"/>
      <c r="AA204" s="274" t="s">
        <v>449</v>
      </c>
      <c r="AB204" s="246"/>
      <c r="AC204" s="274" t="s">
        <v>415</v>
      </c>
      <c r="AD204" s="246"/>
      <c r="AE204" s="317"/>
      <c r="AF204" s="246"/>
      <c r="AG204" s="261"/>
      <c r="AH204" s="506"/>
      <c r="AI204" s="246"/>
      <c r="AK204" s="246"/>
      <c r="AL204" s="339" t="s">
        <v>468</v>
      </c>
      <c r="AM204" s="246"/>
      <c r="AN204" s="261"/>
      <c r="AO204" s="341"/>
      <c r="AP204" s="246"/>
      <c r="AQ204" s="282"/>
      <c r="AR204" s="246"/>
      <c r="AS204" s="477" t="s">
        <v>447</v>
      </c>
      <c r="AT204" s="254" t="str">
        <f t="shared" si="158"/>
        <v/>
      </c>
      <c r="AU204" s="269"/>
      <c r="AV204" s="269"/>
      <c r="AW204" s="206" t="str">
        <f t="shared" ref="AW204:BC204" si="159">AW32</f>
        <v>#REF!</v>
      </c>
      <c r="AX204" s="206">
        <f t="shared" si="159"/>
        <v>0</v>
      </c>
      <c r="AY204" s="206">
        <f t="shared" si="159"/>
        <v>0</v>
      </c>
      <c r="AZ204" s="464">
        <f t="shared" si="159"/>
        <v>0</v>
      </c>
      <c r="BA204" s="206">
        <f t="shared" si="159"/>
        <v>0</v>
      </c>
      <c r="BB204" s="206">
        <f t="shared" si="159"/>
        <v>0</v>
      </c>
      <c r="BC204" s="465">
        <f t="shared" si="159"/>
        <v>0</v>
      </c>
      <c r="BD204" s="206"/>
      <c r="BE204" s="466"/>
    </row>
    <row r="205">
      <c r="A205" s="94"/>
      <c r="B205" s="328" t="s">
        <v>665</v>
      </c>
      <c r="C205" s="329" t="s">
        <v>645</v>
      </c>
      <c r="D205" s="323"/>
      <c r="E205" s="261"/>
      <c r="G205" s="246"/>
      <c r="H205" s="311" t="s">
        <v>459</v>
      </c>
      <c r="I205" s="246"/>
      <c r="J205" s="274" t="s">
        <v>448</v>
      </c>
      <c r="K205" s="246"/>
      <c r="L205" s="261"/>
      <c r="M205" s="341"/>
      <c r="N205" s="246"/>
      <c r="O205" s="336" t="s">
        <v>450</v>
      </c>
      <c r="P205" s="246"/>
      <c r="Q205" s="274" t="s">
        <v>448</v>
      </c>
      <c r="R205" s="246"/>
      <c r="S205" s="261"/>
      <c r="T205" s="341"/>
      <c r="U205" s="246"/>
      <c r="V205" s="311" t="s">
        <v>459</v>
      </c>
      <c r="W205" s="246"/>
      <c r="X205" s="274" t="s">
        <v>448</v>
      </c>
      <c r="Y205" s="246"/>
      <c r="Z205" s="261"/>
      <c r="AB205" s="246"/>
      <c r="AC205" s="336" t="s">
        <v>450</v>
      </c>
      <c r="AD205" s="246"/>
      <c r="AE205" s="320"/>
      <c r="AF205" s="246"/>
      <c r="AG205" s="261"/>
      <c r="AI205" s="246"/>
      <c r="AJ205" s="274" t="s">
        <v>415</v>
      </c>
      <c r="AK205" s="246"/>
      <c r="AL205" s="274" t="s">
        <v>448</v>
      </c>
      <c r="AM205" s="246"/>
      <c r="AN205" s="261"/>
      <c r="AO205" s="341"/>
      <c r="AP205" s="246"/>
      <c r="AQ205" s="336" t="s">
        <v>450</v>
      </c>
      <c r="AR205" s="246"/>
      <c r="AS205" s="274" t="s">
        <v>409</v>
      </c>
      <c r="AT205" s="254" t="str">
        <f t="shared" si="158"/>
        <v/>
      </c>
      <c r="AU205" s="269"/>
      <c r="AV205" s="269"/>
      <c r="AW205" s="206" t="str">
        <f t="shared" ref="AW205:BC205" si="160">AW33</f>
        <v>#REF!</v>
      </c>
      <c r="AX205" s="206">
        <f t="shared" si="160"/>
        <v>0</v>
      </c>
      <c r="AY205" s="206">
        <f t="shared" si="160"/>
        <v>0</v>
      </c>
      <c r="AZ205" s="464">
        <f t="shared" si="160"/>
        <v>0</v>
      </c>
      <c r="BA205" s="206">
        <f t="shared" si="160"/>
        <v>0</v>
      </c>
      <c r="BB205" s="206">
        <f t="shared" si="160"/>
        <v>0</v>
      </c>
      <c r="BC205" s="465">
        <f t="shared" si="160"/>
        <v>0</v>
      </c>
      <c r="BD205" s="206"/>
      <c r="BE205" s="466"/>
    </row>
    <row r="206">
      <c r="A206" s="94"/>
      <c r="B206" s="342" t="s">
        <v>667</v>
      </c>
      <c r="C206" s="343" t="s">
        <v>657</v>
      </c>
      <c r="D206" s="351"/>
      <c r="E206" s="259"/>
      <c r="F206" s="345" t="s">
        <v>401</v>
      </c>
      <c r="G206" s="246"/>
      <c r="I206" s="246"/>
      <c r="J206" s="339" t="s">
        <v>468</v>
      </c>
      <c r="K206" s="246"/>
      <c r="L206" s="261"/>
      <c r="M206" s="346"/>
      <c r="N206" s="246"/>
      <c r="O206" s="345" t="s">
        <v>401</v>
      </c>
      <c r="P206" s="246"/>
      <c r="Q206" s="282"/>
      <c r="R206" s="246"/>
      <c r="S206" s="261"/>
      <c r="T206" s="346"/>
      <c r="U206" s="246"/>
      <c r="W206" s="246"/>
      <c r="X206" s="339" t="s">
        <v>468</v>
      </c>
      <c r="Y206" s="246"/>
      <c r="Z206" s="261"/>
      <c r="AA206" s="347" t="s">
        <v>401</v>
      </c>
      <c r="AB206" s="246"/>
      <c r="AD206" s="246"/>
      <c r="AF206" s="246"/>
      <c r="AG206" s="261"/>
      <c r="AH206" s="345" t="s">
        <v>401</v>
      </c>
      <c r="AI206" s="246"/>
      <c r="AK206" s="246"/>
      <c r="AM206" s="246"/>
      <c r="AN206" s="261"/>
      <c r="AO206" s="346"/>
      <c r="AP206" s="246"/>
      <c r="AQ206" s="345" t="s">
        <v>401</v>
      </c>
      <c r="AR206" s="246"/>
      <c r="AT206" s="254" t="str">
        <f t="shared" si="158"/>
        <v/>
      </c>
      <c r="AU206" s="269"/>
      <c r="AV206" s="269"/>
      <c r="AW206" s="206" t="str">
        <f t="shared" ref="AW206:BC206" si="161">AW34</f>
        <v>#REF!</v>
      </c>
      <c r="AX206" s="206">
        <f t="shared" si="161"/>
        <v>0</v>
      </c>
      <c r="AY206" s="206">
        <f t="shared" si="161"/>
        <v>0</v>
      </c>
      <c r="AZ206" s="464">
        <f t="shared" si="161"/>
        <v>0</v>
      </c>
      <c r="BA206" s="206">
        <f t="shared" si="161"/>
        <v>0</v>
      </c>
      <c r="BB206" s="206">
        <f t="shared" si="161"/>
        <v>0</v>
      </c>
      <c r="BC206" s="465">
        <f t="shared" si="161"/>
        <v>0</v>
      </c>
      <c r="BD206" s="206"/>
      <c r="BE206" s="466"/>
    </row>
    <row r="207">
      <c r="A207" s="94"/>
      <c r="B207" s="349" t="s">
        <v>669</v>
      </c>
      <c r="C207" s="350" t="s">
        <v>649</v>
      </c>
      <c r="D207" s="323"/>
      <c r="E207" s="259"/>
      <c r="F207" s="353" t="s">
        <v>426</v>
      </c>
      <c r="G207" s="246"/>
      <c r="H207" s="253" t="s">
        <v>417</v>
      </c>
      <c r="I207" s="246"/>
      <c r="J207" s="353" t="s">
        <v>421</v>
      </c>
      <c r="K207" s="246"/>
      <c r="L207" s="261"/>
      <c r="M207" s="354"/>
      <c r="N207" s="246"/>
      <c r="O207" s="355" t="s">
        <v>670</v>
      </c>
      <c r="P207" s="246"/>
      <c r="Q207" s="293" t="s">
        <v>424</v>
      </c>
      <c r="R207" s="246"/>
      <c r="S207" s="261"/>
      <c r="T207" s="354"/>
      <c r="U207" s="246"/>
      <c r="V207" s="293" t="s">
        <v>424</v>
      </c>
      <c r="W207" s="246"/>
      <c r="X207" s="355" t="s">
        <v>670</v>
      </c>
      <c r="Y207" s="246"/>
      <c r="Z207" s="261"/>
      <c r="AA207" s="354"/>
      <c r="AB207" s="246"/>
      <c r="AC207" s="355" t="s">
        <v>670</v>
      </c>
      <c r="AD207" s="246"/>
      <c r="AE207" s="253" t="s">
        <v>417</v>
      </c>
      <c r="AF207" s="246"/>
      <c r="AG207" s="261"/>
      <c r="AH207" s="356" t="s">
        <v>423</v>
      </c>
      <c r="AI207" s="246"/>
      <c r="AJ207" s="253" t="s">
        <v>417</v>
      </c>
      <c r="AK207" s="246"/>
      <c r="AL207" s="357" t="s">
        <v>420</v>
      </c>
      <c r="AM207" s="246"/>
      <c r="AN207" s="261"/>
      <c r="AO207" s="354"/>
      <c r="AP207" s="246"/>
      <c r="AQ207" s="355" t="s">
        <v>420</v>
      </c>
      <c r="AR207" s="246"/>
      <c r="AS207" s="353" t="s">
        <v>422</v>
      </c>
      <c r="AT207" s="254" t="str">
        <f t="shared" si="158"/>
        <v/>
      </c>
      <c r="AU207" s="269"/>
      <c r="AV207" s="269"/>
      <c r="AW207" s="206" t="str">
        <f t="shared" ref="AW207:BC207" si="162">AW35</f>
        <v>#REF!</v>
      </c>
      <c r="AX207" s="206">
        <f t="shared" si="162"/>
        <v>0</v>
      </c>
      <c r="AY207" s="206">
        <f t="shared" si="162"/>
        <v>0</v>
      </c>
      <c r="AZ207" s="464">
        <f t="shared" si="162"/>
        <v>0</v>
      </c>
      <c r="BA207" s="206">
        <f t="shared" si="162"/>
        <v>0</v>
      </c>
      <c r="BB207" s="206">
        <f t="shared" si="162"/>
        <v>0</v>
      </c>
      <c r="BC207" s="465">
        <f t="shared" si="162"/>
        <v>0</v>
      </c>
      <c r="BD207" s="206"/>
      <c r="BE207" s="466"/>
    </row>
    <row r="208">
      <c r="A208" s="234"/>
      <c r="B208" s="296" t="s">
        <v>650</v>
      </c>
      <c r="C208" s="297" t="s">
        <v>649</v>
      </c>
      <c r="D208" s="330"/>
      <c r="E208" s="259"/>
      <c r="F208" s="299"/>
      <c r="G208" s="298"/>
      <c r="H208" s="299"/>
      <c r="I208" s="298"/>
      <c r="J208" s="293" t="s">
        <v>422</v>
      </c>
      <c r="K208" s="298"/>
      <c r="L208" s="261"/>
      <c r="M208" s="324"/>
      <c r="N208" s="298"/>
      <c r="O208" s="253" t="s">
        <v>417</v>
      </c>
      <c r="P208" s="298"/>
      <c r="Q208" s="319"/>
      <c r="R208" s="298"/>
      <c r="S208" s="261"/>
      <c r="T208" s="324"/>
      <c r="U208" s="298"/>
      <c r="V208" s="319"/>
      <c r="W208" s="298"/>
      <c r="X208" s="353" t="s">
        <v>426</v>
      </c>
      <c r="Y208" s="298"/>
      <c r="Z208" s="261"/>
      <c r="AA208" s="324"/>
      <c r="AB208" s="298"/>
      <c r="AC208" s="319"/>
      <c r="AD208" s="298"/>
      <c r="AE208" s="319"/>
      <c r="AF208" s="298"/>
      <c r="AG208" s="261"/>
      <c r="AH208" s="319"/>
      <c r="AI208" s="298"/>
      <c r="AJ208" s="319"/>
      <c r="AK208" s="298"/>
      <c r="AL208" s="483" t="s">
        <v>695</v>
      </c>
      <c r="AM208" s="298"/>
      <c r="AN208" s="261"/>
      <c r="AO208" s="324"/>
      <c r="AP208" s="298"/>
      <c r="AQ208" s="359"/>
      <c r="AR208" s="298"/>
      <c r="AS208" s="359"/>
      <c r="AT208" s="254" t="str">
        <f>IF(COUNTIF($AO$86:$AT$88, AS209) &gt; 0, "X", "")</f>
        <v/>
      </c>
      <c r="AU208" s="269"/>
      <c r="AV208" s="269"/>
      <c r="AW208" s="206" t="str">
        <f t="shared" ref="AW208:BC208" si="163">AW36</f>
        <v>#REF!</v>
      </c>
      <c r="AX208" s="206">
        <f t="shared" si="163"/>
        <v>0</v>
      </c>
      <c r="AY208" s="206">
        <f t="shared" si="163"/>
        <v>0</v>
      </c>
      <c r="AZ208" s="464">
        <f t="shared" si="163"/>
        <v>0</v>
      </c>
      <c r="BA208" s="206">
        <f t="shared" si="163"/>
        <v>0</v>
      </c>
      <c r="BB208" s="206">
        <f t="shared" si="163"/>
        <v>0</v>
      </c>
      <c r="BC208" s="465">
        <f t="shared" si="163"/>
        <v>0</v>
      </c>
      <c r="BD208" s="206"/>
      <c r="BE208" s="466"/>
    </row>
    <row r="209">
      <c r="A209" s="94"/>
      <c r="B209" s="301" t="s">
        <v>651</v>
      </c>
      <c r="C209" s="302" t="s">
        <v>652</v>
      </c>
      <c r="D209" s="363"/>
      <c r="E209" s="259"/>
      <c r="F209" s="303"/>
      <c r="G209" s="298"/>
      <c r="H209" s="360" t="s">
        <v>899</v>
      </c>
      <c r="I209" s="298"/>
      <c r="J209" s="303"/>
      <c r="K209" s="298"/>
      <c r="L209" s="261"/>
      <c r="M209" s="250"/>
      <c r="N209" s="298"/>
      <c r="O209" s="304"/>
      <c r="P209" s="298"/>
      <c r="Q209" s="303"/>
      <c r="R209" s="298"/>
      <c r="S209" s="261"/>
      <c r="T209" s="250"/>
      <c r="U209" s="298"/>
      <c r="V209" s="483" t="s">
        <v>695</v>
      </c>
      <c r="W209" s="298"/>
      <c r="X209" s="303"/>
      <c r="Y209" s="298"/>
      <c r="Z209" s="261"/>
      <c r="AA209" s="250"/>
      <c r="AB209" s="298"/>
      <c r="AC209" s="304"/>
      <c r="AD209" s="298"/>
      <c r="AE209" s="303"/>
      <c r="AF209" s="298"/>
      <c r="AG209" s="261"/>
      <c r="AH209" s="303"/>
      <c r="AI209" s="298"/>
      <c r="AJ209" s="304"/>
      <c r="AK209" s="298"/>
      <c r="AL209" s="360" t="s">
        <v>899</v>
      </c>
      <c r="AM209" s="298"/>
      <c r="AN209" s="261"/>
      <c r="AO209" s="250"/>
      <c r="AP209" s="298"/>
      <c r="AQ209" s="303"/>
      <c r="AR209" s="298"/>
      <c r="AS209" s="303"/>
      <c r="AT209" s="254" t="str">
        <f t="shared" ref="AT209:AT210" si="165">IF(COUNTIF($AO$86:$AT$88, #REF!) &gt; 0, "X", "")</f>
        <v/>
      </c>
      <c r="AU209" s="269"/>
      <c r="AV209" s="269"/>
      <c r="AW209" s="206" t="str">
        <f t="shared" ref="AW209:BC209" si="164">AW37</f>
        <v>#REF!</v>
      </c>
      <c r="AX209" s="206">
        <f t="shared" si="164"/>
        <v>0</v>
      </c>
      <c r="AY209" s="206">
        <f t="shared" si="164"/>
        <v>0</v>
      </c>
      <c r="AZ209" s="464">
        <f t="shared" si="164"/>
        <v>0</v>
      </c>
      <c r="BA209" s="206">
        <f t="shared" si="164"/>
        <v>0</v>
      </c>
      <c r="BB209" s="206">
        <f t="shared" si="164"/>
        <v>0</v>
      </c>
      <c r="BC209" s="465">
        <f t="shared" si="164"/>
        <v>0</v>
      </c>
      <c r="BD209" s="206"/>
      <c r="BE209" s="466"/>
    </row>
    <row r="210">
      <c r="A210" s="94"/>
      <c r="B210" s="361" t="s">
        <v>673</v>
      </c>
      <c r="C210" s="362" t="s">
        <v>674</v>
      </c>
      <c r="D210" s="369"/>
      <c r="E210" s="259"/>
      <c r="F210" s="366" t="s">
        <v>676</v>
      </c>
      <c r="G210" s="298"/>
      <c r="H210" s="336" t="s">
        <v>412</v>
      </c>
      <c r="I210" s="298"/>
      <c r="J210" s="251" t="s">
        <v>433</v>
      </c>
      <c r="K210" s="298"/>
      <c r="L210" s="261"/>
      <c r="M210" s="324"/>
      <c r="N210" s="298"/>
      <c r="O210" s="336" t="s">
        <v>412</v>
      </c>
      <c r="P210" s="298"/>
      <c r="Q210" s="366" t="s">
        <v>676</v>
      </c>
      <c r="R210" s="298"/>
      <c r="S210" s="261"/>
      <c r="T210" s="324"/>
      <c r="U210" s="298"/>
      <c r="V210" s="336" t="s">
        <v>412</v>
      </c>
      <c r="W210" s="298"/>
      <c r="X210" s="251" t="s">
        <v>433</v>
      </c>
      <c r="Y210" s="298"/>
      <c r="Z210" s="261"/>
      <c r="AA210" s="324"/>
      <c r="AB210" s="298"/>
      <c r="AC210" s="336" t="s">
        <v>412</v>
      </c>
      <c r="AD210" s="298"/>
      <c r="AE210" s="366" t="s">
        <v>676</v>
      </c>
      <c r="AF210" s="298"/>
      <c r="AG210" s="261"/>
      <c r="AH210" s="366" t="s">
        <v>676</v>
      </c>
      <c r="AI210" s="298"/>
      <c r="AJ210" s="336" t="s">
        <v>412</v>
      </c>
      <c r="AK210" s="298"/>
      <c r="AL210" s="251" t="s">
        <v>433</v>
      </c>
      <c r="AM210" s="298"/>
      <c r="AN210" s="261"/>
      <c r="AO210" s="324"/>
      <c r="AP210" s="298"/>
      <c r="AQ210" s="311" t="s">
        <v>765</v>
      </c>
      <c r="AR210" s="298"/>
      <c r="AS210" s="366" t="s">
        <v>676</v>
      </c>
      <c r="AT210" s="254" t="str">
        <f t="shared" si="165"/>
        <v/>
      </c>
      <c r="AU210" s="269"/>
      <c r="AV210" s="269"/>
      <c r="AW210" s="206" t="str">
        <f t="shared" ref="AW210:BC210" si="166">AW38</f>
        <v>#REF!</v>
      </c>
      <c r="AX210" s="206">
        <f t="shared" si="166"/>
        <v>0</v>
      </c>
      <c r="AY210" s="206">
        <f t="shared" si="166"/>
        <v>0</v>
      </c>
      <c r="AZ210" s="464">
        <f t="shared" si="166"/>
        <v>0</v>
      </c>
      <c r="BA210" s="206">
        <f t="shared" si="166"/>
        <v>0</v>
      </c>
      <c r="BB210" s="206">
        <f t="shared" si="166"/>
        <v>0</v>
      </c>
      <c r="BC210" s="465">
        <f t="shared" si="166"/>
        <v>0</v>
      </c>
      <c r="BD210" s="206"/>
      <c r="BE210" s="466"/>
    </row>
    <row r="211">
      <c r="A211" s="94"/>
      <c r="B211" s="367" t="s">
        <v>677</v>
      </c>
      <c r="C211" s="368" t="s">
        <v>674</v>
      </c>
      <c r="D211" s="330"/>
      <c r="E211" s="259"/>
      <c r="F211" s="282"/>
      <c r="G211" s="246"/>
      <c r="H211" s="282"/>
      <c r="I211" s="246"/>
      <c r="J211" s="282"/>
      <c r="K211" s="246"/>
      <c r="L211" s="261"/>
      <c r="M211" s="250"/>
      <c r="N211" s="246"/>
      <c r="P211" s="246"/>
      <c r="Q211" s="282"/>
      <c r="R211" s="246"/>
      <c r="S211" s="261"/>
      <c r="T211" s="250"/>
      <c r="U211" s="246"/>
      <c r="V211" s="282"/>
      <c r="W211" s="246"/>
      <c r="Y211" s="246"/>
      <c r="Z211" s="261"/>
      <c r="AA211" s="250"/>
      <c r="AB211" s="246"/>
      <c r="AC211" s="282"/>
      <c r="AD211" s="246"/>
      <c r="AF211" s="246"/>
      <c r="AG211" s="261"/>
      <c r="AH211" s="371"/>
      <c r="AI211" s="246"/>
      <c r="AK211" s="246"/>
      <c r="AL211" s="282"/>
      <c r="AM211" s="246"/>
      <c r="AN211" s="261"/>
      <c r="AO211" s="250"/>
      <c r="AP211" s="246"/>
      <c r="AQ211" s="282"/>
      <c r="AR211" s="246"/>
      <c r="AT211" s="254" t="str">
        <f>IF(COUNTIF($AO$86:$AT$88, AQ210) &gt; 0, "X", "")</f>
        <v/>
      </c>
      <c r="AU211" s="269"/>
      <c r="AV211" s="269"/>
      <c r="AW211" s="206" t="str">
        <f t="shared" ref="AW211:BC211" si="167">AW39</f>
        <v>#REF!</v>
      </c>
      <c r="AX211" s="206">
        <f t="shared" si="167"/>
        <v>0</v>
      </c>
      <c r="AY211" s="206">
        <f t="shared" si="167"/>
        <v>0</v>
      </c>
      <c r="AZ211" s="464">
        <f t="shared" si="167"/>
        <v>0</v>
      </c>
      <c r="BA211" s="206">
        <f t="shared" si="167"/>
        <v>0</v>
      </c>
      <c r="BB211" s="206">
        <f t="shared" si="167"/>
        <v>0</v>
      </c>
      <c r="BC211" s="465">
        <f t="shared" si="167"/>
        <v>0</v>
      </c>
      <c r="BD211" s="206"/>
      <c r="BE211" s="466"/>
    </row>
    <row r="212">
      <c r="A212" s="94"/>
      <c r="B212" s="256" t="s">
        <v>679</v>
      </c>
      <c r="C212" s="257" t="s">
        <v>680</v>
      </c>
      <c r="D212" s="330"/>
      <c r="E212" s="259"/>
      <c r="F212" s="311" t="s">
        <v>393</v>
      </c>
      <c r="G212" s="246"/>
      <c r="H212" s="374" t="s">
        <v>436</v>
      </c>
      <c r="I212" s="246"/>
      <c r="J212" s="274" t="s">
        <v>437</v>
      </c>
      <c r="K212" s="246"/>
      <c r="L212" s="261"/>
      <c r="M212" s="333"/>
      <c r="N212" s="246"/>
      <c r="O212" s="374" t="s">
        <v>436</v>
      </c>
      <c r="P212" s="246"/>
      <c r="Q212" s="274" t="s">
        <v>443</v>
      </c>
      <c r="R212" s="246"/>
      <c r="S212" s="261"/>
      <c r="T212" s="333"/>
      <c r="U212" s="246"/>
      <c r="V212" s="311" t="s">
        <v>436</v>
      </c>
      <c r="W212" s="246"/>
      <c r="X212" s="348" t="s">
        <v>682</v>
      </c>
      <c r="Y212" s="246"/>
      <c r="Z212" s="261"/>
      <c r="AA212" s="333"/>
      <c r="AB212" s="246"/>
      <c r="AC212" s="311" t="s">
        <v>436</v>
      </c>
      <c r="AD212" s="246"/>
      <c r="AE212" s="365" t="s">
        <v>433</v>
      </c>
      <c r="AF212" s="246"/>
      <c r="AG212" s="261"/>
      <c r="AH212" s="311" t="s">
        <v>393</v>
      </c>
      <c r="AI212" s="246"/>
      <c r="AJ212" s="274" t="s">
        <v>406</v>
      </c>
      <c r="AK212" s="246"/>
      <c r="AL212" s="376" t="s">
        <v>453</v>
      </c>
      <c r="AM212" s="246"/>
      <c r="AN212" s="261"/>
      <c r="AO212" s="333"/>
      <c r="AP212" s="246"/>
      <c r="AQ212" s="311" t="s">
        <v>436</v>
      </c>
      <c r="AR212" s="246"/>
      <c r="AS212" s="365" t="s">
        <v>433</v>
      </c>
      <c r="AT212" s="254" t="str">
        <f t="shared" ref="AT212:AT218" si="169">IF(COUNTIF($AO$86:$AT$88, #REF!) &gt; 0, "X", "")</f>
        <v/>
      </c>
      <c r="AU212" s="269"/>
      <c r="AV212" s="269"/>
      <c r="AW212" s="206" t="str">
        <f t="shared" ref="AW212:BC212" si="168">AW40</f>
        <v>#REF!</v>
      </c>
      <c r="AX212" s="206">
        <f t="shared" si="168"/>
        <v>0</v>
      </c>
      <c r="AY212" s="206">
        <f t="shared" si="168"/>
        <v>0</v>
      </c>
      <c r="AZ212" s="464">
        <f t="shared" si="168"/>
        <v>0</v>
      </c>
      <c r="BA212" s="206">
        <f t="shared" si="168"/>
        <v>0</v>
      </c>
      <c r="BB212" s="206">
        <f t="shared" si="168"/>
        <v>0</v>
      </c>
      <c r="BC212" s="465">
        <f t="shared" si="168"/>
        <v>0</v>
      </c>
      <c r="BD212" s="206"/>
      <c r="BE212" s="466"/>
    </row>
    <row r="213">
      <c r="A213" s="372"/>
      <c r="B213" s="328" t="s">
        <v>679</v>
      </c>
      <c r="C213" s="329" t="s">
        <v>652</v>
      </c>
      <c r="D213" s="330"/>
      <c r="E213" s="259"/>
      <c r="F213" s="282"/>
      <c r="G213" s="246"/>
      <c r="H213" s="384" t="s">
        <v>931</v>
      </c>
      <c r="I213" s="246"/>
      <c r="K213" s="246"/>
      <c r="L213" s="261"/>
      <c r="M213" s="346"/>
      <c r="N213" s="246"/>
      <c r="O213" s="384" t="s">
        <v>931</v>
      </c>
      <c r="P213" s="246"/>
      <c r="R213" s="246"/>
      <c r="S213" s="261"/>
      <c r="T213" s="346"/>
      <c r="U213" s="246"/>
      <c r="W213" s="246"/>
      <c r="X213" s="376" t="s">
        <v>453</v>
      </c>
      <c r="Y213" s="246"/>
      <c r="Z213" s="261"/>
      <c r="AA213" s="346"/>
      <c r="AB213" s="246"/>
      <c r="AC213" s="274" t="s">
        <v>406</v>
      </c>
      <c r="AD213" s="246"/>
      <c r="AF213" s="246"/>
      <c r="AG213" s="261"/>
      <c r="AH213" s="282"/>
      <c r="AI213" s="246"/>
      <c r="AJ213" s="384" t="s">
        <v>931</v>
      </c>
      <c r="AK213" s="246"/>
      <c r="AM213" s="246"/>
      <c r="AN213" s="261"/>
      <c r="AO213" s="346"/>
      <c r="AP213" s="246"/>
      <c r="AQ213" s="274" t="s">
        <v>437</v>
      </c>
      <c r="AR213" s="246"/>
      <c r="AT213" s="254" t="str">
        <f t="shared" si="169"/>
        <v/>
      </c>
      <c r="AU213" s="269"/>
      <c r="AV213" s="269"/>
      <c r="AW213" s="206" t="str">
        <f t="shared" ref="AW213:BC213" si="170">AW41</f>
        <v>#REF!</v>
      </c>
      <c r="AX213" s="206">
        <f t="shared" si="170"/>
        <v>0</v>
      </c>
      <c r="AY213" s="206">
        <f t="shared" si="170"/>
        <v>0</v>
      </c>
      <c r="AZ213" s="464">
        <f t="shared" si="170"/>
        <v>0</v>
      </c>
      <c r="BA213" s="206">
        <f t="shared" si="170"/>
        <v>0</v>
      </c>
      <c r="BB213" s="206">
        <f t="shared" si="170"/>
        <v>0</v>
      </c>
      <c r="BC213" s="465">
        <f t="shared" si="170"/>
        <v>0</v>
      </c>
      <c r="BD213" s="206"/>
      <c r="BE213" s="466"/>
    </row>
    <row r="214">
      <c r="A214" s="94"/>
      <c r="B214" s="328" t="s">
        <v>679</v>
      </c>
      <c r="C214" s="329" t="s">
        <v>683</v>
      </c>
      <c r="D214" s="379"/>
      <c r="E214" s="380"/>
      <c r="F214" s="376" t="s">
        <v>466</v>
      </c>
      <c r="G214" s="246"/>
      <c r="H214" s="311" t="s">
        <v>394</v>
      </c>
      <c r="I214" s="246"/>
      <c r="K214" s="246"/>
      <c r="L214" s="261"/>
      <c r="M214" s="341"/>
      <c r="N214" s="246"/>
      <c r="O214" s="274" t="s">
        <v>406</v>
      </c>
      <c r="P214" s="246"/>
      <c r="Q214" s="376" t="s">
        <v>466</v>
      </c>
      <c r="R214" s="246"/>
      <c r="S214" s="261"/>
      <c r="T214" s="341"/>
      <c r="U214" s="246"/>
      <c r="V214" s="311" t="s">
        <v>455</v>
      </c>
      <c r="W214" s="246"/>
      <c r="X214" s="274" t="s">
        <v>439</v>
      </c>
      <c r="Y214" s="246"/>
      <c r="Z214" s="261"/>
      <c r="AA214" s="341"/>
      <c r="AB214" s="246"/>
      <c r="AC214" s="311" t="s">
        <v>466</v>
      </c>
      <c r="AD214" s="246"/>
      <c r="AE214" s="251" t="s">
        <v>457</v>
      </c>
      <c r="AF214" s="246"/>
      <c r="AG214" s="261"/>
      <c r="AI214" s="246"/>
      <c r="AJ214" s="251" t="s">
        <v>457</v>
      </c>
      <c r="AK214" s="246"/>
      <c r="AL214" s="336" t="s">
        <v>398</v>
      </c>
      <c r="AM214" s="246"/>
      <c r="AN214" s="261"/>
      <c r="AO214" s="341"/>
      <c r="AP214" s="246"/>
      <c r="AQ214" s="251" t="s">
        <v>457</v>
      </c>
      <c r="AR214" s="246"/>
      <c r="AS214" s="274" t="s">
        <v>443</v>
      </c>
      <c r="AT214" s="254" t="str">
        <f t="shared" si="169"/>
        <v/>
      </c>
      <c r="AU214" s="269"/>
      <c r="AV214" s="269"/>
      <c r="AW214" s="206" t="str">
        <f t="shared" ref="AW214:BC214" si="171">AW42</f>
        <v>#REF!</v>
      </c>
      <c r="AX214" s="206">
        <f t="shared" si="171"/>
        <v>0</v>
      </c>
      <c r="AY214" s="206">
        <f t="shared" si="171"/>
        <v>0</v>
      </c>
      <c r="AZ214" s="464">
        <f t="shared" si="171"/>
        <v>0</v>
      </c>
      <c r="BA214" s="206">
        <f t="shared" si="171"/>
        <v>0</v>
      </c>
      <c r="BB214" s="206">
        <f t="shared" si="171"/>
        <v>0</v>
      </c>
      <c r="BC214" s="465">
        <f t="shared" si="171"/>
        <v>0</v>
      </c>
      <c r="BD214" s="206"/>
      <c r="BE214" s="466"/>
    </row>
    <row r="215">
      <c r="A215" s="94"/>
      <c r="B215" s="377" t="s">
        <v>684</v>
      </c>
      <c r="C215" s="378" t="s">
        <v>685</v>
      </c>
      <c r="D215" s="363"/>
      <c r="E215" s="259"/>
      <c r="F215" s="311" t="s">
        <v>410</v>
      </c>
      <c r="G215" s="246"/>
      <c r="H215" s="274" t="s">
        <v>406</v>
      </c>
      <c r="I215" s="246"/>
      <c r="J215" s="251" t="s">
        <v>405</v>
      </c>
      <c r="K215" s="246"/>
      <c r="L215" s="381"/>
      <c r="M215" s="341"/>
      <c r="N215" s="246"/>
      <c r="P215" s="246"/>
      <c r="R215" s="246"/>
      <c r="S215" s="381"/>
      <c r="T215" s="341"/>
      <c r="U215" s="246"/>
      <c r="V215" s="384" t="s">
        <v>931</v>
      </c>
      <c r="W215" s="246"/>
      <c r="X215" s="516"/>
      <c r="Y215" s="246"/>
      <c r="Z215" s="381"/>
      <c r="AA215" s="341"/>
      <c r="AB215" s="246"/>
      <c r="AC215" s="384" t="s">
        <v>931</v>
      </c>
      <c r="AD215" s="246"/>
      <c r="AE215" s="251"/>
      <c r="AF215" s="246"/>
      <c r="AG215" s="381"/>
      <c r="AH215" s="311" t="s">
        <v>455</v>
      </c>
      <c r="AI215" s="246"/>
      <c r="AK215" s="246"/>
      <c r="AM215" s="246"/>
      <c r="AN215" s="381"/>
      <c r="AO215" s="341"/>
      <c r="AP215" s="246"/>
      <c r="AR215" s="246"/>
      <c r="AS215" s="282"/>
      <c r="AT215" s="254" t="str">
        <f t="shared" si="169"/>
        <v/>
      </c>
      <c r="AU215" s="269"/>
      <c r="AV215" s="269"/>
      <c r="AW215" s="206" t="str">
        <f t="shared" ref="AW215:BC215" si="172">AW43</f>
        <v>#REF!</v>
      </c>
      <c r="AX215" s="206">
        <f t="shared" si="172"/>
        <v>0</v>
      </c>
      <c r="AY215" s="206">
        <f t="shared" si="172"/>
        <v>0</v>
      </c>
      <c r="AZ215" s="464">
        <f t="shared" si="172"/>
        <v>0</v>
      </c>
      <c r="BA215" s="206">
        <f t="shared" si="172"/>
        <v>0</v>
      </c>
      <c r="BB215" s="206">
        <f t="shared" si="172"/>
        <v>0</v>
      </c>
      <c r="BC215" s="465">
        <f t="shared" si="172"/>
        <v>0</v>
      </c>
      <c r="BD215" s="206"/>
      <c r="BE215" s="466"/>
    </row>
    <row r="216">
      <c r="A216" s="270"/>
      <c r="B216" s="382" t="s">
        <v>686</v>
      </c>
      <c r="C216" s="242" t="s">
        <v>652</v>
      </c>
      <c r="D216" s="330"/>
      <c r="E216" s="259"/>
      <c r="F216" s="376" t="s">
        <v>453</v>
      </c>
      <c r="G216" s="246"/>
      <c r="H216" s="385" t="s">
        <v>428</v>
      </c>
      <c r="I216" s="246"/>
      <c r="J216" s="251" t="s">
        <v>429</v>
      </c>
      <c r="K216" s="246"/>
      <c r="L216" s="261"/>
      <c r="M216" s="341"/>
      <c r="N216" s="246"/>
      <c r="O216" s="385" t="s">
        <v>428</v>
      </c>
      <c r="P216" s="246"/>
      <c r="Q216" s="311" t="s">
        <v>455</v>
      </c>
      <c r="R216" s="246"/>
      <c r="S216" s="261"/>
      <c r="T216" s="341"/>
      <c r="U216" s="246"/>
      <c r="V216" s="251" t="s">
        <v>435</v>
      </c>
      <c r="W216" s="246"/>
      <c r="Y216" s="246"/>
      <c r="Z216" s="261"/>
      <c r="AA216" s="341"/>
      <c r="AB216" s="246"/>
      <c r="AC216" s="385" t="s">
        <v>428</v>
      </c>
      <c r="AD216" s="246"/>
      <c r="AE216" s="251" t="s">
        <v>429</v>
      </c>
      <c r="AF216" s="246"/>
      <c r="AG216" s="261"/>
      <c r="AH216" s="364" t="s">
        <v>689</v>
      </c>
      <c r="AI216" s="246"/>
      <c r="AJ216" s="251" t="s">
        <v>435</v>
      </c>
      <c r="AK216" s="246"/>
      <c r="AL216" s="479"/>
      <c r="AM216" s="246"/>
      <c r="AN216" s="261"/>
      <c r="AO216" s="341"/>
      <c r="AP216" s="246"/>
      <c r="AQ216" s="385" t="s">
        <v>428</v>
      </c>
      <c r="AR216" s="246"/>
      <c r="AS216" s="308" t="s">
        <v>455</v>
      </c>
      <c r="AT216" s="254" t="str">
        <f t="shared" si="169"/>
        <v/>
      </c>
      <c r="AU216" s="269"/>
      <c r="AV216" s="269"/>
      <c r="AW216" s="206" t="str">
        <f t="shared" ref="AW216:BC216" si="173">AW44</f>
        <v>#REF!</v>
      </c>
      <c r="AX216" s="206">
        <f t="shared" si="173"/>
        <v>0</v>
      </c>
      <c r="AY216" s="206">
        <f t="shared" si="173"/>
        <v>0</v>
      </c>
      <c r="AZ216" s="464">
        <f t="shared" si="173"/>
        <v>0</v>
      </c>
      <c r="BA216" s="206">
        <f t="shared" si="173"/>
        <v>0</v>
      </c>
      <c r="BB216" s="206">
        <f t="shared" si="173"/>
        <v>0</v>
      </c>
      <c r="BC216" s="465">
        <f t="shared" si="173"/>
        <v>0</v>
      </c>
      <c r="BD216" s="206"/>
      <c r="BE216" s="466"/>
    </row>
    <row r="217">
      <c r="A217" s="234"/>
      <c r="B217" s="337" t="s">
        <v>686</v>
      </c>
      <c r="C217" s="338" t="s">
        <v>687</v>
      </c>
      <c r="D217" s="330"/>
      <c r="E217" s="259"/>
      <c r="F217" s="325" t="s">
        <v>711</v>
      </c>
      <c r="G217" s="246"/>
      <c r="H217" s="251" t="s">
        <v>435</v>
      </c>
      <c r="I217" s="246"/>
      <c r="K217" s="246"/>
      <c r="L217" s="261"/>
      <c r="M217" s="250"/>
      <c r="N217" s="246"/>
      <c r="O217" s="251" t="s">
        <v>435</v>
      </c>
      <c r="P217" s="246"/>
      <c r="Q217" s="251" t="s">
        <v>429</v>
      </c>
      <c r="R217" s="246"/>
      <c r="S217" s="261"/>
      <c r="T217" s="250"/>
      <c r="U217" s="246"/>
      <c r="V217" s="311" t="s">
        <v>466</v>
      </c>
      <c r="W217" s="246"/>
      <c r="X217" s="385" t="s">
        <v>428</v>
      </c>
      <c r="Y217" s="246"/>
      <c r="Z217" s="261"/>
      <c r="AA217" s="250"/>
      <c r="AB217" s="246"/>
      <c r="AC217" s="251" t="s">
        <v>435</v>
      </c>
      <c r="AD217" s="246"/>
      <c r="AE217" s="376" t="s">
        <v>453</v>
      </c>
      <c r="AF217" s="246"/>
      <c r="AG217" s="261"/>
      <c r="AI217" s="246"/>
      <c r="AJ217" s="311" t="s">
        <v>466</v>
      </c>
      <c r="AK217" s="246"/>
      <c r="AL217" s="479"/>
      <c r="AM217" s="246"/>
      <c r="AN217" s="261"/>
      <c r="AO217" s="250"/>
      <c r="AP217" s="246"/>
      <c r="AQ217" s="665" t="s">
        <v>453</v>
      </c>
      <c r="AR217" s="246"/>
      <c r="AS217" s="251" t="s">
        <v>429</v>
      </c>
      <c r="AT217" s="254" t="str">
        <f t="shared" si="169"/>
        <v/>
      </c>
      <c r="AU217" s="269"/>
      <c r="AV217" s="269"/>
      <c r="AW217" s="206" t="str">
        <f t="shared" ref="AW217:BC217" si="174">AW45</f>
        <v>#REF!</v>
      </c>
      <c r="AX217" s="206">
        <f t="shared" si="174"/>
        <v>0</v>
      </c>
      <c r="AY217" s="206">
        <f t="shared" si="174"/>
        <v>0</v>
      </c>
      <c r="AZ217" s="464">
        <f t="shared" si="174"/>
        <v>0</v>
      </c>
      <c r="BA217" s="206">
        <f t="shared" si="174"/>
        <v>0</v>
      </c>
      <c r="BB217" s="206">
        <f t="shared" si="174"/>
        <v>0</v>
      </c>
      <c r="BC217" s="465">
        <f t="shared" si="174"/>
        <v>0</v>
      </c>
      <c r="BD217" s="206"/>
      <c r="BE217" s="466"/>
    </row>
    <row r="218">
      <c r="A218" s="94"/>
      <c r="B218" s="337" t="s">
        <v>688</v>
      </c>
      <c r="C218" s="285" t="s">
        <v>687</v>
      </c>
      <c r="D218" s="389"/>
      <c r="E218" s="259"/>
      <c r="F218" s="265"/>
      <c r="G218" s="246"/>
      <c r="H218" s="265"/>
      <c r="I218" s="246"/>
      <c r="J218" s="265"/>
      <c r="K218" s="246"/>
      <c r="L218" s="261"/>
      <c r="M218" s="262"/>
      <c r="N218" s="246"/>
      <c r="O218" s="265"/>
      <c r="P218" s="246"/>
      <c r="Q218" s="265"/>
      <c r="R218" s="246"/>
      <c r="S218" s="261"/>
      <c r="T218" s="262"/>
      <c r="U218" s="246"/>
      <c r="V218" s="265"/>
      <c r="W218" s="246"/>
      <c r="X218" s="251" t="s">
        <v>429</v>
      </c>
      <c r="Y218" s="246"/>
      <c r="Z218" s="261"/>
      <c r="AA218" s="262"/>
      <c r="AB218" s="246"/>
      <c r="AD218" s="246"/>
      <c r="AF218" s="246"/>
      <c r="AG218" s="261"/>
      <c r="AH218" s="265"/>
      <c r="AI218" s="246"/>
      <c r="AJ218" s="265"/>
      <c r="AK218" s="246"/>
      <c r="AL218" s="666"/>
      <c r="AM218" s="246"/>
      <c r="AN218" s="261"/>
      <c r="AO218" s="262"/>
      <c r="AP218" s="246"/>
      <c r="AR218" s="246"/>
      <c r="AS218" s="265"/>
      <c r="AT218" s="254" t="str">
        <f t="shared" si="169"/>
        <v/>
      </c>
      <c r="AU218" s="269"/>
      <c r="AV218" s="269"/>
      <c r="AW218" s="206" t="str">
        <f t="shared" ref="AW218:BC218" si="175">AW46</f>
        <v>#REF!</v>
      </c>
      <c r="AX218" s="206">
        <f t="shared" si="175"/>
        <v>0</v>
      </c>
      <c r="AY218" s="206">
        <f t="shared" si="175"/>
        <v>0</v>
      </c>
      <c r="AZ218" s="464">
        <f t="shared" si="175"/>
        <v>0</v>
      </c>
      <c r="BA218" s="206">
        <f t="shared" si="175"/>
        <v>0</v>
      </c>
      <c r="BB218" s="206">
        <f t="shared" si="175"/>
        <v>0</v>
      </c>
      <c r="BC218" s="465">
        <f t="shared" si="175"/>
        <v>0</v>
      </c>
      <c r="BD218" s="206"/>
      <c r="BE218" s="466"/>
    </row>
    <row r="219">
      <c r="A219" s="94"/>
      <c r="B219" s="387" t="s">
        <v>690</v>
      </c>
      <c r="C219" s="388" t="s">
        <v>649</v>
      </c>
      <c r="D219" s="323"/>
      <c r="E219" s="259"/>
      <c r="F219" s="390"/>
      <c r="G219" s="246"/>
      <c r="H219" s="390"/>
      <c r="I219" s="246"/>
      <c r="J219" s="390"/>
      <c r="K219" s="246"/>
      <c r="L219" s="261"/>
      <c r="M219" s="250"/>
      <c r="N219" s="246"/>
      <c r="O219" s="355" t="s">
        <v>420</v>
      </c>
      <c r="P219" s="246"/>
      <c r="Q219" s="390"/>
      <c r="R219" s="246"/>
      <c r="S219" s="261"/>
      <c r="T219" s="250"/>
      <c r="U219" s="246"/>
      <c r="V219" s="390"/>
      <c r="W219" s="246"/>
      <c r="X219" s="357" t="s">
        <v>420</v>
      </c>
      <c r="Y219" s="246"/>
      <c r="Z219" s="261"/>
      <c r="AA219" s="250"/>
      <c r="AB219" s="246"/>
      <c r="AC219" s="355" t="s">
        <v>420</v>
      </c>
      <c r="AD219" s="246"/>
      <c r="AE219" s="390"/>
      <c r="AF219" s="246"/>
      <c r="AG219" s="261"/>
      <c r="AH219" s="390"/>
      <c r="AI219" s="246"/>
      <c r="AJ219" s="390"/>
      <c r="AK219" s="246"/>
      <c r="AL219" s="390"/>
      <c r="AM219" s="246"/>
      <c r="AN219" s="261"/>
      <c r="AO219" s="250"/>
      <c r="AP219" s="246"/>
      <c r="AQ219" s="390"/>
      <c r="AR219" s="246"/>
      <c r="AS219" s="390"/>
      <c r="AT219" s="254" t="str">
        <f t="shared" ref="AT219:AT226" si="177">IF(COUNTIF($AO$86:$AT$88, AS220) &gt; 0, "X", "")</f>
        <v/>
      </c>
      <c r="AU219" s="269"/>
      <c r="AV219" s="269"/>
      <c r="AW219" s="206" t="str">
        <f t="shared" ref="AW219:BC219" si="176">AW47</f>
        <v>#REF!</v>
      </c>
      <c r="AX219" s="206">
        <f t="shared" si="176"/>
        <v>0</v>
      </c>
      <c r="AY219" s="206">
        <f t="shared" si="176"/>
        <v>0</v>
      </c>
      <c r="AZ219" s="464">
        <f t="shared" si="176"/>
        <v>0</v>
      </c>
      <c r="BA219" s="206">
        <f t="shared" si="176"/>
        <v>0</v>
      </c>
      <c r="BB219" s="206">
        <f t="shared" si="176"/>
        <v>0</v>
      </c>
      <c r="BC219" s="465">
        <f t="shared" si="176"/>
        <v>0</v>
      </c>
      <c r="BD219" s="206"/>
      <c r="BE219" s="466"/>
    </row>
    <row r="220">
      <c r="A220" s="94"/>
      <c r="B220" s="296" t="s">
        <v>650</v>
      </c>
      <c r="C220" s="297" t="s">
        <v>649</v>
      </c>
      <c r="D220" s="323"/>
      <c r="E220" s="261"/>
      <c r="F220" s="300"/>
      <c r="G220" s="246"/>
      <c r="H220" s="319"/>
      <c r="I220" s="246"/>
      <c r="J220" s="300"/>
      <c r="K220" s="246"/>
      <c r="L220" s="261"/>
      <c r="M220" s="250"/>
      <c r="N220" s="246"/>
      <c r="O220" s="300"/>
      <c r="P220" s="246"/>
      <c r="Q220" s="300"/>
      <c r="R220" s="246"/>
      <c r="S220" s="261"/>
      <c r="T220" s="250"/>
      <c r="U220" s="246"/>
      <c r="V220" s="300"/>
      <c r="W220" s="246"/>
      <c r="X220" s="300"/>
      <c r="Y220" s="246"/>
      <c r="Z220" s="261"/>
      <c r="AA220" s="250"/>
      <c r="AB220" s="246"/>
      <c r="AC220" s="300"/>
      <c r="AD220" s="246"/>
      <c r="AE220" s="300"/>
      <c r="AF220" s="246"/>
      <c r="AG220" s="261"/>
      <c r="AH220" s="300"/>
      <c r="AI220" s="246"/>
      <c r="AJ220" s="300"/>
      <c r="AK220" s="246"/>
      <c r="AL220" s="300"/>
      <c r="AM220" s="246"/>
      <c r="AN220" s="261"/>
      <c r="AO220" s="250"/>
      <c r="AP220" s="246"/>
      <c r="AQ220" s="300"/>
      <c r="AR220" s="246"/>
      <c r="AS220" s="300"/>
      <c r="AT220" s="254" t="str">
        <f t="shared" si="177"/>
        <v/>
      </c>
      <c r="AU220" s="269"/>
      <c r="AV220" s="269"/>
      <c r="AW220" s="206" t="str">
        <f t="shared" ref="AW220:BC220" si="178">AW48</f>
        <v>#REF!</v>
      </c>
      <c r="AX220" s="206">
        <f t="shared" si="178"/>
        <v>0</v>
      </c>
      <c r="AY220" s="206">
        <f t="shared" si="178"/>
        <v>0</v>
      </c>
      <c r="AZ220" s="464">
        <f t="shared" si="178"/>
        <v>0</v>
      </c>
      <c r="BA220" s="206">
        <f t="shared" si="178"/>
        <v>0</v>
      </c>
      <c r="BB220" s="206">
        <f t="shared" si="178"/>
        <v>0</v>
      </c>
      <c r="BC220" s="465">
        <f t="shared" si="178"/>
        <v>0</v>
      </c>
      <c r="BD220" s="206"/>
      <c r="BE220" s="466"/>
    </row>
    <row r="221">
      <c r="A221" s="94"/>
      <c r="B221" s="301" t="s">
        <v>651</v>
      </c>
      <c r="C221" s="391" t="s">
        <v>652</v>
      </c>
      <c r="D221" s="323"/>
      <c r="E221" s="259"/>
      <c r="F221" s="304"/>
      <c r="G221" s="246"/>
      <c r="H221" s="304"/>
      <c r="I221" s="246"/>
      <c r="J221" s="304"/>
      <c r="K221" s="246"/>
      <c r="L221" s="261"/>
      <c r="M221" s="250"/>
      <c r="N221" s="246"/>
      <c r="O221" s="360" t="s">
        <v>899</v>
      </c>
      <c r="P221" s="246"/>
      <c r="Q221" s="304"/>
      <c r="R221" s="246"/>
      <c r="S221" s="261"/>
      <c r="T221" s="250"/>
      <c r="U221" s="246"/>
      <c r="V221" s="304"/>
      <c r="W221" s="246"/>
      <c r="X221" s="360" t="s">
        <v>899</v>
      </c>
      <c r="Y221" s="246"/>
      <c r="Z221" s="261"/>
      <c r="AA221" s="250"/>
      <c r="AB221" s="246"/>
      <c r="AC221" s="360" t="s">
        <v>899</v>
      </c>
      <c r="AD221" s="246"/>
      <c r="AE221" s="304"/>
      <c r="AF221" s="246"/>
      <c r="AG221" s="261"/>
      <c r="AH221" s="304"/>
      <c r="AI221" s="246"/>
      <c r="AJ221" s="304"/>
      <c r="AK221" s="246"/>
      <c r="AL221" s="304"/>
      <c r="AM221" s="246"/>
      <c r="AN221" s="261"/>
      <c r="AO221" s="250"/>
      <c r="AP221" s="246"/>
      <c r="AQ221" s="304"/>
      <c r="AR221" s="246"/>
      <c r="AS221" s="304"/>
      <c r="AT221" s="254" t="str">
        <f t="shared" si="177"/>
        <v/>
      </c>
      <c r="AU221" s="269"/>
      <c r="AV221" s="269"/>
      <c r="AW221" s="206" t="str">
        <f t="shared" ref="AW221:BC221" si="179">AW49</f>
        <v>#REF!</v>
      </c>
      <c r="AX221" s="206">
        <f t="shared" si="179"/>
        <v>0</v>
      </c>
      <c r="AY221" s="206">
        <f t="shared" si="179"/>
        <v>0</v>
      </c>
      <c r="AZ221" s="464">
        <f t="shared" si="179"/>
        <v>0</v>
      </c>
      <c r="BA221" s="206">
        <f t="shared" si="179"/>
        <v>0</v>
      </c>
      <c r="BB221" s="206">
        <f t="shared" si="179"/>
        <v>0</v>
      </c>
      <c r="BC221" s="465">
        <f t="shared" si="179"/>
        <v>0</v>
      </c>
      <c r="BD221" s="206"/>
      <c r="BE221" s="466"/>
    </row>
    <row r="222">
      <c r="A222" s="94"/>
      <c r="B222" s="392" t="s">
        <v>691</v>
      </c>
      <c r="C222" s="393" t="s">
        <v>652</v>
      </c>
      <c r="D222" s="330"/>
      <c r="E222" s="259"/>
      <c r="F222" s="307"/>
      <c r="G222" s="246"/>
      <c r="H222" s="307"/>
      <c r="I222" s="246"/>
      <c r="J222" s="307"/>
      <c r="K222" s="246"/>
      <c r="L222" s="261"/>
      <c r="M222" s="250"/>
      <c r="N222" s="246"/>
      <c r="O222" s="395" t="s">
        <v>398</v>
      </c>
      <c r="P222" s="246"/>
      <c r="Q222" s="307"/>
      <c r="R222" s="246"/>
      <c r="S222" s="261"/>
      <c r="T222" s="250"/>
      <c r="U222" s="246"/>
      <c r="V222" s="307"/>
      <c r="W222" s="246"/>
      <c r="X222" s="395" t="s">
        <v>398</v>
      </c>
      <c r="Y222" s="246"/>
      <c r="Z222" s="261"/>
      <c r="AA222" s="250"/>
      <c r="AB222" s="246"/>
      <c r="AC222" s="395" t="s">
        <v>398</v>
      </c>
      <c r="AD222" s="246"/>
      <c r="AE222" s="307"/>
      <c r="AF222" s="246"/>
      <c r="AG222" s="261"/>
      <c r="AH222" s="307"/>
      <c r="AI222" s="246"/>
      <c r="AJ222" s="307"/>
      <c r="AK222" s="246"/>
      <c r="AL222" s="307"/>
      <c r="AM222" s="246"/>
      <c r="AN222" s="261"/>
      <c r="AO222" s="250"/>
      <c r="AP222" s="246"/>
      <c r="AR222" s="246"/>
      <c r="AS222" s="307"/>
      <c r="AT222" s="254" t="str">
        <f t="shared" si="177"/>
        <v/>
      </c>
      <c r="AU222" s="269"/>
      <c r="AV222" s="269"/>
      <c r="AW222" s="206" t="str">
        <f t="shared" ref="AW222:BC222" si="180">AW50</f>
        <v>#REF!</v>
      </c>
      <c r="AX222" s="206">
        <f t="shared" si="180"/>
        <v>0</v>
      </c>
      <c r="AY222" s="206">
        <f t="shared" si="180"/>
        <v>0</v>
      </c>
      <c r="AZ222" s="464">
        <f t="shared" si="180"/>
        <v>0</v>
      </c>
      <c r="BA222" s="206">
        <f t="shared" si="180"/>
        <v>0</v>
      </c>
      <c r="BB222" s="206">
        <f t="shared" si="180"/>
        <v>0</v>
      </c>
      <c r="BC222" s="465">
        <f t="shared" si="180"/>
        <v>0</v>
      </c>
      <c r="BD222" s="206"/>
      <c r="BE222" s="466"/>
    </row>
    <row r="223">
      <c r="A223" s="94"/>
      <c r="B223" s="328" t="s">
        <v>692</v>
      </c>
      <c r="C223" s="329" t="s">
        <v>652</v>
      </c>
      <c r="D223" s="369"/>
      <c r="E223" s="259"/>
      <c r="F223" s="371"/>
      <c r="G223" s="246"/>
      <c r="H223" s="371"/>
      <c r="I223" s="246"/>
      <c r="J223" s="282"/>
      <c r="K223" s="246"/>
      <c r="L223" s="261"/>
      <c r="M223" s="250"/>
      <c r="N223" s="246"/>
      <c r="O223" s="371"/>
      <c r="P223" s="246"/>
      <c r="Q223" s="371"/>
      <c r="R223" s="246"/>
      <c r="S223" s="261"/>
      <c r="T223" s="250"/>
      <c r="U223" s="246"/>
      <c r="V223" s="371"/>
      <c r="W223" s="246"/>
      <c r="X223" s="371"/>
      <c r="Y223" s="246"/>
      <c r="Z223" s="261"/>
      <c r="AA223" s="250"/>
      <c r="AB223" s="246"/>
      <c r="AD223" s="246"/>
      <c r="AE223" s="371"/>
      <c r="AF223" s="246"/>
      <c r="AG223" s="261"/>
      <c r="AH223" s="371"/>
      <c r="AI223" s="246"/>
      <c r="AK223" s="246"/>
      <c r="AL223" s="371"/>
      <c r="AM223" s="246"/>
      <c r="AN223" s="261"/>
      <c r="AO223" s="250"/>
      <c r="AP223" s="246"/>
      <c r="AQ223" s="371"/>
      <c r="AR223" s="246"/>
      <c r="AS223" s="282"/>
      <c r="AT223" s="254" t="str">
        <f t="shared" si="177"/>
        <v/>
      </c>
      <c r="AU223" s="269"/>
      <c r="AV223" s="269"/>
      <c r="AW223" s="503" t="str">
        <f t="shared" ref="AW223:BC223" si="181">AW51</f>
        <v>#REF!</v>
      </c>
      <c r="AX223" s="206">
        <f t="shared" si="181"/>
        <v>0</v>
      </c>
      <c r="AY223" s="206">
        <f t="shared" si="181"/>
        <v>0</v>
      </c>
      <c r="AZ223" s="464">
        <f t="shared" si="181"/>
        <v>0</v>
      </c>
      <c r="BA223" s="206">
        <f t="shared" si="181"/>
        <v>0</v>
      </c>
      <c r="BB223" s="206">
        <f t="shared" si="181"/>
        <v>0</v>
      </c>
      <c r="BC223" s="465">
        <f t="shared" si="181"/>
        <v>0</v>
      </c>
      <c r="BD223" s="206"/>
      <c r="BE223" s="466"/>
    </row>
    <row r="224">
      <c r="A224" s="94"/>
      <c r="B224" s="397" t="s">
        <v>692</v>
      </c>
      <c r="C224" s="398" t="s">
        <v>687</v>
      </c>
      <c r="D224" s="389"/>
      <c r="E224" s="259"/>
      <c r="F224" s="399"/>
      <c r="G224" s="246"/>
      <c r="H224" s="399"/>
      <c r="I224" s="246"/>
      <c r="J224" s="399"/>
      <c r="K224" s="246"/>
      <c r="L224" s="261"/>
      <c r="M224" s="250"/>
      <c r="N224" s="246"/>
      <c r="O224" s="282"/>
      <c r="P224" s="246"/>
      <c r="Q224" s="282"/>
      <c r="R224" s="246"/>
      <c r="S224" s="261"/>
      <c r="T224" s="250"/>
      <c r="U224" s="246"/>
      <c r="V224" s="282"/>
      <c r="W224" s="246"/>
      <c r="X224" s="399"/>
      <c r="Y224" s="246"/>
      <c r="Z224" s="261"/>
      <c r="AA224" s="250"/>
      <c r="AB224" s="246"/>
      <c r="AC224" s="399"/>
      <c r="AD224" s="246"/>
      <c r="AE224" s="399"/>
      <c r="AF224" s="246"/>
      <c r="AG224" s="261"/>
      <c r="AI224" s="246"/>
      <c r="AJ224" s="399"/>
      <c r="AK224" s="246"/>
      <c r="AL224" s="399"/>
      <c r="AM224" s="246"/>
      <c r="AN224" s="261"/>
      <c r="AO224" s="250"/>
      <c r="AP224" s="246"/>
      <c r="AQ224" s="399"/>
      <c r="AR224" s="246"/>
      <c r="AS224" s="399"/>
      <c r="AT224" s="254" t="str">
        <f t="shared" si="177"/>
        <v/>
      </c>
      <c r="AU224" s="269"/>
      <c r="AV224" s="269"/>
      <c r="AW224" s="206" t="str">
        <f t="shared" ref="AW224:BC224" si="182">AW52</f>
        <v>#REF!</v>
      </c>
      <c r="AX224" s="206">
        <f t="shared" si="182"/>
        <v>0</v>
      </c>
      <c r="AY224" s="206">
        <f t="shared" si="182"/>
        <v>0</v>
      </c>
      <c r="AZ224" s="464">
        <f t="shared" si="182"/>
        <v>0</v>
      </c>
      <c r="BA224" s="206">
        <f t="shared" si="182"/>
        <v>0</v>
      </c>
      <c r="BB224" s="206">
        <f t="shared" si="182"/>
        <v>0</v>
      </c>
      <c r="BC224" s="465">
        <f t="shared" si="182"/>
        <v>0</v>
      </c>
      <c r="BD224" s="206"/>
      <c r="BE224" s="466"/>
    </row>
    <row r="225">
      <c r="A225" s="94"/>
      <c r="B225" s="387" t="s">
        <v>694</v>
      </c>
      <c r="C225" s="388" t="s">
        <v>649</v>
      </c>
      <c r="D225" s="323"/>
      <c r="E225" s="259"/>
      <c r="F225" s="390"/>
      <c r="G225" s="246"/>
      <c r="H225" s="390"/>
      <c r="I225" s="246"/>
      <c r="J225" s="390"/>
      <c r="K225" s="246"/>
      <c r="L225" s="261"/>
      <c r="M225" s="250"/>
      <c r="N225" s="246"/>
      <c r="O225" s="390"/>
      <c r="P225" s="246"/>
      <c r="Q225" s="357"/>
      <c r="R225" s="246"/>
      <c r="S225" s="261"/>
      <c r="T225" s="250"/>
      <c r="U225" s="246"/>
      <c r="V225" s="390"/>
      <c r="W225" s="246"/>
      <c r="X225" s="357" t="s">
        <v>425</v>
      </c>
      <c r="Y225" s="246"/>
      <c r="Z225" s="261"/>
      <c r="AA225" s="250"/>
      <c r="AB225" s="246"/>
      <c r="AC225" s="390"/>
      <c r="AD225" s="246"/>
      <c r="AE225" s="357" t="s">
        <v>425</v>
      </c>
      <c r="AF225" s="246"/>
      <c r="AG225" s="261"/>
      <c r="AH225" s="390"/>
      <c r="AI225" s="246"/>
      <c r="AJ225" s="390"/>
      <c r="AK225" s="246"/>
      <c r="AL225" s="357" t="s">
        <v>425</v>
      </c>
      <c r="AM225" s="246"/>
      <c r="AN225" s="261"/>
      <c r="AO225" s="250"/>
      <c r="AP225" s="246"/>
      <c r="AQ225" s="390"/>
      <c r="AR225" s="246"/>
      <c r="AS225" s="357" t="s">
        <v>425</v>
      </c>
      <c r="AT225" s="254" t="str">
        <f t="shared" si="177"/>
        <v/>
      </c>
      <c r="AU225" s="269"/>
      <c r="AV225" s="269"/>
      <c r="AW225" s="206" t="str">
        <f t="shared" ref="AW225:BC225" si="183">AW53</f>
        <v>#REF!</v>
      </c>
      <c r="AX225" s="206">
        <f t="shared" si="183"/>
        <v>0</v>
      </c>
      <c r="AY225" s="206">
        <f t="shared" si="183"/>
        <v>0</v>
      </c>
      <c r="AZ225" s="464">
        <f t="shared" si="183"/>
        <v>0</v>
      </c>
      <c r="BA225" s="206">
        <f t="shared" si="183"/>
        <v>0</v>
      </c>
      <c r="BB225" s="206">
        <f t="shared" si="183"/>
        <v>0</v>
      </c>
      <c r="BC225" s="465">
        <f t="shared" si="183"/>
        <v>0</v>
      </c>
      <c r="BD225" s="206"/>
      <c r="BE225" s="466"/>
    </row>
    <row r="226">
      <c r="A226" s="94"/>
      <c r="B226" s="296" t="s">
        <v>650</v>
      </c>
      <c r="C226" s="297" t="s">
        <v>649</v>
      </c>
      <c r="D226" s="323"/>
      <c r="E226" s="261"/>
      <c r="F226" s="300"/>
      <c r="G226" s="298"/>
      <c r="H226" s="300"/>
      <c r="I226" s="298"/>
      <c r="J226" s="300"/>
      <c r="K226" s="298"/>
      <c r="L226" s="261"/>
      <c r="M226" s="250"/>
      <c r="N226" s="298"/>
      <c r="O226" s="300"/>
      <c r="P226" s="298"/>
      <c r="Q226" s="319"/>
      <c r="R226" s="298"/>
      <c r="S226" s="261"/>
      <c r="T226" s="250"/>
      <c r="U226" s="298"/>
      <c r="V226" s="300"/>
      <c r="W226" s="298"/>
      <c r="X226" s="300"/>
      <c r="Y226" s="298"/>
      <c r="Z226" s="261"/>
      <c r="AA226" s="250"/>
      <c r="AB226" s="298"/>
      <c r="AC226" s="300"/>
      <c r="AD226" s="298"/>
      <c r="AE226" s="300"/>
      <c r="AF226" s="298"/>
      <c r="AG226" s="261"/>
      <c r="AH226" s="300"/>
      <c r="AI226" s="298"/>
      <c r="AJ226" s="300"/>
      <c r="AK226" s="298"/>
      <c r="AL226" s="300"/>
      <c r="AM226" s="298"/>
      <c r="AN226" s="261"/>
      <c r="AO226" s="250"/>
      <c r="AP226" s="298"/>
      <c r="AQ226" s="300"/>
      <c r="AR226" s="298"/>
      <c r="AS226" s="300"/>
      <c r="AT226" s="254" t="str">
        <f t="shared" si="177"/>
        <v/>
      </c>
      <c r="AU226" s="269"/>
      <c r="AV226" s="269"/>
      <c r="AW226" s="206" t="str">
        <f t="shared" ref="AW226:BC226" si="184">AW54</f>
        <v>#REF!</v>
      </c>
      <c r="AX226" s="206">
        <f t="shared" si="184"/>
        <v>0</v>
      </c>
      <c r="AY226" s="206">
        <f t="shared" si="184"/>
        <v>0</v>
      </c>
      <c r="AZ226" s="464">
        <f t="shared" si="184"/>
        <v>0</v>
      </c>
      <c r="BA226" s="206">
        <f t="shared" si="184"/>
        <v>0</v>
      </c>
      <c r="BB226" s="206">
        <f t="shared" si="184"/>
        <v>0</v>
      </c>
      <c r="BC226" s="465">
        <f t="shared" si="184"/>
        <v>0</v>
      </c>
      <c r="BD226" s="206"/>
      <c r="BE226" s="466"/>
    </row>
    <row r="227">
      <c r="A227" s="94"/>
      <c r="B227" s="301" t="s">
        <v>651</v>
      </c>
      <c r="C227" s="391" t="s">
        <v>652</v>
      </c>
      <c r="D227" s="323"/>
      <c r="E227" s="259"/>
      <c r="F227" s="304"/>
      <c r="G227" s="298"/>
      <c r="H227" s="304"/>
      <c r="I227" s="298"/>
      <c r="J227" s="304"/>
      <c r="K227" s="298"/>
      <c r="L227" s="261"/>
      <c r="M227" s="250"/>
      <c r="N227" s="298"/>
      <c r="O227" s="304"/>
      <c r="P227" s="298"/>
      <c r="Q227" s="304"/>
      <c r="R227" s="298"/>
      <c r="S227" s="261"/>
      <c r="T227" s="250"/>
      <c r="U227" s="298"/>
      <c r="V227" s="304"/>
      <c r="W227" s="298"/>
      <c r="X227" s="304"/>
      <c r="Y227" s="298"/>
      <c r="Z227" s="261"/>
      <c r="AA227" s="250"/>
      <c r="AB227" s="298"/>
      <c r="AC227" s="304"/>
      <c r="AD227" s="298"/>
      <c r="AE227" s="304"/>
      <c r="AF227" s="298"/>
      <c r="AG227" s="261"/>
      <c r="AH227" s="304"/>
      <c r="AI227" s="298"/>
      <c r="AJ227" s="304"/>
      <c r="AK227" s="298"/>
      <c r="AL227" s="304"/>
      <c r="AM227" s="298"/>
      <c r="AN227" s="261"/>
      <c r="AO227" s="250"/>
      <c r="AP227" s="298"/>
      <c r="AQ227" s="304"/>
      <c r="AR227" s="298"/>
      <c r="AS227" s="304"/>
      <c r="AT227" s="254" t="str">
        <f t="shared" ref="AT227:AT228" si="186">IF(COUNTIF($AO$86:$AT$88, #REF!) &gt; 0, "X", "")</f>
        <v/>
      </c>
      <c r="AU227" s="269"/>
      <c r="AV227" s="269"/>
      <c r="AW227" s="206" t="str">
        <f t="shared" ref="AW227:BC227" si="185">AW55</f>
        <v>#REF!</v>
      </c>
      <c r="AX227" s="206">
        <f t="shared" si="185"/>
        <v>0</v>
      </c>
      <c r="AY227" s="206">
        <f t="shared" si="185"/>
        <v>0</v>
      </c>
      <c r="AZ227" s="464">
        <f t="shared" si="185"/>
        <v>0</v>
      </c>
      <c r="BA227" s="206">
        <f t="shared" si="185"/>
        <v>0</v>
      </c>
      <c r="BB227" s="206">
        <f t="shared" si="185"/>
        <v>0</v>
      </c>
      <c r="BC227" s="465">
        <f t="shared" si="185"/>
        <v>0</v>
      </c>
      <c r="BD227" s="206"/>
      <c r="BE227" s="466"/>
    </row>
    <row r="228">
      <c r="A228" s="94"/>
      <c r="B228" s="392" t="s">
        <v>691</v>
      </c>
      <c r="C228" s="393" t="s">
        <v>652</v>
      </c>
      <c r="D228" s="330"/>
      <c r="E228" s="259"/>
      <c r="F228" s="307"/>
      <c r="G228" s="298"/>
      <c r="H228" s="307"/>
      <c r="I228" s="298"/>
      <c r="J228" s="307"/>
      <c r="K228" s="298"/>
      <c r="L228" s="261"/>
      <c r="M228" s="250"/>
      <c r="N228" s="298"/>
      <c r="O228" s="307"/>
      <c r="P228" s="298"/>
      <c r="Q228" s="307"/>
      <c r="R228" s="298"/>
      <c r="S228" s="261"/>
      <c r="T228" s="250"/>
      <c r="U228" s="298"/>
      <c r="V228" s="307"/>
      <c r="W228" s="298"/>
      <c r="X228" s="395" t="s">
        <v>430</v>
      </c>
      <c r="Y228" s="298"/>
      <c r="Z228" s="261"/>
      <c r="AA228" s="250"/>
      <c r="AB228" s="298"/>
      <c r="AC228" s="307"/>
      <c r="AD228" s="298"/>
      <c r="AE228" s="395" t="s">
        <v>430</v>
      </c>
      <c r="AF228" s="298"/>
      <c r="AG228" s="261"/>
      <c r="AH228" s="307"/>
      <c r="AI228" s="298"/>
      <c r="AJ228" s="307"/>
      <c r="AK228" s="298"/>
      <c r="AL228" s="308" t="s">
        <v>445</v>
      </c>
      <c r="AM228" s="298"/>
      <c r="AN228" s="261"/>
      <c r="AO228" s="250"/>
      <c r="AP228" s="298"/>
      <c r="AQ228" s="307"/>
      <c r="AR228" s="298"/>
      <c r="AS228" s="308" t="s">
        <v>445</v>
      </c>
      <c r="AT228" s="254" t="str">
        <f t="shared" si="186"/>
        <v/>
      </c>
      <c r="AU228" s="269"/>
      <c r="AV228" s="269"/>
      <c r="AW228" s="206" t="str">
        <f t="shared" ref="AW228:BC228" si="187">AW56</f>
        <v>#REF!</v>
      </c>
      <c r="AX228" s="206">
        <f t="shared" si="187"/>
        <v>0</v>
      </c>
      <c r="AY228" s="206">
        <f t="shared" si="187"/>
        <v>0</v>
      </c>
      <c r="AZ228" s="464">
        <f t="shared" si="187"/>
        <v>0</v>
      </c>
      <c r="BA228" s="206">
        <f t="shared" si="187"/>
        <v>0</v>
      </c>
      <c r="BB228" s="206">
        <f t="shared" si="187"/>
        <v>0</v>
      </c>
      <c r="BC228" s="465">
        <f t="shared" si="187"/>
        <v>0</v>
      </c>
      <c r="BD228" s="206"/>
      <c r="BE228" s="466"/>
    </row>
    <row r="229">
      <c r="A229" s="94"/>
      <c r="B229" s="328" t="s">
        <v>692</v>
      </c>
      <c r="C229" s="329" t="s">
        <v>652</v>
      </c>
      <c r="D229" s="369"/>
      <c r="E229" s="259"/>
      <c r="F229" s="371"/>
      <c r="G229" s="246"/>
      <c r="H229" s="371"/>
      <c r="I229" s="246"/>
      <c r="J229" s="371"/>
      <c r="K229" s="246"/>
      <c r="L229" s="261"/>
      <c r="M229" s="250"/>
      <c r="N229" s="246"/>
      <c r="O229" s="371"/>
      <c r="P229" s="246"/>
      <c r="Q229" s="371"/>
      <c r="R229" s="246"/>
      <c r="S229" s="261"/>
      <c r="T229" s="250"/>
      <c r="U229" s="246"/>
      <c r="V229" s="371"/>
      <c r="W229" s="246"/>
      <c r="X229" s="282"/>
      <c r="Y229" s="246"/>
      <c r="Z229" s="261"/>
      <c r="AA229" s="250"/>
      <c r="AB229" s="246"/>
      <c r="AC229" s="282"/>
      <c r="AD229" s="246"/>
      <c r="AE229" s="584"/>
      <c r="AF229" s="246"/>
      <c r="AG229" s="261"/>
      <c r="AH229" s="371"/>
      <c r="AI229" s="246"/>
      <c r="AJ229" s="371"/>
      <c r="AK229" s="246"/>
      <c r="AL229" s="282"/>
      <c r="AM229" s="246"/>
      <c r="AN229" s="261"/>
      <c r="AO229" s="250"/>
      <c r="AP229" s="246"/>
      <c r="AQ229" s="371"/>
      <c r="AR229" s="246"/>
      <c r="AS229" s="282"/>
      <c r="AT229" s="254" t="str">
        <f t="shared" ref="AT229:AT232" si="189">IF(COUNTIF($AO$86:$AT$88, AS230) &gt; 0, "X", "")</f>
        <v/>
      </c>
      <c r="AU229" s="269"/>
      <c r="AV229" s="269"/>
      <c r="AW229" s="206" t="str">
        <f t="shared" ref="AW229:BC229" si="188">AW57</f>
        <v>#REF!</v>
      </c>
      <c r="AX229" s="206">
        <f t="shared" si="188"/>
        <v>0</v>
      </c>
      <c r="AY229" s="206">
        <f t="shared" si="188"/>
        <v>0</v>
      </c>
      <c r="AZ229" s="464">
        <f t="shared" si="188"/>
        <v>0</v>
      </c>
      <c r="BA229" s="206">
        <f t="shared" si="188"/>
        <v>0</v>
      </c>
      <c r="BB229" s="206">
        <f t="shared" si="188"/>
        <v>0</v>
      </c>
      <c r="BC229" s="465">
        <f t="shared" si="188"/>
        <v>0</v>
      </c>
      <c r="BD229" s="206"/>
      <c r="BE229" s="466"/>
    </row>
    <row r="230">
      <c r="A230" s="94"/>
      <c r="B230" s="397" t="s">
        <v>692</v>
      </c>
      <c r="C230" s="398" t="s">
        <v>687</v>
      </c>
      <c r="D230" s="404"/>
      <c r="E230" s="259"/>
      <c r="F230" s="399"/>
      <c r="G230" s="246"/>
      <c r="H230" s="399"/>
      <c r="I230" s="246"/>
      <c r="J230" s="399"/>
      <c r="K230" s="246"/>
      <c r="L230" s="261"/>
      <c r="M230" s="250"/>
      <c r="N230" s="246"/>
      <c r="O230" s="399"/>
      <c r="P230" s="246"/>
      <c r="Q230" s="282"/>
      <c r="R230" s="246"/>
      <c r="S230" s="261"/>
      <c r="T230" s="250"/>
      <c r="U230" s="246"/>
      <c r="V230" s="399"/>
      <c r="W230" s="246"/>
      <c r="X230" s="399"/>
      <c r="Y230" s="246"/>
      <c r="Z230" s="261"/>
      <c r="AA230" s="250"/>
      <c r="AB230" s="246"/>
      <c r="AC230" s="282"/>
      <c r="AD230" s="246"/>
      <c r="AF230" s="246"/>
      <c r="AG230" s="261"/>
      <c r="AH230" s="399"/>
      <c r="AI230" s="246"/>
      <c r="AJ230" s="399"/>
      <c r="AK230" s="246"/>
      <c r="AL230" s="399"/>
      <c r="AM230" s="246"/>
      <c r="AN230" s="261"/>
      <c r="AO230" s="250"/>
      <c r="AP230" s="246"/>
      <c r="AQ230" s="399"/>
      <c r="AR230" s="246"/>
      <c r="AS230" s="399"/>
      <c r="AT230" s="254" t="str">
        <f t="shared" si="189"/>
        <v/>
      </c>
      <c r="AU230" s="269"/>
      <c r="AV230" s="269"/>
      <c r="AW230" s="206" t="str">
        <f t="shared" ref="AW230:BC230" si="190">AW58</f>
        <v>#REF!</v>
      </c>
      <c r="AX230" s="206">
        <f t="shared" si="190"/>
        <v>0</v>
      </c>
      <c r="AY230" s="206">
        <f t="shared" si="190"/>
        <v>0</v>
      </c>
      <c r="AZ230" s="464">
        <f t="shared" si="190"/>
        <v>0</v>
      </c>
      <c r="BA230" s="206">
        <f t="shared" si="190"/>
        <v>0</v>
      </c>
      <c r="BB230" s="206">
        <f t="shared" si="190"/>
        <v>0</v>
      </c>
      <c r="BC230" s="465">
        <f t="shared" si="190"/>
        <v>0</v>
      </c>
      <c r="BD230" s="206"/>
      <c r="BE230" s="466"/>
    </row>
    <row r="231">
      <c r="A231" s="270"/>
      <c r="B231" s="402" t="s">
        <v>699</v>
      </c>
      <c r="C231" s="403" t="s">
        <v>649</v>
      </c>
      <c r="D231" s="330"/>
      <c r="E231" s="259"/>
      <c r="F231" s="294"/>
      <c r="G231" s="246"/>
      <c r="H231" s="294"/>
      <c r="I231" s="246"/>
      <c r="J231" s="294"/>
      <c r="K231" s="246"/>
      <c r="L231" s="261"/>
      <c r="M231" s="250"/>
      <c r="N231" s="246"/>
      <c r="O231" s="294"/>
      <c r="P231" s="246"/>
      <c r="Q231" s="293" t="s">
        <v>422</v>
      </c>
      <c r="R231" s="246"/>
      <c r="S231" s="261"/>
      <c r="T231" s="250"/>
      <c r="U231" s="246"/>
      <c r="V231" s="294"/>
      <c r="W231" s="246"/>
      <c r="X231" s="294"/>
      <c r="Y231" s="246"/>
      <c r="Z231" s="261"/>
      <c r="AA231" s="250"/>
      <c r="AB231" s="246"/>
      <c r="AC231" s="294"/>
      <c r="AD231" s="246"/>
      <c r="AE231" s="353" t="s">
        <v>426</v>
      </c>
      <c r="AF231" s="246"/>
      <c r="AG231" s="261"/>
      <c r="AH231" s="294"/>
      <c r="AI231" s="246"/>
      <c r="AJ231" s="294"/>
      <c r="AK231" s="246"/>
      <c r="AL231" s="294"/>
      <c r="AM231" s="246"/>
      <c r="AN231" s="261"/>
      <c r="AO231" s="250"/>
      <c r="AP231" s="246"/>
      <c r="AQ231" s="294"/>
      <c r="AR231" s="246"/>
      <c r="AS231" s="294"/>
      <c r="AT231" s="254" t="str">
        <f t="shared" si="189"/>
        <v/>
      </c>
      <c r="AU231" s="269"/>
      <c r="AV231" s="269"/>
      <c r="AW231" s="206" t="str">
        <f t="shared" ref="AW231:BC231" si="191">AW59</f>
        <v>#REF!</v>
      </c>
      <c r="AX231" s="206">
        <f t="shared" si="191"/>
        <v>0</v>
      </c>
      <c r="AY231" s="206">
        <f t="shared" si="191"/>
        <v>0</v>
      </c>
      <c r="AZ231" s="464">
        <f t="shared" si="191"/>
        <v>0</v>
      </c>
      <c r="BA231" s="206">
        <f t="shared" si="191"/>
        <v>0</v>
      </c>
      <c r="BB231" s="206">
        <f t="shared" si="191"/>
        <v>0</v>
      </c>
      <c r="BC231" s="465">
        <f t="shared" si="191"/>
        <v>0</v>
      </c>
      <c r="BD231" s="206"/>
      <c r="BE231" s="466"/>
    </row>
    <row r="232">
      <c r="A232" s="94"/>
      <c r="B232" s="328" t="s">
        <v>700</v>
      </c>
      <c r="C232" s="329" t="s">
        <v>657</v>
      </c>
      <c r="D232" s="330"/>
      <c r="E232" s="259"/>
      <c r="F232" s="371"/>
      <c r="G232" s="246"/>
      <c r="H232" s="282"/>
      <c r="I232" s="246"/>
      <c r="J232" s="371"/>
      <c r="K232" s="246"/>
      <c r="L232" s="261"/>
      <c r="M232" s="250"/>
      <c r="N232" s="246"/>
      <c r="O232" s="371"/>
      <c r="P232" s="246"/>
      <c r="Q232" s="274" t="s">
        <v>437</v>
      </c>
      <c r="R232" s="246"/>
      <c r="S232" s="261"/>
      <c r="T232" s="250"/>
      <c r="U232" s="246"/>
      <c r="V232" s="371"/>
      <c r="W232" s="246"/>
      <c r="X232" s="371"/>
      <c r="Y232" s="246"/>
      <c r="Z232" s="261"/>
      <c r="AA232" s="250"/>
      <c r="AB232" s="246"/>
      <c r="AC232" s="371"/>
      <c r="AD232" s="246"/>
      <c r="AE232" s="347" t="s">
        <v>437</v>
      </c>
      <c r="AF232" s="246"/>
      <c r="AG232" s="261"/>
      <c r="AH232" s="371"/>
      <c r="AI232" s="246"/>
      <c r="AK232" s="246"/>
      <c r="AL232" s="371"/>
      <c r="AM232" s="246"/>
      <c r="AN232" s="261"/>
      <c r="AO232" s="250"/>
      <c r="AP232" s="246"/>
      <c r="AQ232" s="282"/>
      <c r="AR232" s="246"/>
      <c r="AS232" s="371"/>
      <c r="AT232" s="254" t="str">
        <f t="shared" si="189"/>
        <v/>
      </c>
      <c r="AU232" s="269"/>
      <c r="AV232" s="269"/>
      <c r="AW232" s="206" t="str">
        <f t="shared" ref="AW232:BC232" si="192">AW60</f>
        <v>#REF!</v>
      </c>
      <c r="AX232" s="206">
        <f t="shared" si="192"/>
        <v>0</v>
      </c>
      <c r="AY232" s="206">
        <f t="shared" si="192"/>
        <v>0</v>
      </c>
      <c r="AZ232" s="464">
        <f t="shared" si="192"/>
        <v>0</v>
      </c>
      <c r="BA232" s="206">
        <f t="shared" si="192"/>
        <v>0</v>
      </c>
      <c r="BB232" s="206">
        <f t="shared" si="192"/>
        <v>0</v>
      </c>
      <c r="BC232" s="465">
        <f t="shared" si="192"/>
        <v>0</v>
      </c>
      <c r="BD232" s="206"/>
      <c r="BE232" s="466"/>
    </row>
    <row r="233">
      <c r="A233" s="94"/>
      <c r="B233" s="328" t="s">
        <v>700</v>
      </c>
      <c r="C233" s="329" t="s">
        <v>657</v>
      </c>
      <c r="D233" s="330"/>
      <c r="E233" s="259"/>
      <c r="F233" s="264"/>
      <c r="G233" s="246"/>
      <c r="H233" s="265"/>
      <c r="I233" s="246"/>
      <c r="J233" s="264"/>
      <c r="K233" s="246"/>
      <c r="L233" s="261"/>
      <c r="M233" s="262"/>
      <c r="N233" s="246"/>
      <c r="O233" s="265"/>
      <c r="P233" s="246"/>
      <c r="Q233" s="405" t="s">
        <v>462</v>
      </c>
      <c r="R233" s="246"/>
      <c r="S233" s="261"/>
      <c r="T233" s="262"/>
      <c r="U233" s="246"/>
      <c r="V233" s="264"/>
      <c r="W233" s="246"/>
      <c r="X233" s="264"/>
      <c r="Y233" s="246"/>
      <c r="Z233" s="261"/>
      <c r="AA233" s="262"/>
      <c r="AB233" s="246"/>
      <c r="AC233" s="264"/>
      <c r="AD233" s="246"/>
      <c r="AE233" s="405" t="s">
        <v>462</v>
      </c>
      <c r="AF233" s="246"/>
      <c r="AG233" s="261"/>
      <c r="AH233" s="264"/>
      <c r="AI233" s="246"/>
      <c r="AK233" s="246"/>
      <c r="AL233" s="264"/>
      <c r="AM233" s="246"/>
      <c r="AN233" s="261"/>
      <c r="AO233" s="262"/>
      <c r="AP233" s="246"/>
      <c r="AQ233" s="264"/>
      <c r="AR233" s="246"/>
      <c r="AS233" s="264"/>
      <c r="AT233" s="254" t="str">
        <f>IF(COUNTIF($AO$86:$AT$88, #REF!) &gt; 0, "X", "")</f>
        <v/>
      </c>
      <c r="AU233" s="269"/>
      <c r="AV233" s="269"/>
      <c r="AW233" s="206" t="str">
        <f t="shared" ref="AW233:BC233" si="193">AW61</f>
        <v>#REF!</v>
      </c>
      <c r="AX233" s="206">
        <f t="shared" si="193"/>
        <v>0</v>
      </c>
      <c r="AY233" s="206">
        <f t="shared" si="193"/>
        <v>0</v>
      </c>
      <c r="AZ233" s="464">
        <f t="shared" si="193"/>
        <v>0</v>
      </c>
      <c r="BA233" s="206">
        <f t="shared" si="193"/>
        <v>0</v>
      </c>
      <c r="BB233" s="206">
        <f t="shared" si="193"/>
        <v>0</v>
      </c>
      <c r="BC233" s="465">
        <f t="shared" si="193"/>
        <v>0</v>
      </c>
      <c r="BD233" s="206"/>
      <c r="BE233" s="466"/>
    </row>
    <row r="234">
      <c r="A234" s="94"/>
      <c r="B234" s="328" t="s">
        <v>700</v>
      </c>
      <c r="C234" s="329" t="s">
        <v>657</v>
      </c>
      <c r="D234" s="351"/>
      <c r="E234" s="259"/>
      <c r="F234" s="282"/>
      <c r="G234" s="246"/>
      <c r="H234" s="282"/>
      <c r="I234" s="246"/>
      <c r="J234" s="282"/>
      <c r="K234" s="246"/>
      <c r="L234" s="261"/>
      <c r="M234" s="250"/>
      <c r="N234" s="246"/>
      <c r="O234" s="282"/>
      <c r="P234" s="246"/>
      <c r="Q234" s="282"/>
      <c r="R234" s="246"/>
      <c r="S234" s="261"/>
      <c r="T234" s="250"/>
      <c r="U234" s="246"/>
      <c r="V234" s="282"/>
      <c r="W234" s="246"/>
      <c r="X234" s="282"/>
      <c r="Y234" s="246"/>
      <c r="Z234" s="261"/>
      <c r="AA234" s="250"/>
      <c r="AB234" s="246"/>
      <c r="AD234" s="246"/>
      <c r="AE234" s="282"/>
      <c r="AF234" s="246"/>
      <c r="AG234" s="261"/>
      <c r="AH234" s="371"/>
      <c r="AI234" s="246"/>
      <c r="AJ234" s="282"/>
      <c r="AK234" s="246"/>
      <c r="AL234" s="399"/>
      <c r="AM234" s="246"/>
      <c r="AN234" s="261"/>
      <c r="AO234" s="250"/>
      <c r="AP234" s="246"/>
      <c r="AQ234" s="371"/>
      <c r="AR234" s="246"/>
      <c r="AS234" s="282"/>
      <c r="AT234" s="254" t="str">
        <f t="shared" ref="AT234:AT235" si="195">IF(COUNTIF($AO$86:$AT$88, AS235) &gt; 0, "X", "")</f>
        <v/>
      </c>
      <c r="AU234" s="269"/>
      <c r="AV234" s="269"/>
      <c r="AW234" s="206" t="str">
        <f t="shared" ref="AW234:BC234" si="194">AW62</f>
        <v>#REF!</v>
      </c>
      <c r="AX234" s="206">
        <f t="shared" si="194"/>
        <v>0</v>
      </c>
      <c r="AY234" s="206">
        <f t="shared" si="194"/>
        <v>0</v>
      </c>
      <c r="AZ234" s="464">
        <f t="shared" si="194"/>
        <v>0</v>
      </c>
      <c r="BA234" s="206">
        <f t="shared" si="194"/>
        <v>0</v>
      </c>
      <c r="BB234" s="206">
        <f t="shared" si="194"/>
        <v>0</v>
      </c>
      <c r="BC234" s="465">
        <f t="shared" si="194"/>
        <v>0</v>
      </c>
      <c r="BD234" s="206"/>
      <c r="BE234" s="466"/>
    </row>
    <row r="235">
      <c r="A235" s="94"/>
      <c r="B235" s="408" t="s">
        <v>702</v>
      </c>
      <c r="C235" s="409" t="s">
        <v>652</v>
      </c>
      <c r="D235" s="323"/>
      <c r="E235" s="259"/>
      <c r="F235" s="411"/>
      <c r="G235" s="246"/>
      <c r="H235" s="411"/>
      <c r="I235" s="246"/>
      <c r="J235" s="411"/>
      <c r="K235" s="246"/>
      <c r="L235" s="261"/>
      <c r="M235" s="262"/>
      <c r="N235" s="246"/>
      <c r="O235" s="411"/>
      <c r="P235" s="246"/>
      <c r="Q235" s="411"/>
      <c r="R235" s="246"/>
      <c r="S235" s="261"/>
      <c r="T235" s="262"/>
      <c r="U235" s="246"/>
      <c r="V235" s="411"/>
      <c r="W235" s="246"/>
      <c r="X235" s="411"/>
      <c r="Y235" s="246"/>
      <c r="Z235" s="261"/>
      <c r="AA235" s="262"/>
      <c r="AB235" s="246"/>
      <c r="AC235" s="411"/>
      <c r="AD235" s="246"/>
      <c r="AE235" s="411"/>
      <c r="AF235" s="246"/>
      <c r="AG235" s="261"/>
      <c r="AH235" s="411"/>
      <c r="AI235" s="246"/>
      <c r="AJ235" s="411"/>
      <c r="AK235" s="246"/>
      <c r="AL235" s="411"/>
      <c r="AM235" s="246"/>
      <c r="AN235" s="261"/>
      <c r="AO235" s="262"/>
      <c r="AP235" s="246"/>
      <c r="AQ235" s="411"/>
      <c r="AR235" s="246"/>
      <c r="AS235" s="411"/>
      <c r="AT235" s="254" t="str">
        <f t="shared" si="195"/>
        <v/>
      </c>
      <c r="AU235" s="269"/>
      <c r="AV235" s="269"/>
      <c r="AW235" s="206" t="str">
        <f t="shared" ref="AW235:BC235" si="196">AW63</f>
        <v>#REF!</v>
      </c>
      <c r="AX235" s="206">
        <f t="shared" si="196"/>
        <v>0</v>
      </c>
      <c r="AY235" s="206">
        <f t="shared" si="196"/>
        <v>0</v>
      </c>
      <c r="AZ235" s="464">
        <f t="shared" si="196"/>
        <v>0</v>
      </c>
      <c r="BA235" s="206">
        <f t="shared" si="196"/>
        <v>0</v>
      </c>
      <c r="BB235" s="206">
        <f t="shared" si="196"/>
        <v>0</v>
      </c>
      <c r="BC235" s="465">
        <f t="shared" si="196"/>
        <v>0</v>
      </c>
      <c r="BD235" s="206"/>
      <c r="BE235" s="466"/>
    </row>
    <row r="236">
      <c r="A236" s="234"/>
      <c r="B236" s="401" t="s">
        <v>703</v>
      </c>
      <c r="C236" s="412" t="s">
        <v>704</v>
      </c>
      <c r="D236" s="330"/>
      <c r="E236" s="259"/>
      <c r="F236" s="413"/>
      <c r="G236" s="246"/>
      <c r="H236" s="413"/>
      <c r="I236" s="246"/>
      <c r="J236" s="413"/>
      <c r="K236" s="246"/>
      <c r="L236" s="261"/>
      <c r="M236" s="262"/>
      <c r="N236" s="246"/>
      <c r="O236" s="413"/>
      <c r="P236" s="246"/>
      <c r="Q236" s="413"/>
      <c r="R236" s="246"/>
      <c r="S236" s="261"/>
      <c r="T236" s="262"/>
      <c r="U236" s="246"/>
      <c r="V236" s="413"/>
      <c r="W236" s="246"/>
      <c r="X236" s="413"/>
      <c r="Y236" s="246"/>
      <c r="Z236" s="261"/>
      <c r="AA236" s="262"/>
      <c r="AB236" s="246"/>
      <c r="AC236" s="413"/>
      <c r="AD236" s="246"/>
      <c r="AE236" s="413"/>
      <c r="AF236" s="246"/>
      <c r="AG236" s="261"/>
      <c r="AH236" s="413"/>
      <c r="AI236" s="246"/>
      <c r="AJ236" s="413"/>
      <c r="AK236" s="246"/>
      <c r="AL236" s="413"/>
      <c r="AM236" s="246"/>
      <c r="AN236" s="261"/>
      <c r="AO236" s="262"/>
      <c r="AP236" s="246"/>
      <c r="AQ236" s="413"/>
      <c r="AR236" s="246"/>
      <c r="AS236" s="413"/>
      <c r="AT236" s="254" t="str">
        <f t="shared" ref="AT236:AT238" si="198">IF(COUNTIF($AO$86:$AT$88, #REF!) &gt; 0, "X", "")</f>
        <v/>
      </c>
      <c r="AU236" s="269"/>
      <c r="AV236" s="269"/>
      <c r="AW236" s="206" t="str">
        <f t="shared" ref="AW236:BC236" si="197">AW64</f>
        <v>#REF!</v>
      </c>
      <c r="AX236" s="206">
        <f t="shared" si="197"/>
        <v>0</v>
      </c>
      <c r="AY236" s="206">
        <f t="shared" si="197"/>
        <v>0</v>
      </c>
      <c r="AZ236" s="464">
        <f t="shared" si="197"/>
        <v>0</v>
      </c>
      <c r="BA236" s="206">
        <f t="shared" si="197"/>
        <v>0</v>
      </c>
      <c r="BB236" s="206">
        <f t="shared" si="197"/>
        <v>0</v>
      </c>
      <c r="BC236" s="465">
        <f t="shared" si="197"/>
        <v>0</v>
      </c>
      <c r="BD236" s="206"/>
      <c r="BE236" s="466"/>
    </row>
    <row r="237">
      <c r="A237" s="234"/>
      <c r="B237" s="414" t="s">
        <v>705</v>
      </c>
      <c r="C237" s="415" t="s">
        <v>704</v>
      </c>
      <c r="D237" s="330"/>
      <c r="E237" s="259"/>
      <c r="G237" s="246"/>
      <c r="H237" s="251" t="s">
        <v>407</v>
      </c>
      <c r="I237" s="246"/>
      <c r="J237" s="586" t="s">
        <v>452</v>
      </c>
      <c r="K237" s="246"/>
      <c r="L237" s="261"/>
      <c r="M237" s="341"/>
      <c r="N237" s="246"/>
      <c r="O237" s="311" t="s">
        <v>394</v>
      </c>
      <c r="P237" s="246"/>
      <c r="Q237" s="311" t="s">
        <v>410</v>
      </c>
      <c r="R237" s="246"/>
      <c r="S237" s="261"/>
      <c r="T237" s="341"/>
      <c r="U237" s="246"/>
      <c r="V237" s="311" t="s">
        <v>438</v>
      </c>
      <c r="W237" s="246"/>
      <c r="X237" s="311" t="s">
        <v>467</v>
      </c>
      <c r="Y237" s="246"/>
      <c r="Z237" s="261"/>
      <c r="AA237" s="311" t="s">
        <v>410</v>
      </c>
      <c r="AB237" s="246"/>
      <c r="AC237" s="311" t="s">
        <v>394</v>
      </c>
      <c r="AD237" s="246"/>
      <c r="AE237" s="311" t="s">
        <v>432</v>
      </c>
      <c r="AF237" s="246"/>
      <c r="AG237" s="261"/>
      <c r="AH237" s="282"/>
      <c r="AI237" s="246"/>
      <c r="AJ237" s="311" t="s">
        <v>394</v>
      </c>
      <c r="AK237" s="246"/>
      <c r="AL237" s="251" t="s">
        <v>405</v>
      </c>
      <c r="AM237" s="246"/>
      <c r="AN237" s="261"/>
      <c r="AO237" s="341"/>
      <c r="AP237" s="246"/>
      <c r="AQ237" s="311" t="s">
        <v>438</v>
      </c>
      <c r="AR237" s="246"/>
      <c r="AS237" s="374" t="s">
        <v>410</v>
      </c>
      <c r="AT237" s="254" t="str">
        <f t="shared" si="198"/>
        <v/>
      </c>
      <c r="AU237" s="269"/>
      <c r="AV237" s="269"/>
      <c r="AW237" s="206" t="str">
        <f t="shared" ref="AW237:BC237" si="199">AW65</f>
        <v>#REF!</v>
      </c>
      <c r="AX237" s="206">
        <f t="shared" si="199"/>
        <v>0</v>
      </c>
      <c r="AY237" s="206">
        <f t="shared" si="199"/>
        <v>0</v>
      </c>
      <c r="AZ237" s="464">
        <f t="shared" si="199"/>
        <v>0</v>
      </c>
      <c r="BA237" s="206">
        <f t="shared" si="199"/>
        <v>0</v>
      </c>
      <c r="BB237" s="206">
        <f t="shared" si="199"/>
        <v>0</v>
      </c>
      <c r="BC237" s="465">
        <f t="shared" si="199"/>
        <v>0</v>
      </c>
      <c r="BD237" s="206"/>
      <c r="BE237" s="466"/>
    </row>
    <row r="238">
      <c r="A238" s="94"/>
      <c r="B238" s="328" t="s">
        <v>705</v>
      </c>
      <c r="C238" s="257" t="s">
        <v>657</v>
      </c>
      <c r="D238" s="330"/>
      <c r="E238" s="259"/>
      <c r="F238" s="311" t="s">
        <v>467</v>
      </c>
      <c r="G238" s="246"/>
      <c r="H238" s="311" t="s">
        <v>438</v>
      </c>
      <c r="I238" s="246"/>
      <c r="J238" s="311" t="s">
        <v>432</v>
      </c>
      <c r="K238" s="246"/>
      <c r="L238" s="261"/>
      <c r="M238" s="341"/>
      <c r="N238" s="246"/>
      <c r="O238" s="311" t="s">
        <v>438</v>
      </c>
      <c r="P238" s="246"/>
      <c r="Q238" s="384" t="s">
        <v>900</v>
      </c>
      <c r="R238" s="246"/>
      <c r="S238" s="261"/>
      <c r="T238" s="341"/>
      <c r="U238" s="246"/>
      <c r="V238" s="667" t="s">
        <v>440</v>
      </c>
      <c r="W238" s="246"/>
      <c r="X238" s="311" t="s">
        <v>410</v>
      </c>
      <c r="Y238" s="246"/>
      <c r="Z238" s="261"/>
      <c r="AA238" s="384" t="s">
        <v>900</v>
      </c>
      <c r="AB238" s="246"/>
      <c r="AC238" s="311" t="s">
        <v>438</v>
      </c>
      <c r="AD238" s="246"/>
      <c r="AE238" s="311" t="s">
        <v>467</v>
      </c>
      <c r="AF238" s="246"/>
      <c r="AG238" s="261"/>
      <c r="AH238" s="586" t="s">
        <v>452</v>
      </c>
      <c r="AI238" s="246"/>
      <c r="AJ238" s="251" t="s">
        <v>407</v>
      </c>
      <c r="AK238" s="246"/>
      <c r="AL238" s="384" t="s">
        <v>900</v>
      </c>
      <c r="AM238" s="246"/>
      <c r="AN238" s="261"/>
      <c r="AO238" s="341"/>
      <c r="AP238" s="246"/>
      <c r="AQ238" s="339" t="s">
        <v>404</v>
      </c>
      <c r="AR238" s="246"/>
      <c r="AS238" s="384" t="s">
        <v>900</v>
      </c>
      <c r="AT238" s="254" t="str">
        <f t="shared" si="198"/>
        <v/>
      </c>
      <c r="AU238" s="269"/>
      <c r="AV238" s="269"/>
      <c r="AW238" s="206" t="str">
        <f t="shared" ref="AW238:BC238" si="200">AW66</f>
        <v>#REF!</v>
      </c>
      <c r="AX238" s="206">
        <f t="shared" si="200"/>
        <v>0</v>
      </c>
      <c r="AY238" s="206">
        <f t="shared" si="200"/>
        <v>0</v>
      </c>
      <c r="AZ238" s="464">
        <f t="shared" si="200"/>
        <v>0</v>
      </c>
      <c r="BA238" s="206">
        <f t="shared" si="200"/>
        <v>0</v>
      </c>
      <c r="BB238" s="206">
        <f t="shared" si="200"/>
        <v>0</v>
      </c>
      <c r="BC238" s="465">
        <f t="shared" si="200"/>
        <v>0</v>
      </c>
      <c r="BD238" s="206"/>
      <c r="BE238" s="466"/>
    </row>
    <row r="239">
      <c r="A239" s="94"/>
      <c r="B239" s="277" t="s">
        <v>705</v>
      </c>
      <c r="C239" s="329" t="s">
        <v>685</v>
      </c>
      <c r="D239" s="369"/>
      <c r="E239" s="259"/>
      <c r="F239" s="311" t="s">
        <v>470</v>
      </c>
      <c r="G239" s="246"/>
      <c r="H239" s="311" t="s">
        <v>440</v>
      </c>
      <c r="I239" s="246"/>
      <c r="J239" s="339" t="s">
        <v>404</v>
      </c>
      <c r="K239" s="246"/>
      <c r="L239" s="261"/>
      <c r="M239" s="341"/>
      <c r="N239" s="246"/>
      <c r="O239" s="251" t="s">
        <v>407</v>
      </c>
      <c r="P239" s="246"/>
      <c r="Q239" s="311" t="s">
        <v>470</v>
      </c>
      <c r="R239" s="246"/>
      <c r="S239" s="261"/>
      <c r="T239" s="341"/>
      <c r="U239" s="246"/>
      <c r="V239" s="311" t="s">
        <v>470</v>
      </c>
      <c r="W239" s="246"/>
      <c r="X239" s="586" t="s">
        <v>452</v>
      </c>
      <c r="Y239" s="246"/>
      <c r="Z239" s="261"/>
      <c r="AA239" s="341"/>
      <c r="AB239" s="246"/>
      <c r="AC239" s="251" t="s">
        <v>407</v>
      </c>
      <c r="AD239" s="246"/>
      <c r="AE239" s="251" t="s">
        <v>405</v>
      </c>
      <c r="AF239" s="246"/>
      <c r="AG239" s="261"/>
      <c r="AH239" s="311" t="s">
        <v>467</v>
      </c>
      <c r="AI239" s="246"/>
      <c r="AJ239" s="311" t="s">
        <v>440</v>
      </c>
      <c r="AK239" s="246"/>
      <c r="AM239" s="246"/>
      <c r="AN239" s="261"/>
      <c r="AO239" s="341"/>
      <c r="AP239" s="246"/>
      <c r="AQ239" s="251" t="s">
        <v>407</v>
      </c>
      <c r="AR239" s="246"/>
      <c r="AS239" s="311" t="s">
        <v>394</v>
      </c>
      <c r="AT239" s="254" t="str">
        <f>IF(COUNTIF($AO$86:$AT$88, AO239) &gt; 0, "X", "")</f>
        <v/>
      </c>
      <c r="AU239" s="269"/>
      <c r="AV239" s="269"/>
      <c r="AW239" s="206" t="str">
        <f t="shared" ref="AW239:BC239" si="201">AW67</f>
        <v>#REF!</v>
      </c>
      <c r="AX239" s="206">
        <f t="shared" si="201"/>
        <v>0</v>
      </c>
      <c r="AY239" s="206">
        <f t="shared" si="201"/>
        <v>0</v>
      </c>
      <c r="AZ239" s="464">
        <f t="shared" si="201"/>
        <v>0</v>
      </c>
      <c r="BA239" s="206">
        <f t="shared" si="201"/>
        <v>0</v>
      </c>
      <c r="BB239" s="206">
        <f t="shared" si="201"/>
        <v>0</v>
      </c>
      <c r="BC239" s="465">
        <f t="shared" si="201"/>
        <v>0</v>
      </c>
      <c r="BD239" s="206"/>
      <c r="BE239" s="466"/>
    </row>
    <row r="240">
      <c r="A240" s="94"/>
      <c r="B240" s="271" t="s">
        <v>705</v>
      </c>
      <c r="C240" s="272" t="s">
        <v>687</v>
      </c>
      <c r="D240" s="330"/>
      <c r="E240" s="259"/>
      <c r="F240" s="282"/>
      <c r="G240" s="246"/>
      <c r="I240" s="246"/>
      <c r="K240" s="246"/>
      <c r="L240" s="261"/>
      <c r="M240" s="341"/>
      <c r="N240" s="246"/>
      <c r="O240" s="339" t="s">
        <v>404</v>
      </c>
      <c r="P240" s="246"/>
      <c r="R240" s="246"/>
      <c r="S240" s="261"/>
      <c r="T240" s="341"/>
      <c r="U240" s="246"/>
      <c r="V240" s="282"/>
      <c r="W240" s="246"/>
      <c r="X240" s="384" t="s">
        <v>900</v>
      </c>
      <c r="Y240" s="246"/>
      <c r="Z240" s="261"/>
      <c r="AA240" s="341"/>
      <c r="AB240" s="246"/>
      <c r="AC240" s="339" t="s">
        <v>404</v>
      </c>
      <c r="AD240" s="246"/>
      <c r="AF240" s="246"/>
      <c r="AG240" s="261"/>
      <c r="AH240" s="282"/>
      <c r="AI240" s="246"/>
      <c r="AJ240" s="339" t="s">
        <v>404</v>
      </c>
      <c r="AK240" s="246"/>
      <c r="AM240" s="246"/>
      <c r="AN240" s="261"/>
      <c r="AO240" s="341"/>
      <c r="AP240" s="246"/>
      <c r="AR240" s="246"/>
      <c r="AS240" s="586" t="s">
        <v>452</v>
      </c>
      <c r="AT240" s="254" t="str">
        <f t="shared" ref="AT240:AT241" si="203">IF(COUNTIF($AO$86:$AT$88, #REF!) &gt; 0, "X", "")</f>
        <v/>
      </c>
      <c r="AU240" s="269"/>
      <c r="AV240" s="269"/>
      <c r="AW240" s="206" t="str">
        <f t="shared" ref="AW240:BC240" si="202">AW68</f>
        <v>#REF!</v>
      </c>
      <c r="AX240" s="206">
        <f t="shared" si="202"/>
        <v>0</v>
      </c>
      <c r="AY240" s="206">
        <f t="shared" si="202"/>
        <v>0</v>
      </c>
      <c r="AZ240" s="464">
        <f t="shared" si="202"/>
        <v>0</v>
      </c>
      <c r="BA240" s="206">
        <f t="shared" si="202"/>
        <v>0</v>
      </c>
      <c r="BB240" s="206">
        <f t="shared" si="202"/>
        <v>0</v>
      </c>
      <c r="BC240" s="465">
        <f t="shared" si="202"/>
        <v>0</v>
      </c>
      <c r="BD240" s="206"/>
      <c r="BE240" s="466"/>
    </row>
    <row r="241">
      <c r="A241" s="270"/>
      <c r="B241" s="397" t="s">
        <v>708</v>
      </c>
      <c r="C241" s="398" t="s">
        <v>654</v>
      </c>
      <c r="D241" s="330"/>
      <c r="E241" s="259"/>
      <c r="F241" s="275"/>
      <c r="G241" s="246"/>
      <c r="H241" s="311" t="s">
        <v>441</v>
      </c>
      <c r="I241" s="246"/>
      <c r="J241" s="374" t="s">
        <v>446</v>
      </c>
      <c r="K241" s="246"/>
      <c r="L241" s="261"/>
      <c r="M241" s="341"/>
      <c r="N241" s="246"/>
      <c r="O241" s="311" t="s">
        <v>441</v>
      </c>
      <c r="P241" s="246"/>
      <c r="Q241" s="374" t="s">
        <v>446</v>
      </c>
      <c r="R241" s="246"/>
      <c r="S241" s="261"/>
      <c r="T241" s="341"/>
      <c r="U241" s="246"/>
      <c r="V241" s="365" t="s">
        <v>469</v>
      </c>
      <c r="W241" s="246"/>
      <c r="Y241" s="246"/>
      <c r="Z241" s="261"/>
      <c r="AA241" s="341"/>
      <c r="AB241" s="246"/>
      <c r="AC241" s="311" t="s">
        <v>441</v>
      </c>
      <c r="AD241" s="246"/>
      <c r="AF241" s="246"/>
      <c r="AG241" s="261"/>
      <c r="AH241" s="275"/>
      <c r="AI241" s="246"/>
      <c r="AJ241" s="311" t="s">
        <v>441</v>
      </c>
      <c r="AK241" s="246"/>
      <c r="AL241" s="374" t="s">
        <v>446</v>
      </c>
      <c r="AM241" s="246"/>
      <c r="AN241" s="261"/>
      <c r="AO241" s="341"/>
      <c r="AP241" s="246"/>
      <c r="AQ241" s="365" t="s">
        <v>469</v>
      </c>
      <c r="AR241" s="246"/>
      <c r="AS241" s="374" t="s">
        <v>446</v>
      </c>
      <c r="AT241" s="254" t="str">
        <f t="shared" si="203"/>
        <v/>
      </c>
      <c r="AU241" s="269"/>
      <c r="AV241" s="269"/>
      <c r="AW241" s="206" t="str">
        <f t="shared" ref="AW241:BC241" si="204">AW69</f>
        <v>#REF!</v>
      </c>
      <c r="AX241" s="206">
        <f t="shared" si="204"/>
        <v>0</v>
      </c>
      <c r="AY241" s="206">
        <f t="shared" si="204"/>
        <v>0</v>
      </c>
      <c r="AZ241" s="464">
        <f t="shared" si="204"/>
        <v>0</v>
      </c>
      <c r="BA241" s="206">
        <f t="shared" si="204"/>
        <v>0</v>
      </c>
      <c r="BB241" s="206">
        <f t="shared" si="204"/>
        <v>0</v>
      </c>
      <c r="BC241" s="465">
        <f t="shared" si="204"/>
        <v>0</v>
      </c>
      <c r="BD241" s="206"/>
      <c r="BE241" s="466"/>
    </row>
    <row r="242">
      <c r="A242" s="94"/>
      <c r="B242" s="277" t="s">
        <v>709</v>
      </c>
      <c r="C242" s="278" t="s">
        <v>710</v>
      </c>
      <c r="D242" s="323"/>
      <c r="E242" s="259"/>
      <c r="F242" s="281"/>
      <c r="G242" s="246"/>
      <c r="H242" s="282"/>
      <c r="I242" s="246"/>
      <c r="J242" s="281"/>
      <c r="K242" s="246"/>
      <c r="L242" s="261"/>
      <c r="M242" s="286"/>
      <c r="N242" s="246"/>
      <c r="O242" s="281"/>
      <c r="P242" s="246"/>
      <c r="Q242" s="311" t="s">
        <v>440</v>
      </c>
      <c r="R242" s="246"/>
      <c r="S242" s="261"/>
      <c r="T242" s="286"/>
      <c r="U242" s="246"/>
      <c r="V242" s="282"/>
      <c r="W242" s="246"/>
      <c r="X242" s="311" t="s">
        <v>441</v>
      </c>
      <c r="Y242" s="246"/>
      <c r="Z242" s="261"/>
      <c r="AA242" s="286"/>
      <c r="AB242" s="246"/>
      <c r="AC242" s="282"/>
      <c r="AD242" s="246"/>
      <c r="AE242" s="374" t="s">
        <v>446</v>
      </c>
      <c r="AF242" s="246"/>
      <c r="AG242" s="261"/>
      <c r="AH242" s="281"/>
      <c r="AI242" s="246"/>
      <c r="AJ242" s="276"/>
      <c r="AK242" s="246"/>
      <c r="AL242" s="282"/>
      <c r="AM242" s="246"/>
      <c r="AN242" s="261"/>
      <c r="AO242" s="286"/>
      <c r="AP242" s="246"/>
      <c r="AQ242" s="281"/>
      <c r="AR242" s="246"/>
      <c r="AT242" s="254" t="str">
        <f>IF(COUNTIF($AO$86:$AT$88, AS243) &gt; 0, "X", "")</f>
        <v/>
      </c>
      <c r="AU242" s="269"/>
      <c r="AV242" s="269"/>
      <c r="AW242" s="206" t="str">
        <f t="shared" ref="AW242:BC242" si="205">AW70</f>
        <v>#REF!</v>
      </c>
      <c r="AX242" s="206">
        <f t="shared" si="205"/>
        <v>0</v>
      </c>
      <c r="AY242" s="206">
        <f t="shared" si="205"/>
        <v>0</v>
      </c>
      <c r="AZ242" s="464">
        <f t="shared" si="205"/>
        <v>0</v>
      </c>
      <c r="BA242" s="206">
        <f t="shared" si="205"/>
        <v>0</v>
      </c>
      <c r="BB242" s="206">
        <f t="shared" si="205"/>
        <v>0</v>
      </c>
      <c r="BC242" s="465">
        <f t="shared" si="205"/>
        <v>0</v>
      </c>
      <c r="BD242" s="206"/>
      <c r="BE242" s="466"/>
    </row>
    <row r="243">
      <c r="A243" s="94"/>
      <c r="B243" s="271" t="s">
        <v>712</v>
      </c>
      <c r="C243" s="272" t="s">
        <v>710</v>
      </c>
      <c r="D243" s="323"/>
      <c r="E243" s="259"/>
      <c r="F243" s="282"/>
      <c r="G243" s="246"/>
      <c r="H243" s="282"/>
      <c r="I243" s="246"/>
      <c r="J243" s="282"/>
      <c r="K243" s="246"/>
      <c r="L243" s="261"/>
      <c r="M243" s="341"/>
      <c r="N243" s="246"/>
      <c r="O243" s="282"/>
      <c r="P243" s="246"/>
      <c r="Q243" s="282"/>
      <c r="R243" s="246"/>
      <c r="S243" s="261"/>
      <c r="T243" s="341"/>
      <c r="U243" s="246"/>
      <c r="V243" s="282"/>
      <c r="W243" s="246"/>
      <c r="X243" s="282"/>
      <c r="Y243" s="246"/>
      <c r="Z243" s="261"/>
      <c r="AA243" s="341"/>
      <c r="AB243" s="246"/>
      <c r="AC243" s="282"/>
      <c r="AD243" s="246"/>
      <c r="AE243" s="282"/>
      <c r="AF243" s="246"/>
      <c r="AG243" s="261"/>
      <c r="AH243" s="282"/>
      <c r="AI243" s="246"/>
      <c r="AJ243" s="282"/>
      <c r="AK243" s="246"/>
      <c r="AL243" s="282"/>
      <c r="AM243" s="246"/>
      <c r="AN243" s="261"/>
      <c r="AO243" s="341"/>
      <c r="AP243" s="246"/>
      <c r="AQ243" s="282"/>
      <c r="AR243" s="246"/>
      <c r="AS243" s="282"/>
      <c r="AT243" s="430"/>
      <c r="AU243" s="269"/>
      <c r="AV243" s="269"/>
      <c r="AW243" s="206" t="str">
        <f t="shared" ref="AW243:BC243" si="206">AW71</f>
        <v>#REF!</v>
      </c>
      <c r="AX243" s="206">
        <f t="shared" si="206"/>
        <v>0</v>
      </c>
      <c r="AY243" s="206">
        <f t="shared" si="206"/>
        <v>0</v>
      </c>
      <c r="AZ243" s="464">
        <f t="shared" si="206"/>
        <v>0</v>
      </c>
      <c r="BA243" s="206">
        <f t="shared" si="206"/>
        <v>0</v>
      </c>
      <c r="BB243" s="206">
        <f t="shared" si="206"/>
        <v>0</v>
      </c>
      <c r="BC243" s="465">
        <f t="shared" si="206"/>
        <v>0</v>
      </c>
      <c r="BD243" s="206"/>
      <c r="BE243" s="466"/>
    </row>
    <row r="244">
      <c r="A244" s="94"/>
      <c r="B244" s="429" t="s">
        <v>714</v>
      </c>
      <c r="C244" s="430"/>
      <c r="D244" s="323"/>
      <c r="E244" s="259"/>
      <c r="F244" s="432"/>
      <c r="G244" s="432"/>
      <c r="H244" s="432"/>
      <c r="I244" s="432"/>
      <c r="J244" s="432"/>
      <c r="K244" s="432"/>
      <c r="L244" s="261"/>
      <c r="M244" s="432"/>
      <c r="N244" s="433"/>
      <c r="O244" s="432"/>
      <c r="P244" s="432"/>
      <c r="Q244" s="432"/>
      <c r="R244" s="432"/>
      <c r="S244" s="261"/>
      <c r="T244" s="432"/>
      <c r="U244" s="433"/>
      <c r="V244" s="432"/>
      <c r="W244" s="432"/>
      <c r="X244" s="432"/>
      <c r="Y244" s="432"/>
      <c r="Z244" s="261"/>
      <c r="AA244" s="432"/>
      <c r="AB244" s="433"/>
      <c r="AC244" s="432"/>
      <c r="AD244" s="432"/>
      <c r="AE244" s="432"/>
      <c r="AF244" s="432"/>
      <c r="AG244" s="261"/>
      <c r="AH244" s="432"/>
      <c r="AI244" s="433"/>
      <c r="AJ244" s="432"/>
      <c r="AK244" s="432"/>
      <c r="AL244" s="432"/>
      <c r="AM244" s="432"/>
      <c r="AN244" s="261"/>
      <c r="AO244" s="432"/>
      <c r="AP244" s="433"/>
      <c r="AQ244" s="432"/>
      <c r="AR244" s="432"/>
      <c r="AS244" s="432"/>
      <c r="AT244" s="254" t="str">
        <f t="shared" ref="AT244:AT249" si="208">IF(COUNTIF($AO$86:$AT$88, AS245) &gt; 0, "X", "")</f>
        <v/>
      </c>
      <c r="AU244" s="269"/>
      <c r="AV244" s="269"/>
      <c r="AW244" s="206" t="str">
        <f t="shared" ref="AW244:BC244" si="207">AW72</f>
        <v>#REF!</v>
      </c>
      <c r="AX244" s="206">
        <f t="shared" si="207"/>
        <v>0</v>
      </c>
      <c r="AY244" s="206">
        <f t="shared" si="207"/>
        <v>0</v>
      </c>
      <c r="AZ244" s="464">
        <f t="shared" si="207"/>
        <v>0</v>
      </c>
      <c r="BA244" s="206">
        <f t="shared" si="207"/>
        <v>0</v>
      </c>
      <c r="BB244" s="206">
        <f t="shared" si="207"/>
        <v>0</v>
      </c>
      <c r="BC244" s="465">
        <f t="shared" si="207"/>
        <v>0</v>
      </c>
      <c r="BD244" s="206"/>
      <c r="BE244" s="466"/>
    </row>
    <row r="245">
      <c r="A245" s="94"/>
      <c r="B245" s="401" t="s">
        <v>715</v>
      </c>
      <c r="C245" s="412" t="s">
        <v>716</v>
      </c>
      <c r="D245" s="323"/>
      <c r="E245" s="259"/>
      <c r="F245" s="434" t="s">
        <v>465</v>
      </c>
      <c r="G245" s="246"/>
      <c r="H245" s="434" t="s">
        <v>403</v>
      </c>
      <c r="I245" s="246"/>
      <c r="J245" s="434"/>
      <c r="K245" s="246"/>
      <c r="L245" s="261"/>
      <c r="M245" s="434" t="s">
        <v>465</v>
      </c>
      <c r="N245" s="246"/>
      <c r="O245" s="434" t="s">
        <v>403</v>
      </c>
      <c r="P245" s="246"/>
      <c r="Q245" s="434"/>
      <c r="R245" s="246"/>
      <c r="S245" s="261"/>
      <c r="T245" s="434" t="s">
        <v>465</v>
      </c>
      <c r="U245" s="246"/>
      <c r="V245" s="434" t="s">
        <v>403</v>
      </c>
      <c r="W245" s="246"/>
      <c r="X245" s="434"/>
      <c r="Y245" s="246"/>
      <c r="Z245" s="261"/>
      <c r="AA245" s="434" t="s">
        <v>465</v>
      </c>
      <c r="AB245" s="246"/>
      <c r="AC245" s="434" t="s">
        <v>403</v>
      </c>
      <c r="AD245" s="246"/>
      <c r="AE245" s="434"/>
      <c r="AF245" s="246"/>
      <c r="AG245" s="261"/>
      <c r="AH245" s="434"/>
      <c r="AI245" s="246"/>
      <c r="AJ245" s="434" t="s">
        <v>465</v>
      </c>
      <c r="AK245" s="246"/>
      <c r="AL245" s="434"/>
      <c r="AM245" s="246"/>
      <c r="AN245" s="261"/>
      <c r="AO245" s="434"/>
      <c r="AP245" s="246"/>
      <c r="AQ245" s="434"/>
      <c r="AR245" s="246"/>
      <c r="AS245" s="434"/>
      <c r="AT245" s="254" t="str">
        <f t="shared" si="208"/>
        <v/>
      </c>
      <c r="AU245" s="269"/>
      <c r="AV245" s="269"/>
      <c r="AW245" s="206" t="str">
        <f t="shared" ref="AW245:BC245" si="209">AW73</f>
        <v>#REF!</v>
      </c>
      <c r="AX245" s="206">
        <f t="shared" si="209"/>
        <v>0</v>
      </c>
      <c r="AY245" s="206">
        <f t="shared" si="209"/>
        <v>0</v>
      </c>
      <c r="AZ245" s="464">
        <f t="shared" si="209"/>
        <v>0</v>
      </c>
      <c r="BA245" s="206">
        <f t="shared" si="209"/>
        <v>0</v>
      </c>
      <c r="BB245" s="206">
        <f t="shared" si="209"/>
        <v>0</v>
      </c>
      <c r="BC245" s="465">
        <f t="shared" si="209"/>
        <v>0</v>
      </c>
      <c r="BD245" s="206"/>
      <c r="BE245" s="466"/>
    </row>
    <row r="246">
      <c r="A246" s="94"/>
      <c r="B246" s="435" t="s">
        <v>717</v>
      </c>
      <c r="C246" s="415" t="s">
        <v>718</v>
      </c>
      <c r="D246" s="363"/>
      <c r="E246" s="259"/>
      <c r="F246" s="434"/>
      <c r="G246" s="246"/>
      <c r="H246" s="406" t="s">
        <v>463</v>
      </c>
      <c r="I246" s="246"/>
      <c r="J246" s="434"/>
      <c r="K246" s="246"/>
      <c r="L246" s="261"/>
      <c r="M246" s="434"/>
      <c r="N246" s="246"/>
      <c r="O246" s="434" t="s">
        <v>442</v>
      </c>
      <c r="P246" s="246"/>
      <c r="Q246" s="434"/>
      <c r="R246" s="246"/>
      <c r="S246" s="261"/>
      <c r="T246" s="434"/>
      <c r="U246" s="246"/>
      <c r="V246" s="434" t="s">
        <v>442</v>
      </c>
      <c r="W246" s="246"/>
      <c r="X246" s="434"/>
      <c r="Y246" s="246"/>
      <c r="Z246" s="261"/>
      <c r="AA246" s="434"/>
      <c r="AB246" s="246"/>
      <c r="AC246" s="434" t="s">
        <v>442</v>
      </c>
      <c r="AD246" s="246"/>
      <c r="AE246" s="434"/>
      <c r="AF246" s="246"/>
      <c r="AG246" s="261"/>
      <c r="AH246" s="434"/>
      <c r="AI246" s="246"/>
      <c r="AJ246" s="434" t="s">
        <v>442</v>
      </c>
      <c r="AK246" s="246"/>
      <c r="AL246" s="434"/>
      <c r="AM246" s="246"/>
      <c r="AN246" s="261"/>
      <c r="AO246" s="434"/>
      <c r="AP246" s="246"/>
      <c r="AQ246" s="434" t="s">
        <v>442</v>
      </c>
      <c r="AR246" s="246"/>
      <c r="AS246" s="434"/>
      <c r="AT246" s="254" t="str">
        <f t="shared" si="208"/>
        <v/>
      </c>
      <c r="AU246" s="269"/>
      <c r="AV246" s="269"/>
      <c r="AW246" s="206" t="str">
        <f t="shared" ref="AW246:BC246" si="210">AW74</f>
        <v>#REF!</v>
      </c>
      <c r="AX246" s="206">
        <f t="shared" si="210"/>
        <v>0</v>
      </c>
      <c r="AY246" s="206">
        <f t="shared" si="210"/>
        <v>0</v>
      </c>
      <c r="AZ246" s="464">
        <f t="shared" si="210"/>
        <v>0</v>
      </c>
      <c r="BA246" s="206">
        <f t="shared" si="210"/>
        <v>0</v>
      </c>
      <c r="BB246" s="206">
        <f t="shared" si="210"/>
        <v>0</v>
      </c>
      <c r="BC246" s="465">
        <f t="shared" si="210"/>
        <v>0</v>
      </c>
      <c r="BD246" s="206"/>
      <c r="BE246" s="466"/>
    </row>
    <row r="247">
      <c r="A247" s="94"/>
      <c r="B247" s="436" t="s">
        <v>719</v>
      </c>
      <c r="C247" s="437" t="s">
        <v>720</v>
      </c>
      <c r="D247" s="330"/>
      <c r="E247" s="259"/>
      <c r="F247" s="406"/>
      <c r="G247" s="246"/>
      <c r="H247" s="406" t="s">
        <v>903</v>
      </c>
      <c r="I247" s="246"/>
      <c r="J247" s="406"/>
      <c r="K247" s="246"/>
      <c r="L247" s="261"/>
      <c r="M247" s="406"/>
      <c r="N247" s="246"/>
      <c r="O247" s="406" t="s">
        <v>463</v>
      </c>
      <c r="P247" s="246"/>
      <c r="Q247" s="406"/>
      <c r="R247" s="246"/>
      <c r="S247" s="261"/>
      <c r="T247" s="406"/>
      <c r="U247" s="246"/>
      <c r="V247" s="406" t="s">
        <v>463</v>
      </c>
      <c r="W247" s="246"/>
      <c r="X247" s="406"/>
      <c r="Y247" s="246"/>
      <c r="Z247" s="261"/>
      <c r="AA247" s="406"/>
      <c r="AB247" s="246"/>
      <c r="AC247" s="434" t="s">
        <v>932</v>
      </c>
      <c r="AD247" s="246"/>
      <c r="AE247" s="406"/>
      <c r="AF247" s="246"/>
      <c r="AG247" s="261"/>
      <c r="AH247" s="406"/>
      <c r="AI247" s="246"/>
      <c r="AJ247" s="434"/>
      <c r="AK247" s="246"/>
      <c r="AL247" s="406"/>
      <c r="AM247" s="246"/>
      <c r="AN247" s="261"/>
      <c r="AO247" s="406"/>
      <c r="AP247" s="246"/>
      <c r="AQ247" s="406" t="s">
        <v>463</v>
      </c>
      <c r="AR247" s="246"/>
      <c r="AS247" s="406"/>
      <c r="AT247" s="254" t="str">
        <f t="shared" si="208"/>
        <v/>
      </c>
      <c r="AU247" s="269"/>
      <c r="AV247" s="269"/>
      <c r="AW247" s="206" t="str">
        <f t="shared" ref="AW247:BC247" si="211">AW75</f>
        <v>#REF!</v>
      </c>
      <c r="AX247" s="206">
        <f t="shared" si="211"/>
        <v>0</v>
      </c>
      <c r="AY247" s="206">
        <f t="shared" si="211"/>
        <v>0</v>
      </c>
      <c r="AZ247" s="464">
        <f t="shared" si="211"/>
        <v>0</v>
      </c>
      <c r="BA247" s="206">
        <f t="shared" si="211"/>
        <v>0</v>
      </c>
      <c r="BB247" s="206">
        <f t="shared" si="211"/>
        <v>0</v>
      </c>
      <c r="BC247" s="465">
        <f t="shared" si="211"/>
        <v>0</v>
      </c>
      <c r="BD247" s="206"/>
      <c r="BE247" s="466"/>
    </row>
    <row r="248">
      <c r="A248" s="94"/>
      <c r="B248" s="439" t="s">
        <v>721</v>
      </c>
      <c r="C248" s="440" t="s">
        <v>722</v>
      </c>
      <c r="D248" s="330"/>
      <c r="E248" s="259"/>
      <c r="F248" s="406"/>
      <c r="G248" s="246"/>
      <c r="H248" s="434" t="s">
        <v>454</v>
      </c>
      <c r="I248" s="246"/>
      <c r="J248" s="406"/>
      <c r="K248" s="246"/>
      <c r="L248" s="261"/>
      <c r="M248" s="406"/>
      <c r="N248" s="246"/>
      <c r="O248" s="434" t="s">
        <v>454</v>
      </c>
      <c r="P248" s="246"/>
      <c r="Q248" s="406"/>
      <c r="R248" s="246"/>
      <c r="S248" s="261"/>
      <c r="T248" s="406"/>
      <c r="U248" s="246"/>
      <c r="V248" s="434" t="s">
        <v>454</v>
      </c>
      <c r="W248" s="246"/>
      <c r="X248" s="406"/>
      <c r="Y248" s="246"/>
      <c r="Z248" s="261"/>
      <c r="AA248" s="406"/>
      <c r="AB248" s="246"/>
      <c r="AC248" s="434" t="s">
        <v>454</v>
      </c>
      <c r="AD248" s="246"/>
      <c r="AE248" s="406"/>
      <c r="AF248" s="246"/>
      <c r="AG248" s="261"/>
      <c r="AH248" s="406"/>
      <c r="AI248" s="246"/>
      <c r="AJ248" s="434" t="s">
        <v>454</v>
      </c>
      <c r="AK248" s="246"/>
      <c r="AL248" s="406"/>
      <c r="AM248" s="246"/>
      <c r="AN248" s="261"/>
      <c r="AO248" s="406"/>
      <c r="AP248" s="246"/>
      <c r="AQ248" s="406"/>
      <c r="AR248" s="246"/>
      <c r="AS248" s="406"/>
      <c r="AT248" s="254" t="str">
        <f t="shared" si="208"/>
        <v/>
      </c>
      <c r="AU248" s="269"/>
      <c r="AV248" s="269"/>
      <c r="AW248" s="206" t="str">
        <f t="shared" ref="AW248:BC248" si="212">AW76</f>
        <v>#REF!</v>
      </c>
      <c r="AX248" s="206">
        <f t="shared" si="212"/>
        <v>0</v>
      </c>
      <c r="AY248" s="206">
        <f t="shared" si="212"/>
        <v>0</v>
      </c>
      <c r="AZ248" s="464">
        <f t="shared" si="212"/>
        <v>0</v>
      </c>
      <c r="BA248" s="206">
        <f t="shared" si="212"/>
        <v>0</v>
      </c>
      <c r="BB248" s="206">
        <f t="shared" si="212"/>
        <v>0</v>
      </c>
      <c r="BC248" s="465">
        <f t="shared" si="212"/>
        <v>0</v>
      </c>
      <c r="BD248" s="206"/>
      <c r="BE248" s="466"/>
    </row>
    <row r="249">
      <c r="A249" s="94"/>
      <c r="B249" s="439" t="s">
        <v>723</v>
      </c>
      <c r="C249" s="440" t="s">
        <v>724</v>
      </c>
      <c r="D249" s="330"/>
      <c r="E249" s="259"/>
      <c r="F249" s="406"/>
      <c r="G249" s="246"/>
      <c r="H249" s="406" t="s">
        <v>460</v>
      </c>
      <c r="I249" s="246"/>
      <c r="J249" s="406"/>
      <c r="K249" s="246"/>
      <c r="L249" s="261"/>
      <c r="M249" s="406"/>
      <c r="N249" s="246"/>
      <c r="O249" s="434" t="s">
        <v>903</v>
      </c>
      <c r="P249" s="246"/>
      <c r="Q249" s="406"/>
      <c r="R249" s="246"/>
      <c r="S249" s="261"/>
      <c r="T249" s="406"/>
      <c r="U249" s="246"/>
      <c r="V249" s="434" t="s">
        <v>903</v>
      </c>
      <c r="W249" s="246"/>
      <c r="X249" s="406"/>
      <c r="Y249" s="246"/>
      <c r="Z249" s="261"/>
      <c r="AA249" s="406"/>
      <c r="AB249" s="246"/>
      <c r="AC249" s="406" t="s">
        <v>460</v>
      </c>
      <c r="AD249" s="246"/>
      <c r="AE249" s="406"/>
      <c r="AF249" s="246"/>
      <c r="AG249" s="261"/>
      <c r="AH249" s="406"/>
      <c r="AI249" s="246"/>
      <c r="AJ249" s="434" t="s">
        <v>845</v>
      </c>
      <c r="AK249" s="246"/>
      <c r="AL249" s="406"/>
      <c r="AM249" s="246"/>
      <c r="AN249" s="261"/>
      <c r="AO249" s="406"/>
      <c r="AP249" s="246"/>
      <c r="AQ249" s="406"/>
      <c r="AR249" s="246"/>
      <c r="AS249" s="406"/>
      <c r="AT249" s="254" t="str">
        <f t="shared" si="208"/>
        <v/>
      </c>
      <c r="AU249" s="269"/>
      <c r="AV249" s="269"/>
      <c r="AW249" s="206" t="str">
        <f t="shared" ref="AW249:BC249" si="213">AW77</f>
        <v>#REF!</v>
      </c>
      <c r="AX249" s="206">
        <f t="shared" si="213"/>
        <v>0</v>
      </c>
      <c r="AY249" s="206">
        <f t="shared" si="213"/>
        <v>0</v>
      </c>
      <c r="AZ249" s="464">
        <f t="shared" si="213"/>
        <v>0</v>
      </c>
      <c r="BA249" s="206">
        <f t="shared" si="213"/>
        <v>0</v>
      </c>
      <c r="BB249" s="206">
        <f t="shared" si="213"/>
        <v>0</v>
      </c>
      <c r="BC249" s="465">
        <f t="shared" si="213"/>
        <v>0</v>
      </c>
      <c r="BD249" s="206"/>
      <c r="BE249" s="466"/>
    </row>
    <row r="250">
      <c r="A250" s="94"/>
      <c r="B250" s="439" t="s">
        <v>725</v>
      </c>
      <c r="C250" s="442" t="s">
        <v>726</v>
      </c>
      <c r="D250" s="330"/>
      <c r="E250" s="259"/>
      <c r="F250" s="441"/>
      <c r="G250" s="246"/>
      <c r="H250" s="406" t="s">
        <v>845</v>
      </c>
      <c r="I250" s="246"/>
      <c r="J250" s="441"/>
      <c r="K250" s="246"/>
      <c r="L250" s="261"/>
      <c r="M250" s="406" t="s">
        <v>847</v>
      </c>
      <c r="N250" s="246"/>
      <c r="O250" s="652" t="s">
        <v>861</v>
      </c>
      <c r="P250" s="246"/>
      <c r="Q250" s="441"/>
      <c r="R250" s="246"/>
      <c r="S250" s="261"/>
      <c r="T250" s="406" t="s">
        <v>845</v>
      </c>
      <c r="U250" s="246"/>
      <c r="V250" s="620" t="s">
        <v>862</v>
      </c>
      <c r="W250" s="246"/>
      <c r="X250" s="441"/>
      <c r="Y250" s="246"/>
      <c r="Z250" s="261"/>
      <c r="AA250" s="441"/>
      <c r="AB250" s="246"/>
      <c r="AC250" s="406" t="s">
        <v>845</v>
      </c>
      <c r="AD250" s="246"/>
      <c r="AE250" s="441"/>
      <c r="AF250" s="246"/>
      <c r="AG250" s="261"/>
      <c r="AH250" s="441"/>
      <c r="AI250" s="246"/>
      <c r="AJ250" s="406" t="s">
        <v>463</v>
      </c>
      <c r="AK250" s="246"/>
      <c r="AL250" s="441"/>
      <c r="AM250" s="246"/>
      <c r="AN250" s="261"/>
      <c r="AO250" s="441"/>
      <c r="AP250" s="246"/>
      <c r="AQ250" s="406" t="s">
        <v>845</v>
      </c>
      <c r="AR250" s="246"/>
      <c r="AS250" s="441"/>
      <c r="AT250" s="254" t="str">
        <f>IF(COUNTIF($AO$86:$AT$88, #REF!) &gt; 0, "X", "")</f>
        <v/>
      </c>
      <c r="AU250" s="269"/>
      <c r="AV250" s="269"/>
      <c r="AW250" s="206" t="str">
        <f t="shared" ref="AW250:BC250" si="214">AW78</f>
        <v>#REF!</v>
      </c>
      <c r="AX250" s="206">
        <f t="shared" si="214"/>
        <v>0</v>
      </c>
      <c r="AY250" s="206">
        <f t="shared" si="214"/>
        <v>0</v>
      </c>
      <c r="AZ250" s="464">
        <f t="shared" si="214"/>
        <v>0</v>
      </c>
      <c r="BA250" s="206">
        <f t="shared" si="214"/>
        <v>0</v>
      </c>
      <c r="BB250" s="206">
        <f t="shared" si="214"/>
        <v>0</v>
      </c>
      <c r="BC250" s="465">
        <f t="shared" si="214"/>
        <v>0</v>
      </c>
      <c r="BD250" s="206"/>
      <c r="BE250" s="466"/>
    </row>
    <row r="251">
      <c r="A251" s="94"/>
      <c r="B251" s="447" t="s">
        <v>729</v>
      </c>
      <c r="C251" s="448" t="s">
        <v>730</v>
      </c>
      <c r="D251" s="330"/>
      <c r="E251" s="259"/>
      <c r="F251" s="441"/>
      <c r="G251" s="246"/>
      <c r="H251" s="441"/>
      <c r="I251" s="246"/>
      <c r="J251" s="441"/>
      <c r="K251" s="246"/>
      <c r="L251" s="261"/>
      <c r="M251" s="441"/>
      <c r="N251" s="246"/>
      <c r="O251" s="441"/>
      <c r="P251" s="246"/>
      <c r="Q251" s="441"/>
      <c r="R251" s="246"/>
      <c r="S251" s="261"/>
      <c r="T251" s="441"/>
      <c r="U251" s="246"/>
      <c r="V251" s="441"/>
      <c r="W251" s="246"/>
      <c r="X251" s="441"/>
      <c r="Y251" s="246"/>
      <c r="Z251" s="261"/>
      <c r="AA251" s="441"/>
      <c r="AB251" s="246"/>
      <c r="AC251" s="441"/>
      <c r="AD251" s="246"/>
      <c r="AE251" s="441"/>
      <c r="AF251" s="246"/>
      <c r="AG251" s="261"/>
      <c r="AH251" s="441"/>
      <c r="AI251" s="246"/>
      <c r="AJ251" s="441"/>
      <c r="AK251" s="246"/>
      <c r="AL251" s="441"/>
      <c r="AM251" s="246"/>
      <c r="AN251" s="261"/>
      <c r="AO251" s="441"/>
      <c r="AP251" s="246"/>
      <c r="AQ251" s="441"/>
      <c r="AR251" s="246"/>
      <c r="AS251" s="441"/>
      <c r="AT251" s="254" t="str">
        <f t="shared" ref="AT251:AT253" si="216">IF(COUNTIF($AO$86:$AT$88, AS251) &gt; 0, "X", "")</f>
        <v/>
      </c>
      <c r="AU251" s="269"/>
      <c r="AV251" s="269"/>
      <c r="AW251" s="206" t="str">
        <f t="shared" ref="AW251:BC251" si="215">AW79</f>
        <v>#REF!</v>
      </c>
      <c r="AX251" s="206">
        <f t="shared" si="215"/>
        <v>0</v>
      </c>
      <c r="AY251" s="206">
        <f t="shared" si="215"/>
        <v>0</v>
      </c>
      <c r="AZ251" s="464">
        <f t="shared" si="215"/>
        <v>0</v>
      </c>
      <c r="BA251" s="206">
        <f t="shared" si="215"/>
        <v>0</v>
      </c>
      <c r="BB251" s="206">
        <f t="shared" si="215"/>
        <v>0</v>
      </c>
      <c r="BC251" s="465">
        <f t="shared" si="215"/>
        <v>0</v>
      </c>
      <c r="BD251" s="206"/>
      <c r="BE251" s="466"/>
    </row>
    <row r="252">
      <c r="A252" s="94"/>
      <c r="B252" s="450" t="s">
        <v>731</v>
      </c>
      <c r="C252" s="451" t="s">
        <v>732</v>
      </c>
      <c r="D252" s="363"/>
      <c r="E252" s="259"/>
      <c r="F252" s="206"/>
      <c r="G252" s="246"/>
      <c r="H252" s="594" t="s">
        <v>847</v>
      </c>
      <c r="I252" s="246"/>
      <c r="J252" s="206"/>
      <c r="K252" s="246"/>
      <c r="L252" s="261"/>
      <c r="M252" s="206"/>
      <c r="N252" s="246"/>
      <c r="O252" s="406" t="s">
        <v>460</v>
      </c>
      <c r="P252" s="246"/>
      <c r="Q252" s="206"/>
      <c r="R252" s="246"/>
      <c r="S252" s="261"/>
      <c r="T252" s="206"/>
      <c r="U252" s="246"/>
      <c r="V252" s="592" t="s">
        <v>769</v>
      </c>
      <c r="W252" s="246"/>
      <c r="X252" s="206"/>
      <c r="Y252" s="246"/>
      <c r="Z252" s="261"/>
      <c r="AA252" s="206"/>
      <c r="AB252" s="246"/>
      <c r="AC252" s="594" t="s">
        <v>847</v>
      </c>
      <c r="AD252" s="246"/>
      <c r="AE252" s="206"/>
      <c r="AF252" s="246"/>
      <c r="AG252" s="261"/>
      <c r="AH252" s="206"/>
      <c r="AI252" s="246"/>
      <c r="AJ252" s="594" t="s">
        <v>847</v>
      </c>
      <c r="AK252" s="246"/>
      <c r="AL252" s="206"/>
      <c r="AM252" s="246"/>
      <c r="AN252" s="261"/>
      <c r="AO252" s="206"/>
      <c r="AP252" s="246"/>
      <c r="AQ252" s="206"/>
      <c r="AR252" s="246"/>
      <c r="AS252" s="206"/>
      <c r="AT252" s="254" t="str">
        <f t="shared" si="216"/>
        <v/>
      </c>
      <c r="AU252" s="269"/>
      <c r="AV252" s="269"/>
      <c r="AW252" s="206" t="str">
        <f t="shared" ref="AW252:BC252" si="217">AW80</f>
        <v>#REF!</v>
      </c>
      <c r="AX252" s="206">
        <f t="shared" si="217"/>
        <v>0</v>
      </c>
      <c r="AY252" s="206">
        <f t="shared" si="217"/>
        <v>0</v>
      </c>
      <c r="AZ252" s="464">
        <f t="shared" si="217"/>
        <v>0</v>
      </c>
      <c r="BA252" s="206">
        <f t="shared" si="217"/>
        <v>0</v>
      </c>
      <c r="BB252" s="206">
        <f t="shared" si="217"/>
        <v>0</v>
      </c>
      <c r="BC252" s="465">
        <f t="shared" si="217"/>
        <v>0</v>
      </c>
      <c r="BD252" s="206"/>
      <c r="BE252" s="466"/>
    </row>
    <row r="253">
      <c r="A253" s="94"/>
      <c r="B253" s="452" t="s">
        <v>733</v>
      </c>
      <c r="C253" s="453" t="s">
        <v>734</v>
      </c>
      <c r="D253" s="363"/>
      <c r="E253" s="259"/>
      <c r="F253" s="74"/>
      <c r="G253" s="246"/>
      <c r="H253" s="594" t="s">
        <v>395</v>
      </c>
      <c r="I253" s="246"/>
      <c r="J253" s="74"/>
      <c r="K253" s="246"/>
      <c r="L253" s="261"/>
      <c r="M253" s="74"/>
      <c r="N253" s="246"/>
      <c r="O253" s="594" t="s">
        <v>395</v>
      </c>
      <c r="P253" s="246"/>
      <c r="Q253" s="74"/>
      <c r="R253" s="246"/>
      <c r="S253" s="261"/>
      <c r="T253" s="74"/>
      <c r="U253" s="246"/>
      <c r="V253" s="594" t="s">
        <v>395</v>
      </c>
      <c r="W253" s="246"/>
      <c r="X253" s="74"/>
      <c r="Y253" s="246"/>
      <c r="Z253" s="261"/>
      <c r="AA253" s="74"/>
      <c r="AB253" s="246"/>
      <c r="AC253" s="594" t="s">
        <v>395</v>
      </c>
      <c r="AD253" s="246"/>
      <c r="AE253" s="74"/>
      <c r="AF253" s="246"/>
      <c r="AG253" s="261"/>
      <c r="AH253" s="74"/>
      <c r="AI253" s="246"/>
      <c r="AJ253" s="594" t="s">
        <v>395</v>
      </c>
      <c r="AK253" s="246"/>
      <c r="AL253" s="74"/>
      <c r="AM253" s="246"/>
      <c r="AN253" s="261"/>
      <c r="AO253" s="74"/>
      <c r="AP253" s="246"/>
      <c r="AQ253" s="594" t="s">
        <v>403</v>
      </c>
      <c r="AR253" s="246"/>
      <c r="AS253" s="74"/>
      <c r="AT253" s="254" t="str">
        <f t="shared" si="216"/>
        <v/>
      </c>
      <c r="AU253" s="269"/>
      <c r="AV253" s="269"/>
      <c r="AW253" s="206" t="str">
        <f t="shared" ref="AW253:BC253" si="218">AW81</f>
        <v>#REF!</v>
      </c>
      <c r="AX253" s="206">
        <f t="shared" si="218"/>
        <v>0</v>
      </c>
      <c r="AY253" s="206">
        <f t="shared" si="218"/>
        <v>0</v>
      </c>
      <c r="AZ253" s="464">
        <f t="shared" si="218"/>
        <v>0</v>
      </c>
      <c r="BA253" s="206">
        <f t="shared" si="218"/>
        <v>0</v>
      </c>
      <c r="BB253" s="206">
        <f t="shared" si="218"/>
        <v>0</v>
      </c>
      <c r="BC253" s="465">
        <f t="shared" si="218"/>
        <v>0</v>
      </c>
      <c r="BD253" s="206"/>
      <c r="BE253" s="466"/>
    </row>
    <row r="254">
      <c r="A254" s="94"/>
      <c r="B254" s="636"/>
      <c r="C254" s="637"/>
      <c r="D254" s="269"/>
      <c r="E254" s="638"/>
      <c r="F254" s="446"/>
      <c r="G254" s="246"/>
      <c r="H254" s="446"/>
      <c r="I254" s="246"/>
      <c r="J254" s="446"/>
      <c r="K254" s="246"/>
      <c r="L254" s="462"/>
      <c r="M254" s="446"/>
      <c r="N254" s="246"/>
      <c r="O254" s="446"/>
      <c r="P254" s="246"/>
      <c r="Q254" s="446"/>
      <c r="R254" s="246"/>
      <c r="S254" s="462"/>
      <c r="T254" s="446"/>
      <c r="U254" s="246"/>
      <c r="V254" s="446"/>
      <c r="W254" s="246"/>
      <c r="X254" s="446"/>
      <c r="Y254" s="246"/>
      <c r="Z254" s="462"/>
      <c r="AA254" s="446"/>
      <c r="AB254" s="246"/>
      <c r="AC254" s="446"/>
      <c r="AD254" s="246"/>
      <c r="AE254" s="446"/>
      <c r="AF254" s="246"/>
      <c r="AG254" s="462"/>
      <c r="AH254" s="446"/>
      <c r="AI254" s="246"/>
      <c r="AJ254" s="446"/>
      <c r="AK254" s="246"/>
      <c r="AL254" s="446"/>
      <c r="AM254" s="246"/>
      <c r="AN254" s="462"/>
      <c r="AO254" s="446"/>
      <c r="AP254" s="246"/>
      <c r="AQ254" s="446"/>
      <c r="AR254" s="246"/>
      <c r="AS254" s="446"/>
      <c r="AT254" s="254"/>
      <c r="AU254" s="269"/>
      <c r="AV254" s="269"/>
      <c r="AW254" s="206" t="str">
        <f t="shared" ref="AW254:BC254" si="219">AW82</f>
        <v>#REF!</v>
      </c>
      <c r="AX254" s="206">
        <f t="shared" si="219"/>
        <v>0</v>
      </c>
      <c r="AY254" s="206">
        <f t="shared" si="219"/>
        <v>0</v>
      </c>
      <c r="AZ254" s="464">
        <f t="shared" si="219"/>
        <v>0</v>
      </c>
      <c r="BA254" s="206">
        <f t="shared" si="219"/>
        <v>0</v>
      </c>
      <c r="BB254" s="206">
        <f t="shared" si="219"/>
        <v>0</v>
      </c>
      <c r="BC254" s="465">
        <f t="shared" si="219"/>
        <v>0</v>
      </c>
      <c r="BD254" s="206"/>
      <c r="BE254" s="466"/>
    </row>
    <row r="255">
      <c r="A255" s="94"/>
      <c r="B255" s="454" t="s">
        <v>735</v>
      </c>
      <c r="C255" s="455" t="s">
        <v>736</v>
      </c>
      <c r="D255" s="363"/>
      <c r="E255" s="259"/>
      <c r="F255" s="441"/>
      <c r="G255" s="246"/>
      <c r="H255" s="441"/>
      <c r="I255" s="246"/>
      <c r="J255" s="405" t="s">
        <v>462</v>
      </c>
      <c r="K255" s="246"/>
      <c r="L255" s="261"/>
      <c r="M255" s="441"/>
      <c r="N255" s="246"/>
      <c r="O255" s="441"/>
      <c r="P255" s="246"/>
      <c r="Q255" s="441"/>
      <c r="R255" s="246"/>
      <c r="S255" s="261"/>
      <c r="T255" s="441"/>
      <c r="U255" s="246"/>
      <c r="V255" s="441"/>
      <c r="W255" s="246"/>
      <c r="X255" s="405" t="s">
        <v>462</v>
      </c>
      <c r="Y255" s="246"/>
      <c r="Z255" s="261"/>
      <c r="AA255" s="441"/>
      <c r="AB255" s="246"/>
      <c r="AC255" s="441"/>
      <c r="AD255" s="246"/>
      <c r="AE255" s="441"/>
      <c r="AF255" s="246"/>
      <c r="AG255" s="261"/>
      <c r="AH255" s="441"/>
      <c r="AI255" s="246"/>
      <c r="AJ255" s="441"/>
      <c r="AK255" s="246"/>
      <c r="AL255" s="405" t="s">
        <v>462</v>
      </c>
      <c r="AM255" s="246"/>
      <c r="AN255" s="261"/>
      <c r="AO255" s="441"/>
      <c r="AP255" s="246"/>
      <c r="AQ255" s="441"/>
      <c r="AR255" s="246"/>
      <c r="AS255" s="441"/>
      <c r="AT255" s="254" t="str">
        <f t="shared" ref="AT255:AT257" si="221">IF(COUNTIF($AO$86:$AT$88, AS255) &gt; 0, "X", "")</f>
        <v/>
      </c>
      <c r="AU255" s="269"/>
      <c r="AV255" s="269"/>
      <c r="AW255" s="206" t="str">
        <f t="shared" ref="AW255:BC255" si="220">AW83</f>
        <v>#REF!</v>
      </c>
      <c r="AX255" s="206">
        <f t="shared" si="220"/>
        <v>0</v>
      </c>
      <c r="AY255" s="206">
        <f t="shared" si="220"/>
        <v>0</v>
      </c>
      <c r="AZ255" s="464">
        <f t="shared" si="220"/>
        <v>0</v>
      </c>
      <c r="BA255" s="206">
        <f t="shared" si="220"/>
        <v>0</v>
      </c>
      <c r="BB255" s="206">
        <f t="shared" si="220"/>
        <v>0</v>
      </c>
      <c r="BC255" s="465">
        <f t="shared" si="220"/>
        <v>0</v>
      </c>
      <c r="BD255" s="206"/>
      <c r="BE255" s="466"/>
    </row>
    <row r="256">
      <c r="A256" s="94"/>
      <c r="B256" s="454" t="s">
        <v>735</v>
      </c>
      <c r="C256" s="442" t="s">
        <v>736</v>
      </c>
      <c r="D256" s="363"/>
      <c r="E256" s="259"/>
      <c r="F256" s="456"/>
      <c r="G256" s="246"/>
      <c r="H256" s="456"/>
      <c r="I256" s="246"/>
      <c r="J256" s="456"/>
      <c r="K256" s="246"/>
      <c r="L256" s="261"/>
      <c r="M256" s="456"/>
      <c r="N256" s="246"/>
      <c r="O256" s="456"/>
      <c r="P256" s="246"/>
      <c r="Q256" s="456"/>
      <c r="R256" s="246"/>
      <c r="S256" s="261"/>
      <c r="T256" s="456"/>
      <c r="U256" s="246"/>
      <c r="V256" s="456"/>
      <c r="W256" s="246"/>
      <c r="X256" s="456"/>
      <c r="Y256" s="246"/>
      <c r="Z256" s="261"/>
      <c r="AA256" s="456"/>
      <c r="AB256" s="246"/>
      <c r="AC256" s="456"/>
      <c r="AD256" s="246"/>
      <c r="AE256" s="456"/>
      <c r="AF256" s="246"/>
      <c r="AG256" s="261"/>
      <c r="AH256" s="456"/>
      <c r="AI256" s="246"/>
      <c r="AJ256" s="456"/>
      <c r="AK256" s="246"/>
      <c r="AL256" s="456"/>
      <c r="AM256" s="246"/>
      <c r="AN256" s="261"/>
      <c r="AO256" s="456"/>
      <c r="AP256" s="246"/>
      <c r="AQ256" s="456"/>
      <c r="AR256" s="246"/>
      <c r="AS256" s="456"/>
      <c r="AT256" s="254" t="str">
        <f t="shared" si="221"/>
        <v/>
      </c>
      <c r="AU256" s="269"/>
      <c r="AV256" s="269"/>
      <c r="AW256" s="206" t="str">
        <f t="shared" ref="AW256:BC256" si="222">AW84</f>
        <v>#REF!</v>
      </c>
      <c r="AX256" s="206">
        <f t="shared" si="222"/>
        <v>0</v>
      </c>
      <c r="AY256" s="206">
        <f t="shared" si="222"/>
        <v>0</v>
      </c>
      <c r="AZ256" s="464">
        <f t="shared" si="222"/>
        <v>0</v>
      </c>
      <c r="BA256" s="206">
        <f t="shared" si="222"/>
        <v>0</v>
      </c>
      <c r="BB256" s="206">
        <f t="shared" si="222"/>
        <v>0</v>
      </c>
      <c r="BC256" s="465">
        <f t="shared" si="222"/>
        <v>0</v>
      </c>
      <c r="BD256" s="206"/>
      <c r="BE256" s="466"/>
    </row>
    <row r="257">
      <c r="A257" s="94"/>
      <c r="B257" s="457" t="s">
        <v>735</v>
      </c>
      <c r="C257" s="458" t="s">
        <v>737</v>
      </c>
      <c r="D257" s="363"/>
      <c r="E257" s="259"/>
      <c r="F257" s="406"/>
      <c r="G257" s="246"/>
      <c r="H257" s="406"/>
      <c r="I257" s="246"/>
      <c r="J257" s="406"/>
      <c r="K257" s="246"/>
      <c r="L257" s="261"/>
      <c r="M257" s="406"/>
      <c r="N257" s="246"/>
      <c r="O257" s="406"/>
      <c r="P257" s="246"/>
      <c r="Q257" s="406"/>
      <c r="R257" s="246"/>
      <c r="S257" s="261"/>
      <c r="T257" s="406"/>
      <c r="U257" s="246"/>
      <c r="V257" s="406"/>
      <c r="W257" s="246"/>
      <c r="X257" s="406"/>
      <c r="Y257" s="246"/>
      <c r="Z257" s="261"/>
      <c r="AA257" s="406"/>
      <c r="AB257" s="246"/>
      <c r="AC257" s="406"/>
      <c r="AD257" s="246"/>
      <c r="AE257" s="406"/>
      <c r="AF257" s="246"/>
      <c r="AG257" s="261"/>
      <c r="AH257" s="406"/>
      <c r="AI257" s="246"/>
      <c r="AJ257" s="406"/>
      <c r="AK257" s="246"/>
      <c r="AL257" s="406"/>
      <c r="AM257" s="246"/>
      <c r="AN257" s="261"/>
      <c r="AO257" s="406"/>
      <c r="AP257" s="246"/>
      <c r="AQ257" s="406"/>
      <c r="AR257" s="246"/>
      <c r="AS257" s="406"/>
      <c r="AT257" s="254" t="str">
        <f t="shared" si="221"/>
        <v/>
      </c>
      <c r="AU257" s="269"/>
      <c r="AV257" s="269"/>
      <c r="AW257" s="206" t="str">
        <f t="shared" ref="AW257:BC257" si="223">AW85</f>
        <v>#REF!</v>
      </c>
      <c r="AX257" s="206">
        <f t="shared" si="223"/>
        <v>0</v>
      </c>
      <c r="AY257" s="206">
        <f t="shared" si="223"/>
        <v>0</v>
      </c>
      <c r="AZ257" s="464">
        <f t="shared" si="223"/>
        <v>0</v>
      </c>
      <c r="BA257" s="206">
        <f t="shared" si="223"/>
        <v>0</v>
      </c>
      <c r="BB257" s="206">
        <f t="shared" si="223"/>
        <v>0</v>
      </c>
      <c r="BC257" s="465">
        <f t="shared" si="223"/>
        <v>0</v>
      </c>
      <c r="BD257" s="206"/>
      <c r="BE257" s="466"/>
    </row>
    <row r="258">
      <c r="A258" s="94"/>
      <c r="B258" s="459"/>
      <c r="C258" s="460" t="s">
        <v>738</v>
      </c>
      <c r="D258" s="363"/>
      <c r="E258" s="259"/>
      <c r="F258" s="461" t="s">
        <v>933</v>
      </c>
      <c r="G258" s="246"/>
      <c r="H258" s="132"/>
      <c r="I258" s="246"/>
      <c r="J258" s="132"/>
      <c r="K258" s="246"/>
      <c r="L258" s="462"/>
      <c r="M258" s="461" t="s">
        <v>934</v>
      </c>
      <c r="N258" s="246"/>
      <c r="O258" s="132"/>
      <c r="P258" s="246"/>
      <c r="Q258" s="132"/>
      <c r="R258" s="246"/>
      <c r="S258" s="462"/>
      <c r="T258" s="461" t="s">
        <v>935</v>
      </c>
      <c r="U258" s="246"/>
      <c r="V258" s="132"/>
      <c r="W258" s="246"/>
      <c r="X258" s="132"/>
      <c r="Y258" s="246"/>
      <c r="Z258" s="462"/>
      <c r="AA258" s="461" t="s">
        <v>936</v>
      </c>
      <c r="AB258" s="246"/>
      <c r="AC258" s="132"/>
      <c r="AD258" s="246"/>
      <c r="AE258" s="132"/>
      <c r="AF258" s="246"/>
      <c r="AG258" s="462"/>
      <c r="AH258" s="461" t="s">
        <v>937</v>
      </c>
      <c r="AI258" s="246"/>
      <c r="AJ258" s="132"/>
      <c r="AK258" s="246"/>
      <c r="AL258" s="132"/>
      <c r="AM258" s="246"/>
      <c r="AN258" s="462"/>
      <c r="AO258" s="461" t="s">
        <v>938</v>
      </c>
      <c r="AP258" s="246"/>
      <c r="AQ258" s="132"/>
      <c r="AR258" s="246"/>
      <c r="AS258" s="132"/>
      <c r="AT258" s="460"/>
      <c r="AU258" s="269"/>
      <c r="AV258" s="269"/>
      <c r="AW258" s="206" t="str">
        <f t="shared" ref="AW258:BC258" si="224">AW86</f>
        <v>#REF!</v>
      </c>
      <c r="AX258" s="206">
        <f t="shared" si="224"/>
        <v>0</v>
      </c>
      <c r="AY258" s="206">
        <f t="shared" si="224"/>
        <v>0</v>
      </c>
      <c r="AZ258" s="464">
        <f t="shared" si="224"/>
        <v>0</v>
      </c>
      <c r="BA258" s="206">
        <f t="shared" si="224"/>
        <v>0</v>
      </c>
      <c r="BB258" s="206">
        <f t="shared" si="224"/>
        <v>0</v>
      </c>
      <c r="BC258" s="465">
        <f t="shared" si="224"/>
        <v>0</v>
      </c>
      <c r="BD258" s="206"/>
      <c r="BE258" s="466"/>
    </row>
    <row r="259">
      <c r="A259" s="270"/>
      <c r="B259" s="459"/>
      <c r="C259" s="460" t="s">
        <v>738</v>
      </c>
      <c r="D259" s="363"/>
      <c r="E259" s="259"/>
      <c r="F259" s="132"/>
      <c r="G259" s="246"/>
      <c r="H259" s="132"/>
      <c r="I259" s="246"/>
      <c r="J259" s="132"/>
      <c r="K259" s="246"/>
      <c r="L259" s="462"/>
      <c r="M259" s="132"/>
      <c r="N259" s="246"/>
      <c r="O259" s="132"/>
      <c r="P259" s="246"/>
      <c r="Q259" s="132"/>
      <c r="R259" s="246"/>
      <c r="S259" s="462"/>
      <c r="T259" s="132"/>
      <c r="U259" s="246"/>
      <c r="V259" s="132"/>
      <c r="W259" s="246"/>
      <c r="X259" s="132"/>
      <c r="Y259" s="246"/>
      <c r="Z259" s="462"/>
      <c r="AA259" s="132"/>
      <c r="AB259" s="246"/>
      <c r="AC259" s="132"/>
      <c r="AD259" s="246"/>
      <c r="AE259" s="132"/>
      <c r="AF259" s="246"/>
      <c r="AG259" s="462"/>
      <c r="AH259" s="132"/>
      <c r="AI259" s="246"/>
      <c r="AJ259" s="132"/>
      <c r="AK259" s="246"/>
      <c r="AL259" s="132"/>
      <c r="AM259" s="246"/>
      <c r="AN259" s="462"/>
      <c r="AO259" s="132"/>
      <c r="AP259" s="246"/>
      <c r="AQ259" s="132"/>
      <c r="AR259" s="246"/>
      <c r="AS259" s="132"/>
      <c r="AT259" s="460"/>
      <c r="AU259" s="236"/>
      <c r="AV259" s="236"/>
      <c r="AW259" s="206" t="str">
        <f t="shared" ref="AW259:BC259" si="225">AW87</f>
        <v>#REF!</v>
      </c>
      <c r="AX259" s="206">
        <f t="shared" si="225"/>
        <v>0</v>
      </c>
      <c r="AY259" s="206">
        <f t="shared" si="225"/>
        <v>0</v>
      </c>
      <c r="AZ259" s="464">
        <f t="shared" si="225"/>
        <v>0</v>
      </c>
      <c r="BA259" s="206">
        <f t="shared" si="225"/>
        <v>0</v>
      </c>
      <c r="BB259" s="206">
        <f t="shared" si="225"/>
        <v>0</v>
      </c>
      <c r="BC259" s="465">
        <f t="shared" si="225"/>
        <v>0</v>
      </c>
      <c r="BD259" s="206"/>
      <c r="BE259" s="466"/>
    </row>
    <row r="260">
      <c r="A260" s="236"/>
      <c r="B260" s="459"/>
      <c r="C260" s="460" t="s">
        <v>738</v>
      </c>
      <c r="D260" s="363"/>
      <c r="E260" s="259"/>
      <c r="F260" s="461"/>
      <c r="G260" s="246"/>
      <c r="H260" s="132"/>
      <c r="I260" s="246"/>
      <c r="J260" s="132"/>
      <c r="K260" s="246"/>
      <c r="L260" s="462"/>
      <c r="M260" s="132"/>
      <c r="N260" s="246"/>
      <c r="O260" s="132"/>
      <c r="P260" s="246"/>
      <c r="Q260" s="132"/>
      <c r="R260" s="246"/>
      <c r="S260" s="462"/>
      <c r="T260" s="132"/>
      <c r="U260" s="246"/>
      <c r="V260" s="132"/>
      <c r="W260" s="246"/>
      <c r="X260" s="132"/>
      <c r="Y260" s="246"/>
      <c r="Z260" s="462"/>
      <c r="AA260" s="132"/>
      <c r="AB260" s="246"/>
      <c r="AC260" s="132"/>
      <c r="AD260" s="246"/>
      <c r="AE260" s="132"/>
      <c r="AF260" s="246"/>
      <c r="AG260" s="462"/>
      <c r="AH260" s="132"/>
      <c r="AI260" s="246"/>
      <c r="AJ260" s="132"/>
      <c r="AK260" s="246"/>
      <c r="AL260" s="132"/>
      <c r="AM260" s="246"/>
      <c r="AN260" s="462"/>
      <c r="AO260" s="132"/>
      <c r="AP260" s="246"/>
      <c r="AQ260" s="132"/>
      <c r="AR260" s="246"/>
      <c r="AS260" s="132"/>
      <c r="AT260" s="460"/>
      <c r="AU260" s="236"/>
      <c r="AV260" s="236"/>
      <c r="AW260" s="206" t="str">
        <f t="shared" ref="AW260:BC260" si="226">AW89</f>
        <v/>
      </c>
      <c r="AX260" s="206" t="str">
        <f t="shared" si="226"/>
        <v/>
      </c>
      <c r="AY260" s="206" t="str">
        <f t="shared" si="226"/>
        <v/>
      </c>
      <c r="AZ260" s="464" t="str">
        <f t="shared" si="226"/>
        <v/>
      </c>
      <c r="BA260" s="206" t="str">
        <f t="shared" si="226"/>
        <v/>
      </c>
      <c r="BB260" s="206" t="str">
        <f t="shared" si="226"/>
        <v/>
      </c>
      <c r="BC260" s="465" t="str">
        <f t="shared" si="226"/>
        <v/>
      </c>
      <c r="BD260" s="206"/>
      <c r="BE260" s="466"/>
    </row>
    <row r="261">
      <c r="A261" s="182"/>
      <c r="B261" s="183" t="s">
        <v>791</v>
      </c>
      <c r="C261" s="184" t="s">
        <v>605</v>
      </c>
      <c r="D261" s="185" t="s">
        <v>486</v>
      </c>
      <c r="E261" s="186"/>
      <c r="F261" s="185" t="s">
        <v>487</v>
      </c>
      <c r="M261" s="185" t="s">
        <v>488</v>
      </c>
      <c r="T261" s="185" t="s">
        <v>489</v>
      </c>
      <c r="AA261" s="185" t="s">
        <v>490</v>
      </c>
      <c r="AH261" s="185" t="s">
        <v>491</v>
      </c>
      <c r="AO261" s="185" t="s">
        <v>492</v>
      </c>
      <c r="AU261" s="182"/>
      <c r="AV261" s="182"/>
      <c r="AW261" s="182"/>
      <c r="AX261" s="182"/>
      <c r="AY261" s="182"/>
      <c r="AZ261" s="182"/>
      <c r="BA261" s="182"/>
      <c r="BB261" s="182"/>
      <c r="BC261" s="182"/>
      <c r="BD261" s="182"/>
      <c r="BE261" s="182"/>
    </row>
    <row r="262">
      <c r="A262" s="182"/>
      <c r="B262" s="187"/>
      <c r="C262" s="187"/>
      <c r="D262" s="188">
        <f>AO176+1</f>
        <v>22</v>
      </c>
      <c r="E262" s="189"/>
      <c r="F262" s="188">
        <f>D262+1</f>
        <v>23</v>
      </c>
      <c r="M262" s="188">
        <f>F262+1</f>
        <v>24</v>
      </c>
      <c r="T262" s="188">
        <f>M262+1</f>
        <v>25</v>
      </c>
      <c r="AA262" s="188">
        <f>T262+1</f>
        <v>26</v>
      </c>
      <c r="AH262" s="188">
        <f>AA262+1</f>
        <v>27</v>
      </c>
      <c r="AO262" s="188">
        <f>AH262+1</f>
        <v>28</v>
      </c>
      <c r="AU262" s="182"/>
      <c r="AV262" s="182"/>
      <c r="AW262" s="190" t="s">
        <v>606</v>
      </c>
      <c r="BB262" s="190"/>
      <c r="BC262" s="191" t="s">
        <v>607</v>
      </c>
      <c r="BD262" s="191"/>
      <c r="BE262" s="192"/>
    </row>
    <row r="263">
      <c r="A263" s="182"/>
      <c r="B263" s="193" t="s">
        <v>608</v>
      </c>
      <c r="C263" s="193" t="s">
        <v>609</v>
      </c>
      <c r="D263" s="187"/>
      <c r="E263" s="189"/>
      <c r="F263" s="194" t="s">
        <v>610</v>
      </c>
      <c r="G263" s="195"/>
      <c r="H263" s="193" t="s">
        <v>611</v>
      </c>
      <c r="J263" s="194" t="s">
        <v>612</v>
      </c>
      <c r="M263" s="194" t="s">
        <v>610</v>
      </c>
      <c r="N263" s="195"/>
      <c r="O263" s="193" t="s">
        <v>611</v>
      </c>
      <c r="P263" s="195"/>
      <c r="Q263" s="194" t="s">
        <v>612</v>
      </c>
      <c r="S263" s="193"/>
      <c r="T263" s="194" t="s">
        <v>610</v>
      </c>
      <c r="U263" s="195"/>
      <c r="V263" s="193" t="s">
        <v>611</v>
      </c>
      <c r="W263" s="195"/>
      <c r="X263" s="194" t="s">
        <v>612</v>
      </c>
      <c r="Z263" s="193"/>
      <c r="AA263" s="194" t="s">
        <v>610</v>
      </c>
      <c r="AB263" s="195"/>
      <c r="AC263" s="193" t="s">
        <v>611</v>
      </c>
      <c r="AD263" s="195"/>
      <c r="AE263" s="194" t="s">
        <v>612</v>
      </c>
      <c r="AG263" s="193"/>
      <c r="AH263" s="194" t="s">
        <v>610</v>
      </c>
      <c r="AI263" s="195"/>
      <c r="AJ263" s="193" t="s">
        <v>611</v>
      </c>
      <c r="AK263" s="195"/>
      <c r="AL263" s="194" t="s">
        <v>612</v>
      </c>
      <c r="AN263" s="193"/>
      <c r="AO263" s="194" t="s">
        <v>610</v>
      </c>
      <c r="AP263" s="195"/>
      <c r="AQ263" s="193" t="s">
        <v>611</v>
      </c>
      <c r="AR263" s="195"/>
      <c r="AS263" s="194" t="s">
        <v>612</v>
      </c>
      <c r="AU263" s="182"/>
      <c r="AV263" s="182"/>
      <c r="AW263" s="196" t="s">
        <v>613</v>
      </c>
      <c r="AX263" s="197" t="s">
        <v>614</v>
      </c>
      <c r="AY263" s="197" t="s">
        <v>615</v>
      </c>
      <c r="AZ263" s="197" t="s">
        <v>616</v>
      </c>
      <c r="BA263" s="197" t="s">
        <v>617</v>
      </c>
      <c r="BB263" s="197" t="s">
        <v>618</v>
      </c>
      <c r="BC263" s="197" t="s">
        <v>619</v>
      </c>
      <c r="BD263" s="197"/>
      <c r="BE263" s="198"/>
    </row>
    <row r="264">
      <c r="A264" s="199"/>
      <c r="B264" s="200" t="s">
        <v>620</v>
      </c>
      <c r="C264" s="201"/>
      <c r="D264" s="201"/>
      <c r="E264" s="202"/>
      <c r="F264" s="203"/>
      <c r="G264" s="204"/>
      <c r="H264" s="203"/>
      <c r="I264" s="204"/>
      <c r="J264" s="203" t="s">
        <v>749</v>
      </c>
      <c r="K264" s="204"/>
      <c r="L264" s="205"/>
      <c r="M264" s="203"/>
      <c r="N264" s="204"/>
      <c r="O264" s="203"/>
      <c r="P264" s="204"/>
      <c r="Q264" s="203"/>
      <c r="R264" s="204"/>
      <c r="S264" s="205"/>
      <c r="T264" s="203"/>
      <c r="U264" s="204"/>
      <c r="V264" s="203"/>
      <c r="W264" s="204"/>
      <c r="X264" s="203"/>
      <c r="Y264" s="204"/>
      <c r="Z264" s="205"/>
      <c r="AA264" s="560"/>
      <c r="AB264" s="204"/>
      <c r="AC264" s="560"/>
      <c r="AD264" s="204"/>
      <c r="AE264" s="203"/>
      <c r="AF264" s="204"/>
      <c r="AG264" s="205"/>
      <c r="AH264" s="203"/>
      <c r="AI264" s="204"/>
      <c r="AJ264" s="203"/>
      <c r="AK264" s="204"/>
      <c r="AL264" s="203"/>
      <c r="AM264" s="204"/>
      <c r="AN264" s="205"/>
      <c r="AO264" s="203"/>
      <c r="AP264" s="204"/>
      <c r="AQ264" s="203"/>
      <c r="AR264" s="204"/>
      <c r="AS264" s="203"/>
      <c r="AT264" s="204"/>
      <c r="AU264" s="199"/>
      <c r="AV264" s="199"/>
      <c r="AW264" s="206" t="str">
        <f t="shared" ref="AW264:BB264" si="227">AW6</f>
        <v>#REF!</v>
      </c>
      <c r="AX264" s="206">
        <f t="shared" si="227"/>
        <v>0</v>
      </c>
      <c r="AY264" s="206">
        <f t="shared" si="227"/>
        <v>0</v>
      </c>
      <c r="AZ264" s="206">
        <f t="shared" si="227"/>
        <v>0</v>
      </c>
      <c r="BA264" s="464">
        <f t="shared" si="227"/>
        <v>0</v>
      </c>
      <c r="BB264" s="206">
        <f t="shared" si="227"/>
        <v>0</v>
      </c>
      <c r="BC264" s="465">
        <f t="shared" ref="BC264:BC346" si="229">BC179</f>
        <v>0</v>
      </c>
      <c r="BD264" s="206"/>
      <c r="BE264" s="466"/>
    </row>
    <row r="265">
      <c r="A265" s="199"/>
      <c r="B265" s="213" t="s">
        <v>623</v>
      </c>
      <c r="C265" s="214"/>
      <c r="D265" s="215"/>
      <c r="E265" s="216"/>
      <c r="F265" s="561" t="s">
        <v>627</v>
      </c>
      <c r="G265" s="218"/>
      <c r="H265" s="223" t="s">
        <v>628</v>
      </c>
      <c r="I265" s="220"/>
      <c r="J265" s="561" t="s">
        <v>626</v>
      </c>
      <c r="K265" s="221"/>
      <c r="L265" s="216"/>
      <c r="M265" s="217"/>
      <c r="N265" s="218"/>
      <c r="O265" s="222" t="s">
        <v>625</v>
      </c>
      <c r="P265" s="220"/>
      <c r="Q265" s="561" t="s">
        <v>626</v>
      </c>
      <c r="R265" s="221"/>
      <c r="S265" s="216"/>
      <c r="T265" s="217"/>
      <c r="U265" s="218"/>
      <c r="V265" s="223" t="s">
        <v>628</v>
      </c>
      <c r="W265" s="220"/>
      <c r="X265" s="561" t="s">
        <v>626</v>
      </c>
      <c r="Y265" s="221"/>
      <c r="Z265" s="216"/>
      <c r="AA265" s="217"/>
      <c r="AB265" s="218"/>
      <c r="AC265" s="222" t="s">
        <v>625</v>
      </c>
      <c r="AD265" s="220"/>
      <c r="AE265" s="561" t="s">
        <v>626</v>
      </c>
      <c r="AF265" s="221"/>
      <c r="AG265" s="216"/>
      <c r="AH265" s="561" t="s">
        <v>626</v>
      </c>
      <c r="AI265" s="218"/>
      <c r="AJ265" s="223" t="s">
        <v>628</v>
      </c>
      <c r="AK265" s="220"/>
      <c r="AL265" s="561" t="s">
        <v>626</v>
      </c>
      <c r="AM265" s="221"/>
      <c r="AN265" s="216"/>
      <c r="AO265" s="217"/>
      <c r="AP265" s="218"/>
      <c r="AQ265" s="222" t="s">
        <v>625</v>
      </c>
      <c r="AR265" s="220"/>
      <c r="AS265" s="561" t="s">
        <v>626</v>
      </c>
      <c r="AT265" s="221"/>
      <c r="AU265" s="225">
        <f>counta(F265:AT265)*20</f>
        <v>280</v>
      </c>
      <c r="AW265" s="206" t="str">
        <f t="shared" ref="AW265:BB265" si="228">AW7</f>
        <v>#REF!</v>
      </c>
      <c r="AX265" s="206">
        <f t="shared" si="228"/>
        <v>0</v>
      </c>
      <c r="AY265" s="206">
        <f t="shared" si="228"/>
        <v>0</v>
      </c>
      <c r="AZ265" s="206">
        <f t="shared" si="228"/>
        <v>0</v>
      </c>
      <c r="BA265" s="464">
        <f t="shared" si="228"/>
        <v>0</v>
      </c>
      <c r="BB265" s="206">
        <f t="shared" si="228"/>
        <v>0</v>
      </c>
      <c r="BC265" s="465">
        <f t="shared" si="229"/>
        <v>0</v>
      </c>
      <c r="BD265" s="206"/>
      <c r="BE265" s="466"/>
    </row>
    <row r="266">
      <c r="A266" s="199"/>
      <c r="B266" s="226" t="s">
        <v>629</v>
      </c>
      <c r="C266" s="214"/>
      <c r="D266" s="215"/>
      <c r="E266" s="216"/>
      <c r="F266" s="227">
        <v>4.0</v>
      </c>
      <c r="G266" s="218"/>
      <c r="H266" s="227">
        <v>4.0</v>
      </c>
      <c r="I266" s="220"/>
      <c r="J266" s="227">
        <v>8.0</v>
      </c>
      <c r="K266" s="221"/>
      <c r="L266" s="216"/>
      <c r="M266" s="227"/>
      <c r="N266" s="218"/>
      <c r="O266" s="227">
        <v>5.0</v>
      </c>
      <c r="P266" s="220"/>
      <c r="Q266" s="227">
        <v>8.0</v>
      </c>
      <c r="R266" s="221"/>
      <c r="S266" s="216"/>
      <c r="T266" s="227"/>
      <c r="U266" s="218"/>
      <c r="V266" s="227">
        <v>4.0</v>
      </c>
      <c r="W266" s="220"/>
      <c r="X266" s="227">
        <v>6.0</v>
      </c>
      <c r="Y266" s="221"/>
      <c r="Z266" s="216"/>
      <c r="AA266" s="227"/>
      <c r="AB266" s="218"/>
      <c r="AC266" s="227">
        <v>4.0</v>
      </c>
      <c r="AD266" s="220"/>
      <c r="AE266" s="227">
        <v>6.0</v>
      </c>
      <c r="AF266" s="221"/>
      <c r="AG266" s="216"/>
      <c r="AH266" s="227"/>
      <c r="AI266" s="218"/>
      <c r="AJ266" s="227">
        <v>4.0</v>
      </c>
      <c r="AK266" s="220"/>
      <c r="AL266" s="227">
        <v>6.0</v>
      </c>
      <c r="AM266" s="221"/>
      <c r="AN266" s="216"/>
      <c r="AO266" s="227"/>
      <c r="AP266" s="218"/>
      <c r="AQ266" s="227">
        <v>3.0</v>
      </c>
      <c r="AR266" s="220"/>
      <c r="AS266" s="227">
        <v>4.0</v>
      </c>
      <c r="AT266" s="221"/>
      <c r="AU266" s="225">
        <f>sum(F266:AK266)</f>
        <v>53</v>
      </c>
      <c r="AW266" s="206" t="str">
        <f t="shared" ref="AW266:BB266" si="230">AW8</f>
        <v>#REF!</v>
      </c>
      <c r="AX266" s="206">
        <f t="shared" si="230"/>
        <v>0</v>
      </c>
      <c r="AY266" s="206">
        <f t="shared" si="230"/>
        <v>0</v>
      </c>
      <c r="AZ266" s="206">
        <f t="shared" si="230"/>
        <v>0</v>
      </c>
      <c r="BA266" s="464">
        <f t="shared" si="230"/>
        <v>0</v>
      </c>
      <c r="BB266" s="206">
        <f t="shared" si="230"/>
        <v>0</v>
      </c>
      <c r="BC266" s="465">
        <f t="shared" si="229"/>
        <v>0</v>
      </c>
      <c r="BD266" s="206"/>
      <c r="BE266" s="466"/>
    </row>
    <row r="267">
      <c r="A267" s="199"/>
      <c r="B267" s="213" t="s">
        <v>630</v>
      </c>
      <c r="C267" s="214"/>
      <c r="D267" s="215"/>
      <c r="E267" s="216"/>
      <c r="F267" s="215"/>
      <c r="G267" s="218"/>
      <c r="H267" s="215"/>
      <c r="I267" s="220"/>
      <c r="J267" s="215"/>
      <c r="K267" s="221"/>
      <c r="L267" s="216"/>
      <c r="M267" s="215"/>
      <c r="N267" s="218"/>
      <c r="O267" s="228" t="s">
        <v>631</v>
      </c>
      <c r="P267" s="220"/>
      <c r="Q267" s="215"/>
      <c r="R267" s="221"/>
      <c r="S267" s="216"/>
      <c r="T267" s="215"/>
      <c r="U267" s="218"/>
      <c r="V267" s="228" t="s">
        <v>631</v>
      </c>
      <c r="W267" s="220"/>
      <c r="X267" s="215"/>
      <c r="Y267" s="221"/>
      <c r="Z267" s="216"/>
      <c r="AA267" s="215"/>
      <c r="AB267" s="218"/>
      <c r="AC267" s="228" t="s">
        <v>631</v>
      </c>
      <c r="AD267" s="220"/>
      <c r="AE267" s="215"/>
      <c r="AF267" s="221"/>
      <c r="AG267" s="216"/>
      <c r="AH267" s="215"/>
      <c r="AI267" s="218"/>
      <c r="AJ267" s="215"/>
      <c r="AK267" s="220"/>
      <c r="AL267" s="215"/>
      <c r="AM267" s="221"/>
      <c r="AN267" s="216"/>
      <c r="AO267" s="215"/>
      <c r="AP267" s="218"/>
      <c r="AQ267" s="215"/>
      <c r="AR267" s="220"/>
      <c r="AS267" s="215"/>
      <c r="AT267" s="221"/>
      <c r="AU267" s="225">
        <f>countA(F267:AJ267)*5</f>
        <v>15</v>
      </c>
      <c r="AW267" s="206" t="str">
        <f t="shared" ref="AW267:BB267" si="231">AW9</f>
        <v>#REF!</v>
      </c>
      <c r="AX267" s="206">
        <f t="shared" si="231"/>
        <v>0</v>
      </c>
      <c r="AY267" s="206">
        <f t="shared" si="231"/>
        <v>0</v>
      </c>
      <c r="AZ267" s="206">
        <f t="shared" si="231"/>
        <v>0</v>
      </c>
      <c r="BA267" s="464">
        <f t="shared" si="231"/>
        <v>0</v>
      </c>
      <c r="BB267" s="206">
        <f t="shared" si="231"/>
        <v>0</v>
      </c>
      <c r="BC267" s="465">
        <f t="shared" si="229"/>
        <v>0</v>
      </c>
      <c r="BD267" s="206"/>
      <c r="BE267" s="466"/>
    </row>
    <row r="268">
      <c r="A268" s="199"/>
      <c r="B268" s="229" t="s">
        <v>632</v>
      </c>
      <c r="C268" s="214"/>
      <c r="D268" s="215"/>
      <c r="E268" s="216"/>
      <c r="F268" s="215"/>
      <c r="G268" s="221"/>
      <c r="H268" s="215"/>
      <c r="I268" s="220"/>
      <c r="J268" s="215"/>
      <c r="K268" s="221"/>
      <c r="L268" s="216"/>
      <c r="M268" s="215"/>
      <c r="N268" s="221"/>
      <c r="O268" s="215"/>
      <c r="P268" s="220"/>
      <c r="Q268" s="215"/>
      <c r="R268" s="221"/>
      <c r="S268" s="216"/>
      <c r="T268" s="215"/>
      <c r="U268" s="221"/>
      <c r="V268" s="215"/>
      <c r="W268" s="220"/>
      <c r="X268" s="215"/>
      <c r="Y268" s="221"/>
      <c r="Z268" s="216"/>
      <c r="AA268" s="215"/>
      <c r="AB268" s="221"/>
      <c r="AC268" s="215"/>
      <c r="AD268" s="220"/>
      <c r="AE268" s="215"/>
      <c r="AF268" s="221"/>
      <c r="AG268" s="216"/>
      <c r="AH268" s="215"/>
      <c r="AI268" s="221"/>
      <c r="AJ268" s="215"/>
      <c r="AK268" s="220"/>
      <c r="AL268" s="215"/>
      <c r="AM268" s="221"/>
      <c r="AN268" s="216"/>
      <c r="AO268" s="215"/>
      <c r="AP268" s="221"/>
      <c r="AQ268" s="215"/>
      <c r="AR268" s="220"/>
      <c r="AS268" s="215"/>
      <c r="AT268" s="221"/>
      <c r="AU268" s="225">
        <f>countA(F268:AK268)*12</f>
        <v>0</v>
      </c>
      <c r="AW268" s="206" t="str">
        <f t="shared" ref="AW268:BB268" si="232">AW10</f>
        <v>#REF!</v>
      </c>
      <c r="AX268" s="206">
        <f t="shared" si="232"/>
        <v>0</v>
      </c>
      <c r="AY268" s="206">
        <f t="shared" si="232"/>
        <v>0</v>
      </c>
      <c r="AZ268" s="206">
        <f t="shared" si="232"/>
        <v>0</v>
      </c>
      <c r="BA268" s="464">
        <f t="shared" si="232"/>
        <v>0</v>
      </c>
      <c r="BB268" s="206">
        <f t="shared" si="232"/>
        <v>0</v>
      </c>
      <c r="BC268" s="465">
        <f t="shared" si="229"/>
        <v>0</v>
      </c>
      <c r="BD268" s="206"/>
      <c r="BE268" s="466"/>
    </row>
    <row r="269">
      <c r="A269" s="199"/>
      <c r="B269" s="213" t="s">
        <v>633</v>
      </c>
      <c r="C269" s="214"/>
      <c r="D269" s="215"/>
      <c r="E269" s="216"/>
      <c r="F269" s="215"/>
      <c r="G269" s="230"/>
      <c r="H269" s="215"/>
      <c r="I269" s="231"/>
      <c r="J269" s="215"/>
      <c r="K269" s="216"/>
      <c r="L269" s="216"/>
      <c r="M269" s="215"/>
      <c r="N269" s="230"/>
      <c r="O269" s="668" t="s">
        <v>911</v>
      </c>
      <c r="P269" s="231"/>
      <c r="Q269" s="215"/>
      <c r="R269" s="216"/>
      <c r="S269" s="216"/>
      <c r="T269" s="215"/>
      <c r="U269" s="230"/>
      <c r="V269" s="215"/>
      <c r="W269" s="231"/>
      <c r="X269" s="215"/>
      <c r="Y269" s="216"/>
      <c r="Z269" s="216"/>
      <c r="AA269" s="215"/>
      <c r="AB269" s="230"/>
      <c r="AC269" s="215"/>
      <c r="AD269" s="231"/>
      <c r="AE269" s="668" t="s">
        <v>911</v>
      </c>
      <c r="AF269" s="216"/>
      <c r="AG269" s="216"/>
      <c r="AH269" s="215"/>
      <c r="AI269" s="230"/>
      <c r="AJ269" s="215"/>
      <c r="AK269" s="231"/>
      <c r="AL269" s="215"/>
      <c r="AM269" s="216"/>
      <c r="AN269" s="216"/>
      <c r="AO269" s="215"/>
      <c r="AP269" s="230"/>
      <c r="AQ269" s="215"/>
      <c r="AR269" s="231"/>
      <c r="AS269" s="215"/>
      <c r="AT269" s="216"/>
      <c r="AU269" s="225">
        <f>counta(F269:AT269)*4</f>
        <v>8</v>
      </c>
      <c r="AW269" s="206" t="str">
        <f t="shared" ref="AW269:BB269" si="233">AW11</f>
        <v>#REF!</v>
      </c>
      <c r="AX269" s="206">
        <f t="shared" si="233"/>
        <v>0</v>
      </c>
      <c r="AY269" s="206">
        <f t="shared" si="233"/>
        <v>0</v>
      </c>
      <c r="AZ269" s="206">
        <f t="shared" si="233"/>
        <v>0</v>
      </c>
      <c r="BA269" s="464">
        <f t="shared" si="233"/>
        <v>0</v>
      </c>
      <c r="BB269" s="206">
        <f t="shared" si="233"/>
        <v>0</v>
      </c>
      <c r="BC269" s="465">
        <f t="shared" si="229"/>
        <v>0</v>
      </c>
      <c r="BD269" s="206"/>
      <c r="BE269" s="466"/>
    </row>
    <row r="270">
      <c r="A270" s="199"/>
      <c r="B270" s="213" t="s">
        <v>637</v>
      </c>
      <c r="C270" s="214"/>
      <c r="D270" s="215"/>
      <c r="E270" s="216"/>
      <c r="F270" s="215"/>
      <c r="G270" s="230"/>
      <c r="H270" s="215"/>
      <c r="I270" s="231"/>
      <c r="J270" s="215"/>
      <c r="K270" s="216"/>
      <c r="L270" s="216"/>
      <c r="M270" s="215"/>
      <c r="N270" s="230"/>
      <c r="O270" s="215"/>
      <c r="P270" s="231"/>
      <c r="Q270" s="227" t="s">
        <v>756</v>
      </c>
      <c r="R270" s="216"/>
      <c r="S270" s="216"/>
      <c r="T270" s="215"/>
      <c r="U270" s="230"/>
      <c r="V270" s="215"/>
      <c r="W270" s="231"/>
      <c r="X270" s="215"/>
      <c r="Y270" s="216"/>
      <c r="Z270" s="216"/>
      <c r="AA270" s="215"/>
      <c r="AB270" s="230"/>
      <c r="AC270" s="215"/>
      <c r="AD270" s="231"/>
      <c r="AE270" s="227" t="s">
        <v>756</v>
      </c>
      <c r="AF270" s="216"/>
      <c r="AG270" s="216"/>
      <c r="AH270" s="215"/>
      <c r="AI270" s="230"/>
      <c r="AJ270" s="215"/>
      <c r="AK270" s="231"/>
      <c r="AL270" s="215"/>
      <c r="AM270" s="216"/>
      <c r="AN270" s="216"/>
      <c r="AO270" s="215"/>
      <c r="AP270" s="230"/>
      <c r="AQ270" s="215"/>
      <c r="AR270" s="231"/>
      <c r="AS270" s="215"/>
      <c r="AT270" s="216"/>
      <c r="AU270" s="225">
        <f>sum(F270:AT270)</f>
        <v>0</v>
      </c>
      <c r="AW270" s="206" t="str">
        <f t="shared" ref="AW270:BB270" si="234">AW12</f>
        <v>#REF!</v>
      </c>
      <c r="AX270" s="206">
        <f t="shared" si="234"/>
        <v>0</v>
      </c>
      <c r="AY270" s="206">
        <f t="shared" si="234"/>
        <v>0</v>
      </c>
      <c r="AZ270" s="206">
        <f t="shared" si="234"/>
        <v>0</v>
      </c>
      <c r="BA270" s="464">
        <f t="shared" si="234"/>
        <v>0</v>
      </c>
      <c r="BB270" s="206">
        <f t="shared" si="234"/>
        <v>0</v>
      </c>
      <c r="BC270" s="465">
        <f t="shared" si="229"/>
        <v>0</v>
      </c>
      <c r="BD270" s="206"/>
      <c r="BE270" s="466"/>
    </row>
    <row r="271">
      <c r="A271" s="234"/>
      <c r="B271" s="235" t="s">
        <v>608</v>
      </c>
      <c r="C271" s="195" t="s">
        <v>609</v>
      </c>
      <c r="D271" s="236"/>
      <c r="E271" s="237"/>
      <c r="F271" s="238"/>
      <c r="G271" s="182"/>
      <c r="H271" s="238"/>
      <c r="I271" s="239"/>
      <c r="J271" s="238"/>
      <c r="K271" s="239"/>
      <c r="L271" s="237"/>
      <c r="M271" s="238"/>
      <c r="N271" s="182"/>
      <c r="O271" s="238"/>
      <c r="P271" s="239"/>
      <c r="Q271" s="238"/>
      <c r="R271" s="239"/>
      <c r="S271" s="237"/>
      <c r="T271" s="238"/>
      <c r="U271" s="182"/>
      <c r="V271" s="238"/>
      <c r="W271" s="239"/>
      <c r="X271" s="238"/>
      <c r="Y271" s="239"/>
      <c r="Z271" s="237"/>
      <c r="AA271" s="238"/>
      <c r="AB271" s="182"/>
      <c r="AC271" s="238"/>
      <c r="AD271" s="239"/>
      <c r="AE271" s="238"/>
      <c r="AF271" s="239"/>
      <c r="AG271" s="237"/>
      <c r="AH271" s="238"/>
      <c r="AI271" s="182"/>
      <c r="AJ271" s="238"/>
      <c r="AK271" s="239"/>
      <c r="AL271" s="238"/>
      <c r="AM271" s="239"/>
      <c r="AN271" s="237"/>
      <c r="AO271" s="238"/>
      <c r="AP271" s="182"/>
      <c r="AQ271" s="238"/>
      <c r="AR271" s="239"/>
      <c r="AS271" s="238"/>
      <c r="AT271" s="239"/>
      <c r="AU271" s="236"/>
      <c r="AV271" s="236"/>
      <c r="AW271" s="206" t="str">
        <f t="shared" ref="AW271:BB271" si="235">AW13</f>
        <v>#REF!</v>
      </c>
      <c r="AX271" s="206">
        <f t="shared" si="235"/>
        <v>0</v>
      </c>
      <c r="AY271" s="206">
        <f t="shared" si="235"/>
        <v>0</v>
      </c>
      <c r="AZ271" s="206">
        <f t="shared" si="235"/>
        <v>0</v>
      </c>
      <c r="BA271" s="464">
        <f t="shared" si="235"/>
        <v>0</v>
      </c>
      <c r="BB271" s="206">
        <f t="shared" si="235"/>
        <v>0</v>
      </c>
      <c r="BC271" s="465">
        <f t="shared" si="229"/>
        <v>0</v>
      </c>
      <c r="BD271" s="206"/>
      <c r="BE271" s="466"/>
    </row>
    <row r="272">
      <c r="A272" s="240"/>
      <c r="B272" s="241" t="s">
        <v>638</v>
      </c>
      <c r="C272" s="242" t="s">
        <v>639</v>
      </c>
      <c r="D272" s="243"/>
      <c r="E272" s="244"/>
      <c r="F272" s="371"/>
      <c r="G272" s="246"/>
      <c r="H272" s="274"/>
      <c r="I272" s="246"/>
      <c r="J272" s="281"/>
      <c r="K272" s="246"/>
      <c r="L272" s="249"/>
      <c r="M272" s="250"/>
      <c r="N272" s="246"/>
      <c r="O272" s="282"/>
      <c r="P272" s="246"/>
      <c r="R272" s="246"/>
      <c r="S272" s="249"/>
      <c r="T272" s="250"/>
      <c r="U272" s="246"/>
      <c r="V272" s="282"/>
      <c r="W272" s="246"/>
      <c r="X272" s="251"/>
      <c r="Y272" s="246"/>
      <c r="Z272" s="249"/>
      <c r="AA272" s="250"/>
      <c r="AB272" s="246"/>
      <c r="AC272" s="282"/>
      <c r="AD272" s="246"/>
      <c r="AF272" s="246"/>
      <c r="AG272" s="249"/>
      <c r="AH272" s="371"/>
      <c r="AI272" s="246"/>
      <c r="AJ272" s="282"/>
      <c r="AK272" s="246"/>
      <c r="AM272" s="246"/>
      <c r="AN272" s="249"/>
      <c r="AO272" s="250"/>
      <c r="AP272" s="246"/>
      <c r="AQ272" s="276"/>
      <c r="AR272" s="246"/>
      <c r="AS272" s="252"/>
      <c r="AT272" s="254" t="str">
        <f>IF(COUNTIF($AO$86:$AT$88, #REF!) &gt; 0, "X", "")</f>
        <v/>
      </c>
      <c r="AU272" s="255"/>
      <c r="AV272" s="255"/>
      <c r="AW272" s="206" t="str">
        <f t="shared" ref="AW272:BB272" si="236">AW14</f>
        <v>#REF!</v>
      </c>
      <c r="AX272" s="206">
        <f t="shared" si="236"/>
        <v>0</v>
      </c>
      <c r="AY272" s="206">
        <f t="shared" si="236"/>
        <v>0</v>
      </c>
      <c r="AZ272" s="206">
        <f t="shared" si="236"/>
        <v>0</v>
      </c>
      <c r="BA272" s="464">
        <f t="shared" si="236"/>
        <v>0</v>
      </c>
      <c r="BB272" s="206">
        <f t="shared" si="236"/>
        <v>0</v>
      </c>
      <c r="BC272" s="465">
        <f t="shared" si="229"/>
        <v>0</v>
      </c>
      <c r="BD272" s="206"/>
      <c r="BE272" s="466"/>
    </row>
    <row r="273">
      <c r="A273" s="94"/>
      <c r="B273" s="256" t="s">
        <v>638</v>
      </c>
      <c r="C273" s="257" t="s">
        <v>639</v>
      </c>
      <c r="D273" s="258"/>
      <c r="E273" s="259"/>
      <c r="F273" s="371"/>
      <c r="G273" s="246"/>
      <c r="I273" s="246"/>
      <c r="K273" s="246"/>
      <c r="L273" s="249"/>
      <c r="M273" s="250"/>
      <c r="N273" s="246"/>
      <c r="O273" s="282"/>
      <c r="P273" s="246"/>
      <c r="R273" s="246"/>
      <c r="S273" s="249"/>
      <c r="T273" s="250"/>
      <c r="U273" s="246"/>
      <c r="V273" s="282"/>
      <c r="W273" s="246"/>
      <c r="X273" s="251"/>
      <c r="Y273" s="246"/>
      <c r="Z273" s="249"/>
      <c r="AA273" s="250"/>
      <c r="AB273" s="246"/>
      <c r="AD273" s="246"/>
      <c r="AE273" s="274" t="s">
        <v>414</v>
      </c>
      <c r="AF273" s="246"/>
      <c r="AG273" s="249"/>
      <c r="AH273" s="371"/>
      <c r="AI273" s="246"/>
      <c r="AJ273" s="282"/>
      <c r="AK273" s="246"/>
      <c r="AM273" s="246"/>
      <c r="AN273" s="249"/>
      <c r="AO273" s="250"/>
      <c r="AP273" s="246"/>
      <c r="AQ273" s="276"/>
      <c r="AR273" s="246"/>
      <c r="AS273" s="252"/>
      <c r="AT273" s="254" t="str">
        <f>IF(COUNTIF($AO$86:$AT$88, AS279) &gt; 0, "X", "")</f>
        <v/>
      </c>
      <c r="AU273" s="269"/>
      <c r="AV273" s="269"/>
      <c r="AW273" s="206" t="str">
        <f t="shared" ref="AW273:BB273" si="237">AW15</f>
        <v>#REF!</v>
      </c>
      <c r="AX273" s="206">
        <f t="shared" si="237"/>
        <v>0</v>
      </c>
      <c r="AY273" s="206">
        <f t="shared" si="237"/>
        <v>0</v>
      </c>
      <c r="AZ273" s="206">
        <f t="shared" si="237"/>
        <v>0</v>
      </c>
      <c r="BA273" s="464">
        <f t="shared" si="237"/>
        <v>0</v>
      </c>
      <c r="BB273" s="206">
        <f t="shared" si="237"/>
        <v>0</v>
      </c>
      <c r="BC273" s="465">
        <f t="shared" si="229"/>
        <v>0</v>
      </c>
      <c r="BD273" s="206"/>
      <c r="BE273" s="466"/>
    </row>
    <row r="274">
      <c r="A274" s="270"/>
      <c r="B274" s="271" t="s">
        <v>642</v>
      </c>
      <c r="C274" s="272" t="s">
        <v>639</v>
      </c>
      <c r="D274" s="258"/>
      <c r="E274" s="259"/>
      <c r="F274" s="426"/>
      <c r="G274" s="246"/>
      <c r="H274" s="274" t="s">
        <v>406</v>
      </c>
      <c r="I274" s="246"/>
      <c r="J274" s="265"/>
      <c r="K274" s="246"/>
      <c r="L274" s="261"/>
      <c r="M274" s="262"/>
      <c r="N274" s="246"/>
      <c r="O274" s="265"/>
      <c r="P274" s="246"/>
      <c r="R274" s="246"/>
      <c r="S274" s="261"/>
      <c r="T274" s="262"/>
      <c r="U274" s="246"/>
      <c r="W274" s="246"/>
      <c r="Y274" s="246"/>
      <c r="Z274" s="261"/>
      <c r="AA274" s="262"/>
      <c r="AB274" s="246"/>
      <c r="AD274" s="246"/>
      <c r="AF274" s="246"/>
      <c r="AG274" s="261"/>
      <c r="AH274" s="426"/>
      <c r="AI274" s="246"/>
      <c r="AK274" s="246"/>
      <c r="AL274" s="289"/>
      <c r="AM274" s="246"/>
      <c r="AN274" s="261"/>
      <c r="AO274" s="262"/>
      <c r="AP274" s="246"/>
      <c r="AQ274" s="598"/>
      <c r="AR274" s="246"/>
      <c r="AS274" s="598"/>
      <c r="AT274" s="254" t="str">
        <f>IF(COUNTIF($AO$86:$AT$88, #REF!) &gt; 0, "X", "")</f>
        <v/>
      </c>
      <c r="AU274" s="269"/>
      <c r="AV274" s="269"/>
      <c r="AW274" s="206" t="str">
        <f t="shared" ref="AW274:BB274" si="238">AW16</f>
        <v>#REF!</v>
      </c>
      <c r="AX274" s="206">
        <f t="shared" si="238"/>
        <v>0</v>
      </c>
      <c r="AY274" s="206">
        <f t="shared" si="238"/>
        <v>0</v>
      </c>
      <c r="AZ274" s="206">
        <f t="shared" si="238"/>
        <v>0</v>
      </c>
      <c r="BA274" s="464">
        <f t="shared" si="238"/>
        <v>0</v>
      </c>
      <c r="BB274" s="206">
        <f t="shared" si="238"/>
        <v>0</v>
      </c>
      <c r="BC274" s="465">
        <f t="shared" si="229"/>
        <v>0</v>
      </c>
      <c r="BD274" s="206"/>
      <c r="BE274" s="466"/>
    </row>
    <row r="275">
      <c r="A275" s="234"/>
      <c r="B275" s="277" t="s">
        <v>644</v>
      </c>
      <c r="C275" s="278" t="s">
        <v>645</v>
      </c>
      <c r="D275" s="669" t="s">
        <v>758</v>
      </c>
      <c r="E275" s="259"/>
      <c r="F275" s="281"/>
      <c r="G275" s="246"/>
      <c r="H275" s="280" t="s">
        <v>400</v>
      </c>
      <c r="I275" s="246"/>
      <c r="J275" s="282"/>
      <c r="K275" s="246"/>
      <c r="L275" s="261"/>
      <c r="M275" s="250"/>
      <c r="N275" s="246"/>
      <c r="O275" s="281"/>
      <c r="P275" s="246"/>
      <c r="R275" s="246"/>
      <c r="S275" s="261"/>
      <c r="T275" s="250"/>
      <c r="U275" s="246"/>
      <c r="W275" s="246"/>
      <c r="X275" s="280" t="s">
        <v>400</v>
      </c>
      <c r="Y275" s="246"/>
      <c r="Z275" s="261"/>
      <c r="AA275" s="262"/>
      <c r="AB275" s="246"/>
      <c r="AD275" s="246"/>
      <c r="AE275" s="280" t="s">
        <v>400</v>
      </c>
      <c r="AF275" s="246"/>
      <c r="AG275" s="261"/>
      <c r="AH275" s="282"/>
      <c r="AI275" s="246"/>
      <c r="AJ275" s="280" t="s">
        <v>400</v>
      </c>
      <c r="AK275" s="246"/>
      <c r="AL275" s="281"/>
      <c r="AM275" s="246"/>
      <c r="AN275" s="261"/>
      <c r="AO275" s="250"/>
      <c r="AP275" s="246"/>
      <c r="AQ275" s="276"/>
      <c r="AR275" s="246"/>
      <c r="AS275" s="276"/>
      <c r="AT275" s="254" t="str">
        <f t="shared" ref="AT275:AT277" si="240">IF(COUNTIF($AO$86:$AT$88, AS276) &gt; 0, "X", "")</f>
        <v/>
      </c>
      <c r="AU275" s="269"/>
      <c r="AV275" s="269"/>
      <c r="AW275" s="206" t="str">
        <f t="shared" ref="AW275:BB275" si="239">AW17</f>
        <v>#REF!</v>
      </c>
      <c r="AX275" s="206">
        <f t="shared" si="239"/>
        <v>0</v>
      </c>
      <c r="AY275" s="206">
        <f t="shared" si="239"/>
        <v>0</v>
      </c>
      <c r="AZ275" s="206">
        <f t="shared" si="239"/>
        <v>0</v>
      </c>
      <c r="BA275" s="464">
        <f t="shared" si="239"/>
        <v>0</v>
      </c>
      <c r="BB275" s="206">
        <f t="shared" si="239"/>
        <v>0</v>
      </c>
      <c r="BC275" s="465">
        <f t="shared" si="229"/>
        <v>0</v>
      </c>
      <c r="BD275" s="206"/>
      <c r="BE275" s="466"/>
    </row>
    <row r="276">
      <c r="A276" s="94"/>
      <c r="B276" s="256" t="s">
        <v>757</v>
      </c>
      <c r="C276" s="257" t="s">
        <v>645</v>
      </c>
      <c r="D276" s="669" t="s">
        <v>939</v>
      </c>
      <c r="E276" s="259"/>
      <c r="F276" s="371"/>
      <c r="G276" s="246"/>
      <c r="H276" s="371"/>
      <c r="I276" s="246"/>
      <c r="J276" s="371"/>
      <c r="K276" s="246"/>
      <c r="L276" s="261"/>
      <c r="M276" s="250"/>
      <c r="N276" s="246"/>
      <c r="O276" s="280" t="s">
        <v>400</v>
      </c>
      <c r="P276" s="246"/>
      <c r="R276" s="246"/>
      <c r="S276" s="261"/>
      <c r="T276" s="250"/>
      <c r="U276" s="246"/>
      <c r="V276" s="371"/>
      <c r="W276" s="246"/>
      <c r="X276" s="371"/>
      <c r="Y276" s="246"/>
      <c r="Z276" s="261"/>
      <c r="AA276" s="262"/>
      <c r="AB276" s="246"/>
      <c r="AD276" s="246"/>
      <c r="AE276" s="274"/>
      <c r="AF276" s="246"/>
      <c r="AG276" s="261"/>
      <c r="AH276" s="371"/>
      <c r="AI276" s="246"/>
      <c r="AJ276" s="371"/>
      <c r="AK276" s="246"/>
      <c r="AL276" s="371"/>
      <c r="AM276" s="246"/>
      <c r="AN276" s="261"/>
      <c r="AO276" s="250"/>
      <c r="AP276" s="246"/>
      <c r="AQ276" s="252"/>
      <c r="AR276" s="246"/>
      <c r="AS276" s="252"/>
      <c r="AT276" s="254" t="str">
        <f t="shared" si="240"/>
        <v/>
      </c>
      <c r="AU276" s="269"/>
      <c r="AV276" s="269"/>
      <c r="AW276" s="206" t="str">
        <f t="shared" ref="AW276:BB276" si="241">AW18</f>
        <v>#REF!</v>
      </c>
      <c r="AX276" s="206">
        <f t="shared" si="241"/>
        <v>0</v>
      </c>
      <c r="AY276" s="206">
        <f t="shared" si="241"/>
        <v>0</v>
      </c>
      <c r="AZ276" s="206">
        <f t="shared" si="241"/>
        <v>0</v>
      </c>
      <c r="BA276" s="464">
        <f t="shared" si="241"/>
        <v>0</v>
      </c>
      <c r="BB276" s="206">
        <f t="shared" si="241"/>
        <v>0</v>
      </c>
      <c r="BC276" s="465">
        <f t="shared" si="229"/>
        <v>0</v>
      </c>
      <c r="BD276" s="206"/>
      <c r="BE276" s="466"/>
    </row>
    <row r="277">
      <c r="A277" s="94"/>
      <c r="B277" s="284" t="s">
        <v>646</v>
      </c>
      <c r="C277" s="285" t="s">
        <v>647</v>
      </c>
      <c r="D277" s="669" t="s">
        <v>940</v>
      </c>
      <c r="E277" s="259"/>
      <c r="F277" s="251" t="s">
        <v>427</v>
      </c>
      <c r="G277" s="246"/>
      <c r="H277" s="399"/>
      <c r="I277" s="246"/>
      <c r="J277" s="399"/>
      <c r="K277" s="246"/>
      <c r="L277" s="261"/>
      <c r="M277" s="324"/>
      <c r="N277" s="246"/>
      <c r="P277" s="246"/>
      <c r="Q277" s="251" t="s">
        <v>427</v>
      </c>
      <c r="R277" s="246"/>
      <c r="S277" s="261"/>
      <c r="T277" s="324"/>
      <c r="U277" s="246"/>
      <c r="V277" s="251" t="s">
        <v>602</v>
      </c>
      <c r="W277" s="246"/>
      <c r="X277" s="251" t="s">
        <v>427</v>
      </c>
      <c r="Y277" s="246"/>
      <c r="Z277" s="261"/>
      <c r="AA277" s="262"/>
      <c r="AB277" s="246"/>
      <c r="AC277" s="282"/>
      <c r="AD277" s="246"/>
      <c r="AE277" s="251" t="s">
        <v>427</v>
      </c>
      <c r="AF277" s="246"/>
      <c r="AG277" s="261"/>
      <c r="AH277" s="251" t="s">
        <v>427</v>
      </c>
      <c r="AI277" s="246"/>
      <c r="AJ277" s="282"/>
      <c r="AK277" s="246"/>
      <c r="AL277" s="282"/>
      <c r="AM277" s="246"/>
      <c r="AN277" s="261"/>
      <c r="AO277" s="324"/>
      <c r="AP277" s="246"/>
      <c r="AQ277" s="252"/>
      <c r="AR277" s="246"/>
      <c r="AS277" s="252"/>
      <c r="AT277" s="254" t="str">
        <f t="shared" si="240"/>
        <v/>
      </c>
      <c r="AU277" s="269"/>
      <c r="AV277" s="269"/>
      <c r="AW277" s="206" t="str">
        <f t="shared" ref="AW277:BB277" si="242">AW19</f>
        <v>#REF!</v>
      </c>
      <c r="AX277" s="206">
        <f t="shared" si="242"/>
        <v>0</v>
      </c>
      <c r="AY277" s="206">
        <f t="shared" si="242"/>
        <v>0</v>
      </c>
      <c r="AZ277" s="206">
        <f t="shared" si="242"/>
        <v>0</v>
      </c>
      <c r="BA277" s="464">
        <f t="shared" si="242"/>
        <v>0</v>
      </c>
      <c r="BB277" s="206">
        <f t="shared" si="242"/>
        <v>0</v>
      </c>
      <c r="BC277" s="465">
        <f t="shared" si="229"/>
        <v>0</v>
      </c>
      <c r="BD277" s="206"/>
      <c r="BE277" s="466"/>
    </row>
    <row r="278">
      <c r="A278" s="270"/>
      <c r="B278" s="291" t="s">
        <v>648</v>
      </c>
      <c r="C278" s="292" t="s">
        <v>649</v>
      </c>
      <c r="D278" s="336" t="s">
        <v>398</v>
      </c>
      <c r="E278" s="259"/>
      <c r="F278" s="294"/>
      <c r="G278" s="246"/>
      <c r="H278" s="293" t="s">
        <v>418</v>
      </c>
      <c r="I278" s="246"/>
      <c r="J278" s="294"/>
      <c r="K278" s="246"/>
      <c r="L278" s="261"/>
      <c r="M278" s="250"/>
      <c r="N278" s="246"/>
      <c r="O278" s="293" t="s">
        <v>418</v>
      </c>
      <c r="P278" s="246"/>
      <c r="Q278" s="294"/>
      <c r="R278" s="246"/>
      <c r="S278" s="261"/>
      <c r="T278" s="250"/>
      <c r="U278" s="246"/>
      <c r="V278" s="294"/>
      <c r="W278" s="246"/>
      <c r="X278" s="293" t="s">
        <v>418</v>
      </c>
      <c r="Y278" s="246"/>
      <c r="Z278" s="261"/>
      <c r="AA278" s="250"/>
      <c r="AB278" s="246"/>
      <c r="AC278" s="294"/>
      <c r="AD278" s="246"/>
      <c r="AE278" s="293" t="s">
        <v>418</v>
      </c>
      <c r="AF278" s="246"/>
      <c r="AG278" s="261"/>
      <c r="AH278" s="294"/>
      <c r="AI278" s="246"/>
      <c r="AJ278" s="293"/>
      <c r="AK278" s="246"/>
      <c r="AL278" s="294"/>
      <c r="AM278" s="246"/>
      <c r="AN278" s="261"/>
      <c r="AO278" s="250"/>
      <c r="AP278" s="246"/>
      <c r="AQ278" s="294"/>
      <c r="AR278" s="246"/>
      <c r="AS278" s="294"/>
      <c r="AT278" s="254" t="str">
        <f t="shared" ref="AT278:AT279" si="244">IF(COUNTIF($AO$86:$AT$88, #REF!) &gt; 0, "X", "")</f>
        <v/>
      </c>
      <c r="AU278" s="269"/>
      <c r="AV278" s="269"/>
      <c r="AW278" s="206" t="str">
        <f t="shared" ref="AW278:BB278" si="243">AW20</f>
        <v>#REF!</v>
      </c>
      <c r="AX278" s="206">
        <f t="shared" si="243"/>
        <v>0</v>
      </c>
      <c r="AY278" s="206">
        <f t="shared" si="243"/>
        <v>0</v>
      </c>
      <c r="AZ278" s="206">
        <f t="shared" si="243"/>
        <v>0</v>
      </c>
      <c r="BA278" s="464">
        <f t="shared" si="243"/>
        <v>0</v>
      </c>
      <c r="BB278" s="206">
        <f t="shared" si="243"/>
        <v>0</v>
      </c>
      <c r="BC278" s="465">
        <f t="shared" si="229"/>
        <v>0</v>
      </c>
      <c r="BD278" s="206"/>
      <c r="BE278" s="466"/>
    </row>
    <row r="279">
      <c r="A279" s="94"/>
      <c r="B279" s="296" t="s">
        <v>650</v>
      </c>
      <c r="C279" s="297" t="s">
        <v>649</v>
      </c>
      <c r="D279" s="311" t="s">
        <v>394</v>
      </c>
      <c r="E279" s="259"/>
      <c r="F279" s="299"/>
      <c r="G279" s="298"/>
      <c r="H279" s="299"/>
      <c r="I279" s="298"/>
      <c r="J279" s="299"/>
      <c r="K279" s="298"/>
      <c r="L279" s="261"/>
      <c r="M279" s="250"/>
      <c r="N279" s="298"/>
      <c r="O279" s="299"/>
      <c r="P279" s="298"/>
      <c r="Q279" s="299"/>
      <c r="R279" s="298"/>
      <c r="S279" s="261"/>
      <c r="T279" s="250"/>
      <c r="U279" s="298"/>
      <c r="V279" s="299"/>
      <c r="W279" s="298"/>
      <c r="X279" s="299"/>
      <c r="Y279" s="298"/>
      <c r="Z279" s="261"/>
      <c r="AA279" s="250"/>
      <c r="AB279" s="298"/>
      <c r="AC279" s="299"/>
      <c r="AD279" s="298"/>
      <c r="AE279" s="299"/>
      <c r="AF279" s="298"/>
      <c r="AG279" s="261"/>
      <c r="AH279" s="299"/>
      <c r="AI279" s="298"/>
      <c r="AJ279" s="299"/>
      <c r="AK279" s="298"/>
      <c r="AL279" s="299"/>
      <c r="AM279" s="298"/>
      <c r="AN279" s="261"/>
      <c r="AO279" s="250"/>
      <c r="AP279" s="298"/>
      <c r="AQ279" s="300"/>
      <c r="AR279" s="298"/>
      <c r="AS279" s="300"/>
      <c r="AT279" s="254" t="str">
        <f t="shared" si="244"/>
        <v/>
      </c>
      <c r="AU279" s="269"/>
      <c r="AV279" s="269"/>
      <c r="AW279" s="206" t="str">
        <f t="shared" ref="AW279:BB279" si="245">AW21</f>
        <v>#REF!</v>
      </c>
      <c r="AX279" s="206">
        <f t="shared" si="245"/>
        <v>0</v>
      </c>
      <c r="AY279" s="206">
        <f t="shared" si="245"/>
        <v>0</v>
      </c>
      <c r="AZ279" s="206">
        <f t="shared" si="245"/>
        <v>0</v>
      </c>
      <c r="BA279" s="464">
        <f t="shared" si="245"/>
        <v>0</v>
      </c>
      <c r="BB279" s="206">
        <f t="shared" si="245"/>
        <v>0</v>
      </c>
      <c r="BC279" s="465">
        <f t="shared" si="229"/>
        <v>0</v>
      </c>
      <c r="BD279" s="206"/>
      <c r="BE279" s="466"/>
    </row>
    <row r="280">
      <c r="A280" s="94"/>
      <c r="B280" s="301" t="s">
        <v>651</v>
      </c>
      <c r="C280" s="302" t="s">
        <v>652</v>
      </c>
      <c r="D280" s="274" t="s">
        <v>414</v>
      </c>
      <c r="E280" s="259"/>
      <c r="F280" s="303"/>
      <c r="G280" s="298"/>
      <c r="H280" s="303"/>
      <c r="I280" s="298"/>
      <c r="J280" s="303"/>
      <c r="K280" s="298"/>
      <c r="L280" s="261"/>
      <c r="M280" s="250"/>
      <c r="N280" s="298"/>
      <c r="O280" s="303"/>
      <c r="P280" s="298"/>
      <c r="Q280" s="303"/>
      <c r="R280" s="298"/>
      <c r="S280" s="261"/>
      <c r="T280" s="250"/>
      <c r="U280" s="298"/>
      <c r="V280" s="303"/>
      <c r="W280" s="298"/>
      <c r="X280" s="303"/>
      <c r="Y280" s="298"/>
      <c r="Z280" s="261"/>
      <c r="AA280" s="250"/>
      <c r="AB280" s="298"/>
      <c r="AC280" s="303"/>
      <c r="AD280" s="298"/>
      <c r="AE280" s="303"/>
      <c r="AF280" s="298"/>
      <c r="AG280" s="261"/>
      <c r="AH280" s="303"/>
      <c r="AI280" s="298"/>
      <c r="AJ280" s="303"/>
      <c r="AK280" s="298"/>
      <c r="AL280" s="303"/>
      <c r="AM280" s="298"/>
      <c r="AN280" s="261"/>
      <c r="AO280" s="250"/>
      <c r="AP280" s="298"/>
      <c r="AQ280" s="304"/>
      <c r="AR280" s="298"/>
      <c r="AS280" s="304"/>
      <c r="AT280" s="254" t="str">
        <f t="shared" ref="AT280:AT281" si="247">IF(COUNTIF($AO$86:$AT$88, AS281) &gt; 0, "X", "")</f>
        <v/>
      </c>
      <c r="AU280" s="269"/>
      <c r="AV280" s="269"/>
      <c r="AW280" s="206" t="str">
        <f t="shared" ref="AW280:BB280" si="246">AW22</f>
        <v>#REF!</v>
      </c>
      <c r="AX280" s="206">
        <f t="shared" si="246"/>
        <v>0</v>
      </c>
      <c r="AY280" s="206">
        <f t="shared" si="246"/>
        <v>0</v>
      </c>
      <c r="AZ280" s="206">
        <f t="shared" si="246"/>
        <v>0</v>
      </c>
      <c r="BA280" s="464">
        <f t="shared" si="246"/>
        <v>0</v>
      </c>
      <c r="BB280" s="206">
        <f t="shared" si="246"/>
        <v>0</v>
      </c>
      <c r="BC280" s="465">
        <f t="shared" si="229"/>
        <v>0</v>
      </c>
      <c r="BD280" s="206"/>
      <c r="BE280" s="466"/>
    </row>
    <row r="281">
      <c r="A281" s="94"/>
      <c r="B281" s="305" t="s">
        <v>653</v>
      </c>
      <c r="C281" s="306" t="s">
        <v>654</v>
      </c>
      <c r="D281" s="274" t="s">
        <v>419</v>
      </c>
      <c r="E281" s="259"/>
      <c r="F281" s="307"/>
      <c r="G281" s="298"/>
      <c r="H281" s="307"/>
      <c r="I281" s="298"/>
      <c r="J281" s="307"/>
      <c r="K281" s="298"/>
      <c r="L281" s="261"/>
      <c r="M281" s="250"/>
      <c r="N281" s="298"/>
      <c r="O281" s="670" t="s">
        <v>468</v>
      </c>
      <c r="P281" s="298"/>
      <c r="Q281" s="307"/>
      <c r="R281" s="298"/>
      <c r="S281" s="261"/>
      <c r="T281" s="250"/>
      <c r="U281" s="298"/>
      <c r="V281" s="307"/>
      <c r="W281" s="298"/>
      <c r="X281" s="307"/>
      <c r="Y281" s="298"/>
      <c r="Z281" s="261"/>
      <c r="AA281" s="250"/>
      <c r="AB281" s="298"/>
      <c r="AC281" s="307"/>
      <c r="AD281" s="298"/>
      <c r="AE281" s="309" t="s">
        <v>449</v>
      </c>
      <c r="AF281" s="298"/>
      <c r="AG281" s="261"/>
      <c r="AH281" s="307"/>
      <c r="AI281" s="298"/>
      <c r="AJ281" s="307"/>
      <c r="AK281" s="298"/>
      <c r="AL281" s="307"/>
      <c r="AM281" s="298"/>
      <c r="AN281" s="261"/>
      <c r="AO281" s="250"/>
      <c r="AP281" s="298"/>
      <c r="AQ281" s="307"/>
      <c r="AR281" s="298"/>
      <c r="AS281" s="307"/>
      <c r="AT281" s="254" t="str">
        <f t="shared" si="247"/>
        <v/>
      </c>
      <c r="AU281" s="269"/>
      <c r="AV281" s="269"/>
      <c r="AW281" s="206" t="str">
        <f t="shared" ref="AW281:BB281" si="248">AW23</f>
        <v>#REF!</v>
      </c>
      <c r="AX281" s="206">
        <f t="shared" si="248"/>
        <v>0</v>
      </c>
      <c r="AY281" s="206">
        <f t="shared" si="248"/>
        <v>0</v>
      </c>
      <c r="AZ281" s="206">
        <f t="shared" si="248"/>
        <v>0</v>
      </c>
      <c r="BA281" s="464">
        <f t="shared" si="248"/>
        <v>0</v>
      </c>
      <c r="BB281" s="206">
        <f t="shared" si="248"/>
        <v>0</v>
      </c>
      <c r="BC281" s="465">
        <f t="shared" si="229"/>
        <v>0</v>
      </c>
      <c r="BD281" s="206"/>
      <c r="BE281" s="466"/>
    </row>
    <row r="282">
      <c r="A282" s="94"/>
      <c r="B282" s="310" t="s">
        <v>656</v>
      </c>
      <c r="C282" s="278" t="s">
        <v>657</v>
      </c>
      <c r="D282" s="243"/>
      <c r="E282" s="259"/>
      <c r="F282" s="281"/>
      <c r="G282" s="246"/>
      <c r="H282" s="282"/>
      <c r="I282" s="246"/>
      <c r="J282" s="282"/>
      <c r="K282" s="246"/>
      <c r="L282" s="261"/>
      <c r="M282" s="250"/>
      <c r="N282" s="246"/>
      <c r="O282" s="274" t="s">
        <v>458</v>
      </c>
      <c r="P282" s="246"/>
      <c r="R282" s="246"/>
      <c r="S282" s="261"/>
      <c r="T282" s="250"/>
      <c r="U282" s="246"/>
      <c r="V282" s="282"/>
      <c r="W282" s="246"/>
      <c r="X282" s="282"/>
      <c r="Y282" s="246"/>
      <c r="Z282" s="261"/>
      <c r="AA282" s="250"/>
      <c r="AB282" s="246"/>
      <c r="AC282" s="282"/>
      <c r="AD282" s="246"/>
      <c r="AE282" s="311" t="s">
        <v>434</v>
      </c>
      <c r="AF282" s="246"/>
      <c r="AG282" s="261"/>
      <c r="AH282" s="282"/>
      <c r="AI282" s="246"/>
      <c r="AJ282" s="282"/>
      <c r="AK282" s="246"/>
      <c r="AL282" s="282"/>
      <c r="AM282" s="246"/>
      <c r="AN282" s="261"/>
      <c r="AO282" s="250"/>
      <c r="AP282" s="246"/>
      <c r="AR282" s="246"/>
      <c r="AS282" s="276"/>
      <c r="AT282" s="254" t="str">
        <f t="shared" ref="AT282:AT284" si="250">IF(COUNTIF($AO$86:$AT$88, #REF!) &gt; 0, "X", "")</f>
        <v/>
      </c>
      <c r="AU282" s="269"/>
      <c r="AV282" s="269"/>
      <c r="AW282" s="206" t="str">
        <f t="shared" ref="AW282:BB282" si="249">AW24</f>
        <v>#REF!</v>
      </c>
      <c r="AX282" s="206">
        <f t="shared" si="249"/>
        <v>0</v>
      </c>
      <c r="AY282" s="206">
        <f t="shared" si="249"/>
        <v>0</v>
      </c>
      <c r="AZ282" s="206">
        <f t="shared" si="249"/>
        <v>0</v>
      </c>
      <c r="BA282" s="464">
        <f t="shared" si="249"/>
        <v>0</v>
      </c>
      <c r="BB282" s="206">
        <f t="shared" si="249"/>
        <v>0</v>
      </c>
      <c r="BC282" s="465">
        <f t="shared" si="229"/>
        <v>0</v>
      </c>
      <c r="BD282" s="206"/>
      <c r="BE282" s="466"/>
    </row>
    <row r="283">
      <c r="A283" s="94"/>
      <c r="B283" s="277" t="s">
        <v>658</v>
      </c>
      <c r="C283" s="278" t="s">
        <v>657</v>
      </c>
      <c r="D283" s="243"/>
      <c r="E283" s="259"/>
      <c r="G283" s="246"/>
      <c r="I283" s="246"/>
      <c r="J283" s="519" t="s">
        <v>419</v>
      </c>
      <c r="K283" s="246"/>
      <c r="L283" s="261"/>
      <c r="M283" s="250"/>
      <c r="N283" s="246"/>
      <c r="O283" s="311" t="s">
        <v>434</v>
      </c>
      <c r="P283" s="246"/>
      <c r="R283" s="246"/>
      <c r="S283" s="261"/>
      <c r="T283" s="250"/>
      <c r="U283" s="246"/>
      <c r="V283" s="282"/>
      <c r="W283" s="246"/>
      <c r="X283" s="282"/>
      <c r="Y283" s="246"/>
      <c r="Z283" s="261"/>
      <c r="AA283" s="250"/>
      <c r="AB283" s="246"/>
      <c r="AD283" s="246"/>
      <c r="AE283" s="339" t="s">
        <v>468</v>
      </c>
      <c r="AF283" s="246"/>
      <c r="AG283" s="261"/>
      <c r="AH283" s="282"/>
      <c r="AI283" s="246"/>
      <c r="AK283" s="246"/>
      <c r="AM283" s="246"/>
      <c r="AN283" s="261"/>
      <c r="AO283" s="250"/>
      <c r="AP283" s="246"/>
      <c r="AQ283" s="276"/>
      <c r="AR283" s="246"/>
      <c r="AT283" s="254" t="str">
        <f t="shared" si="250"/>
        <v/>
      </c>
      <c r="AU283" s="269"/>
      <c r="AV283" s="269"/>
      <c r="AW283" s="206" t="str">
        <f t="shared" ref="AW283:BB283" si="251">AW25</f>
        <v>#REF!</v>
      </c>
      <c r="AX283" s="206">
        <f t="shared" si="251"/>
        <v>0</v>
      </c>
      <c r="AY283" s="206">
        <f t="shared" si="251"/>
        <v>0</v>
      </c>
      <c r="AZ283" s="206">
        <f t="shared" si="251"/>
        <v>0</v>
      </c>
      <c r="BA283" s="464">
        <f t="shared" si="251"/>
        <v>0</v>
      </c>
      <c r="BB283" s="206">
        <f t="shared" si="251"/>
        <v>0</v>
      </c>
      <c r="BC283" s="465">
        <f t="shared" si="229"/>
        <v>0</v>
      </c>
      <c r="BD283" s="206"/>
      <c r="BE283" s="466"/>
    </row>
    <row r="284">
      <c r="A284" s="94"/>
      <c r="B284" s="314" t="s">
        <v>660</v>
      </c>
      <c r="C284" s="315" t="s">
        <v>649</v>
      </c>
      <c r="D284" s="243"/>
      <c r="E284" s="259"/>
      <c r="F284" s="632" t="s">
        <v>423</v>
      </c>
      <c r="G284" s="246"/>
      <c r="H284" s="293" t="s">
        <v>416</v>
      </c>
      <c r="I284" s="246"/>
      <c r="J284" s="353" t="s">
        <v>424</v>
      </c>
      <c r="K284" s="246"/>
      <c r="L284" s="261"/>
      <c r="M284" s="316"/>
      <c r="N284" s="246"/>
      <c r="O284" s="293" t="s">
        <v>416</v>
      </c>
      <c r="P284" s="246"/>
      <c r="Q284" s="353" t="s">
        <v>424</v>
      </c>
      <c r="R284" s="246"/>
      <c r="S284" s="261"/>
      <c r="T284" s="316"/>
      <c r="U284" s="246"/>
      <c r="V284" s="293" t="s">
        <v>416</v>
      </c>
      <c r="W284" s="246"/>
      <c r="X284" s="293" t="s">
        <v>421</v>
      </c>
      <c r="Y284" s="246"/>
      <c r="Z284" s="261"/>
      <c r="AA284" s="250"/>
      <c r="AB284" s="246"/>
      <c r="AC284" s="253" t="s">
        <v>417</v>
      </c>
      <c r="AD284" s="246"/>
      <c r="AE284" s="353" t="s">
        <v>421</v>
      </c>
      <c r="AF284" s="246"/>
      <c r="AG284" s="261"/>
      <c r="AH284" s="317"/>
      <c r="AI284" s="246"/>
      <c r="AJ284" s="253" t="s">
        <v>417</v>
      </c>
      <c r="AK284" s="246"/>
      <c r="AL284" s="353" t="s">
        <v>421</v>
      </c>
      <c r="AM284" s="246"/>
      <c r="AN284" s="261"/>
      <c r="AO284" s="316"/>
      <c r="AP284" s="246"/>
      <c r="AQ284" s="353" t="s">
        <v>426</v>
      </c>
      <c r="AR284" s="246"/>
      <c r="AS284" s="632" t="s">
        <v>423</v>
      </c>
      <c r="AT284" s="254" t="str">
        <f t="shared" si="250"/>
        <v/>
      </c>
      <c r="AU284" s="269"/>
      <c r="AV284" s="269"/>
      <c r="AW284" s="206" t="str">
        <f t="shared" ref="AW284:BB284" si="252">AW26</f>
        <v>#REF!</v>
      </c>
      <c r="AX284" s="206">
        <f t="shared" si="252"/>
        <v>0</v>
      </c>
      <c r="AY284" s="206">
        <f t="shared" si="252"/>
        <v>0</v>
      </c>
      <c r="AZ284" s="206">
        <f t="shared" si="252"/>
        <v>0</v>
      </c>
      <c r="BA284" s="464">
        <f t="shared" si="252"/>
        <v>0</v>
      </c>
      <c r="BB284" s="206">
        <f t="shared" si="252"/>
        <v>0</v>
      </c>
      <c r="BC284" s="465">
        <f t="shared" si="229"/>
        <v>0</v>
      </c>
      <c r="BD284" s="206"/>
      <c r="BE284" s="466"/>
    </row>
    <row r="285">
      <c r="A285" s="94"/>
      <c r="B285" s="296" t="s">
        <v>650</v>
      </c>
      <c r="C285" s="297" t="s">
        <v>649</v>
      </c>
      <c r="D285" s="243"/>
      <c r="E285" s="259"/>
      <c r="F285" s="300"/>
      <c r="G285" s="298"/>
      <c r="H285" s="300"/>
      <c r="I285" s="298"/>
      <c r="J285" s="574" t="s">
        <v>426</v>
      </c>
      <c r="K285" s="298"/>
      <c r="L285" s="261"/>
      <c r="M285" s="250"/>
      <c r="N285" s="298"/>
      <c r="O285" s="300"/>
      <c r="P285" s="298"/>
      <c r="Q285" s="632" t="s">
        <v>423</v>
      </c>
      <c r="R285" s="298"/>
      <c r="S285" s="261"/>
      <c r="T285" s="250"/>
      <c r="U285" s="298"/>
      <c r="V285" s="300"/>
      <c r="W285" s="298"/>
      <c r="X285" s="300"/>
      <c r="Y285" s="298"/>
      <c r="Z285" s="261"/>
      <c r="AA285" s="250"/>
      <c r="AB285" s="298"/>
      <c r="AC285" s="319"/>
      <c r="AD285" s="298"/>
      <c r="AE285" s="632" t="s">
        <v>423</v>
      </c>
      <c r="AF285" s="298"/>
      <c r="AG285" s="261"/>
      <c r="AH285" s="317"/>
      <c r="AI285" s="298"/>
      <c r="AJ285" s="300"/>
      <c r="AK285" s="298"/>
      <c r="AL285" s="300"/>
      <c r="AM285" s="298"/>
      <c r="AN285" s="261"/>
      <c r="AO285" s="250"/>
      <c r="AP285" s="298"/>
      <c r="AQ285" s="300"/>
      <c r="AR285" s="298"/>
      <c r="AS285" s="299"/>
      <c r="AT285" s="254" t="str">
        <f>IF(COUNTIF($AO$86:$AT$88, AS286) &gt; 0, "X", "")</f>
        <v/>
      </c>
      <c r="AU285" s="269"/>
      <c r="AV285" s="269"/>
      <c r="AW285" s="206" t="str">
        <f t="shared" ref="AW285:BB285" si="253">AW27</f>
        <v>#REF!</v>
      </c>
      <c r="AX285" s="206">
        <f t="shared" si="253"/>
        <v>0</v>
      </c>
      <c r="AY285" s="206">
        <f t="shared" si="253"/>
        <v>0</v>
      </c>
      <c r="AZ285" s="206">
        <f t="shared" si="253"/>
        <v>0</v>
      </c>
      <c r="BA285" s="464">
        <f t="shared" si="253"/>
        <v>0</v>
      </c>
      <c r="BB285" s="206">
        <f t="shared" si="253"/>
        <v>0</v>
      </c>
      <c r="BC285" s="465">
        <f t="shared" si="229"/>
        <v>0</v>
      </c>
      <c r="BD285" s="206"/>
      <c r="BE285" s="466"/>
    </row>
    <row r="286">
      <c r="A286" s="94"/>
      <c r="B286" s="301" t="s">
        <v>651</v>
      </c>
      <c r="C286" s="302" t="s">
        <v>652</v>
      </c>
      <c r="D286" s="323"/>
      <c r="E286" s="259"/>
      <c r="F286" s="303"/>
      <c r="G286" s="298"/>
      <c r="H286" s="303"/>
      <c r="I286" s="298"/>
      <c r="J286" s="303"/>
      <c r="K286" s="298"/>
      <c r="L286" s="261"/>
      <c r="M286" s="250"/>
      <c r="N286" s="298"/>
      <c r="O286" s="303"/>
      <c r="P286" s="298"/>
      <c r="Q286" s="484"/>
      <c r="R286" s="298"/>
      <c r="S286" s="261"/>
      <c r="T286" s="250"/>
      <c r="U286" s="298"/>
      <c r="V286" s="303"/>
      <c r="W286" s="298"/>
      <c r="X286" s="483"/>
      <c r="Y286" s="298"/>
      <c r="Z286" s="261"/>
      <c r="AA286" s="250"/>
      <c r="AB286" s="298"/>
      <c r="AC286" s="303"/>
      <c r="AD286" s="298"/>
      <c r="AE286" s="303"/>
      <c r="AF286" s="298"/>
      <c r="AG286" s="261"/>
      <c r="AH286" s="320"/>
      <c r="AI286" s="298"/>
      <c r="AJ286" s="303"/>
      <c r="AK286" s="298"/>
      <c r="AL286" s="303"/>
      <c r="AM286" s="298"/>
      <c r="AN286" s="261"/>
      <c r="AO286" s="250"/>
      <c r="AP286" s="298"/>
      <c r="AQ286" s="303"/>
      <c r="AR286" s="298"/>
      <c r="AS286" s="303"/>
      <c r="AT286" s="254" t="str">
        <f t="shared" ref="AT286:AT287" si="255">IF(COUNTIF($AO$86:$AT$88, #REF!) &gt; 0, "X", "")</f>
        <v/>
      </c>
      <c r="AU286" s="269"/>
      <c r="AV286" s="269"/>
      <c r="AW286" s="206" t="str">
        <f t="shared" ref="AW286:BB286" si="254">AW28</f>
        <v>#REF!</v>
      </c>
      <c r="AX286" s="206">
        <f t="shared" si="254"/>
        <v>0</v>
      </c>
      <c r="AY286" s="206">
        <f t="shared" si="254"/>
        <v>0</v>
      </c>
      <c r="AZ286" s="206">
        <f t="shared" si="254"/>
        <v>0</v>
      </c>
      <c r="BA286" s="464">
        <f t="shared" si="254"/>
        <v>0</v>
      </c>
      <c r="BB286" s="206">
        <f t="shared" si="254"/>
        <v>0</v>
      </c>
      <c r="BC286" s="465">
        <f t="shared" si="229"/>
        <v>0</v>
      </c>
      <c r="BD286" s="206"/>
      <c r="BE286" s="466"/>
    </row>
    <row r="287">
      <c r="A287" s="94"/>
      <c r="B287" s="322" t="s">
        <v>662</v>
      </c>
      <c r="C287" s="306" t="s">
        <v>663</v>
      </c>
      <c r="D287" s="330"/>
      <c r="E287" s="259"/>
      <c r="F287" s="307"/>
      <c r="G287" s="298"/>
      <c r="H287" s="307"/>
      <c r="I287" s="298"/>
      <c r="J287" s="309" t="s">
        <v>409</v>
      </c>
      <c r="K287" s="298"/>
      <c r="L287" s="261"/>
      <c r="M287" s="324"/>
      <c r="N287" s="298"/>
      <c r="O287" s="307"/>
      <c r="P287" s="298"/>
      <c r="Q287" s="309" t="s">
        <v>414</v>
      </c>
      <c r="R287" s="298"/>
      <c r="S287" s="261"/>
      <c r="T287" s="324"/>
      <c r="U287" s="298"/>
      <c r="V287" s="307"/>
      <c r="W287" s="298"/>
      <c r="X287" s="309" t="s">
        <v>409</v>
      </c>
      <c r="Y287" s="298"/>
      <c r="Z287" s="261"/>
      <c r="AA287" s="250"/>
      <c r="AB287" s="298"/>
      <c r="AC287" s="307"/>
      <c r="AD287" s="298"/>
      <c r="AE287" s="307"/>
      <c r="AF287" s="298"/>
      <c r="AG287" s="261"/>
      <c r="AH287" s="317"/>
      <c r="AI287" s="298"/>
      <c r="AJ287" s="307"/>
      <c r="AK287" s="298"/>
      <c r="AL287" s="307"/>
      <c r="AM287" s="298"/>
      <c r="AN287" s="261"/>
      <c r="AO287" s="324"/>
      <c r="AP287" s="298"/>
      <c r="AQ287" s="307"/>
      <c r="AR287" s="298"/>
      <c r="AS287" s="307"/>
      <c r="AT287" s="254" t="str">
        <f t="shared" si="255"/>
        <v/>
      </c>
      <c r="AU287" s="269"/>
      <c r="AV287" s="269"/>
      <c r="AW287" s="206" t="str">
        <f t="shared" ref="AW287:BB287" si="256">AW29</f>
        <v>#REF!</v>
      </c>
      <c r="AX287" s="206">
        <f t="shared" si="256"/>
        <v>0</v>
      </c>
      <c r="AY287" s="206">
        <f t="shared" si="256"/>
        <v>0</v>
      </c>
      <c r="AZ287" s="206">
        <f t="shared" si="256"/>
        <v>0</v>
      </c>
      <c r="BA287" s="464">
        <f t="shared" si="256"/>
        <v>0</v>
      </c>
      <c r="BB287" s="206">
        <f t="shared" si="256"/>
        <v>0</v>
      </c>
      <c r="BC287" s="465">
        <f t="shared" si="229"/>
        <v>0</v>
      </c>
      <c r="BD287" s="206"/>
      <c r="BE287" s="466"/>
    </row>
    <row r="288">
      <c r="A288" s="94"/>
      <c r="B288" s="328" t="s">
        <v>665</v>
      </c>
      <c r="C288" s="329" t="s">
        <v>654</v>
      </c>
      <c r="D288" s="330"/>
      <c r="E288" s="259"/>
      <c r="F288" s="274" t="s">
        <v>443</v>
      </c>
      <c r="G288" s="246"/>
      <c r="H288" s="274" t="s">
        <v>458</v>
      </c>
      <c r="I288" s="246"/>
      <c r="J288" s="311" t="s">
        <v>434</v>
      </c>
      <c r="K288" s="246"/>
      <c r="L288" s="261"/>
      <c r="M288" s="333"/>
      <c r="N288" s="246"/>
      <c r="O288" s="311" t="s">
        <v>439</v>
      </c>
      <c r="P288" s="246"/>
      <c r="Q288" s="274" t="s">
        <v>443</v>
      </c>
      <c r="R288" s="246"/>
      <c r="S288" s="261"/>
      <c r="T288" s="333"/>
      <c r="U288" s="246"/>
      <c r="V288" s="274" t="s">
        <v>458</v>
      </c>
      <c r="W288" s="246"/>
      <c r="X288" s="311" t="s">
        <v>434</v>
      </c>
      <c r="Y288" s="246"/>
      <c r="Z288" s="261"/>
      <c r="AA288" s="250"/>
      <c r="AB288" s="246"/>
      <c r="AC288" s="311" t="s">
        <v>459</v>
      </c>
      <c r="AD288" s="246"/>
      <c r="AE288" s="274" t="s">
        <v>443</v>
      </c>
      <c r="AF288" s="246"/>
      <c r="AG288" s="261"/>
      <c r="AH288" s="320"/>
      <c r="AI288" s="246"/>
      <c r="AJ288" s="274" t="s">
        <v>439</v>
      </c>
      <c r="AK288" s="246"/>
      <c r="AL288" s="311" t="s">
        <v>434</v>
      </c>
      <c r="AM288" s="246"/>
      <c r="AN288" s="261"/>
      <c r="AO288" s="333"/>
      <c r="AP288" s="246"/>
      <c r="AQ288" s="274" t="s">
        <v>458</v>
      </c>
      <c r="AR288" s="246"/>
      <c r="AS288" s="274" t="s">
        <v>449</v>
      </c>
      <c r="AT288" s="254" t="str">
        <f>IF(COUNTIF($AO$86:$AT$88, AH298) &gt; 0, "X", "")</f>
        <v/>
      </c>
      <c r="AU288" s="269"/>
      <c r="AV288" s="269"/>
      <c r="AW288" s="206" t="str">
        <f t="shared" ref="AW288:BB288" si="257">AW30</f>
        <v>#REF!</v>
      </c>
      <c r="AX288" s="206">
        <f t="shared" si="257"/>
        <v>0</v>
      </c>
      <c r="AY288" s="206">
        <f t="shared" si="257"/>
        <v>0</v>
      </c>
      <c r="AZ288" s="206">
        <f t="shared" si="257"/>
        <v>0</v>
      </c>
      <c r="BA288" s="464">
        <f t="shared" si="257"/>
        <v>0</v>
      </c>
      <c r="BB288" s="206">
        <f t="shared" si="257"/>
        <v>0</v>
      </c>
      <c r="BC288" s="465">
        <f t="shared" si="229"/>
        <v>0</v>
      </c>
      <c r="BD288" s="206"/>
      <c r="BE288" s="466"/>
    </row>
    <row r="289">
      <c r="A289" s="94"/>
      <c r="B289" s="337" t="s">
        <v>665</v>
      </c>
      <c r="C289" s="338" t="s">
        <v>657</v>
      </c>
      <c r="D289" s="330"/>
      <c r="E289" s="259"/>
      <c r="F289" s="274" t="s">
        <v>448</v>
      </c>
      <c r="G289" s="246"/>
      <c r="H289" s="311" t="s">
        <v>459</v>
      </c>
      <c r="I289" s="246"/>
      <c r="J289" s="339" t="s">
        <v>447</v>
      </c>
      <c r="K289" s="246"/>
      <c r="L289" s="261"/>
      <c r="M289" s="324"/>
      <c r="N289" s="246"/>
      <c r="O289" s="336" t="s">
        <v>450</v>
      </c>
      <c r="P289" s="246"/>
      <c r="Q289" s="661" t="s">
        <v>409</v>
      </c>
      <c r="R289" s="246"/>
      <c r="S289" s="261"/>
      <c r="T289" s="324"/>
      <c r="U289" s="246"/>
      <c r="V289" s="311" t="s">
        <v>459</v>
      </c>
      <c r="W289" s="246"/>
      <c r="X289" s="274" t="s">
        <v>443</v>
      </c>
      <c r="Y289" s="246"/>
      <c r="Z289" s="261"/>
      <c r="AA289" s="250"/>
      <c r="AB289" s="246"/>
      <c r="AC289" s="336" t="s">
        <v>450</v>
      </c>
      <c r="AD289" s="246"/>
      <c r="AE289" s="661" t="s">
        <v>409</v>
      </c>
      <c r="AF289" s="246"/>
      <c r="AG289" s="261"/>
      <c r="AH289" s="320"/>
      <c r="AI289" s="246"/>
      <c r="AJ289" s="311" t="s">
        <v>459</v>
      </c>
      <c r="AK289" s="246"/>
      <c r="AL289" s="274" t="s">
        <v>409</v>
      </c>
      <c r="AM289" s="246"/>
      <c r="AN289" s="261"/>
      <c r="AO289" s="324"/>
      <c r="AP289" s="246"/>
      <c r="AQ289" s="336" t="s">
        <v>450</v>
      </c>
      <c r="AR289" s="246"/>
      <c r="AS289" s="274" t="s">
        <v>443</v>
      </c>
      <c r="AT289" s="254" t="str">
        <f t="shared" ref="AT289:AT293" si="259">IF(COUNTIF($AO$86:$AT$88, #REF!) &gt; 0, "X", "")</f>
        <v/>
      </c>
      <c r="AU289" s="269"/>
      <c r="AV289" s="269"/>
      <c r="AW289" s="206" t="str">
        <f t="shared" ref="AW289:BB289" si="258">AW31</f>
        <v>#REF!</v>
      </c>
      <c r="AX289" s="206">
        <f t="shared" si="258"/>
        <v>0</v>
      </c>
      <c r="AY289" s="206">
        <f t="shared" si="258"/>
        <v>0</v>
      </c>
      <c r="AZ289" s="206">
        <f t="shared" si="258"/>
        <v>0</v>
      </c>
      <c r="BA289" s="464">
        <f t="shared" si="258"/>
        <v>0</v>
      </c>
      <c r="BB289" s="206">
        <f t="shared" si="258"/>
        <v>0</v>
      </c>
      <c r="BC289" s="465">
        <f t="shared" si="229"/>
        <v>0</v>
      </c>
      <c r="BD289" s="206"/>
      <c r="BE289" s="466"/>
    </row>
    <row r="290">
      <c r="A290" s="94"/>
      <c r="B290" s="256" t="s">
        <v>665</v>
      </c>
      <c r="C290" s="257" t="s">
        <v>663</v>
      </c>
      <c r="D290" s="330"/>
      <c r="E290" s="259"/>
      <c r="G290" s="246"/>
      <c r="I290" s="246"/>
      <c r="J290" s="339" t="s">
        <v>468</v>
      </c>
      <c r="K290" s="246"/>
      <c r="L290" s="261"/>
      <c r="M290" s="341"/>
      <c r="N290" s="246"/>
      <c r="P290" s="246"/>
      <c r="Q290" s="274" t="s">
        <v>415</v>
      </c>
      <c r="R290" s="246"/>
      <c r="S290" s="261"/>
      <c r="T290" s="341"/>
      <c r="U290" s="246"/>
      <c r="V290" s="274" t="s">
        <v>439</v>
      </c>
      <c r="W290" s="246"/>
      <c r="X290" s="274" t="s">
        <v>448</v>
      </c>
      <c r="Y290" s="246"/>
      <c r="Z290" s="261"/>
      <c r="AA290" s="250"/>
      <c r="AB290" s="246"/>
      <c r="AD290" s="246"/>
      <c r="AF290" s="246"/>
      <c r="AG290" s="261"/>
      <c r="AH290" s="320"/>
      <c r="AI290" s="246"/>
      <c r="AJ290" s="274" t="s">
        <v>448</v>
      </c>
      <c r="AK290" s="246"/>
      <c r="AL290" s="274" t="s">
        <v>415</v>
      </c>
      <c r="AM290" s="246"/>
      <c r="AN290" s="261"/>
      <c r="AO290" s="341"/>
      <c r="AP290" s="246"/>
      <c r="AR290" s="246"/>
      <c r="AT290" s="254" t="str">
        <f t="shared" si="259"/>
        <v/>
      </c>
      <c r="AU290" s="269"/>
      <c r="AV290" s="269"/>
      <c r="AW290" s="206" t="str">
        <f t="shared" ref="AW290:BB290" si="260">AW32</f>
        <v>#REF!</v>
      </c>
      <c r="AX290" s="206">
        <f t="shared" si="260"/>
        <v>0</v>
      </c>
      <c r="AY290" s="206">
        <f t="shared" si="260"/>
        <v>0</v>
      </c>
      <c r="AZ290" s="206">
        <f t="shared" si="260"/>
        <v>0</v>
      </c>
      <c r="BA290" s="464">
        <f t="shared" si="260"/>
        <v>0</v>
      </c>
      <c r="BB290" s="206">
        <f t="shared" si="260"/>
        <v>0</v>
      </c>
      <c r="BC290" s="465">
        <f t="shared" si="229"/>
        <v>0</v>
      </c>
      <c r="BD290" s="206"/>
      <c r="BE290" s="466"/>
    </row>
    <row r="291">
      <c r="A291" s="94"/>
      <c r="B291" s="328" t="s">
        <v>665</v>
      </c>
      <c r="C291" s="329" t="s">
        <v>645</v>
      </c>
      <c r="D291" s="323"/>
      <c r="E291" s="261"/>
      <c r="F291" s="274" t="s">
        <v>414</v>
      </c>
      <c r="G291" s="246"/>
      <c r="H291" s="274" t="s">
        <v>415</v>
      </c>
      <c r="I291" s="246"/>
      <c r="K291" s="246"/>
      <c r="L291" s="261"/>
      <c r="M291" s="341"/>
      <c r="N291" s="246"/>
      <c r="O291" s="311" t="s">
        <v>459</v>
      </c>
      <c r="P291" s="246"/>
      <c r="Q291" s="274" t="s">
        <v>448</v>
      </c>
      <c r="R291" s="246"/>
      <c r="S291" s="261"/>
      <c r="T291" s="341"/>
      <c r="U291" s="246"/>
      <c r="V291" s="336" t="s">
        <v>450</v>
      </c>
      <c r="W291" s="246"/>
      <c r="Y291" s="246"/>
      <c r="Z291" s="261"/>
      <c r="AA291" s="250"/>
      <c r="AB291" s="246"/>
      <c r="AC291" s="274" t="s">
        <v>415</v>
      </c>
      <c r="AD291" s="246"/>
      <c r="AE291" s="274" t="s">
        <v>448</v>
      </c>
      <c r="AF291" s="246"/>
      <c r="AG291" s="261"/>
      <c r="AH291" s="320"/>
      <c r="AI291" s="246"/>
      <c r="AJ291" s="336" t="s">
        <v>450</v>
      </c>
      <c r="AK291" s="246"/>
      <c r="AL291" s="339" t="s">
        <v>468</v>
      </c>
      <c r="AM291" s="246"/>
      <c r="AN291" s="261"/>
      <c r="AO291" s="341"/>
      <c r="AP291" s="246"/>
      <c r="AR291" s="246"/>
      <c r="AS291" s="274" t="s">
        <v>415</v>
      </c>
      <c r="AT291" s="254" t="str">
        <f t="shared" si="259"/>
        <v/>
      </c>
      <c r="AU291" s="269"/>
      <c r="AV291" s="269"/>
      <c r="AW291" s="206" t="str">
        <f t="shared" ref="AW291:BB291" si="261">AW33</f>
        <v>#REF!</v>
      </c>
      <c r="AX291" s="206">
        <f t="shared" si="261"/>
        <v>0</v>
      </c>
      <c r="AY291" s="206">
        <f t="shared" si="261"/>
        <v>0</v>
      </c>
      <c r="AZ291" s="206">
        <f t="shared" si="261"/>
        <v>0</v>
      </c>
      <c r="BA291" s="464">
        <f t="shared" si="261"/>
        <v>0</v>
      </c>
      <c r="BB291" s="206">
        <f t="shared" si="261"/>
        <v>0</v>
      </c>
      <c r="BC291" s="465">
        <f t="shared" si="229"/>
        <v>0</v>
      </c>
      <c r="BD291" s="206"/>
      <c r="BE291" s="466"/>
    </row>
    <row r="292">
      <c r="A292" s="94"/>
      <c r="B292" s="342" t="s">
        <v>667</v>
      </c>
      <c r="C292" s="343" t="s">
        <v>657</v>
      </c>
      <c r="D292" s="351"/>
      <c r="E292" s="259"/>
      <c r="F292" s="345" t="s">
        <v>401</v>
      </c>
      <c r="G292" s="246"/>
      <c r="H292" s="282"/>
      <c r="I292" s="246"/>
      <c r="K292" s="246"/>
      <c r="L292" s="261"/>
      <c r="M292" s="346"/>
      <c r="N292" s="246"/>
      <c r="O292" s="345" t="s">
        <v>401</v>
      </c>
      <c r="P292" s="246"/>
      <c r="R292" s="246"/>
      <c r="S292" s="261"/>
      <c r="T292" s="346"/>
      <c r="U292" s="246"/>
      <c r="W292" s="246"/>
      <c r="X292" s="339" t="s">
        <v>468</v>
      </c>
      <c r="Y292" s="246"/>
      <c r="Z292" s="261"/>
      <c r="AA292" s="250"/>
      <c r="AB292" s="246"/>
      <c r="AC292" s="347" t="s">
        <v>401</v>
      </c>
      <c r="AD292" s="246"/>
      <c r="AF292" s="246"/>
      <c r="AG292" s="261"/>
      <c r="AH292" s="345" t="s">
        <v>401</v>
      </c>
      <c r="AI292" s="246"/>
      <c r="AK292" s="246"/>
      <c r="AM292" s="246"/>
      <c r="AN292" s="261"/>
      <c r="AO292" s="346"/>
      <c r="AP292" s="246"/>
      <c r="AQ292" s="345" t="s">
        <v>401</v>
      </c>
      <c r="AR292" s="246"/>
      <c r="AT292" s="254" t="str">
        <f t="shared" si="259"/>
        <v/>
      </c>
      <c r="AU292" s="269"/>
      <c r="AV292" s="269"/>
      <c r="AW292" s="206" t="str">
        <f t="shared" ref="AW292:BB292" si="262">AW34</f>
        <v>#REF!</v>
      </c>
      <c r="AX292" s="206">
        <f t="shared" si="262"/>
        <v>0</v>
      </c>
      <c r="AY292" s="206">
        <f t="shared" si="262"/>
        <v>0</v>
      </c>
      <c r="AZ292" s="206">
        <f t="shared" si="262"/>
        <v>0</v>
      </c>
      <c r="BA292" s="464">
        <f t="shared" si="262"/>
        <v>0</v>
      </c>
      <c r="BB292" s="206">
        <f t="shared" si="262"/>
        <v>0</v>
      </c>
      <c r="BC292" s="465">
        <f t="shared" si="229"/>
        <v>0</v>
      </c>
      <c r="BD292" s="206"/>
      <c r="BE292" s="466"/>
    </row>
    <row r="293">
      <c r="A293" s="94"/>
      <c r="B293" s="349" t="s">
        <v>669</v>
      </c>
      <c r="C293" s="350" t="s">
        <v>649</v>
      </c>
      <c r="D293" s="323"/>
      <c r="E293" s="259"/>
      <c r="F293" s="575" t="s">
        <v>834</v>
      </c>
      <c r="G293" s="246"/>
      <c r="H293" s="633" t="s">
        <v>420</v>
      </c>
      <c r="I293" s="246"/>
      <c r="J293" s="353" t="s">
        <v>421</v>
      </c>
      <c r="K293" s="246"/>
      <c r="L293" s="261"/>
      <c r="M293" s="354"/>
      <c r="N293" s="246"/>
      <c r="O293" s="253" t="s">
        <v>417</v>
      </c>
      <c r="P293" s="246"/>
      <c r="Q293" s="353" t="s">
        <v>421</v>
      </c>
      <c r="R293" s="246"/>
      <c r="S293" s="261"/>
      <c r="T293" s="354"/>
      <c r="U293" s="246"/>
      <c r="V293" s="633" t="s">
        <v>420</v>
      </c>
      <c r="W293" s="246"/>
      <c r="X293" s="293" t="s">
        <v>422</v>
      </c>
      <c r="Y293" s="246"/>
      <c r="Z293" s="261"/>
      <c r="AA293" s="354"/>
      <c r="AB293" s="246"/>
      <c r="AC293" s="355" t="s">
        <v>670</v>
      </c>
      <c r="AD293" s="246"/>
      <c r="AE293" s="293" t="s">
        <v>422</v>
      </c>
      <c r="AF293" s="246"/>
      <c r="AG293" s="261"/>
      <c r="AH293" s="293" t="s">
        <v>422</v>
      </c>
      <c r="AI293" s="246"/>
      <c r="AJ293" s="355" t="s">
        <v>670</v>
      </c>
      <c r="AK293" s="246"/>
      <c r="AL293" s="632" t="s">
        <v>423</v>
      </c>
      <c r="AM293" s="246"/>
      <c r="AN293" s="261"/>
      <c r="AO293" s="354"/>
      <c r="AP293" s="246"/>
      <c r="AQ293" s="253" t="s">
        <v>417</v>
      </c>
      <c r="AR293" s="246"/>
      <c r="AS293" s="293" t="s">
        <v>422</v>
      </c>
      <c r="AT293" s="254" t="str">
        <f t="shared" si="259"/>
        <v/>
      </c>
      <c r="AU293" s="269"/>
      <c r="AV293" s="269"/>
      <c r="AW293" s="206" t="str">
        <f t="shared" ref="AW293:BB293" si="263">AW35</f>
        <v>#REF!</v>
      </c>
      <c r="AX293" s="206">
        <f t="shared" si="263"/>
        <v>0</v>
      </c>
      <c r="AY293" s="206">
        <f t="shared" si="263"/>
        <v>0</v>
      </c>
      <c r="AZ293" s="206">
        <f t="shared" si="263"/>
        <v>0</v>
      </c>
      <c r="BA293" s="464">
        <f t="shared" si="263"/>
        <v>0</v>
      </c>
      <c r="BB293" s="206">
        <f t="shared" si="263"/>
        <v>0</v>
      </c>
      <c r="BC293" s="465">
        <f t="shared" si="229"/>
        <v>0</v>
      </c>
      <c r="BD293" s="206"/>
      <c r="BE293" s="466"/>
    </row>
    <row r="294">
      <c r="A294" s="234"/>
      <c r="B294" s="296" t="s">
        <v>650</v>
      </c>
      <c r="C294" s="297" t="s">
        <v>649</v>
      </c>
      <c r="D294" s="330"/>
      <c r="E294" s="259"/>
      <c r="F294" s="358"/>
      <c r="G294" s="298"/>
      <c r="H294" s="358"/>
      <c r="I294" s="298"/>
      <c r="J294" s="299"/>
      <c r="K294" s="298"/>
      <c r="L294" s="261"/>
      <c r="M294" s="324"/>
      <c r="N294" s="298"/>
      <c r="O294" s="358"/>
      <c r="P294" s="298"/>
      <c r="Q294" s="293" t="s">
        <v>422</v>
      </c>
      <c r="R294" s="298"/>
      <c r="S294" s="261"/>
      <c r="T294" s="324"/>
      <c r="U294" s="298"/>
      <c r="V294" s="253" t="s">
        <v>417</v>
      </c>
      <c r="W294" s="298"/>
      <c r="X294" s="300"/>
      <c r="Y294" s="298"/>
      <c r="Z294" s="261"/>
      <c r="AA294" s="324"/>
      <c r="AB294" s="298"/>
      <c r="AC294" s="293" t="s">
        <v>426</v>
      </c>
      <c r="AD294" s="298"/>
      <c r="AE294" s="358"/>
      <c r="AF294" s="298"/>
      <c r="AG294" s="261"/>
      <c r="AH294" s="319"/>
      <c r="AI294" s="298"/>
      <c r="AJ294" s="293" t="s">
        <v>426</v>
      </c>
      <c r="AK294" s="298"/>
      <c r="AL294" s="300"/>
      <c r="AM294" s="298"/>
      <c r="AN294" s="261"/>
      <c r="AO294" s="324"/>
      <c r="AP294" s="298"/>
      <c r="AQ294" s="359"/>
      <c r="AR294" s="298"/>
      <c r="AS294" s="359"/>
      <c r="AT294" s="254" t="str">
        <f>IF(COUNTIF($AO$86:$AT$88, AS295) &gt; 0, "X", "")</f>
        <v/>
      </c>
      <c r="AU294" s="269"/>
      <c r="AV294" s="269"/>
      <c r="AW294" s="206" t="str">
        <f t="shared" ref="AW294:BB294" si="264">AW36</f>
        <v>#REF!</v>
      </c>
      <c r="AX294" s="206">
        <f t="shared" si="264"/>
        <v>0</v>
      </c>
      <c r="AY294" s="206">
        <f t="shared" si="264"/>
        <v>0</v>
      </c>
      <c r="AZ294" s="206">
        <f t="shared" si="264"/>
        <v>0</v>
      </c>
      <c r="BA294" s="464">
        <f t="shared" si="264"/>
        <v>0</v>
      </c>
      <c r="BB294" s="206">
        <f t="shared" si="264"/>
        <v>0</v>
      </c>
      <c r="BC294" s="465">
        <f t="shared" si="229"/>
        <v>0</v>
      </c>
      <c r="BD294" s="206"/>
      <c r="BE294" s="466"/>
    </row>
    <row r="295">
      <c r="A295" s="94"/>
      <c r="B295" s="301" t="s">
        <v>651</v>
      </c>
      <c r="C295" s="302" t="s">
        <v>652</v>
      </c>
      <c r="D295" s="363"/>
      <c r="E295" s="259"/>
      <c r="F295" s="303"/>
      <c r="G295" s="298"/>
      <c r="H295" s="360" t="s">
        <v>899</v>
      </c>
      <c r="I295" s="298"/>
      <c r="J295" s="483" t="s">
        <v>695</v>
      </c>
      <c r="K295" s="298"/>
      <c r="L295" s="261"/>
      <c r="M295" s="250"/>
      <c r="N295" s="298"/>
      <c r="O295" s="304"/>
      <c r="P295" s="298"/>
      <c r="Q295" s="303"/>
      <c r="R295" s="298"/>
      <c r="S295" s="261"/>
      <c r="T295" s="250"/>
      <c r="U295" s="298"/>
      <c r="V295" s="303"/>
      <c r="W295" s="298"/>
      <c r="X295" s="483" t="s">
        <v>695</v>
      </c>
      <c r="Y295" s="298"/>
      <c r="Z295" s="261"/>
      <c r="AA295" s="250"/>
      <c r="AB295" s="298"/>
      <c r="AC295" s="304"/>
      <c r="AD295" s="298"/>
      <c r="AE295" s="303"/>
      <c r="AF295" s="298"/>
      <c r="AG295" s="261"/>
      <c r="AH295" s="303"/>
      <c r="AI295" s="298"/>
      <c r="AJ295" s="304"/>
      <c r="AK295" s="298"/>
      <c r="AL295" s="483" t="s">
        <v>695</v>
      </c>
      <c r="AM295" s="298"/>
      <c r="AN295" s="261"/>
      <c r="AO295" s="250"/>
      <c r="AP295" s="298"/>
      <c r="AQ295" s="303"/>
      <c r="AR295" s="298"/>
      <c r="AS295" s="303"/>
      <c r="AT295" s="254" t="str">
        <f t="shared" ref="AT295:AT296" si="266">IF(COUNTIF($AO$86:$AT$88, #REF!) &gt; 0, "X", "")</f>
        <v/>
      </c>
      <c r="AU295" s="269"/>
      <c r="AV295" s="269"/>
      <c r="AW295" s="206" t="str">
        <f t="shared" ref="AW295:BB295" si="265">AW37</f>
        <v>#REF!</v>
      </c>
      <c r="AX295" s="206">
        <f t="shared" si="265"/>
        <v>0</v>
      </c>
      <c r="AY295" s="206">
        <f t="shared" si="265"/>
        <v>0</v>
      </c>
      <c r="AZ295" s="206">
        <f t="shared" si="265"/>
        <v>0</v>
      </c>
      <c r="BA295" s="464">
        <f t="shared" si="265"/>
        <v>0</v>
      </c>
      <c r="BB295" s="206">
        <f t="shared" si="265"/>
        <v>0</v>
      </c>
      <c r="BC295" s="465">
        <f t="shared" si="229"/>
        <v>0</v>
      </c>
      <c r="BD295" s="206"/>
      <c r="BE295" s="466"/>
    </row>
    <row r="296">
      <c r="A296" s="94"/>
      <c r="B296" s="361" t="s">
        <v>673</v>
      </c>
      <c r="C296" s="362" t="s">
        <v>674</v>
      </c>
      <c r="D296" s="369"/>
      <c r="E296" s="259"/>
      <c r="F296" s="366" t="s">
        <v>676</v>
      </c>
      <c r="G296" s="298"/>
      <c r="H296" s="336" t="s">
        <v>412</v>
      </c>
      <c r="I296" s="298"/>
      <c r="J296" s="365" t="s">
        <v>433</v>
      </c>
      <c r="K296" s="298"/>
      <c r="L296" s="261"/>
      <c r="M296" s="324"/>
      <c r="N296" s="298"/>
      <c r="O296" s="336" t="s">
        <v>412</v>
      </c>
      <c r="P296" s="298"/>
      <c r="Q296" s="366" t="s">
        <v>676</v>
      </c>
      <c r="R296" s="298"/>
      <c r="S296" s="261"/>
      <c r="T296" s="324"/>
      <c r="U296" s="298"/>
      <c r="V296" s="336" t="s">
        <v>412</v>
      </c>
      <c r="W296" s="298"/>
      <c r="X296" s="366" t="s">
        <v>676</v>
      </c>
      <c r="Y296" s="298"/>
      <c r="Z296" s="261"/>
      <c r="AA296" s="324"/>
      <c r="AB296" s="298"/>
      <c r="AC296" s="336" t="s">
        <v>412</v>
      </c>
      <c r="AD296" s="298"/>
      <c r="AE296" s="251" t="s">
        <v>457</v>
      </c>
      <c r="AF296" s="298"/>
      <c r="AG296" s="261"/>
      <c r="AH296" s="366" t="s">
        <v>676</v>
      </c>
      <c r="AI296" s="298"/>
      <c r="AJ296" s="336" t="s">
        <v>412</v>
      </c>
      <c r="AK296" s="298"/>
      <c r="AL296" s="251" t="s">
        <v>457</v>
      </c>
      <c r="AM296" s="298"/>
      <c r="AN296" s="261"/>
      <c r="AO296" s="324"/>
      <c r="AP296" s="298"/>
      <c r="AQ296" s="366" t="s">
        <v>676</v>
      </c>
      <c r="AR296" s="298"/>
      <c r="AS296" s="365" t="s">
        <v>433</v>
      </c>
      <c r="AT296" s="254" t="str">
        <f t="shared" si="266"/>
        <v/>
      </c>
      <c r="AU296" s="269"/>
      <c r="AV296" s="269"/>
      <c r="AW296" s="206" t="str">
        <f t="shared" ref="AW296:BB296" si="267">AW38</f>
        <v>#REF!</v>
      </c>
      <c r="AX296" s="206">
        <f t="shared" si="267"/>
        <v>0</v>
      </c>
      <c r="AY296" s="206">
        <f t="shared" si="267"/>
        <v>0</v>
      </c>
      <c r="AZ296" s="206">
        <f t="shared" si="267"/>
        <v>0</v>
      </c>
      <c r="BA296" s="464">
        <f t="shared" si="267"/>
        <v>0</v>
      </c>
      <c r="BB296" s="206">
        <f t="shared" si="267"/>
        <v>0</v>
      </c>
      <c r="BC296" s="465">
        <f t="shared" si="229"/>
        <v>0</v>
      </c>
      <c r="BD296" s="206"/>
      <c r="BE296" s="466"/>
    </row>
    <row r="297">
      <c r="A297" s="94"/>
      <c r="B297" s="367" t="s">
        <v>677</v>
      </c>
      <c r="C297" s="368" t="s">
        <v>674</v>
      </c>
      <c r="D297" s="330"/>
      <c r="E297" s="259"/>
      <c r="F297" s="282"/>
      <c r="G297" s="246"/>
      <c r="H297" s="282"/>
      <c r="I297" s="246"/>
      <c r="J297" s="282"/>
      <c r="K297" s="246"/>
      <c r="L297" s="261"/>
      <c r="M297" s="250"/>
      <c r="N297" s="246"/>
      <c r="O297" s="282"/>
      <c r="P297" s="246"/>
      <c r="R297" s="246"/>
      <c r="S297" s="261"/>
      <c r="T297" s="250"/>
      <c r="U297" s="246"/>
      <c r="V297" s="282"/>
      <c r="W297" s="246"/>
      <c r="X297" s="364" t="s">
        <v>941</v>
      </c>
      <c r="Y297" s="246"/>
      <c r="Z297" s="261"/>
      <c r="AA297" s="250"/>
      <c r="AB297" s="246"/>
      <c r="AD297" s="246"/>
      <c r="AE297" s="282"/>
      <c r="AF297" s="246"/>
      <c r="AG297" s="261"/>
      <c r="AH297" s="371"/>
      <c r="AI297" s="246"/>
      <c r="AK297" s="246"/>
      <c r="AM297" s="246"/>
      <c r="AN297" s="261"/>
      <c r="AO297" s="250"/>
      <c r="AP297" s="246"/>
      <c r="AR297" s="246"/>
      <c r="AS297" s="282"/>
      <c r="AT297" s="254" t="str">
        <f>IF(COUNTIF($AO$86:$AT$88, AS297) &gt; 0, "X", "")</f>
        <v/>
      </c>
      <c r="AU297" s="269"/>
      <c r="AV297" s="269"/>
      <c r="AW297" s="206" t="str">
        <f t="shared" ref="AW297:BB297" si="268">AW39</f>
        <v>#REF!</v>
      </c>
      <c r="AX297" s="206">
        <f t="shared" si="268"/>
        <v>0</v>
      </c>
      <c r="AY297" s="206">
        <f t="shared" si="268"/>
        <v>0</v>
      </c>
      <c r="AZ297" s="206">
        <f t="shared" si="268"/>
        <v>0</v>
      </c>
      <c r="BA297" s="464">
        <f t="shared" si="268"/>
        <v>0</v>
      </c>
      <c r="BB297" s="206">
        <f t="shared" si="268"/>
        <v>0</v>
      </c>
      <c r="BC297" s="465">
        <f t="shared" si="229"/>
        <v>0</v>
      </c>
      <c r="BD297" s="206"/>
      <c r="BE297" s="466"/>
    </row>
    <row r="298">
      <c r="A298" s="94"/>
      <c r="B298" s="256" t="s">
        <v>679</v>
      </c>
      <c r="C298" s="257" t="s">
        <v>680</v>
      </c>
      <c r="D298" s="330"/>
      <c r="E298" s="259"/>
      <c r="F298" s="311" t="s">
        <v>393</v>
      </c>
      <c r="G298" s="246"/>
      <c r="H298" s="374" t="s">
        <v>436</v>
      </c>
      <c r="I298" s="246"/>
      <c r="J298" s="274" t="s">
        <v>437</v>
      </c>
      <c r="K298" s="246"/>
      <c r="L298" s="261"/>
      <c r="M298" s="333"/>
      <c r="N298" s="246"/>
      <c r="O298" s="374" t="s">
        <v>436</v>
      </c>
      <c r="P298" s="246"/>
      <c r="Q298" s="274" t="s">
        <v>449</v>
      </c>
      <c r="R298" s="246"/>
      <c r="S298" s="261"/>
      <c r="T298" s="333"/>
      <c r="U298" s="246"/>
      <c r="V298" s="311" t="s">
        <v>436</v>
      </c>
      <c r="W298" s="246"/>
      <c r="X298" s="274" t="s">
        <v>437</v>
      </c>
      <c r="Y298" s="246"/>
      <c r="Z298" s="261"/>
      <c r="AA298" s="333"/>
      <c r="AB298" s="246"/>
      <c r="AC298" s="274" t="s">
        <v>406</v>
      </c>
      <c r="AD298" s="246"/>
      <c r="AE298" s="365" t="s">
        <v>433</v>
      </c>
      <c r="AF298" s="246"/>
      <c r="AG298" s="261"/>
      <c r="AH298" s="274" t="s">
        <v>443</v>
      </c>
      <c r="AI298" s="246"/>
      <c r="AJ298" s="274" t="s">
        <v>406</v>
      </c>
      <c r="AK298" s="246"/>
      <c r="AL298" s="274" t="s">
        <v>437</v>
      </c>
      <c r="AM298" s="246"/>
      <c r="AN298" s="261"/>
      <c r="AO298" s="333"/>
      <c r="AP298" s="246"/>
      <c r="AQ298" s="274" t="s">
        <v>406</v>
      </c>
      <c r="AR298" s="246"/>
      <c r="AS298" s="274" t="s">
        <v>437</v>
      </c>
      <c r="AT298" s="254" t="str">
        <f t="shared" ref="AT298:AT302" si="270">IF(COUNTIF($AO$86:$AT$88, #REF!) &gt; 0, "X", "")</f>
        <v/>
      </c>
      <c r="AU298" s="269"/>
      <c r="AV298" s="269"/>
      <c r="AW298" s="206" t="str">
        <f t="shared" ref="AW298:BB298" si="269">AW40</f>
        <v>#REF!</v>
      </c>
      <c r="AX298" s="206">
        <f t="shared" si="269"/>
        <v>0</v>
      </c>
      <c r="AY298" s="206">
        <f t="shared" si="269"/>
        <v>0</v>
      </c>
      <c r="AZ298" s="206">
        <f t="shared" si="269"/>
        <v>0</v>
      </c>
      <c r="BA298" s="464">
        <f t="shared" si="269"/>
        <v>0</v>
      </c>
      <c r="BB298" s="206">
        <f t="shared" si="269"/>
        <v>0</v>
      </c>
      <c r="BC298" s="465">
        <f t="shared" si="229"/>
        <v>0</v>
      </c>
      <c r="BD298" s="206"/>
      <c r="BE298" s="466"/>
    </row>
    <row r="299">
      <c r="A299" s="372"/>
      <c r="B299" s="328" t="s">
        <v>679</v>
      </c>
      <c r="C299" s="329" t="s">
        <v>652</v>
      </c>
      <c r="D299" s="330"/>
      <c r="E299" s="259"/>
      <c r="F299" s="282"/>
      <c r="G299" s="246"/>
      <c r="H299" s="282"/>
      <c r="I299" s="246"/>
      <c r="K299" s="246"/>
      <c r="L299" s="261"/>
      <c r="M299" s="346"/>
      <c r="N299" s="246"/>
      <c r="O299" s="384" t="s">
        <v>931</v>
      </c>
      <c r="P299" s="246"/>
      <c r="R299" s="246"/>
      <c r="S299" s="261"/>
      <c r="T299" s="346"/>
      <c r="U299" s="246"/>
      <c r="V299" s="384" t="s">
        <v>931</v>
      </c>
      <c r="W299" s="246"/>
      <c r="X299" s="251" t="s">
        <v>405</v>
      </c>
      <c r="Y299" s="246"/>
      <c r="Z299" s="261"/>
      <c r="AA299" s="346"/>
      <c r="AB299" s="246"/>
      <c r="AC299" s="384" t="s">
        <v>931</v>
      </c>
      <c r="AD299" s="246"/>
      <c r="AF299" s="246"/>
      <c r="AG299" s="261"/>
      <c r="AI299" s="246"/>
      <c r="AJ299" s="384" t="s">
        <v>931</v>
      </c>
      <c r="AK299" s="246"/>
      <c r="AM299" s="246"/>
      <c r="AN299" s="261"/>
      <c r="AO299" s="346"/>
      <c r="AP299" s="246"/>
      <c r="AQ299" s="384" t="s">
        <v>931</v>
      </c>
      <c r="AR299" s="246"/>
      <c r="AT299" s="254" t="str">
        <f t="shared" si="270"/>
        <v/>
      </c>
      <c r="AU299" s="269"/>
      <c r="AV299" s="269"/>
      <c r="AW299" s="206" t="str">
        <f t="shared" ref="AW299:BB299" si="271">AW41</f>
        <v>#REF!</v>
      </c>
      <c r="AX299" s="206">
        <f t="shared" si="271"/>
        <v>0</v>
      </c>
      <c r="AY299" s="206">
        <f t="shared" si="271"/>
        <v>0</v>
      </c>
      <c r="AZ299" s="206">
        <f t="shared" si="271"/>
        <v>0</v>
      </c>
      <c r="BA299" s="464">
        <f t="shared" si="271"/>
        <v>0</v>
      </c>
      <c r="BB299" s="206">
        <f t="shared" si="271"/>
        <v>0</v>
      </c>
      <c r="BC299" s="465">
        <f t="shared" si="229"/>
        <v>0</v>
      </c>
      <c r="BD299" s="206"/>
      <c r="BE299" s="466"/>
    </row>
    <row r="300">
      <c r="A300" s="94"/>
      <c r="B300" s="328" t="s">
        <v>679</v>
      </c>
      <c r="C300" s="329" t="s">
        <v>683</v>
      </c>
      <c r="D300" s="379"/>
      <c r="E300" s="380"/>
      <c r="F300" s="376" t="s">
        <v>466</v>
      </c>
      <c r="G300" s="246"/>
      <c r="H300" s="336" t="s">
        <v>398</v>
      </c>
      <c r="I300" s="246"/>
      <c r="J300" s="311" t="s">
        <v>439</v>
      </c>
      <c r="K300" s="246"/>
      <c r="L300" s="261"/>
      <c r="M300" s="341"/>
      <c r="N300" s="246"/>
      <c r="O300" s="274" t="s">
        <v>406</v>
      </c>
      <c r="P300" s="246"/>
      <c r="Q300" s="311" t="s">
        <v>455</v>
      </c>
      <c r="R300" s="246"/>
      <c r="S300" s="261"/>
      <c r="T300" s="341"/>
      <c r="U300" s="246"/>
      <c r="V300" s="274" t="s">
        <v>406</v>
      </c>
      <c r="W300" s="246"/>
      <c r="X300" s="376" t="s">
        <v>453</v>
      </c>
      <c r="Y300" s="246"/>
      <c r="Z300" s="261"/>
      <c r="AA300" s="341"/>
      <c r="AB300" s="246"/>
      <c r="AC300" s="251" t="s">
        <v>407</v>
      </c>
      <c r="AD300" s="246"/>
      <c r="AE300" s="274" t="s">
        <v>439</v>
      </c>
      <c r="AF300" s="246"/>
      <c r="AG300" s="261"/>
      <c r="AH300" s="376" t="s">
        <v>453</v>
      </c>
      <c r="AI300" s="246"/>
      <c r="AJ300" s="311" t="s">
        <v>436</v>
      </c>
      <c r="AK300" s="246"/>
      <c r="AL300" s="365" t="s">
        <v>433</v>
      </c>
      <c r="AM300" s="246"/>
      <c r="AN300" s="261"/>
      <c r="AO300" s="341"/>
      <c r="AP300" s="246"/>
      <c r="AQ300" s="251" t="s">
        <v>457</v>
      </c>
      <c r="AR300" s="246"/>
      <c r="AS300" s="311" t="s">
        <v>436</v>
      </c>
      <c r="AT300" s="254" t="str">
        <f t="shared" si="270"/>
        <v/>
      </c>
      <c r="AU300" s="269"/>
      <c r="AV300" s="269"/>
      <c r="AW300" s="206" t="str">
        <f t="shared" ref="AW300:BB300" si="272">AW42</f>
        <v>#REF!</v>
      </c>
      <c r="AX300" s="206">
        <f t="shared" si="272"/>
        <v>0</v>
      </c>
      <c r="AY300" s="206">
        <f t="shared" si="272"/>
        <v>0</v>
      </c>
      <c r="AZ300" s="206">
        <f t="shared" si="272"/>
        <v>0</v>
      </c>
      <c r="BA300" s="464">
        <f t="shared" si="272"/>
        <v>0</v>
      </c>
      <c r="BB300" s="206">
        <f t="shared" si="272"/>
        <v>0</v>
      </c>
      <c r="BC300" s="465">
        <f t="shared" si="229"/>
        <v>0</v>
      </c>
      <c r="BD300" s="206"/>
      <c r="BE300" s="466"/>
    </row>
    <row r="301">
      <c r="A301" s="94"/>
      <c r="B301" s="377" t="s">
        <v>684</v>
      </c>
      <c r="C301" s="378" t="s">
        <v>685</v>
      </c>
      <c r="D301" s="363"/>
      <c r="E301" s="259"/>
      <c r="F301" s="311" t="s">
        <v>410</v>
      </c>
      <c r="G301" s="246"/>
      <c r="I301" s="246"/>
      <c r="J301" s="516"/>
      <c r="K301" s="246"/>
      <c r="L301" s="381"/>
      <c r="M301" s="341"/>
      <c r="N301" s="246"/>
      <c r="P301" s="246"/>
      <c r="R301" s="246"/>
      <c r="S301" s="381"/>
      <c r="T301" s="341"/>
      <c r="U301" s="246"/>
      <c r="W301" s="246"/>
      <c r="Y301" s="246"/>
      <c r="Z301" s="381"/>
      <c r="AA301" s="341"/>
      <c r="AB301" s="246"/>
      <c r="AD301" s="246"/>
      <c r="AF301" s="246"/>
      <c r="AG301" s="381"/>
      <c r="AI301" s="246"/>
      <c r="AJ301" s="282"/>
      <c r="AK301" s="246"/>
      <c r="AM301" s="246"/>
      <c r="AN301" s="381"/>
      <c r="AO301" s="341"/>
      <c r="AP301" s="246"/>
      <c r="AQ301" s="282"/>
      <c r="AR301" s="246"/>
      <c r="AS301" s="282"/>
      <c r="AT301" s="254" t="str">
        <f t="shared" si="270"/>
        <v/>
      </c>
      <c r="AU301" s="269"/>
      <c r="AV301" s="269"/>
      <c r="AW301" s="206" t="str">
        <f t="shared" ref="AW301:BB301" si="273">AW43</f>
        <v>#REF!</v>
      </c>
      <c r="AX301" s="206">
        <f t="shared" si="273"/>
        <v>0</v>
      </c>
      <c r="AY301" s="206">
        <f t="shared" si="273"/>
        <v>0</v>
      </c>
      <c r="AZ301" s="206">
        <f t="shared" si="273"/>
        <v>0</v>
      </c>
      <c r="BA301" s="464">
        <f t="shared" si="273"/>
        <v>0</v>
      </c>
      <c r="BB301" s="206">
        <f t="shared" si="273"/>
        <v>0</v>
      </c>
      <c r="BC301" s="465">
        <f t="shared" si="229"/>
        <v>0</v>
      </c>
      <c r="BD301" s="206"/>
      <c r="BE301" s="466"/>
    </row>
    <row r="302">
      <c r="A302" s="270"/>
      <c r="B302" s="382" t="s">
        <v>686</v>
      </c>
      <c r="C302" s="242" t="s">
        <v>652</v>
      </c>
      <c r="D302" s="330"/>
      <c r="E302" s="259"/>
      <c r="F302" s="311" t="s">
        <v>455</v>
      </c>
      <c r="G302" s="246"/>
      <c r="H302" s="251" t="s">
        <v>435</v>
      </c>
      <c r="I302" s="246"/>
      <c r="J302" s="251" t="s">
        <v>429</v>
      </c>
      <c r="K302" s="246"/>
      <c r="L302" s="261"/>
      <c r="M302" s="341"/>
      <c r="N302" s="246"/>
      <c r="O302" s="385" t="s">
        <v>428</v>
      </c>
      <c r="P302" s="246"/>
      <c r="Q302" s="376" t="s">
        <v>466</v>
      </c>
      <c r="R302" s="246"/>
      <c r="S302" s="261"/>
      <c r="T302" s="341"/>
      <c r="U302" s="246"/>
      <c r="V302" s="383" t="s">
        <v>428</v>
      </c>
      <c r="W302" s="246"/>
      <c r="X302" s="376" t="s">
        <v>466</v>
      </c>
      <c r="Y302" s="246"/>
      <c r="Z302" s="261"/>
      <c r="AA302" s="341"/>
      <c r="AB302" s="246"/>
      <c r="AC302" s="251" t="s">
        <v>435</v>
      </c>
      <c r="AD302" s="246"/>
      <c r="AE302" s="251" t="s">
        <v>429</v>
      </c>
      <c r="AF302" s="246"/>
      <c r="AG302" s="261"/>
      <c r="AH302" s="311" t="s">
        <v>455</v>
      </c>
      <c r="AI302" s="246"/>
      <c r="AJ302" s="376" t="s">
        <v>466</v>
      </c>
      <c r="AK302" s="246"/>
      <c r="AL302" s="251" t="s">
        <v>429</v>
      </c>
      <c r="AM302" s="246"/>
      <c r="AN302" s="261"/>
      <c r="AO302" s="341"/>
      <c r="AP302" s="246"/>
      <c r="AQ302" s="385" t="s">
        <v>428</v>
      </c>
      <c r="AR302" s="246"/>
      <c r="AS302" s="251" t="s">
        <v>429</v>
      </c>
      <c r="AT302" s="254" t="str">
        <f t="shared" si="270"/>
        <v/>
      </c>
      <c r="AU302" s="269"/>
      <c r="AV302" s="269"/>
      <c r="AW302" s="206" t="str">
        <f t="shared" ref="AW302:BB302" si="274">AW44</f>
        <v>#REF!</v>
      </c>
      <c r="AX302" s="206">
        <f t="shared" si="274"/>
        <v>0</v>
      </c>
      <c r="AY302" s="206">
        <f t="shared" si="274"/>
        <v>0</v>
      </c>
      <c r="AZ302" s="206">
        <f t="shared" si="274"/>
        <v>0</v>
      </c>
      <c r="BA302" s="464">
        <f t="shared" si="274"/>
        <v>0</v>
      </c>
      <c r="BB302" s="206">
        <f t="shared" si="274"/>
        <v>0</v>
      </c>
      <c r="BC302" s="465">
        <f t="shared" si="229"/>
        <v>0</v>
      </c>
      <c r="BD302" s="206"/>
      <c r="BE302" s="466"/>
    </row>
    <row r="303">
      <c r="A303" s="234"/>
      <c r="B303" s="337" t="s">
        <v>686</v>
      </c>
      <c r="C303" s="338" t="s">
        <v>687</v>
      </c>
      <c r="D303" s="330"/>
      <c r="E303" s="259"/>
      <c r="G303" s="246"/>
      <c r="H303" s="385" t="s">
        <v>428</v>
      </c>
      <c r="I303" s="246"/>
      <c r="J303" s="376" t="s">
        <v>453</v>
      </c>
      <c r="K303" s="246"/>
      <c r="L303" s="261"/>
      <c r="M303" s="250"/>
      <c r="N303" s="246"/>
      <c r="O303" s="251" t="s">
        <v>435</v>
      </c>
      <c r="P303" s="246"/>
      <c r="Q303" s="251" t="s">
        <v>429</v>
      </c>
      <c r="R303" s="246"/>
      <c r="S303" s="261"/>
      <c r="T303" s="250"/>
      <c r="U303" s="246"/>
      <c r="V303" s="325" t="s">
        <v>711</v>
      </c>
      <c r="W303" s="246"/>
      <c r="X303" s="251" t="s">
        <v>429</v>
      </c>
      <c r="Y303" s="246"/>
      <c r="Z303" s="261"/>
      <c r="AA303" s="250"/>
      <c r="AB303" s="246"/>
      <c r="AC303" s="376" t="s">
        <v>466</v>
      </c>
      <c r="AD303" s="246"/>
      <c r="AE303" s="579" t="s">
        <v>942</v>
      </c>
      <c r="AF303" s="246"/>
      <c r="AG303" s="261"/>
      <c r="AI303" s="246"/>
      <c r="AJ303" s="251" t="s">
        <v>435</v>
      </c>
      <c r="AK303" s="246"/>
      <c r="AL303" s="385" t="s">
        <v>428</v>
      </c>
      <c r="AM303" s="246"/>
      <c r="AN303" s="261"/>
      <c r="AO303" s="250"/>
      <c r="AP303" s="246"/>
      <c r="AQ303" s="251" t="s">
        <v>435</v>
      </c>
      <c r="AR303" s="246"/>
      <c r="AS303" s="376" t="s">
        <v>453</v>
      </c>
      <c r="AT303" s="254" t="str">
        <f>IF(COUNTIF($AO$86:$AT$88, AS302) &gt; 0, "X", "")</f>
        <v/>
      </c>
      <c r="AU303" s="269"/>
      <c r="AV303" s="269"/>
      <c r="AW303" s="206" t="str">
        <f t="shared" ref="AW303:BB303" si="275">AW45</f>
        <v>#REF!</v>
      </c>
      <c r="AX303" s="206">
        <f t="shared" si="275"/>
        <v>0</v>
      </c>
      <c r="AY303" s="206">
        <f t="shared" si="275"/>
        <v>0</v>
      </c>
      <c r="AZ303" s="206">
        <f t="shared" si="275"/>
        <v>0</v>
      </c>
      <c r="BA303" s="464">
        <f t="shared" si="275"/>
        <v>0</v>
      </c>
      <c r="BB303" s="206">
        <f t="shared" si="275"/>
        <v>0</v>
      </c>
      <c r="BC303" s="465">
        <f t="shared" si="229"/>
        <v>0</v>
      </c>
      <c r="BD303" s="206"/>
      <c r="BE303" s="466"/>
    </row>
    <row r="304">
      <c r="A304" s="94"/>
      <c r="B304" s="337" t="s">
        <v>688</v>
      </c>
      <c r="C304" s="285" t="s">
        <v>687</v>
      </c>
      <c r="D304" s="389"/>
      <c r="E304" s="259"/>
      <c r="F304" s="265"/>
      <c r="G304" s="246"/>
      <c r="H304" s="265"/>
      <c r="I304" s="246"/>
      <c r="J304" s="265"/>
      <c r="K304" s="246"/>
      <c r="L304" s="261"/>
      <c r="M304" s="262"/>
      <c r="N304" s="246"/>
      <c r="O304" s="265"/>
      <c r="P304" s="246"/>
      <c r="Q304" s="265"/>
      <c r="R304" s="246"/>
      <c r="S304" s="261"/>
      <c r="T304" s="262"/>
      <c r="U304" s="246"/>
      <c r="V304" s="265"/>
      <c r="W304" s="246"/>
      <c r="Y304" s="246"/>
      <c r="Z304" s="261"/>
      <c r="AA304" s="262"/>
      <c r="AB304" s="246"/>
      <c r="AC304" s="265"/>
      <c r="AD304" s="246"/>
      <c r="AE304" s="265"/>
      <c r="AF304" s="246"/>
      <c r="AG304" s="261"/>
      <c r="AH304" s="265"/>
      <c r="AI304" s="246"/>
      <c r="AJ304" s="265"/>
      <c r="AK304" s="246"/>
      <c r="AL304" s="265"/>
      <c r="AM304" s="246"/>
      <c r="AN304" s="261"/>
      <c r="AO304" s="262"/>
      <c r="AP304" s="246"/>
      <c r="AQ304" s="265"/>
      <c r="AR304" s="246"/>
      <c r="AS304" s="265"/>
      <c r="AT304" s="254" t="str">
        <f>IF(COUNTIF($AO$86:$AT$88, #REF!) &gt; 0, "X", "")</f>
        <v/>
      </c>
      <c r="AU304" s="269"/>
      <c r="AV304" s="269"/>
      <c r="AW304" s="206" t="str">
        <f t="shared" ref="AW304:BB304" si="276">AW46</f>
        <v>#REF!</v>
      </c>
      <c r="AX304" s="206">
        <f t="shared" si="276"/>
        <v>0</v>
      </c>
      <c r="AY304" s="206">
        <f t="shared" si="276"/>
        <v>0</v>
      </c>
      <c r="AZ304" s="206">
        <f t="shared" si="276"/>
        <v>0</v>
      </c>
      <c r="BA304" s="464">
        <f t="shared" si="276"/>
        <v>0</v>
      </c>
      <c r="BB304" s="206">
        <f t="shared" si="276"/>
        <v>0</v>
      </c>
      <c r="BC304" s="465">
        <f t="shared" si="229"/>
        <v>0</v>
      </c>
      <c r="BD304" s="206"/>
      <c r="BE304" s="466"/>
    </row>
    <row r="305">
      <c r="A305" s="94"/>
      <c r="B305" s="387" t="s">
        <v>690</v>
      </c>
      <c r="C305" s="388" t="s">
        <v>649</v>
      </c>
      <c r="D305" s="323"/>
      <c r="E305" s="259"/>
      <c r="F305" s="390"/>
      <c r="G305" s="246"/>
      <c r="H305" s="390"/>
      <c r="I305" s="246"/>
      <c r="J305" s="390"/>
      <c r="K305" s="246"/>
      <c r="L305" s="261"/>
      <c r="M305" s="250"/>
      <c r="N305" s="246"/>
      <c r="O305" s="355" t="s">
        <v>420</v>
      </c>
      <c r="P305" s="246"/>
      <c r="Q305" s="390"/>
      <c r="R305" s="246"/>
      <c r="S305" s="261"/>
      <c r="T305" s="250"/>
      <c r="U305" s="246"/>
      <c r="V305" s="357" t="s">
        <v>670</v>
      </c>
      <c r="W305" s="246"/>
      <c r="X305" s="390"/>
      <c r="Y305" s="246"/>
      <c r="Z305" s="261"/>
      <c r="AA305" s="250"/>
      <c r="AB305" s="246"/>
      <c r="AC305" s="355" t="s">
        <v>420</v>
      </c>
      <c r="AD305" s="246"/>
      <c r="AE305" s="390"/>
      <c r="AF305" s="246"/>
      <c r="AG305" s="261"/>
      <c r="AH305" s="390"/>
      <c r="AI305" s="246"/>
      <c r="AJ305" s="355" t="s">
        <v>420</v>
      </c>
      <c r="AK305" s="246"/>
      <c r="AL305" s="390"/>
      <c r="AM305" s="246"/>
      <c r="AN305" s="261"/>
      <c r="AO305" s="250"/>
      <c r="AP305" s="246"/>
      <c r="AQ305" s="390"/>
      <c r="AR305" s="246"/>
      <c r="AS305" s="390"/>
      <c r="AT305" s="254" t="str">
        <f t="shared" ref="AT305:AT312" si="278">IF(COUNTIF($AO$86:$AT$88, AS306) &gt; 0, "X", "")</f>
        <v/>
      </c>
      <c r="AU305" s="269"/>
      <c r="AV305" s="269"/>
      <c r="AW305" s="206" t="str">
        <f t="shared" ref="AW305:BB305" si="277">AW47</f>
        <v>#REF!</v>
      </c>
      <c r="AX305" s="206">
        <f t="shared" si="277"/>
        <v>0</v>
      </c>
      <c r="AY305" s="206">
        <f t="shared" si="277"/>
        <v>0</v>
      </c>
      <c r="AZ305" s="206">
        <f t="shared" si="277"/>
        <v>0</v>
      </c>
      <c r="BA305" s="464">
        <f t="shared" si="277"/>
        <v>0</v>
      </c>
      <c r="BB305" s="206">
        <f t="shared" si="277"/>
        <v>0</v>
      </c>
      <c r="BC305" s="465">
        <f t="shared" si="229"/>
        <v>0</v>
      </c>
      <c r="BD305" s="206"/>
      <c r="BE305" s="466"/>
    </row>
    <row r="306">
      <c r="A306" s="94"/>
      <c r="B306" s="296" t="s">
        <v>650</v>
      </c>
      <c r="C306" s="297" t="s">
        <v>649</v>
      </c>
      <c r="D306" s="323"/>
      <c r="E306" s="261"/>
      <c r="F306" s="300"/>
      <c r="G306" s="246"/>
      <c r="H306" s="319"/>
      <c r="I306" s="246"/>
      <c r="J306" s="300"/>
      <c r="K306" s="246"/>
      <c r="L306" s="261"/>
      <c r="M306" s="250"/>
      <c r="N306" s="246"/>
      <c r="O306" s="300"/>
      <c r="P306" s="246"/>
      <c r="Q306" s="300"/>
      <c r="R306" s="246"/>
      <c r="S306" s="261"/>
      <c r="T306" s="250"/>
      <c r="U306" s="246"/>
      <c r="V306" s="300"/>
      <c r="W306" s="246"/>
      <c r="X306" s="300"/>
      <c r="Y306" s="246"/>
      <c r="Z306" s="261"/>
      <c r="AA306" s="250"/>
      <c r="AB306" s="246"/>
      <c r="AC306" s="300"/>
      <c r="AD306" s="246"/>
      <c r="AE306" s="300"/>
      <c r="AF306" s="246"/>
      <c r="AG306" s="261"/>
      <c r="AH306" s="300"/>
      <c r="AI306" s="246"/>
      <c r="AJ306" s="300"/>
      <c r="AK306" s="246"/>
      <c r="AL306" s="300"/>
      <c r="AM306" s="246"/>
      <c r="AN306" s="261"/>
      <c r="AO306" s="250"/>
      <c r="AP306" s="246"/>
      <c r="AQ306" s="300"/>
      <c r="AR306" s="246"/>
      <c r="AS306" s="300"/>
      <c r="AT306" s="254" t="str">
        <f t="shared" si="278"/>
        <v/>
      </c>
      <c r="AU306" s="269"/>
      <c r="AV306" s="269"/>
      <c r="AW306" s="206" t="str">
        <f t="shared" ref="AW306:BB306" si="279">AW48</f>
        <v>#REF!</v>
      </c>
      <c r="AX306" s="206">
        <f t="shared" si="279"/>
        <v>0</v>
      </c>
      <c r="AY306" s="206">
        <f t="shared" si="279"/>
        <v>0</v>
      </c>
      <c r="AZ306" s="206">
        <f t="shared" si="279"/>
        <v>0</v>
      </c>
      <c r="BA306" s="464">
        <f t="shared" si="279"/>
        <v>0</v>
      </c>
      <c r="BB306" s="206">
        <f t="shared" si="279"/>
        <v>0</v>
      </c>
      <c r="BC306" s="465">
        <f t="shared" si="229"/>
        <v>0</v>
      </c>
      <c r="BD306" s="206"/>
      <c r="BE306" s="466"/>
    </row>
    <row r="307">
      <c r="A307" s="94"/>
      <c r="B307" s="301" t="s">
        <v>651</v>
      </c>
      <c r="C307" s="391" t="s">
        <v>652</v>
      </c>
      <c r="D307" s="323"/>
      <c r="E307" s="259"/>
      <c r="F307" s="304"/>
      <c r="G307" s="246"/>
      <c r="H307" s="304"/>
      <c r="I307" s="246"/>
      <c r="J307" s="304"/>
      <c r="K307" s="246"/>
      <c r="L307" s="261"/>
      <c r="M307" s="250"/>
      <c r="N307" s="246"/>
      <c r="O307" s="360" t="s">
        <v>899</v>
      </c>
      <c r="P307" s="246"/>
      <c r="Q307" s="304"/>
      <c r="R307" s="246"/>
      <c r="S307" s="261"/>
      <c r="T307" s="250"/>
      <c r="U307" s="246"/>
      <c r="V307" s="360" t="s">
        <v>899</v>
      </c>
      <c r="W307" s="246"/>
      <c r="X307" s="304"/>
      <c r="Y307" s="246"/>
      <c r="Z307" s="261"/>
      <c r="AA307" s="250"/>
      <c r="AB307" s="246"/>
      <c r="AC307" s="360" t="s">
        <v>899</v>
      </c>
      <c r="AD307" s="246"/>
      <c r="AE307" s="304"/>
      <c r="AF307" s="246"/>
      <c r="AG307" s="261"/>
      <c r="AH307" s="304"/>
      <c r="AI307" s="246"/>
      <c r="AJ307" s="360" t="s">
        <v>899</v>
      </c>
      <c r="AK307" s="246"/>
      <c r="AL307" s="304"/>
      <c r="AM307" s="246"/>
      <c r="AN307" s="261"/>
      <c r="AO307" s="250"/>
      <c r="AP307" s="246"/>
      <c r="AQ307" s="304"/>
      <c r="AR307" s="246"/>
      <c r="AS307" s="304"/>
      <c r="AT307" s="254" t="str">
        <f t="shared" si="278"/>
        <v/>
      </c>
      <c r="AU307" s="269"/>
      <c r="AV307" s="269"/>
      <c r="AW307" s="206" t="str">
        <f t="shared" ref="AW307:BB307" si="280">AW49</f>
        <v>#REF!</v>
      </c>
      <c r="AX307" s="206">
        <f t="shared" si="280"/>
        <v>0</v>
      </c>
      <c r="AY307" s="206">
        <f t="shared" si="280"/>
        <v>0</v>
      </c>
      <c r="AZ307" s="206">
        <f t="shared" si="280"/>
        <v>0</v>
      </c>
      <c r="BA307" s="464">
        <f t="shared" si="280"/>
        <v>0</v>
      </c>
      <c r="BB307" s="206">
        <f t="shared" si="280"/>
        <v>0</v>
      </c>
      <c r="BC307" s="465">
        <f t="shared" si="229"/>
        <v>0</v>
      </c>
      <c r="BD307" s="206"/>
      <c r="BE307" s="466"/>
    </row>
    <row r="308">
      <c r="A308" s="94"/>
      <c r="B308" s="392" t="s">
        <v>691</v>
      </c>
      <c r="C308" s="393" t="s">
        <v>652</v>
      </c>
      <c r="D308" s="330"/>
      <c r="E308" s="259"/>
      <c r="F308" s="307"/>
      <c r="G308" s="246"/>
      <c r="H308" s="307"/>
      <c r="I308" s="246"/>
      <c r="J308" s="307"/>
      <c r="K308" s="246"/>
      <c r="L308" s="261"/>
      <c r="M308" s="250"/>
      <c r="N308" s="246"/>
      <c r="O308" s="395" t="s">
        <v>398</v>
      </c>
      <c r="P308" s="246"/>
      <c r="Q308" s="307"/>
      <c r="R308" s="246"/>
      <c r="S308" s="261"/>
      <c r="T308" s="250"/>
      <c r="U308" s="246"/>
      <c r="V308" s="395" t="s">
        <v>398</v>
      </c>
      <c r="W308" s="246"/>
      <c r="X308" s="307"/>
      <c r="Y308" s="246"/>
      <c r="Z308" s="261"/>
      <c r="AA308" s="250"/>
      <c r="AB308" s="246"/>
      <c r="AC308" s="395" t="s">
        <v>398</v>
      </c>
      <c r="AD308" s="246"/>
      <c r="AE308" s="307"/>
      <c r="AF308" s="246"/>
      <c r="AG308" s="261"/>
      <c r="AH308" s="307"/>
      <c r="AI308" s="246"/>
      <c r="AJ308" s="308" t="s">
        <v>394</v>
      </c>
      <c r="AK308" s="246"/>
      <c r="AL308" s="307"/>
      <c r="AM308" s="246"/>
      <c r="AN308" s="261"/>
      <c r="AO308" s="250"/>
      <c r="AP308" s="246"/>
      <c r="AQ308" s="307"/>
      <c r="AR308" s="246"/>
      <c r="AS308" s="307"/>
      <c r="AT308" s="254" t="str">
        <f t="shared" si="278"/>
        <v/>
      </c>
      <c r="AU308" s="269"/>
      <c r="AV308" s="269"/>
      <c r="AW308" s="206" t="str">
        <f t="shared" ref="AW308:BB308" si="281">AW50</f>
        <v>#REF!</v>
      </c>
      <c r="AX308" s="206">
        <f t="shared" si="281"/>
        <v>0</v>
      </c>
      <c r="AY308" s="206">
        <f t="shared" si="281"/>
        <v>0</v>
      </c>
      <c r="AZ308" s="206">
        <f t="shared" si="281"/>
        <v>0</v>
      </c>
      <c r="BA308" s="464">
        <f t="shared" si="281"/>
        <v>0</v>
      </c>
      <c r="BB308" s="206">
        <f t="shared" si="281"/>
        <v>0</v>
      </c>
      <c r="BC308" s="465">
        <f t="shared" si="229"/>
        <v>0</v>
      </c>
      <c r="BD308" s="206"/>
      <c r="BE308" s="466"/>
    </row>
    <row r="309">
      <c r="A309" s="94"/>
      <c r="B309" s="328" t="s">
        <v>692</v>
      </c>
      <c r="C309" s="329" t="s">
        <v>652</v>
      </c>
      <c r="D309" s="369"/>
      <c r="E309" s="259"/>
      <c r="F309" s="371"/>
      <c r="G309" s="246"/>
      <c r="H309" s="371"/>
      <c r="I309" s="246"/>
      <c r="J309" s="282"/>
      <c r="K309" s="246"/>
      <c r="L309" s="261"/>
      <c r="M309" s="250"/>
      <c r="N309" s="246"/>
      <c r="O309" s="371"/>
      <c r="P309" s="246"/>
      <c r="Q309" s="371"/>
      <c r="R309" s="246"/>
      <c r="S309" s="261"/>
      <c r="T309" s="250"/>
      <c r="U309" s="246"/>
      <c r="V309" s="311" t="s">
        <v>394</v>
      </c>
      <c r="W309" s="246"/>
      <c r="X309" s="371"/>
      <c r="Y309" s="246"/>
      <c r="Z309" s="261"/>
      <c r="AA309" s="250"/>
      <c r="AB309" s="246"/>
      <c r="AC309" s="371"/>
      <c r="AD309" s="246"/>
      <c r="AE309" s="371"/>
      <c r="AF309" s="246"/>
      <c r="AG309" s="261"/>
      <c r="AH309" s="371"/>
      <c r="AI309" s="246"/>
      <c r="AJ309" s="371"/>
      <c r="AK309" s="246"/>
      <c r="AL309" s="371"/>
      <c r="AM309" s="246"/>
      <c r="AN309" s="261"/>
      <c r="AO309" s="250"/>
      <c r="AP309" s="246"/>
      <c r="AQ309" s="371"/>
      <c r="AR309" s="246"/>
      <c r="AS309" s="282"/>
      <c r="AT309" s="254" t="str">
        <f t="shared" si="278"/>
        <v/>
      </c>
      <c r="AU309" s="269"/>
      <c r="AV309" s="269"/>
      <c r="AW309" s="503" t="str">
        <f t="shared" ref="AW309:BB309" si="282">AW51</f>
        <v>#REF!</v>
      </c>
      <c r="AX309" s="206">
        <f t="shared" si="282"/>
        <v>0</v>
      </c>
      <c r="AY309" s="206">
        <f t="shared" si="282"/>
        <v>0</v>
      </c>
      <c r="AZ309" s="206">
        <f t="shared" si="282"/>
        <v>0</v>
      </c>
      <c r="BA309" s="464">
        <f t="shared" si="282"/>
        <v>0</v>
      </c>
      <c r="BB309" s="206">
        <f t="shared" si="282"/>
        <v>0</v>
      </c>
      <c r="BC309" s="465">
        <f t="shared" si="229"/>
        <v>0</v>
      </c>
      <c r="BD309" s="206"/>
      <c r="BE309" s="466"/>
    </row>
    <row r="310">
      <c r="A310" s="94"/>
      <c r="B310" s="397" t="s">
        <v>692</v>
      </c>
      <c r="C310" s="398" t="s">
        <v>687</v>
      </c>
      <c r="D310" s="389"/>
      <c r="E310" s="259"/>
      <c r="F310" s="399"/>
      <c r="G310" s="246"/>
      <c r="H310" s="399"/>
      <c r="I310" s="246"/>
      <c r="J310" s="399"/>
      <c r="K310" s="246"/>
      <c r="L310" s="261"/>
      <c r="M310" s="250"/>
      <c r="N310" s="246"/>
      <c r="O310" s="282"/>
      <c r="P310" s="246"/>
      <c r="Q310" s="282"/>
      <c r="R310" s="246"/>
      <c r="S310" s="261"/>
      <c r="T310" s="250"/>
      <c r="U310" s="246"/>
      <c r="W310" s="246"/>
      <c r="X310" s="399"/>
      <c r="Y310" s="246"/>
      <c r="Z310" s="261"/>
      <c r="AA310" s="250"/>
      <c r="AB310" s="246"/>
      <c r="AC310" s="399"/>
      <c r="AD310" s="246"/>
      <c r="AE310" s="399"/>
      <c r="AF310" s="246"/>
      <c r="AG310" s="261"/>
      <c r="AH310" s="399"/>
      <c r="AI310" s="246"/>
      <c r="AJ310" s="399"/>
      <c r="AK310" s="246"/>
      <c r="AL310" s="399"/>
      <c r="AM310" s="246"/>
      <c r="AN310" s="261"/>
      <c r="AO310" s="250"/>
      <c r="AP310" s="246"/>
      <c r="AQ310" s="399"/>
      <c r="AR310" s="246"/>
      <c r="AS310" s="399"/>
      <c r="AT310" s="254" t="str">
        <f t="shared" si="278"/>
        <v/>
      </c>
      <c r="AU310" s="269"/>
      <c r="AV310" s="269"/>
      <c r="AW310" s="206" t="str">
        <f t="shared" ref="AW310:BB310" si="283">AW52</f>
        <v>#REF!</v>
      </c>
      <c r="AX310" s="206">
        <f t="shared" si="283"/>
        <v>0</v>
      </c>
      <c r="AY310" s="206">
        <f t="shared" si="283"/>
        <v>0</v>
      </c>
      <c r="AZ310" s="206">
        <f t="shared" si="283"/>
        <v>0</v>
      </c>
      <c r="BA310" s="464">
        <f t="shared" si="283"/>
        <v>0</v>
      </c>
      <c r="BB310" s="206">
        <f t="shared" si="283"/>
        <v>0</v>
      </c>
      <c r="BC310" s="465">
        <f t="shared" si="229"/>
        <v>0</v>
      </c>
      <c r="BD310" s="206"/>
      <c r="BE310" s="466"/>
    </row>
    <row r="311">
      <c r="A311" s="94"/>
      <c r="B311" s="387" t="s">
        <v>694</v>
      </c>
      <c r="C311" s="388" t="s">
        <v>649</v>
      </c>
      <c r="D311" s="323"/>
      <c r="E311" s="259"/>
      <c r="F311" s="390"/>
      <c r="G311" s="246"/>
      <c r="H311" s="390"/>
      <c r="I311" s="246"/>
      <c r="J311" s="390"/>
      <c r="K311" s="246"/>
      <c r="L311" s="261"/>
      <c r="M311" s="250"/>
      <c r="N311" s="246"/>
      <c r="O311" s="390"/>
      <c r="P311" s="246"/>
      <c r="Q311" s="357" t="s">
        <v>425</v>
      </c>
      <c r="R311" s="246"/>
      <c r="S311" s="261"/>
      <c r="T311" s="250"/>
      <c r="U311" s="246"/>
      <c r="V311" s="390"/>
      <c r="W311" s="246"/>
      <c r="X311" s="390"/>
      <c r="Y311" s="246"/>
      <c r="Z311" s="261"/>
      <c r="AA311" s="250"/>
      <c r="AB311" s="246"/>
      <c r="AC311" s="390"/>
      <c r="AD311" s="246"/>
      <c r="AE311" s="357"/>
      <c r="AF311" s="246"/>
      <c r="AG311" s="261"/>
      <c r="AH311" s="390"/>
      <c r="AI311" s="246"/>
      <c r="AJ311" s="390"/>
      <c r="AK311" s="246"/>
      <c r="AL311" s="357"/>
      <c r="AM311" s="246"/>
      <c r="AN311" s="261"/>
      <c r="AO311" s="250"/>
      <c r="AP311" s="246"/>
      <c r="AQ311" s="390"/>
      <c r="AR311" s="246"/>
      <c r="AS311" s="357"/>
      <c r="AT311" s="254" t="str">
        <f t="shared" si="278"/>
        <v/>
      </c>
      <c r="AU311" s="269"/>
      <c r="AV311" s="269"/>
      <c r="AW311" s="206" t="str">
        <f t="shared" ref="AW311:BB311" si="284">AW53</f>
        <v>#REF!</v>
      </c>
      <c r="AX311" s="206">
        <f t="shared" si="284"/>
        <v>0</v>
      </c>
      <c r="AY311" s="206">
        <f t="shared" si="284"/>
        <v>0</v>
      </c>
      <c r="AZ311" s="206">
        <f t="shared" si="284"/>
        <v>0</v>
      </c>
      <c r="BA311" s="464">
        <f t="shared" si="284"/>
        <v>0</v>
      </c>
      <c r="BB311" s="206">
        <f t="shared" si="284"/>
        <v>0</v>
      </c>
      <c r="BC311" s="465">
        <f t="shared" si="229"/>
        <v>0</v>
      </c>
      <c r="BD311" s="206"/>
      <c r="BE311" s="466"/>
    </row>
    <row r="312">
      <c r="A312" s="94"/>
      <c r="B312" s="296" t="s">
        <v>650</v>
      </c>
      <c r="C312" s="297" t="s">
        <v>649</v>
      </c>
      <c r="D312" s="323"/>
      <c r="E312" s="261"/>
      <c r="F312" s="300"/>
      <c r="G312" s="298"/>
      <c r="H312" s="300"/>
      <c r="I312" s="298"/>
      <c r="J312" s="300"/>
      <c r="K312" s="298"/>
      <c r="L312" s="261"/>
      <c r="M312" s="250"/>
      <c r="N312" s="298"/>
      <c r="O312" s="300"/>
      <c r="P312" s="298"/>
      <c r="Q312" s="319"/>
      <c r="R312" s="298"/>
      <c r="S312" s="261"/>
      <c r="T312" s="250"/>
      <c r="U312" s="298"/>
      <c r="V312" s="300"/>
      <c r="W312" s="298"/>
      <c r="X312" s="300"/>
      <c r="Y312" s="298"/>
      <c r="Z312" s="261"/>
      <c r="AA312" s="250"/>
      <c r="AB312" s="298"/>
      <c r="AC312" s="300"/>
      <c r="AD312" s="298"/>
      <c r="AE312" s="300"/>
      <c r="AF312" s="298"/>
      <c r="AG312" s="261"/>
      <c r="AH312" s="300"/>
      <c r="AI312" s="298"/>
      <c r="AJ312" s="300"/>
      <c r="AK312" s="298"/>
      <c r="AL312" s="300"/>
      <c r="AM312" s="298"/>
      <c r="AN312" s="261"/>
      <c r="AO312" s="250"/>
      <c r="AP312" s="298"/>
      <c r="AQ312" s="300"/>
      <c r="AR312" s="298"/>
      <c r="AS312" s="300"/>
      <c r="AT312" s="254" t="str">
        <f t="shared" si="278"/>
        <v/>
      </c>
      <c r="AU312" s="269"/>
      <c r="AV312" s="269"/>
      <c r="AW312" s="206" t="str">
        <f t="shared" ref="AW312:BB312" si="285">AW54</f>
        <v>#REF!</v>
      </c>
      <c r="AX312" s="206">
        <f t="shared" si="285"/>
        <v>0</v>
      </c>
      <c r="AY312" s="206">
        <f t="shared" si="285"/>
        <v>0</v>
      </c>
      <c r="AZ312" s="206">
        <f t="shared" si="285"/>
        <v>0</v>
      </c>
      <c r="BA312" s="464">
        <f t="shared" si="285"/>
        <v>0</v>
      </c>
      <c r="BB312" s="206">
        <f t="shared" si="285"/>
        <v>0</v>
      </c>
      <c r="BC312" s="465">
        <f t="shared" si="229"/>
        <v>0</v>
      </c>
      <c r="BD312" s="206"/>
      <c r="BE312" s="466"/>
    </row>
    <row r="313">
      <c r="A313" s="94"/>
      <c r="B313" s="301" t="s">
        <v>651</v>
      </c>
      <c r="C313" s="391" t="s">
        <v>652</v>
      </c>
      <c r="D313" s="323"/>
      <c r="E313" s="259"/>
      <c r="F313" s="304"/>
      <c r="G313" s="298"/>
      <c r="H313" s="304"/>
      <c r="I313" s="298"/>
      <c r="J313" s="304"/>
      <c r="K313" s="298"/>
      <c r="L313" s="261"/>
      <c r="M313" s="250"/>
      <c r="N313" s="298"/>
      <c r="O313" s="304"/>
      <c r="P313" s="298"/>
      <c r="Q313" s="304"/>
      <c r="R313" s="298"/>
      <c r="S313" s="261"/>
      <c r="T313" s="250"/>
      <c r="U313" s="298"/>
      <c r="V313" s="304"/>
      <c r="W313" s="298"/>
      <c r="X313" s="304"/>
      <c r="Y313" s="298"/>
      <c r="Z313" s="261"/>
      <c r="AA313" s="250"/>
      <c r="AB313" s="298"/>
      <c r="AC313" s="304"/>
      <c r="AD313" s="298"/>
      <c r="AE313" s="304"/>
      <c r="AF313" s="298"/>
      <c r="AG313" s="261"/>
      <c r="AH313" s="304"/>
      <c r="AI313" s="298"/>
      <c r="AJ313" s="304"/>
      <c r="AK313" s="298"/>
      <c r="AL313" s="304"/>
      <c r="AM313" s="298"/>
      <c r="AN313" s="261"/>
      <c r="AO313" s="250"/>
      <c r="AP313" s="298"/>
      <c r="AQ313" s="304"/>
      <c r="AR313" s="298"/>
      <c r="AS313" s="304"/>
      <c r="AT313" s="254" t="str">
        <f t="shared" ref="AT313:AT314" si="287">IF(COUNTIF($AO$86:$AT$88, #REF!) &gt; 0, "X", "")</f>
        <v/>
      </c>
      <c r="AU313" s="269"/>
      <c r="AV313" s="269"/>
      <c r="AW313" s="206" t="str">
        <f t="shared" ref="AW313:BB313" si="286">AW55</f>
        <v>#REF!</v>
      </c>
      <c r="AX313" s="206">
        <f t="shared" si="286"/>
        <v>0</v>
      </c>
      <c r="AY313" s="206">
        <f t="shared" si="286"/>
        <v>0</v>
      </c>
      <c r="AZ313" s="206">
        <f t="shared" si="286"/>
        <v>0</v>
      </c>
      <c r="BA313" s="464">
        <f t="shared" si="286"/>
        <v>0</v>
      </c>
      <c r="BB313" s="206">
        <f t="shared" si="286"/>
        <v>0</v>
      </c>
      <c r="BC313" s="465">
        <f t="shared" si="229"/>
        <v>0</v>
      </c>
      <c r="BD313" s="206"/>
      <c r="BE313" s="466"/>
    </row>
    <row r="314">
      <c r="A314" s="94"/>
      <c r="B314" s="392" t="s">
        <v>691</v>
      </c>
      <c r="C314" s="393" t="s">
        <v>652</v>
      </c>
      <c r="D314" s="330"/>
      <c r="E314" s="259"/>
      <c r="F314" s="307"/>
      <c r="G314" s="298"/>
      <c r="H314" s="307"/>
      <c r="I314" s="298"/>
      <c r="J314" s="307"/>
      <c r="K314" s="298"/>
      <c r="L314" s="261"/>
      <c r="M314" s="250"/>
      <c r="N314" s="298"/>
      <c r="O314" s="307"/>
      <c r="P314" s="298"/>
      <c r="Q314" s="307"/>
      <c r="R314" s="298"/>
      <c r="S314" s="261"/>
      <c r="T314" s="250"/>
      <c r="U314" s="298"/>
      <c r="V314" s="307"/>
      <c r="W314" s="298"/>
      <c r="X314" s="307"/>
      <c r="Y314" s="298"/>
      <c r="Z314" s="261"/>
      <c r="AA314" s="250"/>
      <c r="AB314" s="298"/>
      <c r="AC314" s="307"/>
      <c r="AD314" s="298"/>
      <c r="AE314" s="395"/>
      <c r="AF314" s="298"/>
      <c r="AG314" s="261"/>
      <c r="AH314" s="307"/>
      <c r="AI314" s="298"/>
      <c r="AJ314" s="307"/>
      <c r="AK314" s="298"/>
      <c r="AL314" s="308"/>
      <c r="AM314" s="298"/>
      <c r="AN314" s="261"/>
      <c r="AO314" s="250"/>
      <c r="AP314" s="298"/>
      <c r="AQ314" s="307"/>
      <c r="AR314" s="298"/>
      <c r="AS314" s="308"/>
      <c r="AT314" s="254" t="str">
        <f t="shared" si="287"/>
        <v/>
      </c>
      <c r="AU314" s="269"/>
      <c r="AV314" s="269"/>
      <c r="AW314" s="206" t="str">
        <f t="shared" ref="AW314:BB314" si="288">AW56</f>
        <v>#REF!</v>
      </c>
      <c r="AX314" s="206">
        <f t="shared" si="288"/>
        <v>0</v>
      </c>
      <c r="AY314" s="206">
        <f t="shared" si="288"/>
        <v>0</v>
      </c>
      <c r="AZ314" s="206">
        <f t="shared" si="288"/>
        <v>0</v>
      </c>
      <c r="BA314" s="464">
        <f t="shared" si="288"/>
        <v>0</v>
      </c>
      <c r="BB314" s="206">
        <f t="shared" si="288"/>
        <v>0</v>
      </c>
      <c r="BC314" s="465">
        <f t="shared" si="229"/>
        <v>0</v>
      </c>
      <c r="BD314" s="206"/>
      <c r="BE314" s="466"/>
    </row>
    <row r="315">
      <c r="A315" s="94"/>
      <c r="B315" s="328" t="s">
        <v>692</v>
      </c>
      <c r="C315" s="329" t="s">
        <v>652</v>
      </c>
      <c r="D315" s="369"/>
      <c r="E315" s="259"/>
      <c r="F315" s="371"/>
      <c r="G315" s="246"/>
      <c r="H315" s="371"/>
      <c r="I315" s="246"/>
      <c r="J315" s="371"/>
      <c r="K315" s="246"/>
      <c r="L315" s="261"/>
      <c r="M315" s="250"/>
      <c r="N315" s="246"/>
      <c r="O315" s="371"/>
      <c r="P315" s="246"/>
      <c r="Q315" s="371"/>
      <c r="R315" s="246"/>
      <c r="S315" s="261"/>
      <c r="T315" s="250"/>
      <c r="U315" s="246"/>
      <c r="V315" s="371"/>
      <c r="W315" s="246"/>
      <c r="X315" s="282"/>
      <c r="Y315" s="246"/>
      <c r="Z315" s="261"/>
      <c r="AA315" s="250"/>
      <c r="AB315" s="246"/>
      <c r="AC315" s="282"/>
      <c r="AD315" s="246"/>
      <c r="AE315" s="584"/>
      <c r="AF315" s="246"/>
      <c r="AG315" s="261"/>
      <c r="AH315" s="371"/>
      <c r="AI315" s="246"/>
      <c r="AJ315" s="371"/>
      <c r="AK315" s="246"/>
      <c r="AL315" s="282"/>
      <c r="AM315" s="246"/>
      <c r="AN315" s="261"/>
      <c r="AO315" s="250"/>
      <c r="AP315" s="246"/>
      <c r="AQ315" s="371"/>
      <c r="AR315" s="246"/>
      <c r="AS315" s="282"/>
      <c r="AT315" s="254" t="str">
        <f t="shared" ref="AT315:AT318" si="290">IF(COUNTIF($AO$86:$AT$88, AS316) &gt; 0, "X", "")</f>
        <v/>
      </c>
      <c r="AU315" s="269"/>
      <c r="AV315" s="269"/>
      <c r="AW315" s="206" t="str">
        <f t="shared" ref="AW315:BB315" si="289">AW57</f>
        <v>#REF!</v>
      </c>
      <c r="AX315" s="206">
        <f t="shared" si="289"/>
        <v>0</v>
      </c>
      <c r="AY315" s="206">
        <f t="shared" si="289"/>
        <v>0</v>
      </c>
      <c r="AZ315" s="206">
        <f t="shared" si="289"/>
        <v>0</v>
      </c>
      <c r="BA315" s="464">
        <f t="shared" si="289"/>
        <v>0</v>
      </c>
      <c r="BB315" s="206">
        <f t="shared" si="289"/>
        <v>0</v>
      </c>
      <c r="BC315" s="465">
        <f t="shared" si="229"/>
        <v>0</v>
      </c>
      <c r="BD315" s="206"/>
      <c r="BE315" s="466"/>
    </row>
    <row r="316">
      <c r="A316" s="94"/>
      <c r="B316" s="397" t="s">
        <v>692</v>
      </c>
      <c r="C316" s="398" t="s">
        <v>687</v>
      </c>
      <c r="D316" s="404"/>
      <c r="E316" s="259"/>
      <c r="F316" s="399"/>
      <c r="G316" s="246"/>
      <c r="H316" s="399"/>
      <c r="I316" s="246"/>
      <c r="J316" s="399"/>
      <c r="K316" s="246"/>
      <c r="L316" s="261"/>
      <c r="M316" s="250"/>
      <c r="N316" s="246"/>
      <c r="O316" s="399"/>
      <c r="P316" s="246"/>
      <c r="Q316" s="282"/>
      <c r="R316" s="246"/>
      <c r="S316" s="261"/>
      <c r="T316" s="250"/>
      <c r="U316" s="246"/>
      <c r="V316" s="399"/>
      <c r="W316" s="246"/>
      <c r="X316" s="399"/>
      <c r="Y316" s="246"/>
      <c r="Z316" s="261"/>
      <c r="AA316" s="250"/>
      <c r="AB316" s="246"/>
      <c r="AC316" s="282"/>
      <c r="AD316" s="246"/>
      <c r="AF316" s="246"/>
      <c r="AG316" s="261"/>
      <c r="AH316" s="399"/>
      <c r="AI316" s="246"/>
      <c r="AJ316" s="399"/>
      <c r="AK316" s="246"/>
      <c r="AL316" s="399"/>
      <c r="AM316" s="246"/>
      <c r="AN316" s="261"/>
      <c r="AO316" s="250"/>
      <c r="AP316" s="246"/>
      <c r="AQ316" s="399"/>
      <c r="AR316" s="246"/>
      <c r="AS316" s="399"/>
      <c r="AT316" s="254" t="str">
        <f t="shared" si="290"/>
        <v/>
      </c>
      <c r="AU316" s="269"/>
      <c r="AV316" s="269"/>
      <c r="AW316" s="206" t="str">
        <f t="shared" ref="AW316:BB316" si="291">AW58</f>
        <v>#REF!</v>
      </c>
      <c r="AX316" s="206">
        <f t="shared" si="291"/>
        <v>0</v>
      </c>
      <c r="AY316" s="206">
        <f t="shared" si="291"/>
        <v>0</v>
      </c>
      <c r="AZ316" s="206">
        <f t="shared" si="291"/>
        <v>0</v>
      </c>
      <c r="BA316" s="464">
        <f t="shared" si="291"/>
        <v>0</v>
      </c>
      <c r="BB316" s="206">
        <f t="shared" si="291"/>
        <v>0</v>
      </c>
      <c r="BC316" s="465">
        <f t="shared" si="229"/>
        <v>0</v>
      </c>
      <c r="BD316" s="206"/>
      <c r="BE316" s="466"/>
    </row>
    <row r="317">
      <c r="A317" s="270"/>
      <c r="B317" s="402" t="s">
        <v>699</v>
      </c>
      <c r="C317" s="403" t="s">
        <v>649</v>
      </c>
      <c r="D317" s="330"/>
      <c r="E317" s="259"/>
      <c r="F317" s="294"/>
      <c r="G317" s="246"/>
      <c r="H317" s="294"/>
      <c r="I317" s="246"/>
      <c r="J317" s="294"/>
      <c r="K317" s="246"/>
      <c r="L317" s="261"/>
      <c r="M317" s="250"/>
      <c r="N317" s="246"/>
      <c r="O317" s="294"/>
      <c r="P317" s="246"/>
      <c r="Q317" s="293" t="s">
        <v>426</v>
      </c>
      <c r="R317" s="246"/>
      <c r="S317" s="261"/>
      <c r="T317" s="250"/>
      <c r="U317" s="246"/>
      <c r="V317" s="294"/>
      <c r="W317" s="246"/>
      <c r="X317" s="294"/>
      <c r="Y317" s="246"/>
      <c r="Z317" s="261"/>
      <c r="AA317" s="250"/>
      <c r="AB317" s="246"/>
      <c r="AC317" s="294"/>
      <c r="AD317" s="246"/>
      <c r="AE317" s="293" t="s">
        <v>416</v>
      </c>
      <c r="AF317" s="246"/>
      <c r="AG317" s="261"/>
      <c r="AH317" s="294"/>
      <c r="AI317" s="246"/>
      <c r="AJ317" s="294"/>
      <c r="AK317" s="246"/>
      <c r="AL317" s="294"/>
      <c r="AM317" s="246"/>
      <c r="AN317" s="261"/>
      <c r="AO317" s="250"/>
      <c r="AP317" s="246"/>
      <c r="AQ317" s="294"/>
      <c r="AR317" s="246"/>
      <c r="AS317" s="294"/>
      <c r="AT317" s="254" t="str">
        <f t="shared" si="290"/>
        <v/>
      </c>
      <c r="AU317" s="269"/>
      <c r="AV317" s="269"/>
      <c r="AW317" s="206" t="str">
        <f t="shared" ref="AW317:BB317" si="292">AW59</f>
        <v>#REF!</v>
      </c>
      <c r="AX317" s="206">
        <f t="shared" si="292"/>
        <v>0</v>
      </c>
      <c r="AY317" s="206">
        <f t="shared" si="292"/>
        <v>0</v>
      </c>
      <c r="AZ317" s="206">
        <f t="shared" si="292"/>
        <v>0</v>
      </c>
      <c r="BA317" s="464">
        <f t="shared" si="292"/>
        <v>0</v>
      </c>
      <c r="BB317" s="206">
        <f t="shared" si="292"/>
        <v>0</v>
      </c>
      <c r="BC317" s="465">
        <f t="shared" si="229"/>
        <v>0</v>
      </c>
      <c r="BD317" s="206"/>
      <c r="BE317" s="466"/>
    </row>
    <row r="318">
      <c r="A318" s="94"/>
      <c r="B318" s="328" t="s">
        <v>700</v>
      </c>
      <c r="C318" s="329" t="s">
        <v>657</v>
      </c>
      <c r="D318" s="330"/>
      <c r="E318" s="259"/>
      <c r="F318" s="371"/>
      <c r="G318" s="246"/>
      <c r="H318" s="282"/>
      <c r="I318" s="246"/>
      <c r="J318" s="371"/>
      <c r="K318" s="246"/>
      <c r="L318" s="261"/>
      <c r="M318" s="250"/>
      <c r="N318" s="246"/>
      <c r="O318" s="371"/>
      <c r="P318" s="246"/>
      <c r="Q318" s="274" t="s">
        <v>437</v>
      </c>
      <c r="R318" s="246"/>
      <c r="S318" s="261"/>
      <c r="T318" s="250"/>
      <c r="U318" s="246"/>
      <c r="V318" s="371"/>
      <c r="W318" s="246"/>
      <c r="X318" s="371"/>
      <c r="Y318" s="246"/>
      <c r="Z318" s="261"/>
      <c r="AA318" s="250"/>
      <c r="AB318" s="246"/>
      <c r="AC318" s="371"/>
      <c r="AD318" s="246"/>
      <c r="AE318" s="311" t="s">
        <v>455</v>
      </c>
      <c r="AF318" s="246"/>
      <c r="AG318" s="261"/>
      <c r="AH318" s="371"/>
      <c r="AI318" s="246"/>
      <c r="AJ318" s="371"/>
      <c r="AK318" s="246"/>
      <c r="AL318" s="371"/>
      <c r="AM318" s="246"/>
      <c r="AN318" s="261"/>
      <c r="AO318" s="250"/>
      <c r="AP318" s="246"/>
      <c r="AQ318" s="282"/>
      <c r="AR318" s="246"/>
      <c r="AS318" s="371"/>
      <c r="AT318" s="254" t="str">
        <f t="shared" si="290"/>
        <v/>
      </c>
      <c r="AU318" s="269"/>
      <c r="AV318" s="269"/>
      <c r="AW318" s="206" t="str">
        <f t="shared" ref="AW318:BB318" si="293">AW60</f>
        <v>#REF!</v>
      </c>
      <c r="AX318" s="206">
        <f t="shared" si="293"/>
        <v>0</v>
      </c>
      <c r="AY318" s="206">
        <f t="shared" si="293"/>
        <v>0</v>
      </c>
      <c r="AZ318" s="206">
        <f t="shared" si="293"/>
        <v>0</v>
      </c>
      <c r="BA318" s="464">
        <f t="shared" si="293"/>
        <v>0</v>
      </c>
      <c r="BB318" s="206">
        <f t="shared" si="293"/>
        <v>0</v>
      </c>
      <c r="BC318" s="465">
        <f t="shared" si="229"/>
        <v>0</v>
      </c>
      <c r="BD318" s="206"/>
      <c r="BE318" s="466"/>
    </row>
    <row r="319">
      <c r="A319" s="94"/>
      <c r="B319" s="328" t="s">
        <v>700</v>
      </c>
      <c r="C319" s="329" t="s">
        <v>657</v>
      </c>
      <c r="D319" s="330"/>
      <c r="E319" s="259"/>
      <c r="F319" s="264"/>
      <c r="G319" s="246"/>
      <c r="H319" s="265"/>
      <c r="I319" s="246"/>
      <c r="J319" s="264"/>
      <c r="K319" s="246"/>
      <c r="L319" s="261"/>
      <c r="M319" s="262"/>
      <c r="N319" s="246"/>
      <c r="O319" s="265"/>
      <c r="P319" s="246"/>
      <c r="Q319" s="405" t="s">
        <v>462</v>
      </c>
      <c r="R319" s="246"/>
      <c r="S319" s="261"/>
      <c r="T319" s="262"/>
      <c r="U319" s="246"/>
      <c r="V319" s="264"/>
      <c r="W319" s="246"/>
      <c r="X319" s="264"/>
      <c r="Y319" s="246"/>
      <c r="Z319" s="261"/>
      <c r="AA319" s="262"/>
      <c r="AB319" s="246"/>
      <c r="AC319" s="264"/>
      <c r="AD319" s="246"/>
      <c r="AE319" s="671" t="s">
        <v>943</v>
      </c>
      <c r="AF319" s="246"/>
      <c r="AG319" s="261"/>
      <c r="AH319" s="264"/>
      <c r="AI319" s="246"/>
      <c r="AJ319" s="264"/>
      <c r="AK319" s="246"/>
      <c r="AL319" s="264"/>
      <c r="AM319" s="246"/>
      <c r="AN319" s="261"/>
      <c r="AO319" s="262"/>
      <c r="AP319" s="246"/>
      <c r="AR319" s="246"/>
      <c r="AS319" s="264"/>
      <c r="AT319" s="254" t="str">
        <f>IF(COUNTIF($AO$86:$AT$88, #REF!) &gt; 0, "X", "")</f>
        <v/>
      </c>
      <c r="AU319" s="269"/>
      <c r="AV319" s="269"/>
      <c r="AW319" s="206" t="str">
        <f t="shared" ref="AW319:BB319" si="294">AW61</f>
        <v>#REF!</v>
      </c>
      <c r="AX319" s="206">
        <f t="shared" si="294"/>
        <v>0</v>
      </c>
      <c r="AY319" s="206">
        <f t="shared" si="294"/>
        <v>0</v>
      </c>
      <c r="AZ319" s="206">
        <f t="shared" si="294"/>
        <v>0</v>
      </c>
      <c r="BA319" s="464">
        <f t="shared" si="294"/>
        <v>0</v>
      </c>
      <c r="BB319" s="206">
        <f t="shared" si="294"/>
        <v>0</v>
      </c>
      <c r="BC319" s="465">
        <f t="shared" si="229"/>
        <v>0</v>
      </c>
      <c r="BD319" s="206"/>
      <c r="BE319" s="466"/>
    </row>
    <row r="320">
      <c r="A320" s="94"/>
      <c r="B320" s="328" t="s">
        <v>700</v>
      </c>
      <c r="C320" s="329" t="s">
        <v>657</v>
      </c>
      <c r="D320" s="351"/>
      <c r="E320" s="259"/>
      <c r="F320" s="282"/>
      <c r="G320" s="246"/>
      <c r="H320" s="282"/>
      <c r="I320" s="246"/>
      <c r="K320" s="246"/>
      <c r="L320" s="261"/>
      <c r="M320" s="250"/>
      <c r="N320" s="246"/>
      <c r="P320" s="246"/>
      <c r="Q320" s="282"/>
      <c r="R320" s="246"/>
      <c r="S320" s="261"/>
      <c r="T320" s="250"/>
      <c r="U320" s="246"/>
      <c r="V320" s="282"/>
      <c r="W320" s="246"/>
      <c r="Y320" s="246"/>
      <c r="Z320" s="261"/>
      <c r="AA320" s="250"/>
      <c r="AB320" s="246"/>
      <c r="AC320" s="282"/>
      <c r="AD320" s="246"/>
      <c r="AE320" s="282"/>
      <c r="AF320" s="246"/>
      <c r="AG320" s="261"/>
      <c r="AH320" s="371"/>
      <c r="AI320" s="246"/>
      <c r="AJ320" s="282"/>
      <c r="AK320" s="246"/>
      <c r="AL320" s="399"/>
      <c r="AM320" s="246"/>
      <c r="AN320" s="261"/>
      <c r="AO320" s="250"/>
      <c r="AP320" s="246"/>
      <c r="AQ320" s="371"/>
      <c r="AR320" s="246"/>
      <c r="AS320" s="282"/>
      <c r="AT320" s="254" t="str">
        <f t="shared" ref="AT320:AT321" si="296">IF(COUNTIF($AO$86:$AT$88, AS321) &gt; 0, "X", "")</f>
        <v/>
      </c>
      <c r="AU320" s="269"/>
      <c r="AV320" s="269"/>
      <c r="AW320" s="206" t="str">
        <f t="shared" ref="AW320:BB320" si="295">AW62</f>
        <v>#REF!</v>
      </c>
      <c r="AX320" s="206">
        <f t="shared" si="295"/>
        <v>0</v>
      </c>
      <c r="AY320" s="206">
        <f t="shared" si="295"/>
        <v>0</v>
      </c>
      <c r="AZ320" s="206">
        <f t="shared" si="295"/>
        <v>0</v>
      </c>
      <c r="BA320" s="464">
        <f t="shared" si="295"/>
        <v>0</v>
      </c>
      <c r="BB320" s="206">
        <f t="shared" si="295"/>
        <v>0</v>
      </c>
      <c r="BC320" s="465">
        <f t="shared" si="229"/>
        <v>0</v>
      </c>
      <c r="BD320" s="206"/>
      <c r="BE320" s="466"/>
    </row>
    <row r="321">
      <c r="A321" s="94"/>
      <c r="B321" s="408" t="s">
        <v>702</v>
      </c>
      <c r="C321" s="409" t="s">
        <v>652</v>
      </c>
      <c r="D321" s="323"/>
      <c r="E321" s="259"/>
      <c r="F321" s="411"/>
      <c r="G321" s="246"/>
      <c r="H321" s="411"/>
      <c r="I321" s="246"/>
      <c r="J321" s="411"/>
      <c r="K321" s="246"/>
      <c r="L321" s="261"/>
      <c r="M321" s="262"/>
      <c r="N321" s="246"/>
      <c r="O321" s="411"/>
      <c r="P321" s="246"/>
      <c r="Q321" s="411"/>
      <c r="R321" s="246"/>
      <c r="S321" s="261"/>
      <c r="T321" s="262"/>
      <c r="U321" s="246"/>
      <c r="V321" s="411"/>
      <c r="W321" s="246"/>
      <c r="X321" s="411"/>
      <c r="Y321" s="246"/>
      <c r="Z321" s="261"/>
      <c r="AA321" s="262"/>
      <c r="AB321" s="246"/>
      <c r="AC321" s="411"/>
      <c r="AD321" s="246"/>
      <c r="AE321" s="411"/>
      <c r="AF321" s="246"/>
      <c r="AG321" s="261"/>
      <c r="AH321" s="411"/>
      <c r="AI321" s="246"/>
      <c r="AJ321" s="411"/>
      <c r="AK321" s="246"/>
      <c r="AL321" s="411"/>
      <c r="AM321" s="246"/>
      <c r="AN321" s="261"/>
      <c r="AO321" s="262"/>
      <c r="AP321" s="246"/>
      <c r="AQ321" s="411"/>
      <c r="AR321" s="246"/>
      <c r="AS321" s="411"/>
      <c r="AT321" s="254" t="str">
        <f t="shared" si="296"/>
        <v/>
      </c>
      <c r="AU321" s="269"/>
      <c r="AV321" s="269"/>
      <c r="AW321" s="206" t="str">
        <f t="shared" ref="AW321:BB321" si="297">AW63</f>
        <v>#REF!</v>
      </c>
      <c r="AX321" s="206">
        <f t="shared" si="297"/>
        <v>0</v>
      </c>
      <c r="AY321" s="206">
        <f t="shared" si="297"/>
        <v>0</v>
      </c>
      <c r="AZ321" s="206">
        <f t="shared" si="297"/>
        <v>0</v>
      </c>
      <c r="BA321" s="464">
        <f t="shared" si="297"/>
        <v>0</v>
      </c>
      <c r="BB321" s="206">
        <f t="shared" si="297"/>
        <v>0</v>
      </c>
      <c r="BC321" s="465">
        <f t="shared" si="229"/>
        <v>0</v>
      </c>
      <c r="BD321" s="206"/>
      <c r="BE321" s="466"/>
    </row>
    <row r="322">
      <c r="A322" s="234"/>
      <c r="B322" s="401" t="s">
        <v>703</v>
      </c>
      <c r="C322" s="412" t="s">
        <v>704</v>
      </c>
      <c r="D322" s="330"/>
      <c r="E322" s="259"/>
      <c r="F322" s="413"/>
      <c r="G322" s="246"/>
      <c r="H322" s="413"/>
      <c r="I322" s="246"/>
      <c r="J322" s="413"/>
      <c r="K322" s="246"/>
      <c r="L322" s="261"/>
      <c r="M322" s="262"/>
      <c r="N322" s="246"/>
      <c r="O322" s="413"/>
      <c r="P322" s="246"/>
      <c r="Q322" s="413"/>
      <c r="R322" s="246"/>
      <c r="S322" s="261"/>
      <c r="T322" s="262"/>
      <c r="U322" s="246"/>
      <c r="V322" s="413"/>
      <c r="W322" s="246"/>
      <c r="X322" s="413"/>
      <c r="Y322" s="246"/>
      <c r="Z322" s="261"/>
      <c r="AA322" s="262"/>
      <c r="AB322" s="246"/>
      <c r="AC322" s="413"/>
      <c r="AD322" s="246"/>
      <c r="AE322" s="413"/>
      <c r="AF322" s="246"/>
      <c r="AG322" s="261"/>
      <c r="AH322" s="413"/>
      <c r="AI322" s="246"/>
      <c r="AJ322" s="413"/>
      <c r="AK322" s="246"/>
      <c r="AL322" s="413"/>
      <c r="AM322" s="246"/>
      <c r="AN322" s="261"/>
      <c r="AO322" s="262"/>
      <c r="AP322" s="246"/>
      <c r="AQ322" s="413"/>
      <c r="AR322" s="246"/>
      <c r="AS322" s="413"/>
      <c r="AT322" s="254" t="str">
        <f t="shared" ref="AT322:AT324" si="299">IF(COUNTIF($AO$86:$AT$88, #REF!) &gt; 0, "X", "")</f>
        <v/>
      </c>
      <c r="AU322" s="269"/>
      <c r="AV322" s="269"/>
      <c r="AW322" s="206" t="str">
        <f t="shared" ref="AW322:BB322" si="298">AW64</f>
        <v>#REF!</v>
      </c>
      <c r="AX322" s="206">
        <f t="shared" si="298"/>
        <v>0</v>
      </c>
      <c r="AY322" s="206">
        <f t="shared" si="298"/>
        <v>0</v>
      </c>
      <c r="AZ322" s="206">
        <f t="shared" si="298"/>
        <v>0</v>
      </c>
      <c r="BA322" s="464">
        <f t="shared" si="298"/>
        <v>0</v>
      </c>
      <c r="BB322" s="206">
        <f t="shared" si="298"/>
        <v>0</v>
      </c>
      <c r="BC322" s="465">
        <f t="shared" si="229"/>
        <v>0</v>
      </c>
      <c r="BD322" s="206"/>
      <c r="BE322" s="466"/>
    </row>
    <row r="323">
      <c r="A323" s="234"/>
      <c r="B323" s="414" t="s">
        <v>705</v>
      </c>
      <c r="C323" s="415" t="s">
        <v>704</v>
      </c>
      <c r="D323" s="330"/>
      <c r="E323" s="259"/>
      <c r="G323" s="246"/>
      <c r="H323" s="364" t="s">
        <v>836</v>
      </c>
      <c r="I323" s="246"/>
      <c r="J323" s="251" t="s">
        <v>432</v>
      </c>
      <c r="K323" s="246"/>
      <c r="L323" s="261"/>
      <c r="M323" s="341"/>
      <c r="N323" s="246"/>
      <c r="O323" s="311" t="s">
        <v>394</v>
      </c>
      <c r="P323" s="246"/>
      <c r="Q323" s="311" t="s">
        <v>410</v>
      </c>
      <c r="R323" s="246"/>
      <c r="S323" s="261"/>
      <c r="T323" s="341"/>
      <c r="U323" s="246"/>
      <c r="V323" s="311" t="s">
        <v>438</v>
      </c>
      <c r="W323" s="246"/>
      <c r="X323" s="311" t="s">
        <v>410</v>
      </c>
      <c r="Y323" s="246"/>
      <c r="Z323" s="261"/>
      <c r="AA323" s="262"/>
      <c r="AB323" s="246"/>
      <c r="AC323" s="311" t="s">
        <v>438</v>
      </c>
      <c r="AD323" s="246"/>
      <c r="AE323" s="311" t="s">
        <v>410</v>
      </c>
      <c r="AF323" s="246"/>
      <c r="AG323" s="261"/>
      <c r="AH323" s="282"/>
      <c r="AI323" s="246"/>
      <c r="AJ323" s="251" t="s">
        <v>407</v>
      </c>
      <c r="AK323" s="246"/>
      <c r="AL323" s="586" t="s">
        <v>452</v>
      </c>
      <c r="AM323" s="246"/>
      <c r="AN323" s="261"/>
      <c r="AO323" s="341"/>
      <c r="AP323" s="246"/>
      <c r="AQ323" s="311" t="s">
        <v>394</v>
      </c>
      <c r="AR323" s="246"/>
      <c r="AS323" s="374" t="s">
        <v>410</v>
      </c>
      <c r="AT323" s="254" t="str">
        <f t="shared" si="299"/>
        <v/>
      </c>
      <c r="AU323" s="269"/>
      <c r="AV323" s="269"/>
      <c r="AW323" s="206" t="str">
        <f t="shared" ref="AW323:BB323" si="300">AW65</f>
        <v>#REF!</v>
      </c>
      <c r="AX323" s="206">
        <f t="shared" si="300"/>
        <v>0</v>
      </c>
      <c r="AY323" s="206">
        <f t="shared" si="300"/>
        <v>0</v>
      </c>
      <c r="AZ323" s="206">
        <f t="shared" si="300"/>
        <v>0</v>
      </c>
      <c r="BA323" s="464">
        <f t="shared" si="300"/>
        <v>0</v>
      </c>
      <c r="BB323" s="206">
        <f t="shared" si="300"/>
        <v>0</v>
      </c>
      <c r="BC323" s="465">
        <f t="shared" si="229"/>
        <v>0</v>
      </c>
      <c r="BD323" s="206"/>
      <c r="BE323" s="466"/>
    </row>
    <row r="324">
      <c r="A324" s="94"/>
      <c r="B324" s="328" t="s">
        <v>705</v>
      </c>
      <c r="C324" s="257" t="s">
        <v>657</v>
      </c>
      <c r="D324" s="330"/>
      <c r="E324" s="259"/>
      <c r="F324" s="311" t="s">
        <v>467</v>
      </c>
      <c r="G324" s="246"/>
      <c r="H324" s="251" t="s">
        <v>440</v>
      </c>
      <c r="I324" s="246"/>
      <c r="J324" s="586" t="s">
        <v>452</v>
      </c>
      <c r="K324" s="246"/>
      <c r="L324" s="261"/>
      <c r="M324" s="341"/>
      <c r="N324" s="246"/>
      <c r="O324" s="339" t="s">
        <v>404</v>
      </c>
      <c r="P324" s="246"/>
      <c r="Q324" s="311" t="s">
        <v>470</v>
      </c>
      <c r="R324" s="246"/>
      <c r="S324" s="261"/>
      <c r="T324" s="341"/>
      <c r="U324" s="246"/>
      <c r="V324" s="251" t="s">
        <v>440</v>
      </c>
      <c r="W324" s="246"/>
      <c r="X324" s="311" t="s">
        <v>467</v>
      </c>
      <c r="Y324" s="246"/>
      <c r="Z324" s="261"/>
      <c r="AA324" s="341"/>
      <c r="AB324" s="246"/>
      <c r="AC324" s="251" t="s">
        <v>440</v>
      </c>
      <c r="AD324" s="246"/>
      <c r="AE324" s="325" t="s">
        <v>785</v>
      </c>
      <c r="AF324" s="246"/>
      <c r="AG324" s="261"/>
      <c r="AH324" s="311" t="s">
        <v>470</v>
      </c>
      <c r="AI324" s="246"/>
      <c r="AJ324" s="339" t="s">
        <v>404</v>
      </c>
      <c r="AK324" s="246"/>
      <c r="AL324" s="251" t="s">
        <v>432</v>
      </c>
      <c r="AM324" s="246"/>
      <c r="AN324" s="261"/>
      <c r="AO324" s="341"/>
      <c r="AP324" s="246"/>
      <c r="AQ324" s="251" t="s">
        <v>407</v>
      </c>
      <c r="AR324" s="246"/>
      <c r="AS324" s="586" t="s">
        <v>452</v>
      </c>
      <c r="AT324" s="254" t="str">
        <f t="shared" si="299"/>
        <v/>
      </c>
      <c r="AU324" s="269"/>
      <c r="AV324" s="269"/>
      <c r="AW324" s="206" t="str">
        <f t="shared" ref="AW324:BB324" si="301">AW66</f>
        <v>#REF!</v>
      </c>
      <c r="AX324" s="206">
        <f t="shared" si="301"/>
        <v>0</v>
      </c>
      <c r="AY324" s="206">
        <f t="shared" si="301"/>
        <v>0</v>
      </c>
      <c r="AZ324" s="206">
        <f t="shared" si="301"/>
        <v>0</v>
      </c>
      <c r="BA324" s="464">
        <f t="shared" si="301"/>
        <v>0</v>
      </c>
      <c r="BB324" s="206">
        <f t="shared" si="301"/>
        <v>0</v>
      </c>
      <c r="BC324" s="465">
        <f t="shared" si="229"/>
        <v>0</v>
      </c>
      <c r="BD324" s="206"/>
      <c r="BE324" s="466"/>
    </row>
    <row r="325">
      <c r="A325" s="94"/>
      <c r="B325" s="277" t="s">
        <v>705</v>
      </c>
      <c r="C325" s="329" t="s">
        <v>685</v>
      </c>
      <c r="D325" s="369"/>
      <c r="E325" s="259"/>
      <c r="F325" s="311" t="s">
        <v>470</v>
      </c>
      <c r="G325" s="246"/>
      <c r="H325" s="311" t="s">
        <v>438</v>
      </c>
      <c r="I325" s="246"/>
      <c r="J325" s="251" t="s">
        <v>405</v>
      </c>
      <c r="K325" s="246"/>
      <c r="L325" s="261"/>
      <c r="M325" s="341"/>
      <c r="N325" s="246"/>
      <c r="O325" s="311" t="s">
        <v>438</v>
      </c>
      <c r="P325" s="246"/>
      <c r="Q325" s="251" t="s">
        <v>405</v>
      </c>
      <c r="R325" s="246"/>
      <c r="S325" s="261"/>
      <c r="T325" s="341"/>
      <c r="U325" s="246"/>
      <c r="V325" s="251" t="s">
        <v>407</v>
      </c>
      <c r="W325" s="246"/>
      <c r="X325" s="586" t="s">
        <v>452</v>
      </c>
      <c r="Y325" s="246"/>
      <c r="Z325" s="261"/>
      <c r="AA325" s="341"/>
      <c r="AB325" s="246"/>
      <c r="AC325" s="311" t="s">
        <v>470</v>
      </c>
      <c r="AD325" s="246"/>
      <c r="AE325" s="251" t="s">
        <v>405</v>
      </c>
      <c r="AF325" s="246"/>
      <c r="AG325" s="261"/>
      <c r="AH325" s="667" t="s">
        <v>467</v>
      </c>
      <c r="AI325" s="246"/>
      <c r="AJ325" s="251" t="s">
        <v>440</v>
      </c>
      <c r="AK325" s="246"/>
      <c r="AL325" s="251" t="s">
        <v>405</v>
      </c>
      <c r="AM325" s="246"/>
      <c r="AN325" s="261"/>
      <c r="AO325" s="341"/>
      <c r="AP325" s="246"/>
      <c r="AQ325" s="311" t="s">
        <v>470</v>
      </c>
      <c r="AR325" s="246"/>
      <c r="AS325" s="672" t="s">
        <v>432</v>
      </c>
      <c r="AT325" s="254" t="str">
        <f>IF(COUNTIF($AO$86:$AT$88, AO325) &gt; 0, "X", "")</f>
        <v/>
      </c>
      <c r="AU325" s="269"/>
      <c r="AV325" s="269"/>
      <c r="AW325" s="206" t="str">
        <f t="shared" ref="AW325:BB325" si="302">AW67</f>
        <v>#REF!</v>
      </c>
      <c r="AX325" s="206">
        <f t="shared" si="302"/>
        <v>0</v>
      </c>
      <c r="AY325" s="206">
        <f t="shared" si="302"/>
        <v>0</v>
      </c>
      <c r="AZ325" s="206">
        <f t="shared" si="302"/>
        <v>0</v>
      </c>
      <c r="BA325" s="464">
        <f t="shared" si="302"/>
        <v>0</v>
      </c>
      <c r="BB325" s="206">
        <f t="shared" si="302"/>
        <v>0</v>
      </c>
      <c r="BC325" s="465">
        <f t="shared" si="229"/>
        <v>0</v>
      </c>
      <c r="BD325" s="206"/>
      <c r="BE325" s="466"/>
    </row>
    <row r="326">
      <c r="A326" s="94"/>
      <c r="B326" s="271" t="s">
        <v>705</v>
      </c>
      <c r="C326" s="272" t="s">
        <v>687</v>
      </c>
      <c r="D326" s="330"/>
      <c r="E326" s="259"/>
      <c r="G326" s="246"/>
      <c r="H326" s="339" t="s">
        <v>404</v>
      </c>
      <c r="I326" s="246"/>
      <c r="J326" s="384" t="s">
        <v>900</v>
      </c>
      <c r="K326" s="246"/>
      <c r="L326" s="261"/>
      <c r="M326" s="341"/>
      <c r="N326" s="246"/>
      <c r="P326" s="246"/>
      <c r="Q326" s="384" t="s">
        <v>900</v>
      </c>
      <c r="R326" s="246"/>
      <c r="S326" s="261"/>
      <c r="T326" s="341"/>
      <c r="U326" s="246"/>
      <c r="V326" s="339" t="s">
        <v>404</v>
      </c>
      <c r="W326" s="246"/>
      <c r="X326" s="384" t="s">
        <v>900</v>
      </c>
      <c r="Y326" s="246"/>
      <c r="Z326" s="261"/>
      <c r="AA326" s="341"/>
      <c r="AB326" s="246"/>
      <c r="AC326" s="282"/>
      <c r="AD326" s="246"/>
      <c r="AF326" s="246"/>
      <c r="AG326" s="261"/>
      <c r="AH326" s="282"/>
      <c r="AI326" s="246"/>
      <c r="AK326" s="246"/>
      <c r="AL326" s="384" t="s">
        <v>900</v>
      </c>
      <c r="AM326" s="246"/>
      <c r="AN326" s="261"/>
      <c r="AO326" s="341"/>
      <c r="AP326" s="246"/>
      <c r="AQ326" s="339" t="s">
        <v>404</v>
      </c>
      <c r="AR326" s="246"/>
      <c r="AS326" s="384" t="s">
        <v>900</v>
      </c>
      <c r="AT326" s="254" t="str">
        <f>IF(COUNTIF($AO$86:$AT$88, #REF!) &gt; 0, "X", "")</f>
        <v/>
      </c>
      <c r="AU326" s="269"/>
      <c r="AV326" s="269"/>
      <c r="AW326" s="206" t="str">
        <f t="shared" ref="AW326:BB326" si="303">AW68</f>
        <v>#REF!</v>
      </c>
      <c r="AX326" s="206">
        <f t="shared" si="303"/>
        <v>0</v>
      </c>
      <c r="AY326" s="206">
        <f t="shared" si="303"/>
        <v>0</v>
      </c>
      <c r="AZ326" s="206">
        <f t="shared" si="303"/>
        <v>0</v>
      </c>
      <c r="BA326" s="464">
        <f t="shared" si="303"/>
        <v>0</v>
      </c>
      <c r="BB326" s="206">
        <f t="shared" si="303"/>
        <v>0</v>
      </c>
      <c r="BC326" s="465">
        <f t="shared" si="229"/>
        <v>0</v>
      </c>
      <c r="BD326" s="206"/>
      <c r="BE326" s="466"/>
    </row>
    <row r="327">
      <c r="A327" s="270"/>
      <c r="B327" s="397" t="s">
        <v>708</v>
      </c>
      <c r="C327" s="398" t="s">
        <v>654</v>
      </c>
      <c r="D327" s="330"/>
      <c r="E327" s="259"/>
      <c r="F327" s="275"/>
      <c r="G327" s="246"/>
      <c r="H327" s="311" t="s">
        <v>441</v>
      </c>
      <c r="I327" s="246"/>
      <c r="J327" s="384"/>
      <c r="K327" s="246"/>
      <c r="L327" s="261"/>
      <c r="M327" s="341"/>
      <c r="N327" s="246"/>
      <c r="O327" s="311" t="s">
        <v>441</v>
      </c>
      <c r="P327" s="246"/>
      <c r="Q327" s="374" t="s">
        <v>446</v>
      </c>
      <c r="R327" s="246"/>
      <c r="S327" s="261"/>
      <c r="T327" s="341"/>
      <c r="U327" s="246"/>
      <c r="V327" s="365" t="s">
        <v>469</v>
      </c>
      <c r="W327" s="246"/>
      <c r="X327" s="311" t="s">
        <v>441</v>
      </c>
      <c r="Y327" s="246"/>
      <c r="Z327" s="261"/>
      <c r="AA327" s="341"/>
      <c r="AB327" s="246"/>
      <c r="AC327" s="311" t="s">
        <v>441</v>
      </c>
      <c r="AD327" s="246"/>
      <c r="AE327" s="311" t="s">
        <v>446</v>
      </c>
      <c r="AF327" s="246"/>
      <c r="AG327" s="261"/>
      <c r="AH327" s="275"/>
      <c r="AI327" s="246"/>
      <c r="AJ327" s="311" t="s">
        <v>441</v>
      </c>
      <c r="AK327" s="246"/>
      <c r="AL327" s="374" t="s">
        <v>446</v>
      </c>
      <c r="AM327" s="246"/>
      <c r="AN327" s="261"/>
      <c r="AO327" s="341"/>
      <c r="AP327" s="246"/>
      <c r="AQ327" s="365" t="s">
        <v>469</v>
      </c>
      <c r="AR327" s="246"/>
      <c r="AS327" s="374" t="s">
        <v>446</v>
      </c>
      <c r="AT327" s="254" t="str">
        <f t="shared" ref="AT327:AT328" si="305">IF(COUNTIF($AO$86:$AT$88, AS328) &gt; 0, "X", "")</f>
        <v/>
      </c>
      <c r="AU327" s="269"/>
      <c r="AV327" s="269"/>
      <c r="AW327" s="206" t="str">
        <f t="shared" ref="AW327:BB327" si="304">AW69</f>
        <v>#REF!</v>
      </c>
      <c r="AX327" s="206">
        <f t="shared" si="304"/>
        <v>0</v>
      </c>
      <c r="AY327" s="206">
        <f t="shared" si="304"/>
        <v>0</v>
      </c>
      <c r="AZ327" s="206">
        <f t="shared" si="304"/>
        <v>0</v>
      </c>
      <c r="BA327" s="464">
        <f t="shared" si="304"/>
        <v>0</v>
      </c>
      <c r="BB327" s="206">
        <f t="shared" si="304"/>
        <v>0</v>
      </c>
      <c r="BC327" s="465">
        <f t="shared" si="229"/>
        <v>0</v>
      </c>
      <c r="BD327" s="206"/>
      <c r="BE327" s="466"/>
    </row>
    <row r="328">
      <c r="A328" s="94"/>
      <c r="B328" s="277" t="s">
        <v>709</v>
      </c>
      <c r="C328" s="278" t="s">
        <v>710</v>
      </c>
      <c r="D328" s="323"/>
      <c r="E328" s="259"/>
      <c r="F328" s="281"/>
      <c r="G328" s="246"/>
      <c r="H328" s="282"/>
      <c r="I328" s="246"/>
      <c r="J328" s="374" t="s">
        <v>446</v>
      </c>
      <c r="K328" s="246"/>
      <c r="L328" s="261"/>
      <c r="M328" s="286"/>
      <c r="N328" s="246"/>
      <c r="O328" s="281"/>
      <c r="P328" s="246"/>
      <c r="Q328" s="251" t="s">
        <v>440</v>
      </c>
      <c r="R328" s="246"/>
      <c r="S328" s="261"/>
      <c r="T328" s="286"/>
      <c r="U328" s="246"/>
      <c r="W328" s="246"/>
      <c r="X328" s="282"/>
      <c r="Y328" s="246"/>
      <c r="Z328" s="261"/>
      <c r="AA328" s="286"/>
      <c r="AB328" s="246"/>
      <c r="AC328" s="282"/>
      <c r="AD328" s="246"/>
      <c r="AE328" s="282"/>
      <c r="AF328" s="246"/>
      <c r="AG328" s="261"/>
      <c r="AH328" s="281"/>
      <c r="AI328" s="246"/>
      <c r="AJ328" s="281"/>
      <c r="AK328" s="246"/>
      <c r="AL328" s="282"/>
      <c r="AM328" s="246"/>
      <c r="AN328" s="261"/>
      <c r="AO328" s="286"/>
      <c r="AP328" s="246"/>
      <c r="AQ328" s="281"/>
      <c r="AR328" s="246"/>
      <c r="AS328" s="281"/>
      <c r="AT328" s="254" t="str">
        <f t="shared" si="305"/>
        <v/>
      </c>
      <c r="AU328" s="269"/>
      <c r="AV328" s="269"/>
      <c r="AW328" s="206" t="str">
        <f t="shared" ref="AW328:BB328" si="306">AW70</f>
        <v>#REF!</v>
      </c>
      <c r="AX328" s="206">
        <f t="shared" si="306"/>
        <v>0</v>
      </c>
      <c r="AY328" s="206">
        <f t="shared" si="306"/>
        <v>0</v>
      </c>
      <c r="AZ328" s="206">
        <f t="shared" si="306"/>
        <v>0</v>
      </c>
      <c r="BA328" s="464">
        <f t="shared" si="306"/>
        <v>0</v>
      </c>
      <c r="BB328" s="206">
        <f t="shared" si="306"/>
        <v>0</v>
      </c>
      <c r="BC328" s="465">
        <f t="shared" si="229"/>
        <v>0</v>
      </c>
      <c r="BD328" s="206"/>
      <c r="BE328" s="466"/>
    </row>
    <row r="329">
      <c r="A329" s="94"/>
      <c r="B329" s="673" t="s">
        <v>944</v>
      </c>
      <c r="C329" s="272" t="s">
        <v>639</v>
      </c>
      <c r="D329" s="431"/>
      <c r="E329" s="259"/>
      <c r="F329" s="282"/>
      <c r="G329" s="246"/>
      <c r="H329" s="282"/>
      <c r="I329" s="246"/>
      <c r="J329" s="282"/>
      <c r="K329" s="246"/>
      <c r="L329" s="261"/>
      <c r="M329" s="341"/>
      <c r="N329" s="246"/>
      <c r="O329" s="282"/>
      <c r="P329" s="246"/>
      <c r="Q329" s="282"/>
      <c r="R329" s="246"/>
      <c r="S329" s="261"/>
      <c r="T329" s="341"/>
      <c r="U329" s="246"/>
      <c r="V329" s="282"/>
      <c r="W329" s="246"/>
      <c r="X329" s="290" t="s">
        <v>432</v>
      </c>
      <c r="Y329" s="246"/>
      <c r="Z329" s="261"/>
      <c r="AA329" s="341"/>
      <c r="AB329" s="246"/>
      <c r="AC329" s="282"/>
      <c r="AD329" s="246"/>
      <c r="AE329" s="290" t="s">
        <v>432</v>
      </c>
      <c r="AF329" s="246"/>
      <c r="AG329" s="261"/>
      <c r="AH329" s="282"/>
      <c r="AI329" s="246"/>
      <c r="AJ329" s="282"/>
      <c r="AK329" s="246"/>
      <c r="AL329" s="282"/>
      <c r="AM329" s="246"/>
      <c r="AN329" s="261"/>
      <c r="AO329" s="341"/>
      <c r="AP329" s="246"/>
      <c r="AQ329" s="282"/>
      <c r="AR329" s="246"/>
      <c r="AS329" s="282"/>
      <c r="AT329" s="430"/>
      <c r="AU329" s="269"/>
      <c r="AV329" s="269"/>
      <c r="AW329" s="206" t="str">
        <f t="shared" ref="AW329:BB329" si="307">AW71</f>
        <v>#REF!</v>
      </c>
      <c r="AX329" s="206">
        <f t="shared" si="307"/>
        <v>0</v>
      </c>
      <c r="AY329" s="206">
        <f t="shared" si="307"/>
        <v>0</v>
      </c>
      <c r="AZ329" s="206">
        <f t="shared" si="307"/>
        <v>0</v>
      </c>
      <c r="BA329" s="464">
        <f t="shared" si="307"/>
        <v>0</v>
      </c>
      <c r="BB329" s="206">
        <f t="shared" si="307"/>
        <v>0</v>
      </c>
      <c r="BC329" s="465">
        <f t="shared" si="229"/>
        <v>0</v>
      </c>
      <c r="BD329" s="206"/>
      <c r="BE329" s="466"/>
    </row>
    <row r="330">
      <c r="A330" s="94"/>
      <c r="B330" s="429" t="s">
        <v>714</v>
      </c>
      <c r="C330" s="430"/>
      <c r="D330" s="323"/>
      <c r="E330" s="259"/>
      <c r="F330" s="432"/>
      <c r="G330" s="432"/>
      <c r="H330" s="432"/>
      <c r="I330" s="432"/>
      <c r="J330" s="432"/>
      <c r="K330" s="432"/>
      <c r="L330" s="261"/>
      <c r="M330" s="432"/>
      <c r="N330" s="433"/>
      <c r="O330" s="432"/>
      <c r="P330" s="432"/>
      <c r="Q330" s="432"/>
      <c r="R330" s="432"/>
      <c r="S330" s="261"/>
      <c r="T330" s="432"/>
      <c r="U330" s="433"/>
      <c r="V330" s="432"/>
      <c r="W330" s="432"/>
      <c r="X330" s="432"/>
      <c r="Y330" s="432"/>
      <c r="Z330" s="261"/>
      <c r="AA330" s="432"/>
      <c r="AB330" s="433"/>
      <c r="AC330" s="432"/>
      <c r="AD330" s="432"/>
      <c r="AE330" s="432"/>
      <c r="AF330" s="432"/>
      <c r="AG330" s="261"/>
      <c r="AH330" s="432"/>
      <c r="AI330" s="433"/>
      <c r="AJ330" s="432"/>
      <c r="AK330" s="432"/>
      <c r="AL330" s="432"/>
      <c r="AM330" s="432"/>
      <c r="AN330" s="261"/>
      <c r="AO330" s="432"/>
      <c r="AP330" s="433"/>
      <c r="AQ330" s="432"/>
      <c r="AR330" s="432"/>
      <c r="AS330" s="432"/>
      <c r="AT330" s="254" t="str">
        <f t="shared" ref="AT330:AT335" si="309">IF(COUNTIF($AO$86:$AT$88, AS331) &gt; 0, "X", "")</f>
        <v/>
      </c>
      <c r="AU330" s="269"/>
      <c r="AV330" s="269"/>
      <c r="AW330" s="206" t="str">
        <f t="shared" ref="AW330:BB330" si="308">AW72</f>
        <v>#REF!</v>
      </c>
      <c r="AX330" s="206">
        <f t="shared" si="308"/>
        <v>0</v>
      </c>
      <c r="AY330" s="206">
        <f t="shared" si="308"/>
        <v>0</v>
      </c>
      <c r="AZ330" s="206">
        <f t="shared" si="308"/>
        <v>0</v>
      </c>
      <c r="BA330" s="464">
        <f t="shared" si="308"/>
        <v>0</v>
      </c>
      <c r="BB330" s="206">
        <f t="shared" si="308"/>
        <v>0</v>
      </c>
      <c r="BC330" s="465">
        <f t="shared" si="229"/>
        <v>0</v>
      </c>
      <c r="BD330" s="206"/>
      <c r="BE330" s="466"/>
    </row>
    <row r="331">
      <c r="A331" s="94"/>
      <c r="B331" s="401" t="s">
        <v>715</v>
      </c>
      <c r="C331" s="412" t="s">
        <v>716</v>
      </c>
      <c r="D331" s="323"/>
      <c r="E331" s="259"/>
      <c r="F331" s="434"/>
      <c r="G331" s="246"/>
      <c r="H331" s="434" t="s">
        <v>465</v>
      </c>
      <c r="I331" s="246"/>
      <c r="J331" s="434"/>
      <c r="K331" s="246"/>
      <c r="L331" s="261"/>
      <c r="M331" s="434" t="s">
        <v>465</v>
      </c>
      <c r="N331" s="246"/>
      <c r="O331" s="406" t="s">
        <v>403</v>
      </c>
      <c r="P331" s="246"/>
      <c r="Q331" s="434"/>
      <c r="R331" s="246"/>
      <c r="S331" s="261"/>
      <c r="T331" s="434"/>
      <c r="U331" s="246"/>
      <c r="V331" s="434"/>
      <c r="W331" s="246"/>
      <c r="X331" s="434"/>
      <c r="Y331" s="246"/>
      <c r="Z331" s="261"/>
      <c r="AA331" s="434"/>
      <c r="AB331" s="246"/>
      <c r="AC331" s="434" t="s">
        <v>465</v>
      </c>
      <c r="AD331" s="246"/>
      <c r="AE331" s="434"/>
      <c r="AF331" s="246"/>
      <c r="AG331" s="261"/>
      <c r="AH331" s="434"/>
      <c r="AI331" s="246"/>
      <c r="AJ331" s="434" t="s">
        <v>465</v>
      </c>
      <c r="AK331" s="246"/>
      <c r="AL331" s="434"/>
      <c r="AM331" s="246"/>
      <c r="AN331" s="261"/>
      <c r="AO331" s="434"/>
      <c r="AP331" s="246"/>
      <c r="AQ331" s="434" t="s">
        <v>465</v>
      </c>
      <c r="AR331" s="246"/>
      <c r="AS331" s="434"/>
      <c r="AT331" s="254" t="str">
        <f t="shared" si="309"/>
        <v/>
      </c>
      <c r="AU331" s="269"/>
      <c r="AV331" s="269"/>
      <c r="AW331" s="206" t="str">
        <f t="shared" ref="AW331:BB331" si="310">AW73</f>
        <v>#REF!</v>
      </c>
      <c r="AX331" s="206">
        <f t="shared" si="310"/>
        <v>0</v>
      </c>
      <c r="AY331" s="206">
        <f t="shared" si="310"/>
        <v>0</v>
      </c>
      <c r="AZ331" s="206">
        <f t="shared" si="310"/>
        <v>0</v>
      </c>
      <c r="BA331" s="464">
        <f t="shared" si="310"/>
        <v>0</v>
      </c>
      <c r="BB331" s="206">
        <f t="shared" si="310"/>
        <v>0</v>
      </c>
      <c r="BC331" s="465">
        <f t="shared" si="229"/>
        <v>0</v>
      </c>
      <c r="BD331" s="206"/>
      <c r="BE331" s="466"/>
    </row>
    <row r="332">
      <c r="A332" s="94"/>
      <c r="B332" s="435" t="s">
        <v>717</v>
      </c>
      <c r="C332" s="415" t="s">
        <v>718</v>
      </c>
      <c r="D332" s="363"/>
      <c r="E332" s="259"/>
      <c r="F332" s="434"/>
      <c r="G332" s="246"/>
      <c r="H332" s="434" t="s">
        <v>442</v>
      </c>
      <c r="I332" s="246"/>
      <c r="J332" s="434"/>
      <c r="K332" s="246"/>
      <c r="L332" s="261"/>
      <c r="M332" s="434"/>
      <c r="N332" s="246"/>
      <c r="O332" s="434" t="s">
        <v>442</v>
      </c>
      <c r="P332" s="246"/>
      <c r="Q332" s="434"/>
      <c r="R332" s="246"/>
      <c r="S332" s="261"/>
      <c r="T332" s="674" t="s">
        <v>442</v>
      </c>
      <c r="U332" s="246"/>
      <c r="V332" s="434" t="s">
        <v>442</v>
      </c>
      <c r="W332" s="246"/>
      <c r="X332" s="434"/>
      <c r="Y332" s="246"/>
      <c r="Z332" s="261"/>
      <c r="AA332" s="674"/>
      <c r="AB332" s="246"/>
      <c r="AC332" s="406" t="s">
        <v>442</v>
      </c>
      <c r="AD332" s="246"/>
      <c r="AE332" s="434"/>
      <c r="AF332" s="246"/>
      <c r="AG332" s="261"/>
      <c r="AH332" s="434"/>
      <c r="AI332" s="246"/>
      <c r="AJ332" s="434" t="s">
        <v>442</v>
      </c>
      <c r="AK332" s="246"/>
      <c r="AL332" s="434"/>
      <c r="AM332" s="246"/>
      <c r="AN332" s="261"/>
      <c r="AO332" s="434"/>
      <c r="AP332" s="246"/>
      <c r="AQ332" s="406" t="s">
        <v>454</v>
      </c>
      <c r="AR332" s="246"/>
      <c r="AS332" s="434"/>
      <c r="AT332" s="254" t="str">
        <f t="shared" si="309"/>
        <v/>
      </c>
      <c r="AU332" s="269"/>
      <c r="AV332" s="269"/>
      <c r="AW332" s="206" t="str">
        <f t="shared" ref="AW332:BB332" si="311">AW74</f>
        <v>#REF!</v>
      </c>
      <c r="AX332" s="206">
        <f t="shared" si="311"/>
        <v>0</v>
      </c>
      <c r="AY332" s="206">
        <f t="shared" si="311"/>
        <v>0</v>
      </c>
      <c r="AZ332" s="206">
        <f t="shared" si="311"/>
        <v>0</v>
      </c>
      <c r="BA332" s="464">
        <f t="shared" si="311"/>
        <v>0</v>
      </c>
      <c r="BB332" s="206">
        <f t="shared" si="311"/>
        <v>0</v>
      </c>
      <c r="BC332" s="465">
        <f t="shared" si="229"/>
        <v>0</v>
      </c>
      <c r="BD332" s="206"/>
      <c r="BE332" s="466"/>
    </row>
    <row r="333">
      <c r="A333" s="94"/>
      <c r="B333" s="436" t="s">
        <v>719</v>
      </c>
      <c r="C333" s="437" t="s">
        <v>720</v>
      </c>
      <c r="D333" s="330"/>
      <c r="E333" s="259"/>
      <c r="F333" s="406"/>
      <c r="G333" s="246"/>
      <c r="H333" s="406" t="s">
        <v>463</v>
      </c>
      <c r="I333" s="246"/>
      <c r="J333" s="406"/>
      <c r="K333" s="246"/>
      <c r="L333" s="261"/>
      <c r="M333" s="406"/>
      <c r="N333" s="246"/>
      <c r="O333" s="406" t="s">
        <v>463</v>
      </c>
      <c r="P333" s="246"/>
      <c r="Q333" s="406"/>
      <c r="R333" s="246"/>
      <c r="S333" s="261"/>
      <c r="T333" s="406"/>
      <c r="U333" s="246"/>
      <c r="V333" s="406"/>
      <c r="W333" s="246"/>
      <c r="X333" s="406"/>
      <c r="Y333" s="246"/>
      <c r="Z333" s="261"/>
      <c r="AA333" s="406"/>
      <c r="AB333" s="246"/>
      <c r="AC333" s="406"/>
      <c r="AD333" s="246"/>
      <c r="AE333" s="406"/>
      <c r="AF333" s="246"/>
      <c r="AG333" s="261"/>
      <c r="AH333" s="406"/>
      <c r="AI333" s="246"/>
      <c r="AJ333" s="406"/>
      <c r="AK333" s="246"/>
      <c r="AL333" s="406"/>
      <c r="AM333" s="246"/>
      <c r="AN333" s="261"/>
      <c r="AO333" s="406"/>
      <c r="AP333" s="246"/>
      <c r="AQ333" s="406"/>
      <c r="AR333" s="246"/>
      <c r="AS333" s="406"/>
      <c r="AT333" s="254" t="str">
        <f t="shared" si="309"/>
        <v/>
      </c>
      <c r="AU333" s="269"/>
      <c r="AV333" s="269"/>
      <c r="AW333" s="206" t="str">
        <f t="shared" ref="AW333:BB333" si="312">AW75</f>
        <v>#REF!</v>
      </c>
      <c r="AX333" s="206">
        <f t="shared" si="312"/>
        <v>0</v>
      </c>
      <c r="AY333" s="206">
        <f t="shared" si="312"/>
        <v>0</v>
      </c>
      <c r="AZ333" s="206">
        <f t="shared" si="312"/>
        <v>0</v>
      </c>
      <c r="BA333" s="464">
        <f t="shared" si="312"/>
        <v>0</v>
      </c>
      <c r="BB333" s="206">
        <f t="shared" si="312"/>
        <v>0</v>
      </c>
      <c r="BC333" s="465">
        <f t="shared" si="229"/>
        <v>0</v>
      </c>
      <c r="BD333" s="206"/>
      <c r="BE333" s="466"/>
    </row>
    <row r="334">
      <c r="A334" s="94"/>
      <c r="B334" s="439" t="s">
        <v>721</v>
      </c>
      <c r="C334" s="440" t="s">
        <v>722</v>
      </c>
      <c r="D334" s="330"/>
      <c r="E334" s="259"/>
      <c r="F334" s="406"/>
      <c r="G334" s="246"/>
      <c r="H334" s="406" t="s">
        <v>945</v>
      </c>
      <c r="I334" s="246"/>
      <c r="J334" s="406"/>
      <c r="K334" s="246"/>
      <c r="L334" s="261"/>
      <c r="M334" s="406"/>
      <c r="N334" s="246"/>
      <c r="O334" s="406" t="s">
        <v>454</v>
      </c>
      <c r="P334" s="246"/>
      <c r="Q334" s="406"/>
      <c r="R334" s="246"/>
      <c r="S334" s="261"/>
      <c r="T334" s="406"/>
      <c r="U334" s="246"/>
      <c r="V334" s="406" t="s">
        <v>454</v>
      </c>
      <c r="W334" s="246"/>
      <c r="X334" s="406"/>
      <c r="Y334" s="246"/>
      <c r="Z334" s="261"/>
      <c r="AA334" s="406"/>
      <c r="AB334" s="246"/>
      <c r="AC334" s="620" t="s">
        <v>454</v>
      </c>
      <c r="AD334" s="246"/>
      <c r="AE334" s="406"/>
      <c r="AF334" s="246"/>
      <c r="AG334" s="261"/>
      <c r="AH334" s="406"/>
      <c r="AI334" s="246"/>
      <c r="AJ334" s="406" t="s">
        <v>945</v>
      </c>
      <c r="AK334" s="246"/>
      <c r="AL334" s="406"/>
      <c r="AM334" s="246"/>
      <c r="AN334" s="261"/>
      <c r="AO334" s="406"/>
      <c r="AP334" s="246"/>
      <c r="AQ334" s="406"/>
      <c r="AR334" s="246"/>
      <c r="AS334" s="406"/>
      <c r="AT334" s="254" t="str">
        <f t="shared" si="309"/>
        <v/>
      </c>
      <c r="AU334" s="269"/>
      <c r="AV334" s="269"/>
      <c r="AW334" s="206" t="str">
        <f t="shared" ref="AW334:BB334" si="313">AW76</f>
        <v>#REF!</v>
      </c>
      <c r="AX334" s="206">
        <f t="shared" si="313"/>
        <v>0</v>
      </c>
      <c r="AY334" s="206">
        <f t="shared" si="313"/>
        <v>0</v>
      </c>
      <c r="AZ334" s="206">
        <f t="shared" si="313"/>
        <v>0</v>
      </c>
      <c r="BA334" s="464">
        <f t="shared" si="313"/>
        <v>0</v>
      </c>
      <c r="BB334" s="206">
        <f t="shared" si="313"/>
        <v>0</v>
      </c>
      <c r="BC334" s="465">
        <f t="shared" si="229"/>
        <v>0</v>
      </c>
      <c r="BD334" s="206"/>
      <c r="BE334" s="466"/>
    </row>
    <row r="335">
      <c r="A335" s="94"/>
      <c r="B335" s="439" t="s">
        <v>723</v>
      </c>
      <c r="C335" s="440" t="s">
        <v>724</v>
      </c>
      <c r="D335" s="330"/>
      <c r="E335" s="259"/>
      <c r="F335" s="406"/>
      <c r="G335" s="246"/>
      <c r="H335" s="406" t="s">
        <v>403</v>
      </c>
      <c r="I335" s="246"/>
      <c r="J335" s="406" t="s">
        <v>946</v>
      </c>
      <c r="K335" s="246"/>
      <c r="L335" s="261"/>
      <c r="M335" s="406"/>
      <c r="N335" s="246"/>
      <c r="O335" s="592" t="s">
        <v>846</v>
      </c>
      <c r="P335" s="246"/>
      <c r="Q335" s="406" t="s">
        <v>946</v>
      </c>
      <c r="R335" s="246"/>
      <c r="S335" s="261"/>
      <c r="T335" s="406"/>
      <c r="U335" s="246"/>
      <c r="V335" s="620" t="s">
        <v>403</v>
      </c>
      <c r="W335" s="246"/>
      <c r="X335" s="675" t="s">
        <v>946</v>
      </c>
      <c r="Y335" s="246"/>
      <c r="Z335" s="261"/>
      <c r="AA335" s="406"/>
      <c r="AB335" s="246"/>
      <c r="AC335" s="406"/>
      <c r="AD335" s="246"/>
      <c r="AE335" s="406"/>
      <c r="AF335" s="246"/>
      <c r="AG335" s="261"/>
      <c r="AH335" s="406"/>
      <c r="AI335" s="246"/>
      <c r="AJ335" s="406"/>
      <c r="AK335" s="246"/>
      <c r="AL335" s="406"/>
      <c r="AM335" s="246"/>
      <c r="AN335" s="261"/>
      <c r="AO335" s="406"/>
      <c r="AP335" s="246"/>
      <c r="AQ335" s="406"/>
      <c r="AR335" s="246"/>
      <c r="AS335" s="406"/>
      <c r="AT335" s="254" t="str">
        <f t="shared" si="309"/>
        <v/>
      </c>
      <c r="AU335" s="269"/>
      <c r="AV335" s="269"/>
      <c r="AW335" s="206" t="str">
        <f t="shared" ref="AW335:BB335" si="314">AW77</f>
        <v>#REF!</v>
      </c>
      <c r="AX335" s="206">
        <f t="shared" si="314"/>
        <v>0</v>
      </c>
      <c r="AY335" s="206">
        <f t="shared" si="314"/>
        <v>0</v>
      </c>
      <c r="AZ335" s="206">
        <f t="shared" si="314"/>
        <v>0</v>
      </c>
      <c r="BA335" s="464">
        <f t="shared" si="314"/>
        <v>0</v>
      </c>
      <c r="BB335" s="206">
        <f t="shared" si="314"/>
        <v>0</v>
      </c>
      <c r="BC335" s="465">
        <f t="shared" si="229"/>
        <v>0</v>
      </c>
      <c r="BD335" s="206"/>
      <c r="BE335" s="466"/>
    </row>
    <row r="336">
      <c r="A336" s="94"/>
      <c r="B336" s="439" t="s">
        <v>725</v>
      </c>
      <c r="C336" s="442" t="s">
        <v>726</v>
      </c>
      <c r="D336" s="330"/>
      <c r="E336" s="259"/>
      <c r="F336" s="441"/>
      <c r="G336" s="246"/>
      <c r="H336" s="406" t="s">
        <v>460</v>
      </c>
      <c r="I336" s="246"/>
      <c r="J336" s="441"/>
      <c r="K336" s="246"/>
      <c r="L336" s="261"/>
      <c r="M336" s="441"/>
      <c r="N336" s="246"/>
      <c r="O336" s="406" t="s">
        <v>460</v>
      </c>
      <c r="P336" s="246"/>
      <c r="Q336" s="441"/>
      <c r="R336" s="246"/>
      <c r="S336" s="261"/>
      <c r="T336" s="674" t="s">
        <v>403</v>
      </c>
      <c r="U336" s="246"/>
      <c r="V336" s="592" t="s">
        <v>846</v>
      </c>
      <c r="W336" s="246"/>
      <c r="X336" s="674" t="s">
        <v>946</v>
      </c>
      <c r="Y336" s="246"/>
      <c r="Z336" s="261"/>
      <c r="AA336" s="674" t="s">
        <v>454</v>
      </c>
      <c r="AB336" s="246"/>
      <c r="AC336" s="592" t="s">
        <v>846</v>
      </c>
      <c r="AD336" s="246"/>
      <c r="AE336" s="441"/>
      <c r="AF336" s="246"/>
      <c r="AG336" s="261"/>
      <c r="AH336" s="441"/>
      <c r="AI336" s="246"/>
      <c r="AJ336" s="406" t="s">
        <v>845</v>
      </c>
      <c r="AK336" s="246"/>
      <c r="AL336" s="441"/>
      <c r="AM336" s="246"/>
      <c r="AN336" s="261"/>
      <c r="AO336" s="441"/>
      <c r="AP336" s="246"/>
      <c r="AQ336" s="406" t="s">
        <v>845</v>
      </c>
      <c r="AR336" s="246"/>
      <c r="AS336" s="441"/>
      <c r="AT336" s="254" t="str">
        <f>IF(COUNTIF($AO$86:$AT$88, #REF!) &gt; 0, "X", "")</f>
        <v/>
      </c>
      <c r="AU336" s="269"/>
      <c r="AV336" s="269"/>
      <c r="AW336" s="206" t="str">
        <f t="shared" ref="AW336:BB336" si="315">AW78</f>
        <v>#REF!</v>
      </c>
      <c r="AX336" s="206">
        <f t="shared" si="315"/>
        <v>0</v>
      </c>
      <c r="AY336" s="206">
        <f t="shared" si="315"/>
        <v>0</v>
      </c>
      <c r="AZ336" s="206">
        <f t="shared" si="315"/>
        <v>0</v>
      </c>
      <c r="BA336" s="464">
        <f t="shared" si="315"/>
        <v>0</v>
      </c>
      <c r="BB336" s="206">
        <f t="shared" si="315"/>
        <v>0</v>
      </c>
      <c r="BC336" s="465">
        <f t="shared" si="229"/>
        <v>0</v>
      </c>
      <c r="BD336" s="206"/>
      <c r="BE336" s="466"/>
    </row>
    <row r="337">
      <c r="A337" s="94"/>
      <c r="B337" s="447" t="s">
        <v>729</v>
      </c>
      <c r="C337" s="448" t="s">
        <v>730</v>
      </c>
      <c r="D337" s="330"/>
      <c r="E337" s="259"/>
      <c r="F337" s="441"/>
      <c r="G337" s="246"/>
      <c r="H337" s="441"/>
      <c r="I337" s="246"/>
      <c r="J337" s="441"/>
      <c r="K337" s="246"/>
      <c r="L337" s="261"/>
      <c r="M337" s="441"/>
      <c r="N337" s="246"/>
      <c r="O337" s="406"/>
      <c r="P337" s="246"/>
      <c r="Q337" s="441"/>
      <c r="R337" s="246"/>
      <c r="S337" s="261"/>
      <c r="T337" s="441"/>
      <c r="U337" s="246"/>
      <c r="V337" s="441"/>
      <c r="W337" s="246"/>
      <c r="X337" s="441"/>
      <c r="Y337" s="246"/>
      <c r="Z337" s="261"/>
      <c r="AA337" s="441"/>
      <c r="AB337" s="246"/>
      <c r="AC337" s="441"/>
      <c r="AD337" s="246"/>
      <c r="AE337" s="441"/>
      <c r="AF337" s="246"/>
      <c r="AG337" s="261"/>
      <c r="AH337" s="441"/>
      <c r="AI337" s="246"/>
      <c r="AJ337" s="441"/>
      <c r="AK337" s="246"/>
      <c r="AL337" s="441"/>
      <c r="AM337" s="246"/>
      <c r="AN337" s="261"/>
      <c r="AO337" s="441"/>
      <c r="AP337" s="246"/>
      <c r="AQ337" s="441"/>
      <c r="AR337" s="246"/>
      <c r="AS337" s="441"/>
      <c r="AT337" s="254" t="str">
        <f t="shared" ref="AT337:AT339" si="317">IF(COUNTIF($AO$86:$AT$88, AS337) &gt; 0, "X", "")</f>
        <v/>
      </c>
      <c r="AU337" s="269"/>
      <c r="AV337" s="269"/>
      <c r="AW337" s="206" t="str">
        <f t="shared" ref="AW337:BB337" si="316">AW79</f>
        <v>#REF!</v>
      </c>
      <c r="AX337" s="206">
        <f t="shared" si="316"/>
        <v>0</v>
      </c>
      <c r="AY337" s="206">
        <f t="shared" si="316"/>
        <v>0</v>
      </c>
      <c r="AZ337" s="206">
        <f t="shared" si="316"/>
        <v>0</v>
      </c>
      <c r="BA337" s="464">
        <f t="shared" si="316"/>
        <v>0</v>
      </c>
      <c r="BB337" s="206">
        <f t="shared" si="316"/>
        <v>0</v>
      </c>
      <c r="BC337" s="465">
        <f t="shared" si="229"/>
        <v>0</v>
      </c>
      <c r="BD337" s="206"/>
      <c r="BE337" s="466"/>
    </row>
    <row r="338">
      <c r="A338" s="94"/>
      <c r="B338" s="450" t="s">
        <v>731</v>
      </c>
      <c r="C338" s="451" t="s">
        <v>732</v>
      </c>
      <c r="D338" s="363"/>
      <c r="E338" s="259"/>
      <c r="F338" s="206"/>
      <c r="G338" s="246"/>
      <c r="H338" s="206" t="s">
        <v>847</v>
      </c>
      <c r="I338" s="246"/>
      <c r="J338" s="206"/>
      <c r="K338" s="246"/>
      <c r="L338" s="261"/>
      <c r="M338" s="206"/>
      <c r="N338" s="246"/>
      <c r="O338" s="206" t="s">
        <v>847</v>
      </c>
      <c r="P338" s="246"/>
      <c r="Q338" s="206"/>
      <c r="R338" s="246"/>
      <c r="S338" s="261"/>
      <c r="T338" s="206"/>
      <c r="U338" s="246"/>
      <c r="V338" s="406" t="s">
        <v>460</v>
      </c>
      <c r="W338" s="246"/>
      <c r="X338" s="206"/>
      <c r="Y338" s="246"/>
      <c r="Z338" s="261"/>
      <c r="AA338" s="206"/>
      <c r="AB338" s="246"/>
      <c r="AC338" s="406" t="s">
        <v>403</v>
      </c>
      <c r="AD338" s="246"/>
      <c r="AE338" s="406" t="s">
        <v>946</v>
      </c>
      <c r="AF338" s="246"/>
      <c r="AG338" s="261"/>
      <c r="AH338" s="206"/>
      <c r="AI338" s="246"/>
      <c r="AJ338" s="406" t="s">
        <v>454</v>
      </c>
      <c r="AK338" s="246"/>
      <c r="AL338" s="206"/>
      <c r="AM338" s="246"/>
      <c r="AN338" s="261"/>
      <c r="AO338" s="206"/>
      <c r="AP338" s="246"/>
      <c r="AQ338" s="206"/>
      <c r="AR338" s="246"/>
      <c r="AS338" s="206"/>
      <c r="AT338" s="254" t="str">
        <f t="shared" si="317"/>
        <v/>
      </c>
      <c r="AU338" s="269"/>
      <c r="AV338" s="269"/>
      <c r="AW338" s="206" t="str">
        <f t="shared" ref="AW338:BB338" si="318">AW80</f>
        <v>#REF!</v>
      </c>
      <c r="AX338" s="206">
        <f t="shared" si="318"/>
        <v>0</v>
      </c>
      <c r="AY338" s="206">
        <f t="shared" si="318"/>
        <v>0</v>
      </c>
      <c r="AZ338" s="206">
        <f t="shared" si="318"/>
        <v>0</v>
      </c>
      <c r="BA338" s="464">
        <f t="shared" si="318"/>
        <v>0</v>
      </c>
      <c r="BB338" s="206">
        <f t="shared" si="318"/>
        <v>0</v>
      </c>
      <c r="BC338" s="465">
        <f t="shared" si="229"/>
        <v>0</v>
      </c>
      <c r="BD338" s="206"/>
      <c r="BE338" s="466"/>
    </row>
    <row r="339">
      <c r="A339" s="94"/>
      <c r="B339" s="452" t="s">
        <v>733</v>
      </c>
      <c r="C339" s="453" t="s">
        <v>734</v>
      </c>
      <c r="D339" s="363"/>
      <c r="E339" s="259"/>
      <c r="F339" s="74"/>
      <c r="G339" s="246"/>
      <c r="H339" s="611" t="s">
        <v>863</v>
      </c>
      <c r="I339" s="246"/>
      <c r="J339" s="74"/>
      <c r="K339" s="246"/>
      <c r="L339" s="261"/>
      <c r="M339" s="74"/>
      <c r="N339" s="246"/>
      <c r="O339" s="594" t="s">
        <v>395</v>
      </c>
      <c r="P339" s="246"/>
      <c r="Q339" s="74"/>
      <c r="R339" s="246"/>
      <c r="S339" s="261"/>
      <c r="T339" s="74"/>
      <c r="U339" s="246"/>
      <c r="V339" s="594" t="s">
        <v>395</v>
      </c>
      <c r="W339" s="246"/>
      <c r="X339" s="74"/>
      <c r="Y339" s="246"/>
      <c r="Z339" s="261"/>
      <c r="AA339" s="74"/>
      <c r="AB339" s="246"/>
      <c r="AC339" s="594" t="s">
        <v>395</v>
      </c>
      <c r="AD339" s="246"/>
      <c r="AE339" s="74"/>
      <c r="AF339" s="246"/>
      <c r="AG339" s="261"/>
      <c r="AH339" s="74"/>
      <c r="AI339" s="246"/>
      <c r="AJ339" s="594" t="s">
        <v>395</v>
      </c>
      <c r="AK339" s="246"/>
      <c r="AL339" s="74"/>
      <c r="AM339" s="246"/>
      <c r="AN339" s="261"/>
      <c r="AO339" s="74"/>
      <c r="AP339" s="246"/>
      <c r="AQ339" s="594" t="s">
        <v>403</v>
      </c>
      <c r="AR339" s="246"/>
      <c r="AS339" s="406" t="s">
        <v>946</v>
      </c>
      <c r="AT339" s="254" t="str">
        <f t="shared" si="317"/>
        <v/>
      </c>
      <c r="AU339" s="269"/>
      <c r="AV339" s="269"/>
      <c r="AW339" s="206" t="str">
        <f t="shared" ref="AW339:BB339" si="319">AW81</f>
        <v>#REF!</v>
      </c>
      <c r="AX339" s="206">
        <f t="shared" si="319"/>
        <v>0</v>
      </c>
      <c r="AY339" s="206">
        <f t="shared" si="319"/>
        <v>0</v>
      </c>
      <c r="AZ339" s="206">
        <f t="shared" si="319"/>
        <v>0</v>
      </c>
      <c r="BA339" s="464">
        <f t="shared" si="319"/>
        <v>0</v>
      </c>
      <c r="BB339" s="206">
        <f t="shared" si="319"/>
        <v>0</v>
      </c>
      <c r="BC339" s="465">
        <f t="shared" si="229"/>
        <v>0</v>
      </c>
      <c r="BD339" s="206"/>
      <c r="BE339" s="466"/>
    </row>
    <row r="340">
      <c r="A340" s="94"/>
      <c r="B340" s="636"/>
      <c r="C340" s="637"/>
      <c r="D340" s="269"/>
      <c r="E340" s="638"/>
      <c r="F340" s="446"/>
      <c r="G340" s="246"/>
      <c r="H340" s="446"/>
      <c r="I340" s="246"/>
      <c r="J340" s="446"/>
      <c r="K340" s="246"/>
      <c r="L340" s="462"/>
      <c r="M340" s="446"/>
      <c r="N340" s="246"/>
      <c r="O340" s="446"/>
      <c r="P340" s="246"/>
      <c r="Q340" s="446"/>
      <c r="R340" s="246"/>
      <c r="S340" s="462"/>
      <c r="T340" s="446"/>
      <c r="U340" s="246"/>
      <c r="V340" s="446"/>
      <c r="W340" s="246"/>
      <c r="X340" s="446"/>
      <c r="Y340" s="246"/>
      <c r="Z340" s="462"/>
      <c r="AA340" s="446"/>
      <c r="AB340" s="246"/>
      <c r="AC340" s="446"/>
      <c r="AD340" s="246"/>
      <c r="AE340" s="446"/>
      <c r="AF340" s="246"/>
      <c r="AG340" s="462"/>
      <c r="AH340" s="446"/>
      <c r="AI340" s="246"/>
      <c r="AJ340" s="446"/>
      <c r="AK340" s="246"/>
      <c r="AL340" s="446"/>
      <c r="AM340" s="246"/>
      <c r="AN340" s="462"/>
      <c r="AO340" s="446"/>
      <c r="AP340" s="246"/>
      <c r="AQ340" s="446"/>
      <c r="AR340" s="246"/>
      <c r="AS340" s="446"/>
      <c r="AT340" s="254"/>
      <c r="AU340" s="269"/>
      <c r="AV340" s="269"/>
      <c r="AW340" s="206" t="str">
        <f t="shared" ref="AW340:BB340" si="320">AW82</f>
        <v>#REF!</v>
      </c>
      <c r="AX340" s="206">
        <f t="shared" si="320"/>
        <v>0</v>
      </c>
      <c r="AY340" s="206">
        <f t="shared" si="320"/>
        <v>0</v>
      </c>
      <c r="AZ340" s="206">
        <f t="shared" si="320"/>
        <v>0</v>
      </c>
      <c r="BA340" s="464">
        <f t="shared" si="320"/>
        <v>0</v>
      </c>
      <c r="BB340" s="206">
        <f t="shared" si="320"/>
        <v>0</v>
      </c>
      <c r="BC340" s="465">
        <f t="shared" si="229"/>
        <v>0</v>
      </c>
      <c r="BD340" s="206"/>
      <c r="BE340" s="466"/>
    </row>
    <row r="341">
      <c r="A341" s="94"/>
      <c r="B341" s="454" t="s">
        <v>735</v>
      </c>
      <c r="C341" s="455" t="s">
        <v>736</v>
      </c>
      <c r="D341" s="363"/>
      <c r="E341" s="259"/>
      <c r="F341" s="441"/>
      <c r="G341" s="246"/>
      <c r="H341" s="441"/>
      <c r="I341" s="246"/>
      <c r="J341" s="405" t="s">
        <v>462</v>
      </c>
      <c r="K341" s="246"/>
      <c r="L341" s="261"/>
      <c r="M341" s="441"/>
      <c r="N341" s="246"/>
      <c r="O341" s="441"/>
      <c r="P341" s="246"/>
      <c r="Q341" s="441"/>
      <c r="R341" s="246"/>
      <c r="S341" s="261"/>
      <c r="T341" s="441"/>
      <c r="U341" s="246"/>
      <c r="V341" s="441"/>
      <c r="W341" s="246"/>
      <c r="X341" s="405" t="s">
        <v>462</v>
      </c>
      <c r="Y341" s="246"/>
      <c r="Z341" s="261"/>
      <c r="AA341" s="441"/>
      <c r="AB341" s="246"/>
      <c r="AC341" s="441"/>
      <c r="AD341" s="246"/>
      <c r="AE341" s="441"/>
      <c r="AF341" s="246"/>
      <c r="AG341" s="261"/>
      <c r="AH341" s="441"/>
      <c r="AI341" s="246"/>
      <c r="AJ341" s="441"/>
      <c r="AK341" s="246"/>
      <c r="AL341" s="405" t="s">
        <v>462</v>
      </c>
      <c r="AM341" s="246"/>
      <c r="AN341" s="261"/>
      <c r="AO341" s="441"/>
      <c r="AP341" s="246"/>
      <c r="AQ341" s="441"/>
      <c r="AR341" s="246"/>
      <c r="AS341" s="441"/>
      <c r="AT341" s="254" t="str">
        <f t="shared" ref="AT341:AT343" si="322">IF(COUNTIF($AO$86:$AT$88, AS341) &gt; 0, "X", "")</f>
        <v/>
      </c>
      <c r="AU341" s="269"/>
      <c r="AV341" s="269"/>
      <c r="AW341" s="206" t="str">
        <f t="shared" ref="AW341:BB341" si="321">AW83</f>
        <v>#REF!</v>
      </c>
      <c r="AX341" s="206">
        <f t="shared" si="321"/>
        <v>0</v>
      </c>
      <c r="AY341" s="206">
        <f t="shared" si="321"/>
        <v>0</v>
      </c>
      <c r="AZ341" s="206">
        <f t="shared" si="321"/>
        <v>0</v>
      </c>
      <c r="BA341" s="464">
        <f t="shared" si="321"/>
        <v>0</v>
      </c>
      <c r="BB341" s="206">
        <f t="shared" si="321"/>
        <v>0</v>
      </c>
      <c r="BC341" s="465">
        <f t="shared" si="229"/>
        <v>0</v>
      </c>
      <c r="BD341" s="206"/>
      <c r="BE341" s="466"/>
    </row>
    <row r="342">
      <c r="A342" s="94"/>
      <c r="B342" s="454" t="s">
        <v>735</v>
      </c>
      <c r="C342" s="442" t="s">
        <v>736</v>
      </c>
      <c r="D342" s="363"/>
      <c r="E342" s="259"/>
      <c r="F342" s="456"/>
      <c r="G342" s="246"/>
      <c r="H342" s="456"/>
      <c r="I342" s="246"/>
      <c r="J342" s="456"/>
      <c r="K342" s="246"/>
      <c r="L342" s="261"/>
      <c r="M342" s="456"/>
      <c r="N342" s="246"/>
      <c r="O342" s="456"/>
      <c r="P342" s="246"/>
      <c r="Q342" s="456"/>
      <c r="R342" s="246"/>
      <c r="S342" s="261"/>
      <c r="T342" s="456"/>
      <c r="U342" s="246"/>
      <c r="V342" s="456"/>
      <c r="W342" s="246"/>
      <c r="X342" s="456"/>
      <c r="Y342" s="246"/>
      <c r="Z342" s="261"/>
      <c r="AA342" s="456"/>
      <c r="AB342" s="246"/>
      <c r="AC342" s="456"/>
      <c r="AD342" s="246"/>
      <c r="AE342" s="456"/>
      <c r="AF342" s="246"/>
      <c r="AG342" s="261"/>
      <c r="AH342" s="456"/>
      <c r="AI342" s="246"/>
      <c r="AJ342" s="456"/>
      <c r="AK342" s="246"/>
      <c r="AL342" s="456"/>
      <c r="AM342" s="246"/>
      <c r="AN342" s="261"/>
      <c r="AO342" s="456"/>
      <c r="AP342" s="246"/>
      <c r="AQ342" s="456"/>
      <c r="AR342" s="246"/>
      <c r="AS342" s="456"/>
      <c r="AT342" s="254" t="str">
        <f t="shared" si="322"/>
        <v/>
      </c>
      <c r="AU342" s="269"/>
      <c r="AV342" s="269"/>
      <c r="AW342" s="206" t="str">
        <f t="shared" ref="AW342:BB342" si="323">AW84</f>
        <v>#REF!</v>
      </c>
      <c r="AX342" s="206">
        <f t="shared" si="323"/>
        <v>0</v>
      </c>
      <c r="AY342" s="206">
        <f t="shared" si="323"/>
        <v>0</v>
      </c>
      <c r="AZ342" s="206">
        <f t="shared" si="323"/>
        <v>0</v>
      </c>
      <c r="BA342" s="464">
        <f t="shared" si="323"/>
        <v>0</v>
      </c>
      <c r="BB342" s="206">
        <f t="shared" si="323"/>
        <v>0</v>
      </c>
      <c r="BC342" s="465">
        <f t="shared" si="229"/>
        <v>0</v>
      </c>
      <c r="BD342" s="206"/>
      <c r="BE342" s="466"/>
    </row>
    <row r="343">
      <c r="A343" s="94"/>
      <c r="B343" s="457" t="s">
        <v>735</v>
      </c>
      <c r="C343" s="458" t="s">
        <v>737</v>
      </c>
      <c r="D343" s="363"/>
      <c r="E343" s="259"/>
      <c r="F343" s="406"/>
      <c r="G343" s="246"/>
      <c r="H343" s="406"/>
      <c r="I343" s="246"/>
      <c r="J343" s="406"/>
      <c r="K343" s="246"/>
      <c r="L343" s="261"/>
      <c r="M343" s="406"/>
      <c r="N343" s="246"/>
      <c r="O343" s="406"/>
      <c r="P343" s="246"/>
      <c r="Q343" s="406"/>
      <c r="R343" s="246"/>
      <c r="S343" s="261"/>
      <c r="T343" s="406"/>
      <c r="U343" s="246"/>
      <c r="V343" s="406"/>
      <c r="W343" s="246"/>
      <c r="X343" s="406"/>
      <c r="Y343" s="246"/>
      <c r="Z343" s="261"/>
      <c r="AA343" s="406"/>
      <c r="AB343" s="246"/>
      <c r="AC343" s="406"/>
      <c r="AD343" s="246"/>
      <c r="AE343" s="406"/>
      <c r="AF343" s="246"/>
      <c r="AG343" s="261"/>
      <c r="AH343" s="406"/>
      <c r="AI343" s="246"/>
      <c r="AJ343" s="406"/>
      <c r="AK343" s="246"/>
      <c r="AL343" s="406"/>
      <c r="AM343" s="246"/>
      <c r="AN343" s="261"/>
      <c r="AO343" s="406"/>
      <c r="AP343" s="246"/>
      <c r="AQ343" s="406"/>
      <c r="AR343" s="246"/>
      <c r="AS343" s="406"/>
      <c r="AT343" s="254" t="str">
        <f t="shared" si="322"/>
        <v/>
      </c>
      <c r="AU343" s="269"/>
      <c r="AV343" s="269"/>
      <c r="AW343" s="206" t="str">
        <f t="shared" ref="AW343:BB343" si="324">AW85</f>
        <v>#REF!</v>
      </c>
      <c r="AX343" s="206">
        <f t="shared" si="324"/>
        <v>0</v>
      </c>
      <c r="AY343" s="206">
        <f t="shared" si="324"/>
        <v>0</v>
      </c>
      <c r="AZ343" s="206">
        <f t="shared" si="324"/>
        <v>0</v>
      </c>
      <c r="BA343" s="464">
        <f t="shared" si="324"/>
        <v>0</v>
      </c>
      <c r="BB343" s="206">
        <f t="shared" si="324"/>
        <v>0</v>
      </c>
      <c r="BC343" s="465">
        <f t="shared" si="229"/>
        <v>0</v>
      </c>
      <c r="BD343" s="206"/>
      <c r="BE343" s="466"/>
    </row>
    <row r="344">
      <c r="A344" s="94"/>
      <c r="B344" s="459"/>
      <c r="C344" s="460" t="s">
        <v>738</v>
      </c>
      <c r="D344" s="363"/>
      <c r="E344" s="259"/>
      <c r="F344" s="461" t="s">
        <v>947</v>
      </c>
      <c r="G344" s="246"/>
      <c r="H344" s="132"/>
      <c r="I344" s="246"/>
      <c r="J344" s="132"/>
      <c r="K344" s="246"/>
      <c r="L344" s="462"/>
      <c r="M344" s="461" t="s">
        <v>948</v>
      </c>
      <c r="N344" s="246"/>
      <c r="O344" s="132"/>
      <c r="P344" s="246"/>
      <c r="Q344" s="132"/>
      <c r="R344" s="246"/>
      <c r="S344" s="462"/>
      <c r="T344" s="461" t="s">
        <v>949</v>
      </c>
      <c r="U344" s="246"/>
      <c r="V344" s="132"/>
      <c r="W344" s="246"/>
      <c r="X344" s="132"/>
      <c r="Y344" s="246"/>
      <c r="Z344" s="462"/>
      <c r="AA344" s="461" t="s">
        <v>950</v>
      </c>
      <c r="AB344" s="246"/>
      <c r="AC344" s="132"/>
      <c r="AD344" s="246"/>
      <c r="AE344" s="132"/>
      <c r="AF344" s="246"/>
      <c r="AG344" s="462"/>
      <c r="AH344" s="461" t="s">
        <v>951</v>
      </c>
      <c r="AI344" s="246"/>
      <c r="AJ344" s="132"/>
      <c r="AK344" s="246"/>
      <c r="AL344" s="132"/>
      <c r="AM344" s="246"/>
      <c r="AN344" s="462"/>
      <c r="AO344" s="461" t="s">
        <v>952</v>
      </c>
      <c r="AP344" s="246"/>
      <c r="AQ344" s="132"/>
      <c r="AR344" s="246"/>
      <c r="AS344" s="132"/>
      <c r="AT344" s="460"/>
      <c r="AU344" s="269"/>
      <c r="AV344" s="269"/>
      <c r="AW344" s="206" t="str">
        <f t="shared" ref="AW344:BB344" si="325">AW86</f>
        <v>#REF!</v>
      </c>
      <c r="AX344" s="206">
        <f t="shared" si="325"/>
        <v>0</v>
      </c>
      <c r="AY344" s="206">
        <f t="shared" si="325"/>
        <v>0</v>
      </c>
      <c r="AZ344" s="206">
        <f t="shared" si="325"/>
        <v>0</v>
      </c>
      <c r="BA344" s="464">
        <f t="shared" si="325"/>
        <v>0</v>
      </c>
      <c r="BB344" s="206">
        <f t="shared" si="325"/>
        <v>0</v>
      </c>
      <c r="BC344" s="465">
        <f t="shared" si="229"/>
        <v>0</v>
      </c>
      <c r="BD344" s="206"/>
      <c r="BE344" s="466"/>
    </row>
    <row r="345">
      <c r="A345" s="270"/>
      <c r="B345" s="459"/>
      <c r="C345" s="460" t="s">
        <v>738</v>
      </c>
      <c r="D345" s="363"/>
      <c r="E345" s="259"/>
      <c r="F345" s="132"/>
      <c r="G345" s="246"/>
      <c r="H345" s="132"/>
      <c r="I345" s="246"/>
      <c r="J345" s="132"/>
      <c r="K345" s="246"/>
      <c r="L345" s="462"/>
      <c r="M345" s="132"/>
      <c r="N345" s="246"/>
      <c r="O345" s="132"/>
      <c r="P345" s="246"/>
      <c r="Q345" s="132"/>
      <c r="R345" s="246"/>
      <c r="S345" s="462"/>
      <c r="T345" s="132"/>
      <c r="U345" s="246"/>
      <c r="V345" s="132"/>
      <c r="W345" s="246"/>
      <c r="X345" s="132"/>
      <c r="Y345" s="246"/>
      <c r="Z345" s="462"/>
      <c r="AA345" s="132"/>
      <c r="AB345" s="246"/>
      <c r="AC345" s="132"/>
      <c r="AD345" s="246"/>
      <c r="AE345" s="132"/>
      <c r="AF345" s="246"/>
      <c r="AG345" s="462"/>
      <c r="AH345" s="461" t="s">
        <v>494</v>
      </c>
      <c r="AI345" s="246"/>
      <c r="AJ345" s="132"/>
      <c r="AK345" s="246"/>
      <c r="AL345" s="132"/>
      <c r="AM345" s="246"/>
      <c r="AN345" s="462"/>
      <c r="AO345" s="461" t="s">
        <v>953</v>
      </c>
      <c r="AP345" s="246"/>
      <c r="AQ345" s="132"/>
      <c r="AR345" s="246"/>
      <c r="AS345" s="132"/>
      <c r="AT345" s="460"/>
      <c r="AU345" s="236"/>
      <c r="AV345" s="236"/>
      <c r="AW345" s="206" t="str">
        <f t="shared" ref="AW345:BB345" si="326">AW87</f>
        <v>#REF!</v>
      </c>
      <c r="AX345" s="206">
        <f t="shared" si="326"/>
        <v>0</v>
      </c>
      <c r="AY345" s="206">
        <f t="shared" si="326"/>
        <v>0</v>
      </c>
      <c r="AZ345" s="206">
        <f t="shared" si="326"/>
        <v>0</v>
      </c>
      <c r="BA345" s="464">
        <f t="shared" si="326"/>
        <v>0</v>
      </c>
      <c r="BB345" s="206">
        <f t="shared" si="326"/>
        <v>0</v>
      </c>
      <c r="BC345" s="465" t="str">
        <f t="shared" si="229"/>
        <v/>
      </c>
      <c r="BD345" s="206"/>
      <c r="BE345" s="466"/>
    </row>
    <row r="346">
      <c r="A346" s="236"/>
      <c r="B346" s="459"/>
      <c r="C346" s="460" t="s">
        <v>738</v>
      </c>
      <c r="D346" s="363"/>
      <c r="E346" s="259"/>
      <c r="F346" s="132"/>
      <c r="G346" s="246"/>
      <c r="H346" s="132"/>
      <c r="I346" s="246"/>
      <c r="J346" s="132"/>
      <c r="K346" s="246"/>
      <c r="L346" s="462"/>
      <c r="M346" s="132"/>
      <c r="N346" s="246"/>
      <c r="O346" s="132"/>
      <c r="P346" s="246"/>
      <c r="Q346" s="132"/>
      <c r="R346" s="246"/>
      <c r="S346" s="462"/>
      <c r="T346" s="461" t="s">
        <v>745</v>
      </c>
      <c r="U346" s="246"/>
      <c r="V346" s="132"/>
      <c r="W346" s="246"/>
      <c r="X346" s="132"/>
      <c r="Y346" s="246"/>
      <c r="Z346" s="462"/>
      <c r="AA346" s="461" t="s">
        <v>954</v>
      </c>
      <c r="AB346" s="246"/>
      <c r="AC346" s="132"/>
      <c r="AD346" s="246"/>
      <c r="AE346" s="132"/>
      <c r="AF346" s="246"/>
      <c r="AG346" s="462"/>
      <c r="AH346" s="461" t="s">
        <v>954</v>
      </c>
      <c r="AI346" s="246"/>
      <c r="AJ346" s="132"/>
      <c r="AK346" s="246"/>
      <c r="AL346" s="132"/>
      <c r="AM346" s="246"/>
      <c r="AN346" s="462"/>
      <c r="AO346" s="461" t="s">
        <v>955</v>
      </c>
      <c r="AP346" s="246"/>
      <c r="AQ346" s="132"/>
      <c r="AR346" s="246"/>
      <c r="AS346" s="132"/>
      <c r="AT346" s="460"/>
      <c r="AU346" s="236"/>
      <c r="AV346" s="236"/>
      <c r="AW346" s="206" t="str">
        <f t="shared" ref="AW346:BB346" si="327">AW88</f>
        <v>#REF!</v>
      </c>
      <c r="AX346" s="206">
        <f t="shared" si="327"/>
        <v>0</v>
      </c>
      <c r="AY346" s="206">
        <f t="shared" si="327"/>
        <v>0</v>
      </c>
      <c r="AZ346" s="206">
        <f t="shared" si="327"/>
        <v>0</v>
      </c>
      <c r="BA346" s="464">
        <f t="shared" si="327"/>
        <v>0</v>
      </c>
      <c r="BB346" s="206">
        <f t="shared" si="327"/>
        <v>0</v>
      </c>
      <c r="BC346" s="465" t="str">
        <f t="shared" si="229"/>
        <v/>
      </c>
      <c r="BD346" s="206"/>
      <c r="BE346" s="466"/>
    </row>
    <row r="347">
      <c r="A347" s="182"/>
      <c r="B347" s="183"/>
      <c r="C347" s="184" t="s">
        <v>809</v>
      </c>
      <c r="D347" s="185" t="s">
        <v>486</v>
      </c>
      <c r="E347" s="186"/>
      <c r="F347" s="185"/>
      <c r="M347" s="185"/>
      <c r="T347" s="185"/>
      <c r="AA347" s="185"/>
      <c r="AH347" s="185"/>
      <c r="AO347" s="185" t="s">
        <v>492</v>
      </c>
      <c r="AU347" s="182"/>
      <c r="AV347" s="182"/>
      <c r="AW347" s="182"/>
      <c r="AX347" s="182"/>
      <c r="AY347" s="182"/>
      <c r="AZ347" s="182"/>
      <c r="BA347" s="182"/>
      <c r="BB347" s="182"/>
      <c r="BC347" s="182"/>
      <c r="BD347" s="182"/>
      <c r="BE347" s="182"/>
    </row>
    <row r="348">
      <c r="A348" s="182"/>
      <c r="B348" s="187"/>
      <c r="C348" s="187"/>
      <c r="D348" s="188"/>
      <c r="E348" s="189"/>
      <c r="F348" s="188"/>
      <c r="M348" s="188"/>
      <c r="T348" s="188"/>
      <c r="AA348" s="188"/>
      <c r="AH348" s="188"/>
      <c r="AO348" s="188"/>
      <c r="AU348" s="182"/>
      <c r="AV348" s="182"/>
      <c r="AW348" s="190" t="s">
        <v>606</v>
      </c>
      <c r="BB348" s="190"/>
      <c r="BC348" s="191" t="s">
        <v>607</v>
      </c>
      <c r="BD348" s="191"/>
      <c r="BE348" s="192"/>
    </row>
    <row r="349">
      <c r="A349" s="182"/>
      <c r="B349" s="193" t="s">
        <v>608</v>
      </c>
      <c r="C349" s="193" t="s">
        <v>609</v>
      </c>
      <c r="D349" s="187"/>
      <c r="E349" s="189"/>
      <c r="F349" s="194" t="s">
        <v>610</v>
      </c>
      <c r="G349" s="195"/>
      <c r="H349" s="193" t="s">
        <v>611</v>
      </c>
      <c r="J349" s="194" t="s">
        <v>612</v>
      </c>
      <c r="M349" s="194" t="s">
        <v>610</v>
      </c>
      <c r="N349" s="195"/>
      <c r="O349" s="193" t="s">
        <v>611</v>
      </c>
      <c r="P349" s="195"/>
      <c r="Q349" s="194" t="s">
        <v>612</v>
      </c>
      <c r="S349" s="193"/>
      <c r="T349" s="194" t="s">
        <v>610</v>
      </c>
      <c r="U349" s="195"/>
      <c r="V349" s="193" t="s">
        <v>611</v>
      </c>
      <c r="W349" s="195"/>
      <c r="X349" s="194" t="s">
        <v>612</v>
      </c>
      <c r="Z349" s="193"/>
      <c r="AA349" s="194" t="s">
        <v>610</v>
      </c>
      <c r="AB349" s="195"/>
      <c r="AC349" s="193" t="s">
        <v>611</v>
      </c>
      <c r="AD349" s="195"/>
      <c r="AE349" s="194" t="s">
        <v>612</v>
      </c>
      <c r="AG349" s="193"/>
      <c r="AH349" s="194" t="s">
        <v>610</v>
      </c>
      <c r="AI349" s="195"/>
      <c r="AJ349" s="193" t="s">
        <v>611</v>
      </c>
      <c r="AK349" s="195"/>
      <c r="AL349" s="194" t="s">
        <v>612</v>
      </c>
      <c r="AN349" s="193"/>
      <c r="AO349" s="194" t="s">
        <v>610</v>
      </c>
      <c r="AP349" s="195"/>
      <c r="AQ349" s="193" t="s">
        <v>611</v>
      </c>
      <c r="AR349" s="195"/>
      <c r="AS349" s="194" t="s">
        <v>612</v>
      </c>
      <c r="AU349" s="182"/>
      <c r="AV349" s="182"/>
      <c r="AW349" s="196" t="s">
        <v>613</v>
      </c>
      <c r="AX349" s="197" t="s">
        <v>614</v>
      </c>
      <c r="AY349" s="197" t="s">
        <v>615</v>
      </c>
      <c r="AZ349" s="197" t="s">
        <v>616</v>
      </c>
      <c r="BA349" s="197" t="s">
        <v>617</v>
      </c>
      <c r="BB349" s="197" t="s">
        <v>618</v>
      </c>
      <c r="BC349" s="197" t="s">
        <v>619</v>
      </c>
      <c r="BD349" s="197"/>
      <c r="BE349" s="198"/>
    </row>
    <row r="350">
      <c r="A350" s="199"/>
      <c r="B350" s="200" t="s">
        <v>620</v>
      </c>
      <c r="C350" s="201"/>
      <c r="D350" s="201"/>
      <c r="E350" s="202"/>
      <c r="F350" s="203"/>
      <c r="G350" s="204"/>
      <c r="H350" s="203"/>
      <c r="I350" s="204"/>
      <c r="J350" s="203"/>
      <c r="K350" s="204"/>
      <c r="L350" s="205"/>
      <c r="M350" s="203"/>
      <c r="N350" s="204"/>
      <c r="O350" s="203"/>
      <c r="P350" s="204"/>
      <c r="Q350" s="203"/>
      <c r="R350" s="204"/>
      <c r="S350" s="205"/>
      <c r="T350" s="203"/>
      <c r="U350" s="204"/>
      <c r="V350" s="203"/>
      <c r="W350" s="204"/>
      <c r="X350" s="203"/>
      <c r="Y350" s="204"/>
      <c r="Z350" s="205"/>
      <c r="AA350" s="203"/>
      <c r="AB350" s="204"/>
      <c r="AC350" s="203"/>
      <c r="AD350" s="204"/>
      <c r="AE350" s="203"/>
      <c r="AF350" s="204"/>
      <c r="AG350" s="205"/>
      <c r="AH350" s="203"/>
      <c r="AI350" s="204"/>
      <c r="AJ350" s="203"/>
      <c r="AK350" s="204"/>
      <c r="AL350" s="203"/>
      <c r="AM350" s="204"/>
      <c r="AN350" s="205"/>
      <c r="AO350" s="203"/>
      <c r="AP350" s="204"/>
      <c r="AQ350" s="203"/>
      <c r="AR350" s="204"/>
      <c r="AS350" s="203"/>
      <c r="AT350" s="204"/>
      <c r="AU350" s="199"/>
      <c r="AV350" s="199"/>
      <c r="AW350" s="206" t="str">
        <f t="shared" ref="AW350:AW432" si="329">AW6</f>
        <v>#REF!</v>
      </c>
      <c r="AX350" s="206">
        <f t="shared" ref="AX350:BB350" si="328">AX92</f>
        <v>0</v>
      </c>
      <c r="AY350" s="206">
        <f t="shared" si="328"/>
        <v>0</v>
      </c>
      <c r="AZ350" s="206">
        <f t="shared" si="328"/>
        <v>0</v>
      </c>
      <c r="BA350" s="206">
        <f t="shared" si="328"/>
        <v>0</v>
      </c>
      <c r="BB350" s="464">
        <f t="shared" si="328"/>
        <v>0</v>
      </c>
      <c r="BC350" s="465">
        <f t="shared" ref="BC350:BC432" si="331">BC265</f>
        <v>0</v>
      </c>
      <c r="BD350" s="206"/>
      <c r="BE350" s="466"/>
    </row>
    <row r="351">
      <c r="A351" s="199"/>
      <c r="B351" s="213" t="s">
        <v>623</v>
      </c>
      <c r="C351" s="214"/>
      <c r="D351" s="215"/>
      <c r="E351" s="216"/>
      <c r="F351" s="217"/>
      <c r="G351" s="218"/>
      <c r="H351" s="217"/>
      <c r="I351" s="220"/>
      <c r="J351" s="217"/>
      <c r="K351" s="221"/>
      <c r="L351" s="216"/>
      <c r="M351" s="217"/>
      <c r="N351" s="218"/>
      <c r="O351" s="217"/>
      <c r="P351" s="220"/>
      <c r="Q351" s="217"/>
      <c r="R351" s="221"/>
      <c r="S351" s="216"/>
      <c r="T351" s="217"/>
      <c r="U351" s="218"/>
      <c r="V351" s="217"/>
      <c r="W351" s="220"/>
      <c r="X351" s="217"/>
      <c r="Y351" s="221"/>
      <c r="Z351" s="216"/>
      <c r="AA351" s="217"/>
      <c r="AB351" s="218"/>
      <c r="AC351" s="217"/>
      <c r="AD351" s="220"/>
      <c r="AE351" s="217"/>
      <c r="AF351" s="221"/>
      <c r="AG351" s="216"/>
      <c r="AH351" s="217"/>
      <c r="AI351" s="218"/>
      <c r="AJ351" s="217"/>
      <c r="AK351" s="220"/>
      <c r="AL351" s="217"/>
      <c r="AM351" s="221"/>
      <c r="AN351" s="216"/>
      <c r="AO351" s="217"/>
      <c r="AP351" s="218"/>
      <c r="AQ351" s="217"/>
      <c r="AR351" s="220"/>
      <c r="AS351" s="217"/>
      <c r="AT351" s="221"/>
      <c r="AU351" s="225">
        <f>counta(F351:AT351)*20</f>
        <v>0</v>
      </c>
      <c r="AW351" s="206" t="str">
        <f t="shared" si="329"/>
        <v>#REF!</v>
      </c>
      <c r="AX351" s="206">
        <f t="shared" ref="AX351:BB351" si="330">AX93</f>
        <v>0</v>
      </c>
      <c r="AY351" s="206">
        <f t="shared" si="330"/>
        <v>0</v>
      </c>
      <c r="AZ351" s="206">
        <f t="shared" si="330"/>
        <v>0</v>
      </c>
      <c r="BA351" s="206">
        <f t="shared" si="330"/>
        <v>0</v>
      </c>
      <c r="BB351" s="464">
        <f t="shared" si="330"/>
        <v>0</v>
      </c>
      <c r="BC351" s="465">
        <f t="shared" si="331"/>
        <v>0</v>
      </c>
      <c r="BD351" s="206"/>
      <c r="BE351" s="466"/>
    </row>
    <row r="352">
      <c r="A352" s="199"/>
      <c r="B352" s="226" t="s">
        <v>629</v>
      </c>
      <c r="C352" s="214"/>
      <c r="D352" s="215"/>
      <c r="E352" s="216"/>
      <c r="F352" s="227"/>
      <c r="G352" s="218"/>
      <c r="H352" s="227"/>
      <c r="I352" s="220"/>
      <c r="J352" s="227"/>
      <c r="K352" s="221"/>
      <c r="L352" s="216"/>
      <c r="M352" s="227"/>
      <c r="N352" s="218"/>
      <c r="O352" s="227"/>
      <c r="P352" s="220"/>
      <c r="Q352" s="227"/>
      <c r="R352" s="221"/>
      <c r="S352" s="216"/>
      <c r="T352" s="227"/>
      <c r="U352" s="218"/>
      <c r="V352" s="227"/>
      <c r="W352" s="220"/>
      <c r="X352" s="227"/>
      <c r="Y352" s="221"/>
      <c r="Z352" s="216"/>
      <c r="AA352" s="227"/>
      <c r="AB352" s="218"/>
      <c r="AC352" s="227"/>
      <c r="AD352" s="220"/>
      <c r="AE352" s="227"/>
      <c r="AF352" s="221"/>
      <c r="AG352" s="216"/>
      <c r="AH352" s="227"/>
      <c r="AI352" s="218"/>
      <c r="AJ352" s="227"/>
      <c r="AK352" s="220"/>
      <c r="AL352" s="227"/>
      <c r="AM352" s="221"/>
      <c r="AN352" s="216"/>
      <c r="AO352" s="227"/>
      <c r="AP352" s="218"/>
      <c r="AQ352" s="227"/>
      <c r="AR352" s="220"/>
      <c r="AS352" s="227"/>
      <c r="AT352" s="221"/>
      <c r="AU352" s="225">
        <f>sum(F352:AK352)</f>
        <v>0</v>
      </c>
      <c r="AW352" s="206" t="str">
        <f t="shared" si="329"/>
        <v>#REF!</v>
      </c>
      <c r="AX352" s="206">
        <f t="shared" ref="AX352:BB352" si="332">AX94</f>
        <v>0</v>
      </c>
      <c r="AY352" s="206">
        <f t="shared" si="332"/>
        <v>0</v>
      </c>
      <c r="AZ352" s="206">
        <f t="shared" si="332"/>
        <v>0</v>
      </c>
      <c r="BA352" s="206">
        <f t="shared" si="332"/>
        <v>0</v>
      </c>
      <c r="BB352" s="464">
        <f t="shared" si="332"/>
        <v>0</v>
      </c>
      <c r="BC352" s="465">
        <f t="shared" si="331"/>
        <v>0</v>
      </c>
      <c r="BD352" s="206"/>
      <c r="BE352" s="466"/>
    </row>
    <row r="353">
      <c r="A353" s="199"/>
      <c r="B353" s="213" t="s">
        <v>630</v>
      </c>
      <c r="C353" s="214"/>
      <c r="D353" s="215"/>
      <c r="E353" s="216"/>
      <c r="F353" s="215"/>
      <c r="G353" s="218"/>
      <c r="H353" s="215"/>
      <c r="I353" s="220"/>
      <c r="J353" s="215"/>
      <c r="K353" s="221"/>
      <c r="L353" s="216"/>
      <c r="M353" s="215"/>
      <c r="N353" s="218"/>
      <c r="O353" s="215"/>
      <c r="P353" s="220"/>
      <c r="Q353" s="215"/>
      <c r="R353" s="221"/>
      <c r="S353" s="216"/>
      <c r="T353" s="215"/>
      <c r="U353" s="218"/>
      <c r="V353" s="215"/>
      <c r="W353" s="220"/>
      <c r="X353" s="215"/>
      <c r="Y353" s="221"/>
      <c r="Z353" s="216"/>
      <c r="AA353" s="215"/>
      <c r="AB353" s="218"/>
      <c r="AC353" s="215"/>
      <c r="AD353" s="220"/>
      <c r="AE353" s="215"/>
      <c r="AF353" s="221"/>
      <c r="AG353" s="216"/>
      <c r="AH353" s="215"/>
      <c r="AI353" s="218"/>
      <c r="AJ353" s="215"/>
      <c r="AK353" s="220"/>
      <c r="AL353" s="215"/>
      <c r="AM353" s="221"/>
      <c r="AN353" s="216"/>
      <c r="AO353" s="215"/>
      <c r="AP353" s="218"/>
      <c r="AQ353" s="215"/>
      <c r="AR353" s="220"/>
      <c r="AS353" s="215"/>
      <c r="AT353" s="221"/>
      <c r="AU353" s="225">
        <f>countA(F353:AJ353)*5</f>
        <v>0</v>
      </c>
      <c r="AW353" s="206" t="str">
        <f t="shared" si="329"/>
        <v>#REF!</v>
      </c>
      <c r="AX353" s="206">
        <f t="shared" ref="AX353:BB353" si="333">AX95</f>
        <v>0</v>
      </c>
      <c r="AY353" s="206">
        <f t="shared" si="333"/>
        <v>0</v>
      </c>
      <c r="AZ353" s="206">
        <f t="shared" si="333"/>
        <v>0</v>
      </c>
      <c r="BA353" s="206">
        <f t="shared" si="333"/>
        <v>0</v>
      </c>
      <c r="BB353" s="464">
        <f t="shared" si="333"/>
        <v>0</v>
      </c>
      <c r="BC353" s="465">
        <f t="shared" si="331"/>
        <v>0</v>
      </c>
      <c r="BD353" s="206"/>
      <c r="BE353" s="466"/>
    </row>
    <row r="354">
      <c r="A354" s="199"/>
      <c r="B354" s="229" t="s">
        <v>632</v>
      </c>
      <c r="C354" s="214"/>
      <c r="D354" s="215"/>
      <c r="E354" s="216"/>
      <c r="F354" s="215"/>
      <c r="G354" s="221"/>
      <c r="H354" s="215"/>
      <c r="I354" s="220"/>
      <c r="J354" s="215"/>
      <c r="K354" s="221"/>
      <c r="L354" s="216"/>
      <c r="M354" s="215"/>
      <c r="N354" s="221"/>
      <c r="O354" s="215"/>
      <c r="P354" s="220"/>
      <c r="Q354" s="215"/>
      <c r="R354" s="221"/>
      <c r="S354" s="216"/>
      <c r="T354" s="215"/>
      <c r="U354" s="221"/>
      <c r="V354" s="215"/>
      <c r="W354" s="220"/>
      <c r="X354" s="215"/>
      <c r="Y354" s="221"/>
      <c r="Z354" s="216"/>
      <c r="AA354" s="215"/>
      <c r="AB354" s="221"/>
      <c r="AC354" s="215"/>
      <c r="AD354" s="220"/>
      <c r="AE354" s="215"/>
      <c r="AF354" s="221"/>
      <c r="AG354" s="216"/>
      <c r="AH354" s="215"/>
      <c r="AI354" s="221"/>
      <c r="AJ354" s="215"/>
      <c r="AK354" s="220"/>
      <c r="AL354" s="215"/>
      <c r="AM354" s="221"/>
      <c r="AN354" s="216"/>
      <c r="AO354" s="215"/>
      <c r="AP354" s="221"/>
      <c r="AQ354" s="215"/>
      <c r="AR354" s="220"/>
      <c r="AS354" s="215"/>
      <c r="AT354" s="221"/>
      <c r="AU354" s="225">
        <f>countA(F354:AK354)*12</f>
        <v>0</v>
      </c>
      <c r="AW354" s="206" t="str">
        <f t="shared" si="329"/>
        <v>#REF!</v>
      </c>
      <c r="AX354" s="206">
        <f t="shared" ref="AX354:BB354" si="334">AX96</f>
        <v>0</v>
      </c>
      <c r="AY354" s="206">
        <f t="shared" si="334"/>
        <v>0</v>
      </c>
      <c r="AZ354" s="206">
        <f t="shared" si="334"/>
        <v>0</v>
      </c>
      <c r="BA354" s="206">
        <f t="shared" si="334"/>
        <v>0</v>
      </c>
      <c r="BB354" s="464">
        <f t="shared" si="334"/>
        <v>0</v>
      </c>
      <c r="BC354" s="465">
        <f t="shared" si="331"/>
        <v>0</v>
      </c>
      <c r="BD354" s="206"/>
      <c r="BE354" s="466"/>
    </row>
    <row r="355">
      <c r="A355" s="199"/>
      <c r="B355" s="213" t="s">
        <v>810</v>
      </c>
      <c r="C355" s="214"/>
      <c r="D355" s="215"/>
      <c r="E355" s="216"/>
      <c r="F355" s="215"/>
      <c r="G355" s="230"/>
      <c r="H355" s="215"/>
      <c r="I355" s="231"/>
      <c r="J355" s="215"/>
      <c r="K355" s="216"/>
      <c r="L355" s="216"/>
      <c r="M355" s="215"/>
      <c r="N355" s="230"/>
      <c r="O355" s="215"/>
      <c r="P355" s="231"/>
      <c r="Q355" s="215"/>
      <c r="R355" s="216"/>
      <c r="S355" s="216"/>
      <c r="T355" s="215"/>
      <c r="U355" s="230"/>
      <c r="V355" s="215"/>
      <c r="W355" s="231"/>
      <c r="X355" s="215"/>
      <c r="Y355" s="216"/>
      <c r="Z355" s="216"/>
      <c r="AA355" s="215"/>
      <c r="AB355" s="230"/>
      <c r="AC355" s="215"/>
      <c r="AD355" s="231"/>
      <c r="AE355" s="215"/>
      <c r="AF355" s="216"/>
      <c r="AG355" s="216"/>
      <c r="AH355" s="215"/>
      <c r="AI355" s="230"/>
      <c r="AJ355" s="215"/>
      <c r="AK355" s="231"/>
      <c r="AL355" s="215"/>
      <c r="AM355" s="216"/>
      <c r="AN355" s="216"/>
      <c r="AO355" s="215"/>
      <c r="AP355" s="230"/>
      <c r="AQ355" s="215"/>
      <c r="AR355" s="231"/>
      <c r="AS355" s="215"/>
      <c r="AT355" s="216"/>
      <c r="AU355" s="225">
        <f>counta(F355:AT355)*4</f>
        <v>0</v>
      </c>
      <c r="AW355" s="206" t="str">
        <f t="shared" si="329"/>
        <v>#REF!</v>
      </c>
      <c r="AX355" s="206">
        <f t="shared" ref="AX355:BB355" si="335">AX97</f>
        <v>0</v>
      </c>
      <c r="AY355" s="206">
        <f t="shared" si="335"/>
        <v>0</v>
      </c>
      <c r="AZ355" s="206">
        <f t="shared" si="335"/>
        <v>0</v>
      </c>
      <c r="BA355" s="206">
        <f t="shared" si="335"/>
        <v>0</v>
      </c>
      <c r="BB355" s="464">
        <f t="shared" si="335"/>
        <v>0</v>
      </c>
      <c r="BC355" s="465">
        <f t="shared" si="331"/>
        <v>0</v>
      </c>
      <c r="BD355" s="206"/>
      <c r="BE355" s="466"/>
    </row>
    <row r="356">
      <c r="A356" s="199"/>
      <c r="B356" s="213" t="s">
        <v>637</v>
      </c>
      <c r="C356" s="214"/>
      <c r="D356" s="215"/>
      <c r="E356" s="216"/>
      <c r="F356" s="215"/>
      <c r="G356" s="230"/>
      <c r="H356" s="215"/>
      <c r="I356" s="231"/>
      <c r="J356" s="215"/>
      <c r="K356" s="216"/>
      <c r="L356" s="216"/>
      <c r="M356" s="215"/>
      <c r="N356" s="230"/>
      <c r="O356" s="215"/>
      <c r="P356" s="231"/>
      <c r="Q356" s="215"/>
      <c r="R356" s="216"/>
      <c r="S356" s="216"/>
      <c r="T356" s="215"/>
      <c r="U356" s="230"/>
      <c r="V356" s="215"/>
      <c r="W356" s="231"/>
      <c r="X356" s="215"/>
      <c r="Y356" s="216"/>
      <c r="Z356" s="216"/>
      <c r="AA356" s="215"/>
      <c r="AB356" s="230"/>
      <c r="AC356" s="215"/>
      <c r="AD356" s="231"/>
      <c r="AE356" s="215"/>
      <c r="AF356" s="216"/>
      <c r="AG356" s="216"/>
      <c r="AH356" s="215"/>
      <c r="AI356" s="230"/>
      <c r="AJ356" s="215"/>
      <c r="AK356" s="231"/>
      <c r="AL356" s="215"/>
      <c r="AM356" s="216"/>
      <c r="AN356" s="216"/>
      <c r="AO356" s="215"/>
      <c r="AP356" s="230"/>
      <c r="AQ356" s="215"/>
      <c r="AR356" s="231"/>
      <c r="AS356" s="215"/>
      <c r="AT356" s="216"/>
      <c r="AU356" s="225">
        <f>sum(F356:AT356)</f>
        <v>0</v>
      </c>
      <c r="AW356" s="206" t="str">
        <f t="shared" si="329"/>
        <v>#REF!</v>
      </c>
      <c r="AX356" s="206">
        <f t="shared" ref="AX356:BB356" si="336">AX98</f>
        <v>0</v>
      </c>
      <c r="AY356" s="206">
        <f t="shared" si="336"/>
        <v>0</v>
      </c>
      <c r="AZ356" s="206">
        <f t="shared" si="336"/>
        <v>0</v>
      </c>
      <c r="BA356" s="206">
        <f t="shared" si="336"/>
        <v>0</v>
      </c>
      <c r="BB356" s="464">
        <f t="shared" si="336"/>
        <v>0</v>
      </c>
      <c r="BC356" s="465">
        <f t="shared" si="331"/>
        <v>0</v>
      </c>
      <c r="BD356" s="206"/>
      <c r="BE356" s="466"/>
    </row>
    <row r="357">
      <c r="A357" s="234"/>
      <c r="B357" s="235" t="s">
        <v>608</v>
      </c>
      <c r="C357" s="195" t="s">
        <v>609</v>
      </c>
      <c r="D357" s="236"/>
      <c r="E357" s="237"/>
      <c r="F357" s="238"/>
      <c r="G357" s="182"/>
      <c r="H357" s="238"/>
      <c r="I357" s="239"/>
      <c r="J357" s="238"/>
      <c r="K357" s="239"/>
      <c r="L357" s="237"/>
      <c r="M357" s="238"/>
      <c r="N357" s="182"/>
      <c r="O357" s="238"/>
      <c r="P357" s="239"/>
      <c r="Q357" s="238"/>
      <c r="R357" s="239"/>
      <c r="S357" s="237"/>
      <c r="T357" s="238"/>
      <c r="U357" s="182"/>
      <c r="V357" s="238"/>
      <c r="W357" s="239"/>
      <c r="X357" s="238"/>
      <c r="Y357" s="239"/>
      <c r="Z357" s="237"/>
      <c r="AA357" s="238"/>
      <c r="AB357" s="182"/>
      <c r="AC357" s="238"/>
      <c r="AD357" s="239"/>
      <c r="AE357" s="238"/>
      <c r="AF357" s="239"/>
      <c r="AG357" s="237"/>
      <c r="AH357" s="238"/>
      <c r="AI357" s="182"/>
      <c r="AJ357" s="238"/>
      <c r="AK357" s="239"/>
      <c r="AL357" s="238"/>
      <c r="AM357" s="239"/>
      <c r="AN357" s="237"/>
      <c r="AO357" s="238"/>
      <c r="AP357" s="182"/>
      <c r="AQ357" s="238"/>
      <c r="AR357" s="239"/>
      <c r="AS357" s="238"/>
      <c r="AT357" s="239"/>
      <c r="AU357" s="236"/>
      <c r="AV357" s="236"/>
      <c r="AW357" s="206" t="str">
        <f t="shared" si="329"/>
        <v>#REF!</v>
      </c>
      <c r="AX357" s="206">
        <f t="shared" ref="AX357:BB357" si="337">AX99</f>
        <v>0</v>
      </c>
      <c r="AY357" s="206">
        <f t="shared" si="337"/>
        <v>0</v>
      </c>
      <c r="AZ357" s="206">
        <f t="shared" si="337"/>
        <v>0</v>
      </c>
      <c r="BA357" s="206">
        <f t="shared" si="337"/>
        <v>0</v>
      </c>
      <c r="BB357" s="464">
        <f t="shared" si="337"/>
        <v>0</v>
      </c>
      <c r="BC357" s="465">
        <f t="shared" si="331"/>
        <v>0</v>
      </c>
      <c r="BD357" s="206"/>
      <c r="BE357" s="466"/>
    </row>
    <row r="358">
      <c r="A358" s="240"/>
      <c r="B358" s="241" t="s">
        <v>638</v>
      </c>
      <c r="C358" s="242" t="s">
        <v>639</v>
      </c>
      <c r="D358" s="243"/>
      <c r="E358" s="244"/>
      <c r="F358" s="298"/>
      <c r="G358" s="246"/>
      <c r="H358" s="298"/>
      <c r="I358" s="246"/>
      <c r="J358" s="298"/>
      <c r="K358" s="246"/>
      <c r="L358" s="676"/>
      <c r="M358" s="298"/>
      <c r="N358" s="246"/>
      <c r="O358" s="298"/>
      <c r="P358" s="246"/>
      <c r="Q358" s="298"/>
      <c r="R358" s="246"/>
      <c r="S358" s="676"/>
      <c r="T358" s="298"/>
      <c r="U358" s="246"/>
      <c r="V358" s="298"/>
      <c r="W358" s="246"/>
      <c r="X358" s="298"/>
      <c r="Y358" s="246"/>
      <c r="Z358" s="676"/>
      <c r="AA358" s="298"/>
      <c r="AB358" s="246"/>
      <c r="AC358" s="298"/>
      <c r="AD358" s="246"/>
      <c r="AE358" s="298"/>
      <c r="AF358" s="246"/>
      <c r="AG358" s="676"/>
      <c r="AH358" s="298"/>
      <c r="AI358" s="246"/>
      <c r="AJ358" s="298"/>
      <c r="AK358" s="246"/>
      <c r="AL358" s="298"/>
      <c r="AM358" s="246"/>
      <c r="AN358" s="676"/>
      <c r="AO358" s="298"/>
      <c r="AP358" s="246"/>
      <c r="AQ358" s="298"/>
      <c r="AR358" s="246"/>
      <c r="AS358" s="298"/>
      <c r="AT358" s="254" t="str">
        <f>IF(COUNTIF($AO$86:$AT$88, #REF!) &gt; 0, "X", "")</f>
        <v/>
      </c>
      <c r="AU358" s="255"/>
      <c r="AV358" s="255"/>
      <c r="AW358" s="206" t="str">
        <f t="shared" si="329"/>
        <v>#REF!</v>
      </c>
      <c r="AX358" s="206">
        <f t="shared" ref="AX358:BB358" si="338">AX100</f>
        <v>0</v>
      </c>
      <c r="AY358" s="206">
        <f t="shared" si="338"/>
        <v>0</v>
      </c>
      <c r="AZ358" s="206">
        <f t="shared" si="338"/>
        <v>0</v>
      </c>
      <c r="BA358" s="206">
        <f t="shared" si="338"/>
        <v>0</v>
      </c>
      <c r="BB358" s="464">
        <f t="shared" si="338"/>
        <v>0</v>
      </c>
      <c r="BC358" s="465">
        <f t="shared" si="331"/>
        <v>0</v>
      </c>
      <c r="BD358" s="206"/>
      <c r="BE358" s="466"/>
    </row>
    <row r="359">
      <c r="A359" s="94"/>
      <c r="B359" s="256" t="s">
        <v>638</v>
      </c>
      <c r="C359" s="257" t="s">
        <v>639</v>
      </c>
      <c r="D359" s="258"/>
      <c r="E359" s="259"/>
      <c r="F359" s="540"/>
      <c r="G359" s="246"/>
      <c r="H359" s="540"/>
      <c r="I359" s="246"/>
      <c r="J359" s="540"/>
      <c r="K359" s="246"/>
      <c r="L359" s="462"/>
      <c r="M359" s="540"/>
      <c r="N359" s="246"/>
      <c r="O359" s="540"/>
      <c r="P359" s="246"/>
      <c r="Q359" s="540"/>
      <c r="R359" s="246"/>
      <c r="S359" s="462"/>
      <c r="T359" s="540"/>
      <c r="U359" s="246"/>
      <c r="V359" s="540"/>
      <c r="W359" s="246"/>
      <c r="X359" s="540"/>
      <c r="Y359" s="246"/>
      <c r="Z359" s="462"/>
      <c r="AA359" s="540"/>
      <c r="AB359" s="246"/>
      <c r="AC359" s="540"/>
      <c r="AD359" s="246"/>
      <c r="AE359" s="540"/>
      <c r="AF359" s="246"/>
      <c r="AG359" s="462"/>
      <c r="AH359" s="540"/>
      <c r="AI359" s="246"/>
      <c r="AJ359" s="540"/>
      <c r="AK359" s="246"/>
      <c r="AL359" s="540"/>
      <c r="AM359" s="246"/>
      <c r="AN359" s="462"/>
      <c r="AO359" s="540"/>
      <c r="AP359" s="246"/>
      <c r="AQ359" s="540"/>
      <c r="AR359" s="246"/>
      <c r="AS359" s="540"/>
      <c r="AT359" s="254" t="str">
        <f>IF(COUNTIF($AO$86:$AT$88, AS364) &gt; 0, "X", "")</f>
        <v/>
      </c>
      <c r="AU359" s="269"/>
      <c r="AV359" s="269"/>
      <c r="AW359" s="206" t="str">
        <f t="shared" si="329"/>
        <v>#REF!</v>
      </c>
      <c r="AX359" s="206">
        <f t="shared" ref="AX359:BB359" si="339">AX101</f>
        <v>0</v>
      </c>
      <c r="AY359" s="206">
        <f t="shared" si="339"/>
        <v>0</v>
      </c>
      <c r="AZ359" s="206">
        <f t="shared" si="339"/>
        <v>0</v>
      </c>
      <c r="BA359" s="206">
        <f t="shared" si="339"/>
        <v>0</v>
      </c>
      <c r="BB359" s="464">
        <f t="shared" si="339"/>
        <v>0</v>
      </c>
      <c r="BC359" s="465">
        <f t="shared" si="331"/>
        <v>0</v>
      </c>
      <c r="BD359" s="206"/>
      <c r="BE359" s="466"/>
    </row>
    <row r="360">
      <c r="A360" s="270"/>
      <c r="B360" s="271" t="s">
        <v>642</v>
      </c>
      <c r="C360" s="272" t="s">
        <v>639</v>
      </c>
      <c r="D360" s="258"/>
      <c r="E360" s="259"/>
      <c r="F360" s="298"/>
      <c r="G360" s="246"/>
      <c r="H360" s="298"/>
      <c r="I360" s="246"/>
      <c r="J360" s="298"/>
      <c r="K360" s="246"/>
      <c r="L360" s="462"/>
      <c r="M360" s="298"/>
      <c r="N360" s="246"/>
      <c r="O360" s="298"/>
      <c r="P360" s="246"/>
      <c r="Q360" s="298"/>
      <c r="R360" s="246"/>
      <c r="S360" s="462"/>
      <c r="T360" s="298"/>
      <c r="U360" s="246"/>
      <c r="V360" s="298"/>
      <c r="W360" s="246"/>
      <c r="X360" s="298"/>
      <c r="Y360" s="246"/>
      <c r="Z360" s="462"/>
      <c r="AA360" s="298"/>
      <c r="AB360" s="246"/>
      <c r="AC360" s="298"/>
      <c r="AD360" s="246"/>
      <c r="AE360" s="298"/>
      <c r="AF360" s="246"/>
      <c r="AG360" s="462"/>
      <c r="AH360" s="298"/>
      <c r="AI360" s="246"/>
      <c r="AJ360" s="298"/>
      <c r="AK360" s="246"/>
      <c r="AL360" s="298"/>
      <c r="AM360" s="246"/>
      <c r="AN360" s="462"/>
      <c r="AO360" s="298"/>
      <c r="AP360" s="246"/>
      <c r="AQ360" s="298"/>
      <c r="AR360" s="246"/>
      <c r="AS360" s="298"/>
      <c r="AT360" s="254" t="str">
        <f>IF(COUNTIF($AO$86:$AT$88, #REF!) &gt; 0, "X", "")</f>
        <v/>
      </c>
      <c r="AU360" s="269"/>
      <c r="AV360" s="269"/>
      <c r="AW360" s="206" t="str">
        <f t="shared" si="329"/>
        <v>#REF!</v>
      </c>
      <c r="AX360" s="206">
        <f t="shared" ref="AX360:BB360" si="340">AX102</f>
        <v>0</v>
      </c>
      <c r="AY360" s="206">
        <f t="shared" si="340"/>
        <v>0</v>
      </c>
      <c r="AZ360" s="206">
        <f t="shared" si="340"/>
        <v>0</v>
      </c>
      <c r="BA360" s="206">
        <f t="shared" si="340"/>
        <v>0</v>
      </c>
      <c r="BB360" s="464">
        <f t="shared" si="340"/>
        <v>0</v>
      </c>
      <c r="BC360" s="465">
        <f t="shared" si="331"/>
        <v>0</v>
      </c>
      <c r="BD360" s="206"/>
      <c r="BE360" s="466"/>
    </row>
    <row r="361">
      <c r="A361" s="234"/>
      <c r="B361" s="277" t="s">
        <v>644</v>
      </c>
      <c r="C361" s="278" t="s">
        <v>645</v>
      </c>
      <c r="D361" s="243"/>
      <c r="E361" s="259"/>
      <c r="F361" s="298"/>
      <c r="G361" s="246"/>
      <c r="H361" s="298"/>
      <c r="I361" s="246"/>
      <c r="J361" s="298"/>
      <c r="K361" s="246"/>
      <c r="L361" s="462"/>
      <c r="M361" s="298"/>
      <c r="N361" s="246"/>
      <c r="O361" s="298"/>
      <c r="P361" s="246"/>
      <c r="Q361" s="298"/>
      <c r="R361" s="246"/>
      <c r="S361" s="462"/>
      <c r="T361" s="298"/>
      <c r="U361" s="246"/>
      <c r="V361" s="298"/>
      <c r="W361" s="246"/>
      <c r="X361" s="298"/>
      <c r="Y361" s="246"/>
      <c r="Z361" s="462"/>
      <c r="AA361" s="298"/>
      <c r="AB361" s="246"/>
      <c r="AC361" s="298"/>
      <c r="AD361" s="246"/>
      <c r="AE361" s="298"/>
      <c r="AF361" s="246"/>
      <c r="AG361" s="462"/>
      <c r="AH361" s="298"/>
      <c r="AI361" s="246"/>
      <c r="AJ361" s="298"/>
      <c r="AK361" s="246"/>
      <c r="AL361" s="298"/>
      <c r="AM361" s="246"/>
      <c r="AN361" s="462"/>
      <c r="AO361" s="298"/>
      <c r="AP361" s="246"/>
      <c r="AQ361" s="298"/>
      <c r="AR361" s="246"/>
      <c r="AS361" s="298"/>
      <c r="AT361" s="254" t="str">
        <f t="shared" ref="AT361:AT363" si="342">IF(COUNTIF($AO$86:$AT$88, AS361) &gt; 0, "X", "")</f>
        <v/>
      </c>
      <c r="AU361" s="269"/>
      <c r="AV361" s="269"/>
      <c r="AW361" s="206" t="str">
        <f t="shared" si="329"/>
        <v>#REF!</v>
      </c>
      <c r="AX361" s="206">
        <f t="shared" ref="AX361:BB361" si="341">AX103</f>
        <v>0</v>
      </c>
      <c r="AY361" s="206">
        <f t="shared" si="341"/>
        <v>0</v>
      </c>
      <c r="AZ361" s="206">
        <f t="shared" si="341"/>
        <v>0</v>
      </c>
      <c r="BA361" s="206">
        <f t="shared" si="341"/>
        <v>0</v>
      </c>
      <c r="BB361" s="464">
        <f t="shared" si="341"/>
        <v>0</v>
      </c>
      <c r="BC361" s="465">
        <f t="shared" si="331"/>
        <v>0</v>
      </c>
      <c r="BD361" s="206"/>
      <c r="BE361" s="466"/>
    </row>
    <row r="362">
      <c r="A362" s="94"/>
      <c r="B362" s="256" t="s">
        <v>757</v>
      </c>
      <c r="C362" s="257" t="s">
        <v>645</v>
      </c>
      <c r="D362" s="243"/>
      <c r="E362" s="259"/>
      <c r="F362" s="542"/>
      <c r="G362" s="246"/>
      <c r="H362" s="542"/>
      <c r="I362" s="246"/>
      <c r="J362" s="542"/>
      <c r="K362" s="246"/>
      <c r="L362" s="462"/>
      <c r="M362" s="542"/>
      <c r="N362" s="246"/>
      <c r="O362" s="542"/>
      <c r="P362" s="246"/>
      <c r="Q362" s="542"/>
      <c r="R362" s="246"/>
      <c r="S362" s="462"/>
      <c r="T362" s="542"/>
      <c r="U362" s="246"/>
      <c r="V362" s="542"/>
      <c r="W362" s="246"/>
      <c r="X362" s="542"/>
      <c r="Y362" s="246"/>
      <c r="Z362" s="462"/>
      <c r="AA362" s="542"/>
      <c r="AB362" s="246"/>
      <c r="AC362" s="542"/>
      <c r="AD362" s="246"/>
      <c r="AE362" s="542"/>
      <c r="AF362" s="246"/>
      <c r="AG362" s="462"/>
      <c r="AH362" s="542"/>
      <c r="AI362" s="246"/>
      <c r="AJ362" s="542"/>
      <c r="AK362" s="246"/>
      <c r="AL362" s="542"/>
      <c r="AM362" s="246"/>
      <c r="AN362" s="462"/>
      <c r="AO362" s="542"/>
      <c r="AP362" s="246"/>
      <c r="AQ362" s="542"/>
      <c r="AR362" s="246"/>
      <c r="AS362" s="542"/>
      <c r="AT362" s="254" t="str">
        <f t="shared" si="342"/>
        <v/>
      </c>
      <c r="AU362" s="269"/>
      <c r="AV362" s="269"/>
      <c r="AW362" s="206" t="str">
        <f t="shared" si="329"/>
        <v>#REF!</v>
      </c>
      <c r="AX362" s="206">
        <f t="shared" ref="AX362:BB362" si="343">AX104</f>
        <v>0</v>
      </c>
      <c r="AY362" s="206">
        <f t="shared" si="343"/>
        <v>0</v>
      </c>
      <c r="AZ362" s="206">
        <f t="shared" si="343"/>
        <v>0</v>
      </c>
      <c r="BA362" s="206">
        <f t="shared" si="343"/>
        <v>0</v>
      </c>
      <c r="BB362" s="464">
        <f t="shared" si="343"/>
        <v>0</v>
      </c>
      <c r="BC362" s="465">
        <f t="shared" si="331"/>
        <v>0</v>
      </c>
      <c r="BD362" s="206"/>
      <c r="BE362" s="466"/>
    </row>
    <row r="363">
      <c r="A363" s="94"/>
      <c r="B363" s="284" t="s">
        <v>646</v>
      </c>
      <c r="C363" s="285" t="s">
        <v>647</v>
      </c>
      <c r="D363" s="243"/>
      <c r="E363" s="259"/>
      <c r="F363" s="298"/>
      <c r="G363" s="246"/>
      <c r="H363" s="298"/>
      <c r="I363" s="246"/>
      <c r="J363" s="298"/>
      <c r="K363" s="246"/>
      <c r="L363" s="462"/>
      <c r="M363" s="298"/>
      <c r="N363" s="246"/>
      <c r="O363" s="298"/>
      <c r="P363" s="246"/>
      <c r="Q363" s="298"/>
      <c r="R363" s="246"/>
      <c r="S363" s="462"/>
      <c r="T363" s="298"/>
      <c r="U363" s="246"/>
      <c r="V363" s="298"/>
      <c r="W363" s="246"/>
      <c r="X363" s="298"/>
      <c r="Y363" s="246"/>
      <c r="Z363" s="462"/>
      <c r="AA363" s="298"/>
      <c r="AB363" s="246"/>
      <c r="AC363" s="298"/>
      <c r="AD363" s="246"/>
      <c r="AE363" s="298"/>
      <c r="AF363" s="246"/>
      <c r="AG363" s="462"/>
      <c r="AH363" s="298"/>
      <c r="AI363" s="246"/>
      <c r="AJ363" s="298"/>
      <c r="AK363" s="246"/>
      <c r="AL363" s="298"/>
      <c r="AM363" s="246"/>
      <c r="AN363" s="462"/>
      <c r="AO363" s="298"/>
      <c r="AP363" s="246"/>
      <c r="AQ363" s="298"/>
      <c r="AR363" s="246"/>
      <c r="AS363" s="298"/>
      <c r="AT363" s="254" t="str">
        <f t="shared" si="342"/>
        <v/>
      </c>
      <c r="AU363" s="269"/>
      <c r="AV363" s="269"/>
      <c r="AW363" s="206" t="str">
        <f t="shared" si="329"/>
        <v>#REF!</v>
      </c>
      <c r="AX363" s="206">
        <f t="shared" ref="AX363:BB363" si="344">AX105</f>
        <v>0</v>
      </c>
      <c r="AY363" s="206">
        <f t="shared" si="344"/>
        <v>0</v>
      </c>
      <c r="AZ363" s="206">
        <f t="shared" si="344"/>
        <v>0</v>
      </c>
      <c r="BA363" s="206">
        <f t="shared" si="344"/>
        <v>0</v>
      </c>
      <c r="BB363" s="464">
        <f t="shared" si="344"/>
        <v>0</v>
      </c>
      <c r="BC363" s="465">
        <f t="shared" si="331"/>
        <v>0</v>
      </c>
      <c r="BD363" s="206"/>
      <c r="BE363" s="466"/>
    </row>
    <row r="364">
      <c r="A364" s="270"/>
      <c r="B364" s="291" t="s">
        <v>648</v>
      </c>
      <c r="C364" s="292" t="s">
        <v>649</v>
      </c>
      <c r="D364" s="243"/>
      <c r="E364" s="259"/>
      <c r="F364" s="298"/>
      <c r="G364" s="298"/>
      <c r="H364" s="298"/>
      <c r="I364" s="298"/>
      <c r="J364" s="298"/>
      <c r="K364" s="298"/>
      <c r="L364" s="462"/>
      <c r="M364" s="298"/>
      <c r="N364" s="298"/>
      <c r="O364" s="298"/>
      <c r="P364" s="298"/>
      <c r="Q364" s="298"/>
      <c r="R364" s="298"/>
      <c r="S364" s="462"/>
      <c r="T364" s="298"/>
      <c r="U364" s="298"/>
      <c r="V364" s="298"/>
      <c r="W364" s="298"/>
      <c r="X364" s="298"/>
      <c r="Y364" s="298"/>
      <c r="Z364" s="462"/>
      <c r="AA364" s="298"/>
      <c r="AB364" s="298"/>
      <c r="AC364" s="298"/>
      <c r="AD364" s="298"/>
      <c r="AE364" s="298"/>
      <c r="AF364" s="298"/>
      <c r="AG364" s="462"/>
      <c r="AH364" s="298"/>
      <c r="AI364" s="298"/>
      <c r="AJ364" s="298"/>
      <c r="AK364" s="298"/>
      <c r="AL364" s="298"/>
      <c r="AM364" s="298"/>
      <c r="AN364" s="462"/>
      <c r="AO364" s="298"/>
      <c r="AP364" s="298"/>
      <c r="AQ364" s="298"/>
      <c r="AR364" s="298"/>
      <c r="AS364" s="298"/>
      <c r="AT364" s="254" t="str">
        <f t="shared" ref="AT364:AT365" si="346">IF(COUNTIF($AO$86:$AT$88, #REF!) &gt; 0, "X", "")</f>
        <v/>
      </c>
      <c r="AU364" s="269"/>
      <c r="AV364" s="269"/>
      <c r="AW364" s="206" t="str">
        <f t="shared" si="329"/>
        <v>#REF!</v>
      </c>
      <c r="AX364" s="206">
        <f t="shared" ref="AX364:BB364" si="345">AX106</f>
        <v>0</v>
      </c>
      <c r="AY364" s="206">
        <f t="shared" si="345"/>
        <v>0</v>
      </c>
      <c r="AZ364" s="206">
        <f t="shared" si="345"/>
        <v>0</v>
      </c>
      <c r="BA364" s="206">
        <f t="shared" si="345"/>
        <v>0</v>
      </c>
      <c r="BB364" s="464">
        <f t="shared" si="345"/>
        <v>0</v>
      </c>
      <c r="BC364" s="465">
        <f t="shared" si="331"/>
        <v>0</v>
      </c>
      <c r="BD364" s="206"/>
      <c r="BE364" s="466"/>
    </row>
    <row r="365">
      <c r="A365" s="94"/>
      <c r="B365" s="296" t="s">
        <v>650</v>
      </c>
      <c r="C365" s="297" t="s">
        <v>649</v>
      </c>
      <c r="D365" s="243"/>
      <c r="E365" s="259"/>
      <c r="F365" s="298"/>
      <c r="G365" s="298"/>
      <c r="H365" s="298"/>
      <c r="I365" s="298"/>
      <c r="J365" s="298"/>
      <c r="K365" s="298"/>
      <c r="L365" s="462"/>
      <c r="M365" s="298"/>
      <c r="N365" s="298"/>
      <c r="O365" s="298"/>
      <c r="P365" s="298"/>
      <c r="Q365" s="298"/>
      <c r="R365" s="298"/>
      <c r="S365" s="462"/>
      <c r="T365" s="298"/>
      <c r="U365" s="298"/>
      <c r="V365" s="298"/>
      <c r="W365" s="298"/>
      <c r="X365" s="298"/>
      <c r="Y365" s="298"/>
      <c r="Z365" s="462"/>
      <c r="AA365" s="298"/>
      <c r="AB365" s="298"/>
      <c r="AC365" s="298"/>
      <c r="AD365" s="298"/>
      <c r="AE365" s="298"/>
      <c r="AF365" s="298"/>
      <c r="AG365" s="462"/>
      <c r="AH365" s="298"/>
      <c r="AI365" s="298"/>
      <c r="AJ365" s="298"/>
      <c r="AK365" s="298"/>
      <c r="AL365" s="298"/>
      <c r="AM365" s="298"/>
      <c r="AN365" s="462"/>
      <c r="AO365" s="298"/>
      <c r="AP365" s="298"/>
      <c r="AQ365" s="298"/>
      <c r="AR365" s="298"/>
      <c r="AS365" s="298"/>
      <c r="AT365" s="254" t="str">
        <f t="shared" si="346"/>
        <v/>
      </c>
      <c r="AU365" s="269"/>
      <c r="AV365" s="269"/>
      <c r="AW365" s="206" t="str">
        <f t="shared" si="329"/>
        <v>#REF!</v>
      </c>
      <c r="AX365" s="206">
        <f t="shared" ref="AX365:BB365" si="347">AX107</f>
        <v>0</v>
      </c>
      <c r="AY365" s="206">
        <f t="shared" si="347"/>
        <v>0</v>
      </c>
      <c r="AZ365" s="206">
        <f t="shared" si="347"/>
        <v>0</v>
      </c>
      <c r="BA365" s="206">
        <f t="shared" si="347"/>
        <v>0</v>
      </c>
      <c r="BB365" s="464">
        <f t="shared" si="347"/>
        <v>0</v>
      </c>
      <c r="BC365" s="465">
        <f t="shared" si="331"/>
        <v>0</v>
      </c>
      <c r="BD365" s="206"/>
      <c r="BE365" s="466"/>
    </row>
    <row r="366">
      <c r="A366" s="94"/>
      <c r="B366" s="301" t="s">
        <v>651</v>
      </c>
      <c r="C366" s="302" t="s">
        <v>652</v>
      </c>
      <c r="D366" s="243"/>
      <c r="E366" s="259"/>
      <c r="F366" s="298"/>
      <c r="G366" s="298"/>
      <c r="H366" s="298"/>
      <c r="I366" s="298"/>
      <c r="J366" s="298"/>
      <c r="K366" s="298"/>
      <c r="L366" s="462"/>
      <c r="M366" s="298"/>
      <c r="N366" s="298"/>
      <c r="O366" s="298"/>
      <c r="P366" s="298"/>
      <c r="Q366" s="298"/>
      <c r="R366" s="298"/>
      <c r="S366" s="462"/>
      <c r="T366" s="298"/>
      <c r="U366" s="298"/>
      <c r="V366" s="298"/>
      <c r="W366" s="298"/>
      <c r="X366" s="298"/>
      <c r="Y366" s="298"/>
      <c r="Z366" s="462"/>
      <c r="AA366" s="298"/>
      <c r="AB366" s="298"/>
      <c r="AC366" s="298"/>
      <c r="AD366" s="298"/>
      <c r="AE366" s="298"/>
      <c r="AF366" s="298"/>
      <c r="AG366" s="462"/>
      <c r="AH366" s="298"/>
      <c r="AI366" s="298"/>
      <c r="AJ366" s="298"/>
      <c r="AK366" s="298"/>
      <c r="AL366" s="298"/>
      <c r="AM366" s="298"/>
      <c r="AN366" s="462"/>
      <c r="AO366" s="298"/>
      <c r="AP366" s="298"/>
      <c r="AQ366" s="298"/>
      <c r="AR366" s="298"/>
      <c r="AS366" s="298"/>
      <c r="AT366" s="254" t="str">
        <f t="shared" ref="AT366:AT367" si="349">IF(COUNTIF($AO$86:$AT$88, AS366) &gt; 0, "X", "")</f>
        <v/>
      </c>
      <c r="AU366" s="269"/>
      <c r="AV366" s="269"/>
      <c r="AW366" s="206" t="str">
        <f t="shared" si="329"/>
        <v>#REF!</v>
      </c>
      <c r="AX366" s="206">
        <f t="shared" ref="AX366:BB366" si="348">AX108</f>
        <v>0</v>
      </c>
      <c r="AY366" s="206">
        <f t="shared" si="348"/>
        <v>0</v>
      </c>
      <c r="AZ366" s="206">
        <f t="shared" si="348"/>
        <v>0</v>
      </c>
      <c r="BA366" s="206">
        <f t="shared" si="348"/>
        <v>0</v>
      </c>
      <c r="BB366" s="464">
        <f t="shared" si="348"/>
        <v>0</v>
      </c>
      <c r="BC366" s="465">
        <f t="shared" si="331"/>
        <v>0</v>
      </c>
      <c r="BD366" s="206"/>
      <c r="BE366" s="466"/>
    </row>
    <row r="367">
      <c r="A367" s="94"/>
      <c r="B367" s="305" t="s">
        <v>653</v>
      </c>
      <c r="C367" s="306" t="s">
        <v>654</v>
      </c>
      <c r="D367" s="243"/>
      <c r="E367" s="259"/>
      <c r="F367" s="298"/>
      <c r="G367" s="246"/>
      <c r="H367" s="298"/>
      <c r="I367" s="246"/>
      <c r="J367" s="298"/>
      <c r="K367" s="246"/>
      <c r="L367" s="462"/>
      <c r="M367" s="298"/>
      <c r="N367" s="246"/>
      <c r="O367" s="298"/>
      <c r="P367" s="246"/>
      <c r="Q367" s="298"/>
      <c r="R367" s="246"/>
      <c r="S367" s="462"/>
      <c r="T367" s="298"/>
      <c r="U367" s="246"/>
      <c r="V367" s="298"/>
      <c r="W367" s="246"/>
      <c r="X367" s="298"/>
      <c r="Y367" s="246"/>
      <c r="Z367" s="462"/>
      <c r="AA367" s="298"/>
      <c r="AB367" s="246"/>
      <c r="AC367" s="298"/>
      <c r="AD367" s="246"/>
      <c r="AE367" s="298"/>
      <c r="AF367" s="246"/>
      <c r="AG367" s="462"/>
      <c r="AH367" s="298"/>
      <c r="AI367" s="246"/>
      <c r="AJ367" s="298"/>
      <c r="AK367" s="246"/>
      <c r="AL367" s="298"/>
      <c r="AM367" s="246"/>
      <c r="AN367" s="462"/>
      <c r="AO367" s="298"/>
      <c r="AP367" s="246"/>
      <c r="AQ367" s="298"/>
      <c r="AR367" s="246"/>
      <c r="AS367" s="298"/>
      <c r="AT367" s="254" t="str">
        <f t="shared" si="349"/>
        <v/>
      </c>
      <c r="AU367" s="269"/>
      <c r="AV367" s="269"/>
      <c r="AW367" s="206" t="str">
        <f t="shared" si="329"/>
        <v>#REF!</v>
      </c>
      <c r="AX367" s="206">
        <f t="shared" ref="AX367:BB367" si="350">AX109</f>
        <v>0</v>
      </c>
      <c r="AY367" s="206">
        <f t="shared" si="350"/>
        <v>0</v>
      </c>
      <c r="AZ367" s="206">
        <f t="shared" si="350"/>
        <v>0</v>
      </c>
      <c r="BA367" s="206">
        <f t="shared" si="350"/>
        <v>0</v>
      </c>
      <c r="BB367" s="464">
        <f t="shared" si="350"/>
        <v>0</v>
      </c>
      <c r="BC367" s="465">
        <f t="shared" si="331"/>
        <v>0</v>
      </c>
      <c r="BD367" s="206"/>
      <c r="BE367" s="466"/>
    </row>
    <row r="368">
      <c r="A368" s="94"/>
      <c r="B368" s="310" t="s">
        <v>656</v>
      </c>
      <c r="C368" s="278" t="s">
        <v>657</v>
      </c>
      <c r="D368" s="243"/>
      <c r="E368" s="259"/>
      <c r="F368" s="298"/>
      <c r="G368" s="246"/>
      <c r="H368" s="298"/>
      <c r="I368" s="246"/>
      <c r="J368" s="298"/>
      <c r="K368" s="246"/>
      <c r="L368" s="462"/>
      <c r="M368" s="298"/>
      <c r="N368" s="246"/>
      <c r="O368" s="298"/>
      <c r="P368" s="246"/>
      <c r="Q368" s="298"/>
      <c r="R368" s="246"/>
      <c r="S368" s="462"/>
      <c r="T368" s="298"/>
      <c r="U368" s="246"/>
      <c r="V368" s="298"/>
      <c r="W368" s="246"/>
      <c r="X368" s="298"/>
      <c r="Y368" s="246"/>
      <c r="Z368" s="462"/>
      <c r="AA368" s="298"/>
      <c r="AB368" s="246"/>
      <c r="AC368" s="298"/>
      <c r="AD368" s="246"/>
      <c r="AE368" s="298"/>
      <c r="AF368" s="246"/>
      <c r="AG368" s="462"/>
      <c r="AH368" s="298"/>
      <c r="AI368" s="246"/>
      <c r="AJ368" s="298"/>
      <c r="AK368" s="246"/>
      <c r="AL368" s="298"/>
      <c r="AM368" s="246"/>
      <c r="AN368" s="462"/>
      <c r="AO368" s="298"/>
      <c r="AP368" s="246"/>
      <c r="AQ368" s="298"/>
      <c r="AR368" s="246"/>
      <c r="AS368" s="298"/>
      <c r="AT368" s="254" t="str">
        <f t="shared" ref="AT368:AT370" si="352">IF(COUNTIF($AO$86:$AT$88, #REF!) &gt; 0, "X", "")</f>
        <v/>
      </c>
      <c r="AU368" s="269"/>
      <c r="AV368" s="269"/>
      <c r="AW368" s="206" t="str">
        <f t="shared" si="329"/>
        <v>#REF!</v>
      </c>
      <c r="AX368" s="206">
        <f t="shared" ref="AX368:BB368" si="351">AX110</f>
        <v>0</v>
      </c>
      <c r="AY368" s="206">
        <f t="shared" si="351"/>
        <v>0</v>
      </c>
      <c r="AZ368" s="206">
        <f t="shared" si="351"/>
        <v>0</v>
      </c>
      <c r="BA368" s="206">
        <f t="shared" si="351"/>
        <v>0</v>
      </c>
      <c r="BB368" s="464">
        <f t="shared" si="351"/>
        <v>0</v>
      </c>
      <c r="BC368" s="465">
        <f t="shared" si="331"/>
        <v>0</v>
      </c>
      <c r="BD368" s="206"/>
      <c r="BE368" s="466"/>
    </row>
    <row r="369">
      <c r="A369" s="94"/>
      <c r="B369" s="277" t="s">
        <v>658</v>
      </c>
      <c r="C369" s="278" t="s">
        <v>657</v>
      </c>
      <c r="D369" s="243"/>
      <c r="E369" s="259"/>
      <c r="F369" s="543"/>
      <c r="G369" s="246"/>
      <c r="H369" s="543"/>
      <c r="I369" s="246"/>
      <c r="J369" s="543"/>
      <c r="K369" s="246"/>
      <c r="L369" s="462"/>
      <c r="M369" s="543"/>
      <c r="N369" s="246"/>
      <c r="O369" s="543"/>
      <c r="P369" s="246"/>
      <c r="Q369" s="543"/>
      <c r="R369" s="246"/>
      <c r="S369" s="462"/>
      <c r="T369" s="543"/>
      <c r="U369" s="246"/>
      <c r="V369" s="543"/>
      <c r="W369" s="246"/>
      <c r="X369" s="543"/>
      <c r="Y369" s="246"/>
      <c r="Z369" s="462"/>
      <c r="AA369" s="543"/>
      <c r="AB369" s="246"/>
      <c r="AC369" s="543"/>
      <c r="AD369" s="246"/>
      <c r="AE369" s="543"/>
      <c r="AF369" s="246"/>
      <c r="AG369" s="462"/>
      <c r="AH369" s="543"/>
      <c r="AI369" s="246"/>
      <c r="AJ369" s="543"/>
      <c r="AK369" s="246"/>
      <c r="AL369" s="543"/>
      <c r="AM369" s="246"/>
      <c r="AN369" s="462"/>
      <c r="AO369" s="543"/>
      <c r="AP369" s="246"/>
      <c r="AQ369" s="543"/>
      <c r="AR369" s="246"/>
      <c r="AS369" s="543"/>
      <c r="AT369" s="254" t="str">
        <f t="shared" si="352"/>
        <v/>
      </c>
      <c r="AU369" s="269"/>
      <c r="AV369" s="269"/>
      <c r="AW369" s="206" t="str">
        <f t="shared" si="329"/>
        <v>#REF!</v>
      </c>
      <c r="AX369" s="206">
        <f t="shared" ref="AX369:BB369" si="353">AX111</f>
        <v>0</v>
      </c>
      <c r="AY369" s="206">
        <f t="shared" si="353"/>
        <v>0</v>
      </c>
      <c r="AZ369" s="206">
        <f t="shared" si="353"/>
        <v>0</v>
      </c>
      <c r="BA369" s="206">
        <f t="shared" si="353"/>
        <v>0</v>
      </c>
      <c r="BB369" s="464">
        <f t="shared" si="353"/>
        <v>0</v>
      </c>
      <c r="BC369" s="465">
        <f t="shared" si="331"/>
        <v>0</v>
      </c>
      <c r="BD369" s="206"/>
      <c r="BE369" s="466"/>
    </row>
    <row r="370">
      <c r="A370" s="94"/>
      <c r="B370" s="314" t="s">
        <v>660</v>
      </c>
      <c r="C370" s="315" t="s">
        <v>649</v>
      </c>
      <c r="D370" s="243"/>
      <c r="E370" s="259"/>
      <c r="F370" s="298"/>
      <c r="G370" s="298"/>
      <c r="H370" s="298"/>
      <c r="I370" s="298"/>
      <c r="J370" s="298"/>
      <c r="K370" s="298"/>
      <c r="L370" s="462"/>
      <c r="M370" s="298"/>
      <c r="N370" s="298"/>
      <c r="O370" s="298"/>
      <c r="P370" s="298"/>
      <c r="Q370" s="298"/>
      <c r="R370" s="298"/>
      <c r="S370" s="462"/>
      <c r="T370" s="298"/>
      <c r="U370" s="298"/>
      <c r="V370" s="298"/>
      <c r="W370" s="298"/>
      <c r="X370" s="298"/>
      <c r="Y370" s="298"/>
      <c r="Z370" s="462"/>
      <c r="AA370" s="298"/>
      <c r="AB370" s="298"/>
      <c r="AC370" s="298"/>
      <c r="AD370" s="298"/>
      <c r="AE370" s="298"/>
      <c r="AF370" s="298"/>
      <c r="AG370" s="462"/>
      <c r="AH370" s="298"/>
      <c r="AI370" s="298"/>
      <c r="AJ370" s="298"/>
      <c r="AK370" s="298"/>
      <c r="AL370" s="298"/>
      <c r="AM370" s="298"/>
      <c r="AN370" s="462"/>
      <c r="AO370" s="298"/>
      <c r="AP370" s="298"/>
      <c r="AQ370" s="298"/>
      <c r="AR370" s="298"/>
      <c r="AS370" s="298"/>
      <c r="AT370" s="254" t="str">
        <f t="shared" si="352"/>
        <v/>
      </c>
      <c r="AU370" s="269"/>
      <c r="AV370" s="269"/>
      <c r="AW370" s="206" t="str">
        <f t="shared" si="329"/>
        <v>#REF!</v>
      </c>
      <c r="AX370" s="206">
        <f t="shared" ref="AX370:BB370" si="354">AX112</f>
        <v>0</v>
      </c>
      <c r="AY370" s="206">
        <f t="shared" si="354"/>
        <v>0</v>
      </c>
      <c r="AZ370" s="206">
        <f t="shared" si="354"/>
        <v>0</v>
      </c>
      <c r="BA370" s="206">
        <f t="shared" si="354"/>
        <v>0</v>
      </c>
      <c r="BB370" s="464">
        <f t="shared" si="354"/>
        <v>0</v>
      </c>
      <c r="BC370" s="465">
        <f t="shared" si="331"/>
        <v>0</v>
      </c>
      <c r="BD370" s="206"/>
      <c r="BE370" s="466"/>
    </row>
    <row r="371">
      <c r="A371" s="94"/>
      <c r="B371" s="296" t="s">
        <v>650</v>
      </c>
      <c r="C371" s="297" t="s">
        <v>649</v>
      </c>
      <c r="D371" s="243"/>
      <c r="E371" s="259"/>
      <c r="F371" s="298"/>
      <c r="G371" s="298"/>
      <c r="H371" s="298"/>
      <c r="I371" s="298"/>
      <c r="J371" s="298"/>
      <c r="K371" s="298"/>
      <c r="L371" s="462"/>
      <c r="M371" s="298"/>
      <c r="N371" s="298"/>
      <c r="O371" s="298"/>
      <c r="P371" s="298"/>
      <c r="Q371" s="298"/>
      <c r="R371" s="298"/>
      <c r="S371" s="462"/>
      <c r="T371" s="298"/>
      <c r="U371" s="298"/>
      <c r="V371" s="298"/>
      <c r="W371" s="298"/>
      <c r="X371" s="298"/>
      <c r="Y371" s="298"/>
      <c r="Z371" s="462"/>
      <c r="AA371" s="298"/>
      <c r="AB371" s="298"/>
      <c r="AC371" s="298"/>
      <c r="AD371" s="298"/>
      <c r="AE371" s="298"/>
      <c r="AF371" s="298"/>
      <c r="AG371" s="462"/>
      <c r="AH371" s="298"/>
      <c r="AI371" s="298"/>
      <c r="AJ371" s="298"/>
      <c r="AK371" s="298"/>
      <c r="AL371" s="298"/>
      <c r="AM371" s="298"/>
      <c r="AN371" s="462"/>
      <c r="AO371" s="298"/>
      <c r="AP371" s="298"/>
      <c r="AQ371" s="298"/>
      <c r="AR371" s="298"/>
      <c r="AS371" s="298"/>
      <c r="AT371" s="254" t="str">
        <f>IF(COUNTIF($AO$86:$AT$88, AS371) &gt; 0, "X", "")</f>
        <v/>
      </c>
      <c r="AU371" s="269"/>
      <c r="AV371" s="269"/>
      <c r="AW371" s="206" t="str">
        <f t="shared" si="329"/>
        <v>#REF!</v>
      </c>
      <c r="AX371" s="206">
        <f t="shared" ref="AX371:BB371" si="355">AX113</f>
        <v>0</v>
      </c>
      <c r="AY371" s="206">
        <f t="shared" si="355"/>
        <v>0</v>
      </c>
      <c r="AZ371" s="206">
        <f t="shared" si="355"/>
        <v>0</v>
      </c>
      <c r="BA371" s="206">
        <f t="shared" si="355"/>
        <v>0</v>
      </c>
      <c r="BB371" s="464">
        <f t="shared" si="355"/>
        <v>0</v>
      </c>
      <c r="BC371" s="465">
        <f t="shared" si="331"/>
        <v>0</v>
      </c>
      <c r="BD371" s="206"/>
      <c r="BE371" s="466"/>
    </row>
    <row r="372">
      <c r="A372" s="94"/>
      <c r="B372" s="301" t="s">
        <v>651</v>
      </c>
      <c r="C372" s="302" t="s">
        <v>652</v>
      </c>
      <c r="D372" s="323"/>
      <c r="E372" s="259"/>
      <c r="F372" s="542"/>
      <c r="G372" s="298"/>
      <c r="H372" s="542"/>
      <c r="I372" s="298"/>
      <c r="J372" s="542"/>
      <c r="K372" s="298"/>
      <c r="L372" s="462"/>
      <c r="M372" s="542"/>
      <c r="N372" s="298"/>
      <c r="O372" s="542"/>
      <c r="P372" s="298"/>
      <c r="Q372" s="542"/>
      <c r="R372" s="298"/>
      <c r="S372" s="462"/>
      <c r="T372" s="542"/>
      <c r="U372" s="298"/>
      <c r="V372" s="542"/>
      <c r="W372" s="298"/>
      <c r="X372" s="542"/>
      <c r="Y372" s="298"/>
      <c r="Z372" s="462"/>
      <c r="AA372" s="542"/>
      <c r="AB372" s="298"/>
      <c r="AC372" s="542"/>
      <c r="AD372" s="298"/>
      <c r="AE372" s="542"/>
      <c r="AF372" s="298"/>
      <c r="AG372" s="462"/>
      <c r="AH372" s="542"/>
      <c r="AI372" s="298"/>
      <c r="AJ372" s="542"/>
      <c r="AK372" s="298"/>
      <c r="AL372" s="542"/>
      <c r="AM372" s="298"/>
      <c r="AN372" s="462"/>
      <c r="AO372" s="542"/>
      <c r="AP372" s="298"/>
      <c r="AQ372" s="542"/>
      <c r="AR372" s="298"/>
      <c r="AS372" s="542"/>
      <c r="AT372" s="254" t="str">
        <f t="shared" ref="AT372:AT373" si="357">IF(COUNTIF($AO$86:$AT$88, #REF!) &gt; 0, "X", "")</f>
        <v/>
      </c>
      <c r="AU372" s="269"/>
      <c r="AV372" s="269"/>
      <c r="AW372" s="206" t="str">
        <f t="shared" si="329"/>
        <v>#REF!</v>
      </c>
      <c r="AX372" s="206">
        <f t="shared" ref="AX372:BB372" si="356">AX114</f>
        <v>0</v>
      </c>
      <c r="AY372" s="206">
        <f t="shared" si="356"/>
        <v>0</v>
      </c>
      <c r="AZ372" s="206">
        <f t="shared" si="356"/>
        <v>0</v>
      </c>
      <c r="BA372" s="206">
        <f t="shared" si="356"/>
        <v>0</v>
      </c>
      <c r="BB372" s="464">
        <f t="shared" si="356"/>
        <v>0</v>
      </c>
      <c r="BC372" s="465">
        <f t="shared" si="331"/>
        <v>0</v>
      </c>
      <c r="BD372" s="206"/>
      <c r="BE372" s="466"/>
    </row>
    <row r="373">
      <c r="A373" s="94"/>
      <c r="B373" s="322" t="s">
        <v>662</v>
      </c>
      <c r="C373" s="306" t="s">
        <v>663</v>
      </c>
      <c r="D373" s="330"/>
      <c r="E373" s="259"/>
      <c r="F373" s="544"/>
      <c r="G373" s="246"/>
      <c r="H373" s="544"/>
      <c r="I373" s="246"/>
      <c r="J373" s="544"/>
      <c r="K373" s="246"/>
      <c r="L373" s="462"/>
      <c r="M373" s="544"/>
      <c r="N373" s="246"/>
      <c r="O373" s="544"/>
      <c r="P373" s="246"/>
      <c r="Q373" s="544"/>
      <c r="R373" s="246"/>
      <c r="S373" s="462"/>
      <c r="T373" s="544"/>
      <c r="U373" s="246"/>
      <c r="V373" s="544"/>
      <c r="W373" s="246"/>
      <c r="X373" s="544"/>
      <c r="Y373" s="246"/>
      <c r="Z373" s="462"/>
      <c r="AA373" s="544"/>
      <c r="AB373" s="246"/>
      <c r="AC373" s="544"/>
      <c r="AD373" s="246"/>
      <c r="AE373" s="544"/>
      <c r="AF373" s="246"/>
      <c r="AG373" s="462"/>
      <c r="AH373" s="544"/>
      <c r="AI373" s="246"/>
      <c r="AJ373" s="544"/>
      <c r="AK373" s="246"/>
      <c r="AL373" s="544"/>
      <c r="AM373" s="246"/>
      <c r="AN373" s="462"/>
      <c r="AO373" s="544"/>
      <c r="AP373" s="246"/>
      <c r="AQ373" s="544"/>
      <c r="AR373" s="246"/>
      <c r="AS373" s="544"/>
      <c r="AT373" s="254" t="str">
        <f t="shared" si="357"/>
        <v/>
      </c>
      <c r="AU373" s="269"/>
      <c r="AV373" s="269"/>
      <c r="AW373" s="206" t="str">
        <f t="shared" si="329"/>
        <v>#REF!</v>
      </c>
      <c r="AX373" s="206">
        <f t="shared" ref="AX373:BB373" si="358">AX115</f>
        <v>0</v>
      </c>
      <c r="AY373" s="206">
        <f t="shared" si="358"/>
        <v>0</v>
      </c>
      <c r="AZ373" s="206">
        <f t="shared" si="358"/>
        <v>0</v>
      </c>
      <c r="BA373" s="206">
        <f t="shared" si="358"/>
        <v>0</v>
      </c>
      <c r="BB373" s="464">
        <f t="shared" si="358"/>
        <v>0</v>
      </c>
      <c r="BC373" s="465">
        <f t="shared" si="331"/>
        <v>0</v>
      </c>
      <c r="BD373" s="206"/>
      <c r="BE373" s="466"/>
    </row>
    <row r="374">
      <c r="A374" s="94"/>
      <c r="B374" s="328" t="s">
        <v>665</v>
      </c>
      <c r="C374" s="329" t="s">
        <v>654</v>
      </c>
      <c r="D374" s="330"/>
      <c r="E374" s="259"/>
      <c r="F374" s="542"/>
      <c r="G374" s="246"/>
      <c r="H374" s="542"/>
      <c r="I374" s="246"/>
      <c r="J374" s="542"/>
      <c r="K374" s="246"/>
      <c r="L374" s="462"/>
      <c r="M374" s="542"/>
      <c r="N374" s="246"/>
      <c r="O374" s="542"/>
      <c r="P374" s="246"/>
      <c r="Q374" s="542"/>
      <c r="R374" s="246"/>
      <c r="S374" s="462"/>
      <c r="T374" s="542"/>
      <c r="U374" s="246"/>
      <c r="V374" s="542"/>
      <c r="W374" s="246"/>
      <c r="X374" s="542"/>
      <c r="Y374" s="246"/>
      <c r="Z374" s="462"/>
      <c r="AA374" s="542"/>
      <c r="AB374" s="246"/>
      <c r="AC374" s="542"/>
      <c r="AD374" s="246"/>
      <c r="AE374" s="542"/>
      <c r="AF374" s="246"/>
      <c r="AG374" s="462"/>
      <c r="AH374" s="542"/>
      <c r="AI374" s="246"/>
      <c r="AJ374" s="542"/>
      <c r="AK374" s="246"/>
      <c r="AL374" s="542"/>
      <c r="AM374" s="246"/>
      <c r="AN374" s="462"/>
      <c r="AO374" s="542"/>
      <c r="AP374" s="246"/>
      <c r="AQ374" s="542"/>
      <c r="AR374" s="246"/>
      <c r="AS374" s="542"/>
      <c r="AT374" s="254" t="str">
        <f>IF(COUNTIF($AO$86:$AT$88, AH381) &gt; 0, "X", "")</f>
        <v/>
      </c>
      <c r="AU374" s="269"/>
      <c r="AV374" s="269"/>
      <c r="AW374" s="206" t="str">
        <f t="shared" si="329"/>
        <v>#REF!</v>
      </c>
      <c r="AX374" s="206">
        <f t="shared" ref="AX374:BB374" si="359">AX116</f>
        <v>0</v>
      </c>
      <c r="AY374" s="206">
        <f t="shared" si="359"/>
        <v>0</v>
      </c>
      <c r="AZ374" s="206">
        <f t="shared" si="359"/>
        <v>0</v>
      </c>
      <c r="BA374" s="206">
        <f t="shared" si="359"/>
        <v>0</v>
      </c>
      <c r="BB374" s="464">
        <f t="shared" si="359"/>
        <v>0</v>
      </c>
      <c r="BC374" s="465">
        <f t="shared" si="331"/>
        <v>0</v>
      </c>
      <c r="BD374" s="206"/>
      <c r="BE374" s="466"/>
    </row>
    <row r="375">
      <c r="A375" s="94"/>
      <c r="B375" s="337" t="s">
        <v>665</v>
      </c>
      <c r="C375" s="338" t="s">
        <v>657</v>
      </c>
      <c r="D375" s="330"/>
      <c r="E375" s="259"/>
      <c r="F375" s="545"/>
      <c r="G375" s="246"/>
      <c r="H375" s="545"/>
      <c r="I375" s="246"/>
      <c r="J375" s="545"/>
      <c r="K375" s="246"/>
      <c r="L375" s="462"/>
      <c r="M375" s="545"/>
      <c r="N375" s="246"/>
      <c r="O375" s="545"/>
      <c r="P375" s="246"/>
      <c r="Q375" s="545"/>
      <c r="R375" s="246"/>
      <c r="S375" s="462"/>
      <c r="T375" s="545"/>
      <c r="U375" s="246"/>
      <c r="V375" s="545"/>
      <c r="W375" s="246"/>
      <c r="X375" s="545"/>
      <c r="Y375" s="246"/>
      <c r="Z375" s="462"/>
      <c r="AA375" s="545"/>
      <c r="AB375" s="246"/>
      <c r="AC375" s="545"/>
      <c r="AD375" s="246"/>
      <c r="AE375" s="545"/>
      <c r="AF375" s="246"/>
      <c r="AG375" s="462"/>
      <c r="AH375" s="545"/>
      <c r="AI375" s="246"/>
      <c r="AJ375" s="545"/>
      <c r="AK375" s="246"/>
      <c r="AL375" s="545"/>
      <c r="AM375" s="246"/>
      <c r="AN375" s="462"/>
      <c r="AO375" s="545"/>
      <c r="AP375" s="246"/>
      <c r="AQ375" s="545"/>
      <c r="AR375" s="246"/>
      <c r="AS375" s="545"/>
      <c r="AT375" s="254" t="str">
        <f t="shared" ref="AT375:AT379" si="361">IF(COUNTIF($AO$86:$AT$88, #REF!) &gt; 0, "X", "")</f>
        <v/>
      </c>
      <c r="AU375" s="269"/>
      <c r="AV375" s="269"/>
      <c r="AW375" s="206" t="str">
        <f t="shared" si="329"/>
        <v>#REF!</v>
      </c>
      <c r="AX375" s="206">
        <f t="shared" ref="AX375:BB375" si="360">AX117</f>
        <v>0</v>
      </c>
      <c r="AY375" s="206">
        <f t="shared" si="360"/>
        <v>0</v>
      </c>
      <c r="AZ375" s="206">
        <f t="shared" si="360"/>
        <v>0</v>
      </c>
      <c r="BA375" s="206">
        <f t="shared" si="360"/>
        <v>0</v>
      </c>
      <c r="BB375" s="464">
        <f t="shared" si="360"/>
        <v>0</v>
      </c>
      <c r="BC375" s="465">
        <f t="shared" si="331"/>
        <v>0</v>
      </c>
      <c r="BD375" s="206"/>
      <c r="BE375" s="466"/>
    </row>
    <row r="376">
      <c r="A376" s="94"/>
      <c r="B376" s="256" t="s">
        <v>665</v>
      </c>
      <c r="C376" s="257" t="s">
        <v>663</v>
      </c>
      <c r="D376" s="330"/>
      <c r="E376" s="259"/>
      <c r="F376" s="545"/>
      <c r="G376" s="246"/>
      <c r="H376" s="545"/>
      <c r="I376" s="246"/>
      <c r="J376" s="545"/>
      <c r="K376" s="246"/>
      <c r="L376" s="462"/>
      <c r="M376" s="545"/>
      <c r="N376" s="246"/>
      <c r="O376" s="545"/>
      <c r="P376" s="246"/>
      <c r="Q376" s="545"/>
      <c r="R376" s="246"/>
      <c r="S376" s="462"/>
      <c r="T376" s="545"/>
      <c r="U376" s="246"/>
      <c r="V376" s="545"/>
      <c r="W376" s="246"/>
      <c r="X376" s="545"/>
      <c r="Y376" s="246"/>
      <c r="Z376" s="462"/>
      <c r="AA376" s="545"/>
      <c r="AB376" s="246"/>
      <c r="AC376" s="545"/>
      <c r="AD376" s="246"/>
      <c r="AE376" s="545"/>
      <c r="AF376" s="246"/>
      <c r="AG376" s="462"/>
      <c r="AH376" s="545"/>
      <c r="AI376" s="246"/>
      <c r="AJ376" s="545"/>
      <c r="AK376" s="246"/>
      <c r="AL376" s="545"/>
      <c r="AM376" s="246"/>
      <c r="AN376" s="462"/>
      <c r="AO376" s="545"/>
      <c r="AP376" s="246"/>
      <c r="AQ376" s="545"/>
      <c r="AR376" s="246"/>
      <c r="AS376" s="545"/>
      <c r="AT376" s="254" t="str">
        <f t="shared" si="361"/>
        <v/>
      </c>
      <c r="AU376" s="269"/>
      <c r="AV376" s="269"/>
      <c r="AW376" s="206" t="str">
        <f t="shared" si="329"/>
        <v>#REF!</v>
      </c>
      <c r="AX376" s="206">
        <f t="shared" ref="AX376:BB376" si="362">AX118</f>
        <v>0</v>
      </c>
      <c r="AY376" s="206">
        <f t="shared" si="362"/>
        <v>0</v>
      </c>
      <c r="AZ376" s="206">
        <f t="shared" si="362"/>
        <v>0</v>
      </c>
      <c r="BA376" s="206">
        <f t="shared" si="362"/>
        <v>0</v>
      </c>
      <c r="BB376" s="464">
        <f t="shared" si="362"/>
        <v>0</v>
      </c>
      <c r="BC376" s="465">
        <f t="shared" si="331"/>
        <v>0</v>
      </c>
      <c r="BD376" s="206"/>
      <c r="BE376" s="466"/>
    </row>
    <row r="377">
      <c r="A377" s="94"/>
      <c r="B377" s="328" t="s">
        <v>665</v>
      </c>
      <c r="C377" s="329" t="s">
        <v>645</v>
      </c>
      <c r="D377" s="323"/>
      <c r="E377" s="261"/>
      <c r="F377" s="546"/>
      <c r="G377" s="246"/>
      <c r="H377" s="546"/>
      <c r="I377" s="246"/>
      <c r="J377" s="546"/>
      <c r="K377" s="246"/>
      <c r="L377" s="462"/>
      <c r="M377" s="546"/>
      <c r="N377" s="246"/>
      <c r="O377" s="546"/>
      <c r="P377" s="246"/>
      <c r="Q377" s="546"/>
      <c r="R377" s="246"/>
      <c r="S377" s="462"/>
      <c r="T377" s="546"/>
      <c r="U377" s="246"/>
      <c r="V377" s="546"/>
      <c r="W377" s="246"/>
      <c r="X377" s="546"/>
      <c r="Y377" s="246"/>
      <c r="Z377" s="462"/>
      <c r="AA377" s="546"/>
      <c r="AB377" s="246"/>
      <c r="AC377" s="546"/>
      <c r="AD377" s="246"/>
      <c r="AE377" s="546"/>
      <c r="AF377" s="246"/>
      <c r="AG377" s="462"/>
      <c r="AH377" s="546"/>
      <c r="AI377" s="246"/>
      <c r="AJ377" s="546"/>
      <c r="AK377" s="246"/>
      <c r="AL377" s="546"/>
      <c r="AM377" s="246"/>
      <c r="AN377" s="462"/>
      <c r="AO377" s="546"/>
      <c r="AP377" s="246"/>
      <c r="AQ377" s="546"/>
      <c r="AR377" s="246"/>
      <c r="AS377" s="546"/>
      <c r="AT377" s="254" t="str">
        <f t="shared" si="361"/>
        <v/>
      </c>
      <c r="AU377" s="269"/>
      <c r="AV377" s="269"/>
      <c r="AW377" s="206" t="str">
        <f t="shared" si="329"/>
        <v>#REF!</v>
      </c>
      <c r="AX377" s="206">
        <f t="shared" ref="AX377:BB377" si="363">AX119</f>
        <v>0</v>
      </c>
      <c r="AY377" s="206">
        <f t="shared" si="363"/>
        <v>0</v>
      </c>
      <c r="AZ377" s="206">
        <f t="shared" si="363"/>
        <v>0</v>
      </c>
      <c r="BA377" s="206">
        <f t="shared" si="363"/>
        <v>0</v>
      </c>
      <c r="BB377" s="464">
        <f t="shared" si="363"/>
        <v>0</v>
      </c>
      <c r="BC377" s="465">
        <f t="shared" si="331"/>
        <v>0</v>
      </c>
      <c r="BD377" s="206"/>
      <c r="BE377" s="466"/>
    </row>
    <row r="378">
      <c r="A378" s="94"/>
      <c r="B378" s="342" t="s">
        <v>667</v>
      </c>
      <c r="C378" s="343" t="s">
        <v>657</v>
      </c>
      <c r="D378" s="351"/>
      <c r="E378" s="259"/>
      <c r="F378" s="547"/>
      <c r="G378" s="246"/>
      <c r="H378" s="547"/>
      <c r="I378" s="246"/>
      <c r="J378" s="547"/>
      <c r="K378" s="246"/>
      <c r="L378" s="462"/>
      <c r="M378" s="547"/>
      <c r="N378" s="246"/>
      <c r="O378" s="547"/>
      <c r="P378" s="246"/>
      <c r="Q378" s="547"/>
      <c r="R378" s="246"/>
      <c r="S378" s="462"/>
      <c r="T378" s="547"/>
      <c r="U378" s="246"/>
      <c r="V378" s="547"/>
      <c r="W378" s="246"/>
      <c r="X378" s="547"/>
      <c r="Y378" s="246"/>
      <c r="Z378" s="462"/>
      <c r="AA378" s="547"/>
      <c r="AB378" s="246"/>
      <c r="AC378" s="547"/>
      <c r="AD378" s="246"/>
      <c r="AE378" s="547"/>
      <c r="AF378" s="246"/>
      <c r="AG378" s="462"/>
      <c r="AH378" s="547"/>
      <c r="AI378" s="246"/>
      <c r="AJ378" s="547"/>
      <c r="AK378" s="246"/>
      <c r="AL378" s="547"/>
      <c r="AM378" s="246"/>
      <c r="AN378" s="462"/>
      <c r="AO378" s="547"/>
      <c r="AP378" s="246"/>
      <c r="AQ378" s="547"/>
      <c r="AR378" s="246"/>
      <c r="AS378" s="547"/>
      <c r="AT378" s="254" t="str">
        <f t="shared" si="361"/>
        <v/>
      </c>
      <c r="AU378" s="269"/>
      <c r="AV378" s="269"/>
      <c r="AW378" s="206" t="str">
        <f t="shared" si="329"/>
        <v>#REF!</v>
      </c>
      <c r="AX378" s="206">
        <f t="shared" ref="AX378:BB378" si="364">AX120</f>
        <v>0</v>
      </c>
      <c r="AY378" s="206">
        <f t="shared" si="364"/>
        <v>0</v>
      </c>
      <c r="AZ378" s="206">
        <f t="shared" si="364"/>
        <v>0</v>
      </c>
      <c r="BA378" s="206">
        <f t="shared" si="364"/>
        <v>0</v>
      </c>
      <c r="BB378" s="464">
        <f t="shared" si="364"/>
        <v>0</v>
      </c>
      <c r="BC378" s="465">
        <f t="shared" si="331"/>
        <v>0</v>
      </c>
      <c r="BD378" s="206"/>
      <c r="BE378" s="466"/>
    </row>
    <row r="379">
      <c r="A379" s="94"/>
      <c r="B379" s="349" t="s">
        <v>669</v>
      </c>
      <c r="C379" s="350" t="s">
        <v>649</v>
      </c>
      <c r="D379" s="323"/>
      <c r="E379" s="259"/>
      <c r="F379" s="542"/>
      <c r="G379" s="298"/>
      <c r="H379" s="542"/>
      <c r="I379" s="298"/>
      <c r="J379" s="542"/>
      <c r="K379" s="298"/>
      <c r="L379" s="462"/>
      <c r="M379" s="542"/>
      <c r="N379" s="298"/>
      <c r="O379" s="542"/>
      <c r="P379" s="298"/>
      <c r="Q379" s="542"/>
      <c r="R379" s="298"/>
      <c r="S379" s="462"/>
      <c r="T379" s="542"/>
      <c r="U379" s="298"/>
      <c r="V379" s="542"/>
      <c r="W379" s="298"/>
      <c r="X379" s="542"/>
      <c r="Y379" s="298"/>
      <c r="Z379" s="462"/>
      <c r="AA379" s="542"/>
      <c r="AB379" s="298"/>
      <c r="AC379" s="542"/>
      <c r="AD379" s="298"/>
      <c r="AE379" s="542"/>
      <c r="AF379" s="298"/>
      <c r="AG379" s="462"/>
      <c r="AH379" s="542"/>
      <c r="AI379" s="298"/>
      <c r="AJ379" s="542"/>
      <c r="AK379" s="298"/>
      <c r="AL379" s="542"/>
      <c r="AM379" s="298"/>
      <c r="AN379" s="462"/>
      <c r="AO379" s="542"/>
      <c r="AP379" s="298"/>
      <c r="AQ379" s="542"/>
      <c r="AR379" s="298"/>
      <c r="AS379" s="542"/>
      <c r="AT379" s="254" t="str">
        <f t="shared" si="361"/>
        <v/>
      </c>
      <c r="AU379" s="269"/>
      <c r="AV379" s="269"/>
      <c r="AW379" s="206" t="str">
        <f t="shared" si="329"/>
        <v>#REF!</v>
      </c>
      <c r="AX379" s="206">
        <f t="shared" ref="AX379:BB379" si="365">AX121</f>
        <v>0</v>
      </c>
      <c r="AY379" s="206">
        <f t="shared" si="365"/>
        <v>0</v>
      </c>
      <c r="AZ379" s="206">
        <f t="shared" si="365"/>
        <v>0</v>
      </c>
      <c r="BA379" s="206">
        <f t="shared" si="365"/>
        <v>0</v>
      </c>
      <c r="BB379" s="464">
        <f t="shared" si="365"/>
        <v>0</v>
      </c>
      <c r="BC379" s="465">
        <f t="shared" si="331"/>
        <v>0</v>
      </c>
      <c r="BD379" s="206"/>
      <c r="BE379" s="466"/>
    </row>
    <row r="380">
      <c r="A380" s="234"/>
      <c r="B380" s="296" t="s">
        <v>650</v>
      </c>
      <c r="C380" s="297" t="s">
        <v>649</v>
      </c>
      <c r="D380" s="330"/>
      <c r="E380" s="259"/>
      <c r="F380" s="298"/>
      <c r="G380" s="298"/>
      <c r="H380" s="298"/>
      <c r="I380" s="298"/>
      <c r="J380" s="298"/>
      <c r="K380" s="298"/>
      <c r="L380" s="462"/>
      <c r="M380" s="298"/>
      <c r="N380" s="298"/>
      <c r="O380" s="298"/>
      <c r="P380" s="298"/>
      <c r="Q380" s="298"/>
      <c r="R380" s="298"/>
      <c r="S380" s="462"/>
      <c r="T380" s="298"/>
      <c r="U380" s="298"/>
      <c r="V380" s="298"/>
      <c r="W380" s="298"/>
      <c r="X380" s="298"/>
      <c r="Y380" s="298"/>
      <c r="Z380" s="462"/>
      <c r="AA380" s="298"/>
      <c r="AB380" s="298"/>
      <c r="AC380" s="298"/>
      <c r="AD380" s="298"/>
      <c r="AE380" s="298"/>
      <c r="AF380" s="298"/>
      <c r="AG380" s="462"/>
      <c r="AH380" s="298"/>
      <c r="AI380" s="298"/>
      <c r="AJ380" s="298"/>
      <c r="AK380" s="298"/>
      <c r="AL380" s="298"/>
      <c r="AM380" s="298"/>
      <c r="AN380" s="462"/>
      <c r="AO380" s="298"/>
      <c r="AP380" s="298"/>
      <c r="AQ380" s="298"/>
      <c r="AR380" s="298"/>
      <c r="AS380" s="298"/>
      <c r="AT380" s="254" t="str">
        <f>IF(COUNTIF($AO$86:$AT$88, AS380) &gt; 0, "X", "")</f>
        <v/>
      </c>
      <c r="AU380" s="269"/>
      <c r="AV380" s="269"/>
      <c r="AW380" s="206" t="str">
        <f t="shared" si="329"/>
        <v>#REF!</v>
      </c>
      <c r="AX380" s="206">
        <f t="shared" ref="AX380:BB380" si="366">AX122</f>
        <v>0</v>
      </c>
      <c r="AY380" s="206">
        <f t="shared" si="366"/>
        <v>0</v>
      </c>
      <c r="AZ380" s="206">
        <f t="shared" si="366"/>
        <v>0</v>
      </c>
      <c r="BA380" s="206">
        <f t="shared" si="366"/>
        <v>0</v>
      </c>
      <c r="BB380" s="464">
        <f t="shared" si="366"/>
        <v>0</v>
      </c>
      <c r="BC380" s="465">
        <f t="shared" si="331"/>
        <v>0</v>
      </c>
      <c r="BD380" s="206"/>
      <c r="BE380" s="466"/>
    </row>
    <row r="381">
      <c r="A381" s="94"/>
      <c r="B381" s="301" t="s">
        <v>651</v>
      </c>
      <c r="C381" s="302" t="s">
        <v>652</v>
      </c>
      <c r="D381" s="363"/>
      <c r="E381" s="259"/>
      <c r="F381" s="542"/>
      <c r="G381" s="298"/>
      <c r="H381" s="542"/>
      <c r="I381" s="298"/>
      <c r="J381" s="542"/>
      <c r="K381" s="298"/>
      <c r="L381" s="462"/>
      <c r="M381" s="542"/>
      <c r="N381" s="298"/>
      <c r="O381" s="542"/>
      <c r="P381" s="298"/>
      <c r="Q381" s="542"/>
      <c r="R381" s="298"/>
      <c r="S381" s="462"/>
      <c r="T381" s="542"/>
      <c r="U381" s="298"/>
      <c r="V381" s="542"/>
      <c r="W381" s="298"/>
      <c r="X381" s="542"/>
      <c r="Y381" s="298"/>
      <c r="Z381" s="462"/>
      <c r="AA381" s="542"/>
      <c r="AB381" s="298"/>
      <c r="AC381" s="542"/>
      <c r="AD381" s="298"/>
      <c r="AE381" s="542"/>
      <c r="AF381" s="298"/>
      <c r="AG381" s="462"/>
      <c r="AH381" s="542"/>
      <c r="AI381" s="298"/>
      <c r="AJ381" s="542"/>
      <c r="AK381" s="298"/>
      <c r="AL381" s="542"/>
      <c r="AM381" s="298"/>
      <c r="AN381" s="462"/>
      <c r="AO381" s="542"/>
      <c r="AP381" s="298"/>
      <c r="AQ381" s="542"/>
      <c r="AR381" s="298"/>
      <c r="AS381" s="542"/>
      <c r="AT381" s="254" t="str">
        <f t="shared" ref="AT381:AT382" si="368">IF(COUNTIF($AO$86:$AT$88, #REF!) &gt; 0, "X", "")</f>
        <v/>
      </c>
      <c r="AU381" s="269"/>
      <c r="AV381" s="269"/>
      <c r="AW381" s="206" t="str">
        <f t="shared" si="329"/>
        <v>#REF!</v>
      </c>
      <c r="AX381" s="206">
        <f t="shared" ref="AX381:BB381" si="367">AX123</f>
        <v>0</v>
      </c>
      <c r="AY381" s="206">
        <f t="shared" si="367"/>
        <v>0</v>
      </c>
      <c r="AZ381" s="206">
        <f t="shared" si="367"/>
        <v>0</v>
      </c>
      <c r="BA381" s="206">
        <f t="shared" si="367"/>
        <v>0</v>
      </c>
      <c r="BB381" s="464">
        <f t="shared" si="367"/>
        <v>0</v>
      </c>
      <c r="BC381" s="465">
        <f t="shared" si="331"/>
        <v>0</v>
      </c>
      <c r="BD381" s="206"/>
      <c r="BE381" s="466"/>
    </row>
    <row r="382">
      <c r="A382" s="94"/>
      <c r="B382" s="361" t="s">
        <v>673</v>
      </c>
      <c r="C382" s="362" t="s">
        <v>674</v>
      </c>
      <c r="D382" s="369"/>
      <c r="E382" s="259"/>
      <c r="F382" s="298"/>
      <c r="G382" s="246"/>
      <c r="H382" s="298"/>
      <c r="I382" s="246"/>
      <c r="J382" s="298"/>
      <c r="K382" s="246"/>
      <c r="L382" s="462"/>
      <c r="M382" s="298"/>
      <c r="N382" s="246"/>
      <c r="O382" s="298"/>
      <c r="P382" s="246"/>
      <c r="Q382" s="298"/>
      <c r="R382" s="246"/>
      <c r="S382" s="462"/>
      <c r="T382" s="298"/>
      <c r="U382" s="246"/>
      <c r="V382" s="298"/>
      <c r="W382" s="246"/>
      <c r="X382" s="298"/>
      <c r="Y382" s="246"/>
      <c r="Z382" s="462"/>
      <c r="AA382" s="298"/>
      <c r="AB382" s="246"/>
      <c r="AC382" s="298"/>
      <c r="AD382" s="246"/>
      <c r="AE382" s="298"/>
      <c r="AF382" s="246"/>
      <c r="AG382" s="462"/>
      <c r="AH382" s="298"/>
      <c r="AI382" s="246"/>
      <c r="AJ382" s="298"/>
      <c r="AK382" s="246"/>
      <c r="AL382" s="298"/>
      <c r="AM382" s="246"/>
      <c r="AN382" s="462"/>
      <c r="AO382" s="298"/>
      <c r="AP382" s="246"/>
      <c r="AQ382" s="298"/>
      <c r="AR382" s="246"/>
      <c r="AS382" s="298"/>
      <c r="AT382" s="254" t="str">
        <f t="shared" si="368"/>
        <v/>
      </c>
      <c r="AU382" s="269"/>
      <c r="AV382" s="269"/>
      <c r="AW382" s="206" t="str">
        <f t="shared" si="329"/>
        <v>#REF!</v>
      </c>
      <c r="AX382" s="206">
        <f t="shared" ref="AX382:BB382" si="369">AX124</f>
        <v>0</v>
      </c>
      <c r="AY382" s="206">
        <f t="shared" si="369"/>
        <v>0</v>
      </c>
      <c r="AZ382" s="206">
        <f t="shared" si="369"/>
        <v>0</v>
      </c>
      <c r="BA382" s="206">
        <f t="shared" si="369"/>
        <v>0</v>
      </c>
      <c r="BB382" s="464">
        <f t="shared" si="369"/>
        <v>0</v>
      </c>
      <c r="BC382" s="465">
        <f t="shared" si="331"/>
        <v>0</v>
      </c>
      <c r="BD382" s="206"/>
      <c r="BE382" s="466"/>
    </row>
    <row r="383">
      <c r="A383" s="94"/>
      <c r="B383" s="367" t="s">
        <v>677</v>
      </c>
      <c r="C383" s="368" t="s">
        <v>674</v>
      </c>
      <c r="D383" s="330"/>
      <c r="E383" s="259"/>
      <c r="F383" s="544"/>
      <c r="G383" s="246"/>
      <c r="H383" s="544"/>
      <c r="I383" s="246"/>
      <c r="J383" s="544"/>
      <c r="K383" s="246"/>
      <c r="L383" s="462"/>
      <c r="M383" s="544"/>
      <c r="N383" s="246"/>
      <c r="O383" s="544"/>
      <c r="P383" s="246"/>
      <c r="Q383" s="544"/>
      <c r="R383" s="246"/>
      <c r="S383" s="462"/>
      <c r="T383" s="544"/>
      <c r="U383" s="246"/>
      <c r="V383" s="544"/>
      <c r="W383" s="246"/>
      <c r="X383" s="544"/>
      <c r="Y383" s="246"/>
      <c r="Z383" s="462"/>
      <c r="AA383" s="544"/>
      <c r="AB383" s="246"/>
      <c r="AC383" s="544"/>
      <c r="AD383" s="246"/>
      <c r="AE383" s="544"/>
      <c r="AF383" s="246"/>
      <c r="AG383" s="462"/>
      <c r="AH383" s="544"/>
      <c r="AI383" s="246"/>
      <c r="AJ383" s="544"/>
      <c r="AK383" s="246"/>
      <c r="AL383" s="544"/>
      <c r="AM383" s="246"/>
      <c r="AN383" s="462"/>
      <c r="AO383" s="544"/>
      <c r="AP383" s="246"/>
      <c r="AQ383" s="544"/>
      <c r="AR383" s="246"/>
      <c r="AS383" s="544"/>
      <c r="AT383" s="254" t="str">
        <f>IF(COUNTIF($AO$86:$AT$88, AS382) &gt; 0, "X", "")</f>
        <v/>
      </c>
      <c r="AU383" s="269"/>
      <c r="AV383" s="269"/>
      <c r="AW383" s="206" t="str">
        <f t="shared" si="329"/>
        <v>#REF!</v>
      </c>
      <c r="AX383" s="206">
        <f t="shared" ref="AX383:BB383" si="370">AX125</f>
        <v>0</v>
      </c>
      <c r="AY383" s="206">
        <f t="shared" si="370"/>
        <v>0</v>
      </c>
      <c r="AZ383" s="206">
        <f t="shared" si="370"/>
        <v>0</v>
      </c>
      <c r="BA383" s="206">
        <f t="shared" si="370"/>
        <v>0</v>
      </c>
      <c r="BB383" s="464">
        <f t="shared" si="370"/>
        <v>0</v>
      </c>
      <c r="BC383" s="465">
        <f t="shared" si="331"/>
        <v>0</v>
      </c>
      <c r="BD383" s="206"/>
      <c r="BE383" s="466"/>
    </row>
    <row r="384">
      <c r="A384" s="94"/>
      <c r="B384" s="256" t="s">
        <v>679</v>
      </c>
      <c r="C384" s="257" t="s">
        <v>680</v>
      </c>
      <c r="D384" s="330"/>
      <c r="E384" s="259"/>
      <c r="F384" s="546"/>
      <c r="G384" s="246"/>
      <c r="H384" s="546"/>
      <c r="I384" s="246"/>
      <c r="J384" s="546"/>
      <c r="K384" s="246"/>
      <c r="L384" s="462"/>
      <c r="M384" s="546"/>
      <c r="N384" s="246"/>
      <c r="O384" s="546"/>
      <c r="P384" s="246"/>
      <c r="Q384" s="546"/>
      <c r="R384" s="246"/>
      <c r="S384" s="462"/>
      <c r="T384" s="546"/>
      <c r="U384" s="246"/>
      <c r="V384" s="546"/>
      <c r="W384" s="246"/>
      <c r="X384" s="546"/>
      <c r="Y384" s="246"/>
      <c r="Z384" s="462"/>
      <c r="AA384" s="546"/>
      <c r="AB384" s="246"/>
      <c r="AC384" s="546"/>
      <c r="AD384" s="246"/>
      <c r="AE384" s="546"/>
      <c r="AF384" s="246"/>
      <c r="AG384" s="462"/>
      <c r="AH384" s="546"/>
      <c r="AI384" s="246"/>
      <c r="AJ384" s="546"/>
      <c r="AK384" s="246"/>
      <c r="AL384" s="546"/>
      <c r="AM384" s="246"/>
      <c r="AN384" s="462"/>
      <c r="AO384" s="546"/>
      <c r="AP384" s="246"/>
      <c r="AQ384" s="546"/>
      <c r="AR384" s="246"/>
      <c r="AS384" s="546"/>
      <c r="AT384" s="254" t="str">
        <f t="shared" ref="AT384:AT388" si="372">IF(COUNTIF($AO$86:$AT$88, #REF!) &gt; 0, "X", "")</f>
        <v/>
      </c>
      <c r="AU384" s="269"/>
      <c r="AV384" s="269"/>
      <c r="AW384" s="206" t="str">
        <f t="shared" si="329"/>
        <v>#REF!</v>
      </c>
      <c r="AX384" s="206">
        <f t="shared" ref="AX384:BB384" si="371">AX126</f>
        <v>0</v>
      </c>
      <c r="AY384" s="206">
        <f t="shared" si="371"/>
        <v>0</v>
      </c>
      <c r="AZ384" s="206">
        <f t="shared" si="371"/>
        <v>0</v>
      </c>
      <c r="BA384" s="206">
        <f t="shared" si="371"/>
        <v>0</v>
      </c>
      <c r="BB384" s="464">
        <f t="shared" si="371"/>
        <v>0</v>
      </c>
      <c r="BC384" s="465">
        <f t="shared" si="331"/>
        <v>0</v>
      </c>
      <c r="BD384" s="206"/>
      <c r="BE384" s="466"/>
    </row>
    <row r="385">
      <c r="A385" s="372"/>
      <c r="B385" s="328" t="s">
        <v>679</v>
      </c>
      <c r="C385" s="329" t="s">
        <v>652</v>
      </c>
      <c r="D385" s="330"/>
      <c r="E385" s="259"/>
      <c r="F385" s="545"/>
      <c r="G385" s="246"/>
      <c r="H385" s="545"/>
      <c r="I385" s="246"/>
      <c r="J385" s="545"/>
      <c r="K385" s="246"/>
      <c r="L385" s="462"/>
      <c r="M385" s="545"/>
      <c r="N385" s="246"/>
      <c r="O385" s="545"/>
      <c r="P385" s="246"/>
      <c r="Q385" s="545"/>
      <c r="R385" s="246"/>
      <c r="S385" s="462"/>
      <c r="T385" s="545"/>
      <c r="U385" s="246"/>
      <c r="V385" s="545"/>
      <c r="W385" s="246"/>
      <c r="X385" s="545"/>
      <c r="Y385" s="246"/>
      <c r="Z385" s="462"/>
      <c r="AA385" s="545"/>
      <c r="AB385" s="246"/>
      <c r="AC385" s="545"/>
      <c r="AD385" s="246"/>
      <c r="AE385" s="545"/>
      <c r="AF385" s="246"/>
      <c r="AG385" s="462"/>
      <c r="AH385" s="545"/>
      <c r="AI385" s="246"/>
      <c r="AJ385" s="545"/>
      <c r="AK385" s="246"/>
      <c r="AL385" s="545"/>
      <c r="AM385" s="246"/>
      <c r="AN385" s="462"/>
      <c r="AO385" s="545"/>
      <c r="AP385" s="246"/>
      <c r="AQ385" s="545"/>
      <c r="AR385" s="246"/>
      <c r="AS385" s="545"/>
      <c r="AT385" s="254" t="str">
        <f t="shared" si="372"/>
        <v/>
      </c>
      <c r="AU385" s="269"/>
      <c r="AV385" s="269"/>
      <c r="AW385" s="206" t="str">
        <f t="shared" si="329"/>
        <v>#REF!</v>
      </c>
      <c r="AX385" s="206">
        <f t="shared" ref="AX385:BB385" si="373">AX127</f>
        <v>0</v>
      </c>
      <c r="AY385" s="206">
        <f t="shared" si="373"/>
        <v>0</v>
      </c>
      <c r="AZ385" s="206">
        <f t="shared" si="373"/>
        <v>0</v>
      </c>
      <c r="BA385" s="206">
        <f t="shared" si="373"/>
        <v>0</v>
      </c>
      <c r="BB385" s="464">
        <f t="shared" si="373"/>
        <v>0</v>
      </c>
      <c r="BC385" s="465">
        <f t="shared" si="331"/>
        <v>0</v>
      </c>
      <c r="BD385" s="206"/>
      <c r="BE385" s="466"/>
    </row>
    <row r="386">
      <c r="A386" s="94"/>
      <c r="B386" s="328" t="s">
        <v>679</v>
      </c>
      <c r="C386" s="329" t="s">
        <v>683</v>
      </c>
      <c r="D386" s="379"/>
      <c r="E386" s="380"/>
      <c r="F386" s="545"/>
      <c r="G386" s="246"/>
      <c r="H386" s="545"/>
      <c r="I386" s="246"/>
      <c r="J386" s="545"/>
      <c r="K386" s="246"/>
      <c r="L386" s="677"/>
      <c r="M386" s="545"/>
      <c r="N386" s="246"/>
      <c r="O386" s="545"/>
      <c r="P386" s="246"/>
      <c r="Q386" s="545"/>
      <c r="R386" s="246"/>
      <c r="S386" s="677"/>
      <c r="T386" s="545"/>
      <c r="U386" s="246"/>
      <c r="V386" s="545"/>
      <c r="W386" s="246"/>
      <c r="X386" s="545"/>
      <c r="Y386" s="246"/>
      <c r="Z386" s="677"/>
      <c r="AA386" s="545"/>
      <c r="AB386" s="246"/>
      <c r="AC386" s="545"/>
      <c r="AD386" s="246"/>
      <c r="AE386" s="545"/>
      <c r="AF386" s="246"/>
      <c r="AG386" s="677"/>
      <c r="AH386" s="545"/>
      <c r="AI386" s="246"/>
      <c r="AJ386" s="545"/>
      <c r="AK386" s="246"/>
      <c r="AL386" s="545"/>
      <c r="AM386" s="246"/>
      <c r="AN386" s="677"/>
      <c r="AO386" s="545"/>
      <c r="AP386" s="246"/>
      <c r="AQ386" s="545"/>
      <c r="AR386" s="246"/>
      <c r="AS386" s="545"/>
      <c r="AT386" s="254" t="str">
        <f t="shared" si="372"/>
        <v/>
      </c>
      <c r="AU386" s="269"/>
      <c r="AV386" s="269"/>
      <c r="AW386" s="206" t="str">
        <f t="shared" si="329"/>
        <v>#REF!</v>
      </c>
      <c r="AX386" s="206">
        <f t="shared" ref="AX386:BB386" si="374">AX128</f>
        <v>0</v>
      </c>
      <c r="AY386" s="206">
        <f t="shared" si="374"/>
        <v>0</v>
      </c>
      <c r="AZ386" s="206">
        <f t="shared" si="374"/>
        <v>0</v>
      </c>
      <c r="BA386" s="206">
        <f t="shared" si="374"/>
        <v>0</v>
      </c>
      <c r="BB386" s="464">
        <f t="shared" si="374"/>
        <v>0</v>
      </c>
      <c r="BC386" s="465">
        <f t="shared" si="331"/>
        <v>0</v>
      </c>
      <c r="BD386" s="206"/>
      <c r="BE386" s="466"/>
    </row>
    <row r="387">
      <c r="A387" s="94"/>
      <c r="B387" s="377" t="s">
        <v>684</v>
      </c>
      <c r="C387" s="378" t="s">
        <v>685</v>
      </c>
      <c r="D387" s="363"/>
      <c r="E387" s="259"/>
      <c r="F387" s="545"/>
      <c r="G387" s="246"/>
      <c r="H387" s="545"/>
      <c r="I387" s="246"/>
      <c r="J387" s="545"/>
      <c r="K387" s="246"/>
      <c r="L387" s="462"/>
      <c r="M387" s="545"/>
      <c r="N387" s="246"/>
      <c r="O387" s="545"/>
      <c r="P387" s="246"/>
      <c r="Q387" s="545"/>
      <c r="R387" s="246"/>
      <c r="S387" s="462"/>
      <c r="T387" s="545"/>
      <c r="U387" s="246"/>
      <c r="V387" s="545"/>
      <c r="W387" s="246"/>
      <c r="X387" s="545"/>
      <c r="Y387" s="246"/>
      <c r="Z387" s="462"/>
      <c r="AA387" s="545"/>
      <c r="AB387" s="246"/>
      <c r="AC387" s="545"/>
      <c r="AD387" s="246"/>
      <c r="AE387" s="545"/>
      <c r="AF387" s="246"/>
      <c r="AG387" s="462"/>
      <c r="AH387" s="545"/>
      <c r="AI387" s="246"/>
      <c r="AJ387" s="545"/>
      <c r="AK387" s="246"/>
      <c r="AL387" s="545"/>
      <c r="AM387" s="246"/>
      <c r="AN387" s="462"/>
      <c r="AO387" s="545"/>
      <c r="AP387" s="246"/>
      <c r="AQ387" s="545"/>
      <c r="AR387" s="246"/>
      <c r="AS387" s="545"/>
      <c r="AT387" s="254" t="str">
        <f t="shared" si="372"/>
        <v/>
      </c>
      <c r="AU387" s="269"/>
      <c r="AV387" s="269"/>
      <c r="AW387" s="206" t="str">
        <f t="shared" si="329"/>
        <v>#REF!</v>
      </c>
      <c r="AX387" s="206">
        <f t="shared" ref="AX387:BB387" si="375">AX129</f>
        <v>0</v>
      </c>
      <c r="AY387" s="206">
        <f t="shared" si="375"/>
        <v>0</v>
      </c>
      <c r="AZ387" s="206">
        <f t="shared" si="375"/>
        <v>0</v>
      </c>
      <c r="BA387" s="206">
        <f t="shared" si="375"/>
        <v>0</v>
      </c>
      <c r="BB387" s="464">
        <f t="shared" si="375"/>
        <v>0</v>
      </c>
      <c r="BC387" s="465">
        <f t="shared" si="331"/>
        <v>0</v>
      </c>
      <c r="BD387" s="206"/>
      <c r="BE387" s="466"/>
    </row>
    <row r="388">
      <c r="A388" s="270"/>
      <c r="B388" s="382" t="s">
        <v>686</v>
      </c>
      <c r="C388" s="242" t="s">
        <v>652</v>
      </c>
      <c r="D388" s="330"/>
      <c r="E388" s="259"/>
      <c r="F388" s="298"/>
      <c r="G388" s="246"/>
      <c r="H388" s="298"/>
      <c r="I388" s="246"/>
      <c r="J388" s="298"/>
      <c r="K388" s="246"/>
      <c r="L388" s="462"/>
      <c r="M388" s="298"/>
      <c r="N388" s="246"/>
      <c r="O388" s="298"/>
      <c r="P388" s="246"/>
      <c r="Q388" s="298"/>
      <c r="R388" s="246"/>
      <c r="S388" s="462"/>
      <c r="T388" s="298"/>
      <c r="U388" s="246"/>
      <c r="V388" s="298"/>
      <c r="W388" s="246"/>
      <c r="X388" s="298"/>
      <c r="Y388" s="246"/>
      <c r="Z388" s="462"/>
      <c r="AA388" s="298"/>
      <c r="AB388" s="246"/>
      <c r="AC388" s="298"/>
      <c r="AD388" s="246"/>
      <c r="AE388" s="298"/>
      <c r="AF388" s="246"/>
      <c r="AG388" s="462"/>
      <c r="AH388" s="298"/>
      <c r="AI388" s="246"/>
      <c r="AJ388" s="298"/>
      <c r="AK388" s="246"/>
      <c r="AL388" s="298"/>
      <c r="AM388" s="246"/>
      <c r="AN388" s="462"/>
      <c r="AO388" s="298"/>
      <c r="AP388" s="246"/>
      <c r="AQ388" s="298"/>
      <c r="AR388" s="246"/>
      <c r="AS388" s="298"/>
      <c r="AT388" s="254" t="str">
        <f t="shared" si="372"/>
        <v/>
      </c>
      <c r="AU388" s="269"/>
      <c r="AV388" s="269"/>
      <c r="AW388" s="206" t="str">
        <f t="shared" si="329"/>
        <v>#REF!</v>
      </c>
      <c r="AX388" s="206">
        <f t="shared" ref="AX388:BB388" si="376">AX130</f>
        <v>0</v>
      </c>
      <c r="AY388" s="206">
        <f t="shared" si="376"/>
        <v>0</v>
      </c>
      <c r="AZ388" s="206">
        <f t="shared" si="376"/>
        <v>0</v>
      </c>
      <c r="BA388" s="206">
        <f t="shared" si="376"/>
        <v>0</v>
      </c>
      <c r="BB388" s="464">
        <f t="shared" si="376"/>
        <v>0</v>
      </c>
      <c r="BC388" s="465">
        <f t="shared" si="331"/>
        <v>0</v>
      </c>
      <c r="BD388" s="206"/>
      <c r="BE388" s="466"/>
    </row>
    <row r="389">
      <c r="A389" s="234"/>
      <c r="B389" s="337" t="s">
        <v>686</v>
      </c>
      <c r="C389" s="338" t="s">
        <v>687</v>
      </c>
      <c r="D389" s="330"/>
      <c r="E389" s="259"/>
      <c r="F389" s="540"/>
      <c r="G389" s="246"/>
      <c r="H389" s="540"/>
      <c r="I389" s="246"/>
      <c r="J389" s="540"/>
      <c r="K389" s="246"/>
      <c r="L389" s="462"/>
      <c r="M389" s="540"/>
      <c r="N389" s="246"/>
      <c r="O389" s="540"/>
      <c r="P389" s="246"/>
      <c r="Q389" s="540"/>
      <c r="R389" s="246"/>
      <c r="S389" s="462"/>
      <c r="T389" s="540"/>
      <c r="U389" s="246"/>
      <c r="V389" s="540"/>
      <c r="W389" s="246"/>
      <c r="X389" s="540"/>
      <c r="Y389" s="246"/>
      <c r="Z389" s="462"/>
      <c r="AA389" s="540"/>
      <c r="AB389" s="246"/>
      <c r="AC389" s="540"/>
      <c r="AD389" s="246"/>
      <c r="AE389" s="540"/>
      <c r="AF389" s="246"/>
      <c r="AG389" s="462"/>
      <c r="AH389" s="540"/>
      <c r="AI389" s="246"/>
      <c r="AJ389" s="540"/>
      <c r="AK389" s="246"/>
      <c r="AL389" s="540"/>
      <c r="AM389" s="246"/>
      <c r="AN389" s="462"/>
      <c r="AO389" s="540"/>
      <c r="AP389" s="246"/>
      <c r="AQ389" s="540"/>
      <c r="AR389" s="246"/>
      <c r="AS389" s="540"/>
      <c r="AT389" s="254" t="str">
        <f>IF(COUNTIF($AO$86:$AT$88, AS387) &gt; 0, "X", "")</f>
        <v/>
      </c>
      <c r="AU389" s="269"/>
      <c r="AV389" s="269"/>
      <c r="AW389" s="206" t="str">
        <f t="shared" si="329"/>
        <v>#REF!</v>
      </c>
      <c r="AX389" s="206">
        <f t="shared" ref="AX389:BB389" si="377">AX131</f>
        <v>0</v>
      </c>
      <c r="AY389" s="206">
        <f t="shared" si="377"/>
        <v>0</v>
      </c>
      <c r="AZ389" s="206">
        <f t="shared" si="377"/>
        <v>0</v>
      </c>
      <c r="BA389" s="206">
        <f t="shared" si="377"/>
        <v>0</v>
      </c>
      <c r="BB389" s="464">
        <f t="shared" si="377"/>
        <v>0</v>
      </c>
      <c r="BC389" s="465">
        <f t="shared" si="331"/>
        <v>0</v>
      </c>
      <c r="BD389" s="206"/>
      <c r="BE389" s="466"/>
    </row>
    <row r="390">
      <c r="A390" s="94"/>
      <c r="B390" s="337" t="s">
        <v>688</v>
      </c>
      <c r="C390" s="285" t="s">
        <v>687</v>
      </c>
      <c r="D390" s="389"/>
      <c r="E390" s="259"/>
      <c r="F390" s="298"/>
      <c r="G390" s="246"/>
      <c r="H390" s="298"/>
      <c r="I390" s="246"/>
      <c r="J390" s="298"/>
      <c r="K390" s="246"/>
      <c r="L390" s="462"/>
      <c r="M390" s="298"/>
      <c r="N390" s="246"/>
      <c r="O390" s="298"/>
      <c r="P390" s="246"/>
      <c r="Q390" s="298"/>
      <c r="R390" s="246"/>
      <c r="S390" s="462"/>
      <c r="T390" s="298"/>
      <c r="U390" s="246"/>
      <c r="V390" s="298"/>
      <c r="W390" s="246"/>
      <c r="X390" s="298"/>
      <c r="Y390" s="246"/>
      <c r="Z390" s="462"/>
      <c r="AA390" s="298"/>
      <c r="AB390" s="246"/>
      <c r="AC390" s="298"/>
      <c r="AD390" s="246"/>
      <c r="AE390" s="298"/>
      <c r="AF390" s="246"/>
      <c r="AG390" s="462"/>
      <c r="AH390" s="298"/>
      <c r="AI390" s="246"/>
      <c r="AJ390" s="298"/>
      <c r="AK390" s="246"/>
      <c r="AL390" s="298"/>
      <c r="AM390" s="246"/>
      <c r="AN390" s="462"/>
      <c r="AO390" s="298"/>
      <c r="AP390" s="246"/>
      <c r="AQ390" s="298"/>
      <c r="AR390" s="246"/>
      <c r="AS390" s="298"/>
      <c r="AT390" s="254" t="str">
        <f>IF(COUNTIF($AO$86:$AT$88, #REF!) &gt; 0, "X", "")</f>
        <v/>
      </c>
      <c r="AU390" s="269"/>
      <c r="AV390" s="269"/>
      <c r="AW390" s="206" t="str">
        <f t="shared" si="329"/>
        <v>#REF!</v>
      </c>
      <c r="AX390" s="206">
        <f t="shared" ref="AX390:BB390" si="378">AX132</f>
        <v>0</v>
      </c>
      <c r="AY390" s="206">
        <f t="shared" si="378"/>
        <v>0</v>
      </c>
      <c r="AZ390" s="206">
        <f t="shared" si="378"/>
        <v>0</v>
      </c>
      <c r="BA390" s="206">
        <f t="shared" si="378"/>
        <v>0</v>
      </c>
      <c r="BB390" s="464">
        <f t="shared" si="378"/>
        <v>0</v>
      </c>
      <c r="BC390" s="465">
        <f t="shared" si="331"/>
        <v>0</v>
      </c>
      <c r="BD390" s="206"/>
      <c r="BE390" s="466"/>
    </row>
    <row r="391">
      <c r="A391" s="94"/>
      <c r="B391" s="387" t="s">
        <v>690</v>
      </c>
      <c r="C391" s="388" t="s">
        <v>649</v>
      </c>
      <c r="D391" s="323"/>
      <c r="E391" s="259"/>
      <c r="F391" s="298"/>
      <c r="G391" s="246"/>
      <c r="H391" s="298"/>
      <c r="I391" s="246"/>
      <c r="J391" s="298"/>
      <c r="K391" s="246"/>
      <c r="L391" s="462"/>
      <c r="M391" s="298"/>
      <c r="N391" s="246"/>
      <c r="O391" s="298"/>
      <c r="P391" s="246"/>
      <c r="Q391" s="298"/>
      <c r="R391" s="246"/>
      <c r="S391" s="462"/>
      <c r="T391" s="298"/>
      <c r="U391" s="246"/>
      <c r="V391" s="298"/>
      <c r="W391" s="246"/>
      <c r="X391" s="298"/>
      <c r="Y391" s="246"/>
      <c r="Z391" s="462"/>
      <c r="AA391" s="298"/>
      <c r="AB391" s="246"/>
      <c r="AC391" s="298"/>
      <c r="AD391" s="246"/>
      <c r="AE391" s="298"/>
      <c r="AF391" s="246"/>
      <c r="AG391" s="462"/>
      <c r="AH391" s="298"/>
      <c r="AI391" s="246"/>
      <c r="AJ391" s="298"/>
      <c r="AK391" s="246"/>
      <c r="AL391" s="298"/>
      <c r="AM391" s="246"/>
      <c r="AN391" s="462"/>
      <c r="AO391" s="298"/>
      <c r="AP391" s="246"/>
      <c r="AQ391" s="298"/>
      <c r="AR391" s="246"/>
      <c r="AS391" s="298"/>
      <c r="AT391" s="254" t="str">
        <f t="shared" ref="AT391:AT398" si="380">IF(COUNTIF($AO$86:$AT$88, AS391) &gt; 0, "X", "")</f>
        <v/>
      </c>
      <c r="AU391" s="269"/>
      <c r="AV391" s="269"/>
      <c r="AW391" s="206" t="str">
        <f t="shared" si="329"/>
        <v>#REF!</v>
      </c>
      <c r="AX391" s="206">
        <f t="shared" ref="AX391:BB391" si="379">AX133</f>
        <v>0</v>
      </c>
      <c r="AY391" s="206">
        <f t="shared" si="379"/>
        <v>0</v>
      </c>
      <c r="AZ391" s="206">
        <f t="shared" si="379"/>
        <v>0</v>
      </c>
      <c r="BA391" s="206">
        <f t="shared" si="379"/>
        <v>0</v>
      </c>
      <c r="BB391" s="464">
        <f t="shared" si="379"/>
        <v>0</v>
      </c>
      <c r="BC391" s="465">
        <f t="shared" si="331"/>
        <v>0</v>
      </c>
      <c r="BD391" s="206"/>
      <c r="BE391" s="466"/>
    </row>
    <row r="392">
      <c r="A392" s="94"/>
      <c r="B392" s="296" t="s">
        <v>650</v>
      </c>
      <c r="C392" s="297" t="s">
        <v>649</v>
      </c>
      <c r="D392" s="323"/>
      <c r="E392" s="261"/>
      <c r="F392" s="298"/>
      <c r="G392" s="246"/>
      <c r="H392" s="298"/>
      <c r="I392" s="246"/>
      <c r="J392" s="298"/>
      <c r="K392" s="246"/>
      <c r="L392" s="462"/>
      <c r="M392" s="298"/>
      <c r="N392" s="246"/>
      <c r="O392" s="298"/>
      <c r="P392" s="246"/>
      <c r="Q392" s="298"/>
      <c r="R392" s="246"/>
      <c r="S392" s="462"/>
      <c r="T392" s="298"/>
      <c r="U392" s="246"/>
      <c r="V392" s="298"/>
      <c r="W392" s="246"/>
      <c r="X392" s="298"/>
      <c r="Y392" s="246"/>
      <c r="Z392" s="462"/>
      <c r="AA392" s="298"/>
      <c r="AB392" s="246"/>
      <c r="AC392" s="298"/>
      <c r="AD392" s="246"/>
      <c r="AE392" s="298"/>
      <c r="AF392" s="246"/>
      <c r="AG392" s="462"/>
      <c r="AH392" s="298"/>
      <c r="AI392" s="246"/>
      <c r="AJ392" s="298"/>
      <c r="AK392" s="246"/>
      <c r="AL392" s="298"/>
      <c r="AM392" s="246"/>
      <c r="AN392" s="462"/>
      <c r="AO392" s="298"/>
      <c r="AP392" s="246"/>
      <c r="AQ392" s="298"/>
      <c r="AR392" s="246"/>
      <c r="AS392" s="298"/>
      <c r="AT392" s="254" t="str">
        <f t="shared" si="380"/>
        <v/>
      </c>
      <c r="AU392" s="269"/>
      <c r="AV392" s="269"/>
      <c r="AW392" s="206" t="str">
        <f t="shared" si="329"/>
        <v>#REF!</v>
      </c>
      <c r="AX392" s="206">
        <f t="shared" ref="AX392:BB392" si="381">AX134</f>
        <v>0</v>
      </c>
      <c r="AY392" s="206">
        <f t="shared" si="381"/>
        <v>0</v>
      </c>
      <c r="AZ392" s="206">
        <f t="shared" si="381"/>
        <v>0</v>
      </c>
      <c r="BA392" s="206">
        <f t="shared" si="381"/>
        <v>0</v>
      </c>
      <c r="BB392" s="464">
        <f t="shared" si="381"/>
        <v>0</v>
      </c>
      <c r="BC392" s="465">
        <f t="shared" si="331"/>
        <v>0</v>
      </c>
      <c r="BD392" s="206"/>
      <c r="BE392" s="466"/>
    </row>
    <row r="393">
      <c r="A393" s="94"/>
      <c r="B393" s="301" t="s">
        <v>651</v>
      </c>
      <c r="C393" s="391" t="s">
        <v>652</v>
      </c>
      <c r="D393" s="323"/>
      <c r="E393" s="259"/>
      <c r="F393" s="298"/>
      <c r="G393" s="246"/>
      <c r="H393" s="298"/>
      <c r="I393" s="246"/>
      <c r="J393" s="298"/>
      <c r="K393" s="246"/>
      <c r="L393" s="462"/>
      <c r="M393" s="298"/>
      <c r="N393" s="246"/>
      <c r="O393" s="298"/>
      <c r="P393" s="246"/>
      <c r="Q393" s="298"/>
      <c r="R393" s="246"/>
      <c r="S393" s="462"/>
      <c r="T393" s="298"/>
      <c r="U393" s="246"/>
      <c r="V393" s="298"/>
      <c r="W393" s="246"/>
      <c r="X393" s="298"/>
      <c r="Y393" s="246"/>
      <c r="Z393" s="462"/>
      <c r="AA393" s="298"/>
      <c r="AB393" s="246"/>
      <c r="AC393" s="298"/>
      <c r="AD393" s="246"/>
      <c r="AE393" s="298"/>
      <c r="AF393" s="246"/>
      <c r="AG393" s="462"/>
      <c r="AH393" s="298"/>
      <c r="AI393" s="246"/>
      <c r="AJ393" s="298"/>
      <c r="AK393" s="246"/>
      <c r="AL393" s="298"/>
      <c r="AM393" s="246"/>
      <c r="AN393" s="462"/>
      <c r="AO393" s="298"/>
      <c r="AP393" s="246"/>
      <c r="AQ393" s="298"/>
      <c r="AR393" s="246"/>
      <c r="AS393" s="298"/>
      <c r="AT393" s="254" t="str">
        <f t="shared" si="380"/>
        <v/>
      </c>
      <c r="AU393" s="269"/>
      <c r="AV393" s="269"/>
      <c r="AW393" s="206" t="str">
        <f t="shared" si="329"/>
        <v>#REF!</v>
      </c>
      <c r="AX393" s="206">
        <f t="shared" ref="AX393:BB393" si="382">AX135</f>
        <v>0</v>
      </c>
      <c r="AY393" s="206">
        <f t="shared" si="382"/>
        <v>0</v>
      </c>
      <c r="AZ393" s="206">
        <f t="shared" si="382"/>
        <v>0</v>
      </c>
      <c r="BA393" s="206">
        <f t="shared" si="382"/>
        <v>0</v>
      </c>
      <c r="BB393" s="464">
        <f t="shared" si="382"/>
        <v>0</v>
      </c>
      <c r="BC393" s="465">
        <f t="shared" si="331"/>
        <v>0</v>
      </c>
      <c r="BD393" s="206"/>
      <c r="BE393" s="466"/>
    </row>
    <row r="394">
      <c r="A394" s="94"/>
      <c r="B394" s="392" t="s">
        <v>691</v>
      </c>
      <c r="C394" s="393" t="s">
        <v>652</v>
      </c>
      <c r="D394" s="330"/>
      <c r="E394" s="259"/>
      <c r="F394" s="298"/>
      <c r="G394" s="246"/>
      <c r="H394" s="298"/>
      <c r="I394" s="246"/>
      <c r="J394" s="298"/>
      <c r="K394" s="246"/>
      <c r="L394" s="462"/>
      <c r="M394" s="298"/>
      <c r="N394" s="246"/>
      <c r="O394" s="298"/>
      <c r="P394" s="246"/>
      <c r="Q394" s="298"/>
      <c r="R394" s="246"/>
      <c r="S394" s="462"/>
      <c r="T394" s="298"/>
      <c r="U394" s="246"/>
      <c r="V394" s="298"/>
      <c r="W394" s="246"/>
      <c r="X394" s="298"/>
      <c r="Y394" s="246"/>
      <c r="Z394" s="462"/>
      <c r="AA394" s="298"/>
      <c r="AB394" s="246"/>
      <c r="AC394" s="298"/>
      <c r="AD394" s="246"/>
      <c r="AE394" s="298"/>
      <c r="AF394" s="246"/>
      <c r="AG394" s="462"/>
      <c r="AH394" s="298"/>
      <c r="AI394" s="246"/>
      <c r="AJ394" s="298"/>
      <c r="AK394" s="246"/>
      <c r="AL394" s="298"/>
      <c r="AM394" s="246"/>
      <c r="AN394" s="462"/>
      <c r="AO394" s="298"/>
      <c r="AP394" s="246"/>
      <c r="AQ394" s="298"/>
      <c r="AR394" s="246"/>
      <c r="AS394" s="298"/>
      <c r="AT394" s="254" t="str">
        <f t="shared" si="380"/>
        <v/>
      </c>
      <c r="AU394" s="269"/>
      <c r="AV394" s="269"/>
      <c r="AW394" s="206" t="str">
        <f t="shared" si="329"/>
        <v>#REF!</v>
      </c>
      <c r="AX394" s="206">
        <f t="shared" ref="AX394:BB394" si="383">AX136</f>
        <v>0</v>
      </c>
      <c r="AY394" s="206">
        <f t="shared" si="383"/>
        <v>0</v>
      </c>
      <c r="AZ394" s="206">
        <f t="shared" si="383"/>
        <v>0</v>
      </c>
      <c r="BA394" s="206">
        <f t="shared" si="383"/>
        <v>0</v>
      </c>
      <c r="BB394" s="464">
        <f t="shared" si="383"/>
        <v>0</v>
      </c>
      <c r="BC394" s="465">
        <f t="shared" si="331"/>
        <v>0</v>
      </c>
      <c r="BD394" s="206"/>
      <c r="BE394" s="466"/>
    </row>
    <row r="395">
      <c r="A395" s="94"/>
      <c r="B395" s="328" t="s">
        <v>692</v>
      </c>
      <c r="C395" s="329" t="s">
        <v>652</v>
      </c>
      <c r="D395" s="369"/>
      <c r="E395" s="259"/>
      <c r="F395" s="298"/>
      <c r="G395" s="246"/>
      <c r="H395" s="298"/>
      <c r="I395" s="246"/>
      <c r="J395" s="298"/>
      <c r="K395" s="246"/>
      <c r="L395" s="462"/>
      <c r="M395" s="298"/>
      <c r="N395" s="246"/>
      <c r="O395" s="298"/>
      <c r="P395" s="246"/>
      <c r="Q395" s="298"/>
      <c r="R395" s="246"/>
      <c r="S395" s="462"/>
      <c r="T395" s="298"/>
      <c r="U395" s="246"/>
      <c r="V395" s="298"/>
      <c r="W395" s="246"/>
      <c r="X395" s="298"/>
      <c r="Y395" s="246"/>
      <c r="Z395" s="462"/>
      <c r="AA395" s="298"/>
      <c r="AB395" s="246"/>
      <c r="AC395" s="298"/>
      <c r="AD395" s="246"/>
      <c r="AE395" s="298"/>
      <c r="AF395" s="246"/>
      <c r="AG395" s="462"/>
      <c r="AH395" s="298"/>
      <c r="AI395" s="246"/>
      <c r="AJ395" s="298"/>
      <c r="AK395" s="246"/>
      <c r="AL395" s="298"/>
      <c r="AM395" s="246"/>
      <c r="AN395" s="462"/>
      <c r="AO395" s="298"/>
      <c r="AP395" s="246"/>
      <c r="AQ395" s="298"/>
      <c r="AR395" s="246"/>
      <c r="AS395" s="298"/>
      <c r="AT395" s="254" t="str">
        <f t="shared" si="380"/>
        <v/>
      </c>
      <c r="AU395" s="269"/>
      <c r="AV395" s="269"/>
      <c r="AW395" s="206" t="str">
        <f t="shared" si="329"/>
        <v>#REF!</v>
      </c>
      <c r="AX395" s="206">
        <f t="shared" ref="AX395:BB395" si="384">AX137</f>
        <v>0</v>
      </c>
      <c r="AY395" s="206">
        <f t="shared" si="384"/>
        <v>0</v>
      </c>
      <c r="AZ395" s="206">
        <f t="shared" si="384"/>
        <v>0</v>
      </c>
      <c r="BA395" s="206">
        <f t="shared" si="384"/>
        <v>0</v>
      </c>
      <c r="BB395" s="464">
        <f t="shared" si="384"/>
        <v>0</v>
      </c>
      <c r="BC395" s="465">
        <f t="shared" si="331"/>
        <v>0</v>
      </c>
      <c r="BD395" s="206"/>
      <c r="BE395" s="466"/>
    </row>
    <row r="396">
      <c r="A396" s="94"/>
      <c r="B396" s="397" t="s">
        <v>692</v>
      </c>
      <c r="C396" s="398" t="s">
        <v>687</v>
      </c>
      <c r="D396" s="389"/>
      <c r="E396" s="259"/>
      <c r="F396" s="298"/>
      <c r="G396" s="246"/>
      <c r="H396" s="298"/>
      <c r="I396" s="246"/>
      <c r="J396" s="298"/>
      <c r="K396" s="246"/>
      <c r="L396" s="462"/>
      <c r="M396" s="298"/>
      <c r="N396" s="246"/>
      <c r="O396" s="298"/>
      <c r="P396" s="246"/>
      <c r="Q396" s="298"/>
      <c r="R396" s="246"/>
      <c r="S396" s="462"/>
      <c r="T396" s="298"/>
      <c r="U396" s="246"/>
      <c r="V396" s="298"/>
      <c r="W396" s="246"/>
      <c r="X396" s="298"/>
      <c r="Y396" s="246"/>
      <c r="Z396" s="462"/>
      <c r="AA396" s="298"/>
      <c r="AB396" s="246"/>
      <c r="AC396" s="298"/>
      <c r="AD396" s="246"/>
      <c r="AE396" s="298"/>
      <c r="AF396" s="246"/>
      <c r="AG396" s="462"/>
      <c r="AH396" s="298"/>
      <c r="AI396" s="246"/>
      <c r="AJ396" s="298"/>
      <c r="AK396" s="246"/>
      <c r="AL396" s="298"/>
      <c r="AM396" s="246"/>
      <c r="AN396" s="462"/>
      <c r="AO396" s="298"/>
      <c r="AP396" s="246"/>
      <c r="AQ396" s="298"/>
      <c r="AR396" s="246"/>
      <c r="AS396" s="298"/>
      <c r="AT396" s="254" t="str">
        <f t="shared" si="380"/>
        <v/>
      </c>
      <c r="AU396" s="269"/>
      <c r="AV396" s="269"/>
      <c r="AW396" s="206" t="str">
        <f t="shared" si="329"/>
        <v>#REF!</v>
      </c>
      <c r="AX396" s="206">
        <f t="shared" ref="AX396:BB396" si="385">AX138</f>
        <v>0</v>
      </c>
      <c r="AY396" s="206">
        <f t="shared" si="385"/>
        <v>0</v>
      </c>
      <c r="AZ396" s="206">
        <f t="shared" si="385"/>
        <v>0</v>
      </c>
      <c r="BA396" s="206">
        <f t="shared" si="385"/>
        <v>0</v>
      </c>
      <c r="BB396" s="464">
        <f t="shared" si="385"/>
        <v>0</v>
      </c>
      <c r="BC396" s="465">
        <f t="shared" si="331"/>
        <v>0</v>
      </c>
      <c r="BD396" s="206"/>
      <c r="BE396" s="466"/>
    </row>
    <row r="397">
      <c r="A397" s="94"/>
      <c r="B397" s="387" t="s">
        <v>694</v>
      </c>
      <c r="C397" s="388" t="s">
        <v>649</v>
      </c>
      <c r="D397" s="323"/>
      <c r="E397" s="259"/>
      <c r="F397" s="298"/>
      <c r="G397" s="298"/>
      <c r="H397" s="298"/>
      <c r="I397" s="298"/>
      <c r="J397" s="298"/>
      <c r="K397" s="298"/>
      <c r="L397" s="462"/>
      <c r="M397" s="298"/>
      <c r="N397" s="298"/>
      <c r="O397" s="298"/>
      <c r="P397" s="298"/>
      <c r="Q397" s="298"/>
      <c r="R397" s="298"/>
      <c r="S397" s="462"/>
      <c r="T397" s="298"/>
      <c r="U397" s="298"/>
      <c r="V397" s="298"/>
      <c r="W397" s="298"/>
      <c r="X397" s="298"/>
      <c r="Y397" s="298"/>
      <c r="Z397" s="462"/>
      <c r="AA397" s="298"/>
      <c r="AB397" s="298"/>
      <c r="AC397" s="298"/>
      <c r="AD397" s="298"/>
      <c r="AE397" s="298"/>
      <c r="AF397" s="298"/>
      <c r="AG397" s="462"/>
      <c r="AH397" s="298"/>
      <c r="AI397" s="298"/>
      <c r="AJ397" s="298"/>
      <c r="AK397" s="298"/>
      <c r="AL397" s="298"/>
      <c r="AM397" s="298"/>
      <c r="AN397" s="462"/>
      <c r="AO397" s="298"/>
      <c r="AP397" s="298"/>
      <c r="AQ397" s="298"/>
      <c r="AR397" s="298"/>
      <c r="AS397" s="298"/>
      <c r="AT397" s="254" t="str">
        <f t="shared" si="380"/>
        <v/>
      </c>
      <c r="AU397" s="269"/>
      <c r="AV397" s="269"/>
      <c r="AW397" s="206" t="str">
        <f t="shared" si="329"/>
        <v>#REF!</v>
      </c>
      <c r="AX397" s="206">
        <f t="shared" ref="AX397:BB397" si="386">AX139</f>
        <v>0</v>
      </c>
      <c r="AY397" s="206">
        <f t="shared" si="386"/>
        <v>0</v>
      </c>
      <c r="AZ397" s="206">
        <f t="shared" si="386"/>
        <v>0</v>
      </c>
      <c r="BA397" s="206">
        <f t="shared" si="386"/>
        <v>0</v>
      </c>
      <c r="BB397" s="464">
        <f t="shared" si="386"/>
        <v>0</v>
      </c>
      <c r="BC397" s="465">
        <f t="shared" si="331"/>
        <v>0</v>
      </c>
      <c r="BD397" s="206"/>
      <c r="BE397" s="466"/>
    </row>
    <row r="398">
      <c r="A398" s="94"/>
      <c r="B398" s="296" t="s">
        <v>650</v>
      </c>
      <c r="C398" s="297" t="s">
        <v>649</v>
      </c>
      <c r="D398" s="323"/>
      <c r="E398" s="261"/>
      <c r="F398" s="298"/>
      <c r="G398" s="298"/>
      <c r="H398" s="298"/>
      <c r="I398" s="298"/>
      <c r="J398" s="298"/>
      <c r="K398" s="298"/>
      <c r="L398" s="462"/>
      <c r="M398" s="298"/>
      <c r="N398" s="298"/>
      <c r="O398" s="298"/>
      <c r="P398" s="298"/>
      <c r="Q398" s="298"/>
      <c r="R398" s="298"/>
      <c r="S398" s="462"/>
      <c r="T398" s="298"/>
      <c r="U398" s="298"/>
      <c r="V398" s="298"/>
      <c r="W398" s="298"/>
      <c r="X398" s="298"/>
      <c r="Y398" s="298"/>
      <c r="Z398" s="462"/>
      <c r="AA398" s="298"/>
      <c r="AB398" s="298"/>
      <c r="AC398" s="298"/>
      <c r="AD398" s="298"/>
      <c r="AE398" s="298"/>
      <c r="AF398" s="298"/>
      <c r="AG398" s="462"/>
      <c r="AH398" s="298"/>
      <c r="AI398" s="298"/>
      <c r="AJ398" s="298"/>
      <c r="AK398" s="298"/>
      <c r="AL398" s="298"/>
      <c r="AM398" s="298"/>
      <c r="AN398" s="462"/>
      <c r="AO398" s="298"/>
      <c r="AP398" s="298"/>
      <c r="AQ398" s="298"/>
      <c r="AR398" s="298"/>
      <c r="AS398" s="298"/>
      <c r="AT398" s="254" t="str">
        <f t="shared" si="380"/>
        <v/>
      </c>
      <c r="AU398" s="269"/>
      <c r="AV398" s="269"/>
      <c r="AW398" s="206" t="str">
        <f t="shared" si="329"/>
        <v>#REF!</v>
      </c>
      <c r="AX398" s="206">
        <f t="shared" ref="AX398:BB398" si="387">AX140</f>
        <v>0</v>
      </c>
      <c r="AY398" s="206">
        <f t="shared" si="387"/>
        <v>0</v>
      </c>
      <c r="AZ398" s="206">
        <f t="shared" si="387"/>
        <v>0</v>
      </c>
      <c r="BA398" s="206">
        <f t="shared" si="387"/>
        <v>0</v>
      </c>
      <c r="BB398" s="464">
        <f t="shared" si="387"/>
        <v>0</v>
      </c>
      <c r="BC398" s="465">
        <f t="shared" si="331"/>
        <v>0</v>
      </c>
      <c r="BD398" s="206"/>
      <c r="BE398" s="466"/>
    </row>
    <row r="399">
      <c r="A399" s="94"/>
      <c r="B399" s="301" t="s">
        <v>651</v>
      </c>
      <c r="C399" s="391" t="s">
        <v>652</v>
      </c>
      <c r="D399" s="323"/>
      <c r="E399" s="259"/>
      <c r="F399" s="298"/>
      <c r="G399" s="298"/>
      <c r="H399" s="298"/>
      <c r="I399" s="298"/>
      <c r="J399" s="298"/>
      <c r="K399" s="298"/>
      <c r="L399" s="462"/>
      <c r="M399" s="298"/>
      <c r="N399" s="298"/>
      <c r="O399" s="298"/>
      <c r="P399" s="298"/>
      <c r="Q399" s="298"/>
      <c r="R399" s="298"/>
      <c r="S399" s="462"/>
      <c r="T399" s="298"/>
      <c r="U399" s="298"/>
      <c r="V399" s="298"/>
      <c r="W399" s="298"/>
      <c r="X399" s="298"/>
      <c r="Y399" s="298"/>
      <c r="Z399" s="462"/>
      <c r="AA399" s="298"/>
      <c r="AB399" s="298"/>
      <c r="AC399" s="298"/>
      <c r="AD399" s="298"/>
      <c r="AE399" s="298"/>
      <c r="AF399" s="298"/>
      <c r="AG399" s="462"/>
      <c r="AH399" s="298"/>
      <c r="AI399" s="298"/>
      <c r="AJ399" s="298"/>
      <c r="AK399" s="298"/>
      <c r="AL399" s="298"/>
      <c r="AM399" s="298"/>
      <c r="AN399" s="462"/>
      <c r="AO399" s="298"/>
      <c r="AP399" s="298"/>
      <c r="AQ399" s="298"/>
      <c r="AR399" s="298"/>
      <c r="AS399" s="298"/>
      <c r="AT399" s="254" t="str">
        <f t="shared" ref="AT399:AT400" si="389">IF(COUNTIF($AO$86:$AT$88, #REF!) &gt; 0, "X", "")</f>
        <v/>
      </c>
      <c r="AU399" s="269"/>
      <c r="AV399" s="269"/>
      <c r="AW399" s="206" t="str">
        <f t="shared" si="329"/>
        <v>#REF!</v>
      </c>
      <c r="AX399" s="206">
        <f t="shared" ref="AX399:BB399" si="388">AX141</f>
        <v>0</v>
      </c>
      <c r="AY399" s="206">
        <f t="shared" si="388"/>
        <v>0</v>
      </c>
      <c r="AZ399" s="206">
        <f t="shared" si="388"/>
        <v>0</v>
      </c>
      <c r="BA399" s="206">
        <f t="shared" si="388"/>
        <v>0</v>
      </c>
      <c r="BB399" s="464">
        <f t="shared" si="388"/>
        <v>0</v>
      </c>
      <c r="BC399" s="465">
        <f t="shared" si="331"/>
        <v>0</v>
      </c>
      <c r="BD399" s="206"/>
      <c r="BE399" s="466"/>
    </row>
    <row r="400">
      <c r="A400" s="94"/>
      <c r="B400" s="392" t="s">
        <v>691</v>
      </c>
      <c r="C400" s="393" t="s">
        <v>652</v>
      </c>
      <c r="D400" s="330"/>
      <c r="E400" s="259"/>
      <c r="F400" s="298"/>
      <c r="G400" s="246"/>
      <c r="H400" s="298"/>
      <c r="I400" s="246"/>
      <c r="J400" s="298"/>
      <c r="K400" s="246"/>
      <c r="L400" s="462"/>
      <c r="M400" s="298"/>
      <c r="N400" s="246"/>
      <c r="O400" s="298"/>
      <c r="P400" s="246"/>
      <c r="Q400" s="298"/>
      <c r="R400" s="246"/>
      <c r="S400" s="462"/>
      <c r="T400" s="298"/>
      <c r="U400" s="246"/>
      <c r="V400" s="298"/>
      <c r="W400" s="246"/>
      <c r="X400" s="298"/>
      <c r="Y400" s="246"/>
      <c r="Z400" s="462"/>
      <c r="AA400" s="298"/>
      <c r="AB400" s="246"/>
      <c r="AC400" s="298"/>
      <c r="AD400" s="246"/>
      <c r="AE400" s="298"/>
      <c r="AF400" s="246"/>
      <c r="AG400" s="462"/>
      <c r="AH400" s="298"/>
      <c r="AI400" s="246"/>
      <c r="AJ400" s="298"/>
      <c r="AK400" s="246"/>
      <c r="AL400" s="298"/>
      <c r="AM400" s="246"/>
      <c r="AN400" s="462"/>
      <c r="AO400" s="298"/>
      <c r="AP400" s="246"/>
      <c r="AQ400" s="298"/>
      <c r="AR400" s="246"/>
      <c r="AS400" s="298"/>
      <c r="AT400" s="254" t="str">
        <f t="shared" si="389"/>
        <v/>
      </c>
      <c r="AU400" s="269"/>
      <c r="AV400" s="269"/>
      <c r="AW400" s="206" t="str">
        <f t="shared" si="329"/>
        <v>#REF!</v>
      </c>
      <c r="AX400" s="206">
        <f t="shared" ref="AX400:BB400" si="390">AX142</f>
        <v>0</v>
      </c>
      <c r="AY400" s="206">
        <f t="shared" si="390"/>
        <v>0</v>
      </c>
      <c r="AZ400" s="206">
        <f t="shared" si="390"/>
        <v>0</v>
      </c>
      <c r="BA400" s="206">
        <f t="shared" si="390"/>
        <v>0</v>
      </c>
      <c r="BB400" s="464">
        <f t="shared" si="390"/>
        <v>0</v>
      </c>
      <c r="BC400" s="465">
        <f t="shared" si="331"/>
        <v>0</v>
      </c>
      <c r="BD400" s="206"/>
      <c r="BE400" s="466"/>
    </row>
    <row r="401">
      <c r="A401" s="94"/>
      <c r="B401" s="328" t="s">
        <v>692</v>
      </c>
      <c r="C401" s="329" t="s">
        <v>652</v>
      </c>
      <c r="D401" s="369"/>
      <c r="E401" s="259"/>
      <c r="F401" s="298"/>
      <c r="G401" s="246"/>
      <c r="H401" s="298"/>
      <c r="I401" s="246"/>
      <c r="J401" s="298"/>
      <c r="K401" s="246"/>
      <c r="L401" s="462"/>
      <c r="M401" s="298"/>
      <c r="N401" s="246"/>
      <c r="O401" s="298"/>
      <c r="P401" s="246"/>
      <c r="Q401" s="298"/>
      <c r="R401" s="246"/>
      <c r="S401" s="462"/>
      <c r="T401" s="298"/>
      <c r="U401" s="246"/>
      <c r="V401" s="298"/>
      <c r="W401" s="246"/>
      <c r="X401" s="298"/>
      <c r="Y401" s="246"/>
      <c r="Z401" s="462"/>
      <c r="AA401" s="298"/>
      <c r="AB401" s="246"/>
      <c r="AC401" s="298"/>
      <c r="AD401" s="246"/>
      <c r="AE401" s="298"/>
      <c r="AF401" s="246"/>
      <c r="AG401" s="462"/>
      <c r="AH401" s="298"/>
      <c r="AI401" s="246"/>
      <c r="AJ401" s="298"/>
      <c r="AK401" s="246"/>
      <c r="AL401" s="298"/>
      <c r="AM401" s="246"/>
      <c r="AN401" s="462"/>
      <c r="AO401" s="298"/>
      <c r="AP401" s="246"/>
      <c r="AQ401" s="298"/>
      <c r="AR401" s="246"/>
      <c r="AS401" s="298"/>
      <c r="AT401" s="254" t="str">
        <f t="shared" ref="AT401:AT404" si="392">IF(COUNTIF($AO$86:$AT$88, AS401) &gt; 0, "X", "")</f>
        <v/>
      </c>
      <c r="AU401" s="269"/>
      <c r="AV401" s="269"/>
      <c r="AW401" s="206" t="str">
        <f t="shared" si="329"/>
        <v>#REF!</v>
      </c>
      <c r="AX401" s="206">
        <f t="shared" ref="AX401:BB401" si="391">AX143</f>
        <v>0</v>
      </c>
      <c r="AY401" s="206">
        <f t="shared" si="391"/>
        <v>0</v>
      </c>
      <c r="AZ401" s="206">
        <f t="shared" si="391"/>
        <v>0</v>
      </c>
      <c r="BA401" s="206">
        <f t="shared" si="391"/>
        <v>0</v>
      </c>
      <c r="BB401" s="464">
        <f t="shared" si="391"/>
        <v>0</v>
      </c>
      <c r="BC401" s="465">
        <f t="shared" si="331"/>
        <v>0</v>
      </c>
      <c r="BD401" s="206"/>
      <c r="BE401" s="466"/>
    </row>
    <row r="402">
      <c r="A402" s="94"/>
      <c r="B402" s="397" t="s">
        <v>692</v>
      </c>
      <c r="C402" s="398" t="s">
        <v>687</v>
      </c>
      <c r="D402" s="404"/>
      <c r="E402" s="259"/>
      <c r="F402" s="298"/>
      <c r="G402" s="246"/>
      <c r="H402" s="298"/>
      <c r="I402" s="246"/>
      <c r="J402" s="298"/>
      <c r="K402" s="246"/>
      <c r="L402" s="462"/>
      <c r="M402" s="298"/>
      <c r="N402" s="246"/>
      <c r="O402" s="298"/>
      <c r="P402" s="246"/>
      <c r="Q402" s="298"/>
      <c r="R402" s="246"/>
      <c r="S402" s="462"/>
      <c r="T402" s="298"/>
      <c r="U402" s="246"/>
      <c r="V402" s="298"/>
      <c r="W402" s="246"/>
      <c r="X402" s="298"/>
      <c r="Y402" s="246"/>
      <c r="Z402" s="462"/>
      <c r="AA402" s="298"/>
      <c r="AB402" s="246"/>
      <c r="AC402" s="298"/>
      <c r="AD402" s="246"/>
      <c r="AE402" s="298"/>
      <c r="AF402" s="246"/>
      <c r="AG402" s="462"/>
      <c r="AH402" s="298"/>
      <c r="AI402" s="246"/>
      <c r="AJ402" s="298"/>
      <c r="AK402" s="246"/>
      <c r="AL402" s="298"/>
      <c r="AM402" s="246"/>
      <c r="AN402" s="462"/>
      <c r="AO402" s="298"/>
      <c r="AP402" s="246"/>
      <c r="AQ402" s="298"/>
      <c r="AR402" s="246"/>
      <c r="AS402" s="298"/>
      <c r="AT402" s="254" t="str">
        <f t="shared" si="392"/>
        <v/>
      </c>
      <c r="AU402" s="269"/>
      <c r="AV402" s="269"/>
      <c r="AW402" s="206" t="str">
        <f t="shared" si="329"/>
        <v>#REF!</v>
      </c>
      <c r="AX402" s="206">
        <f t="shared" ref="AX402:BB402" si="393">AX144</f>
        <v>0</v>
      </c>
      <c r="AY402" s="206">
        <f t="shared" si="393"/>
        <v>0</v>
      </c>
      <c r="AZ402" s="206">
        <f t="shared" si="393"/>
        <v>0</v>
      </c>
      <c r="BA402" s="206">
        <f t="shared" si="393"/>
        <v>0</v>
      </c>
      <c r="BB402" s="464">
        <f t="shared" si="393"/>
        <v>0</v>
      </c>
      <c r="BC402" s="465">
        <f t="shared" si="331"/>
        <v>0</v>
      </c>
      <c r="BD402" s="206"/>
      <c r="BE402" s="466"/>
    </row>
    <row r="403">
      <c r="A403" s="270"/>
      <c r="B403" s="402" t="s">
        <v>699</v>
      </c>
      <c r="C403" s="403" t="s">
        <v>649</v>
      </c>
      <c r="D403" s="330"/>
      <c r="E403" s="259"/>
      <c r="F403" s="298"/>
      <c r="G403" s="246"/>
      <c r="H403" s="298"/>
      <c r="I403" s="246"/>
      <c r="J403" s="298"/>
      <c r="K403" s="246"/>
      <c r="L403" s="462"/>
      <c r="M403" s="298"/>
      <c r="N403" s="246"/>
      <c r="O403" s="298"/>
      <c r="P403" s="246"/>
      <c r="Q403" s="298"/>
      <c r="R403" s="246"/>
      <c r="S403" s="462"/>
      <c r="T403" s="298"/>
      <c r="U403" s="246"/>
      <c r="V403" s="298"/>
      <c r="W403" s="246"/>
      <c r="X403" s="298"/>
      <c r="Y403" s="246"/>
      <c r="Z403" s="462"/>
      <c r="AA403" s="298"/>
      <c r="AB403" s="246"/>
      <c r="AC403" s="298"/>
      <c r="AD403" s="246"/>
      <c r="AE403" s="298"/>
      <c r="AF403" s="246"/>
      <c r="AG403" s="462"/>
      <c r="AH403" s="298"/>
      <c r="AI403" s="246"/>
      <c r="AJ403" s="298"/>
      <c r="AK403" s="246"/>
      <c r="AL403" s="298"/>
      <c r="AM403" s="246"/>
      <c r="AN403" s="462"/>
      <c r="AO403" s="298"/>
      <c r="AP403" s="246"/>
      <c r="AQ403" s="298"/>
      <c r="AR403" s="246"/>
      <c r="AS403" s="298"/>
      <c r="AT403" s="254" t="str">
        <f t="shared" si="392"/>
        <v/>
      </c>
      <c r="AU403" s="269"/>
      <c r="AV403" s="269"/>
      <c r="AW403" s="206" t="str">
        <f t="shared" si="329"/>
        <v>#REF!</v>
      </c>
      <c r="AX403" s="206">
        <f t="shared" ref="AX403:BB403" si="394">AX145</f>
        <v>0</v>
      </c>
      <c r="AY403" s="206">
        <f t="shared" si="394"/>
        <v>0</v>
      </c>
      <c r="AZ403" s="206">
        <f t="shared" si="394"/>
        <v>0</v>
      </c>
      <c r="BA403" s="206">
        <f t="shared" si="394"/>
        <v>0</v>
      </c>
      <c r="BB403" s="464">
        <f t="shared" si="394"/>
        <v>0</v>
      </c>
      <c r="BC403" s="465">
        <f t="shared" si="331"/>
        <v>0</v>
      </c>
      <c r="BD403" s="206"/>
      <c r="BE403" s="466"/>
    </row>
    <row r="404">
      <c r="A404" s="94"/>
      <c r="B404" s="328" t="s">
        <v>700</v>
      </c>
      <c r="C404" s="329" t="s">
        <v>657</v>
      </c>
      <c r="D404" s="330"/>
      <c r="E404" s="259"/>
      <c r="F404" s="540"/>
      <c r="G404" s="246"/>
      <c r="H404" s="540"/>
      <c r="I404" s="246"/>
      <c r="J404" s="540"/>
      <c r="K404" s="246"/>
      <c r="L404" s="462"/>
      <c r="M404" s="540"/>
      <c r="N404" s="246"/>
      <c r="O404" s="540"/>
      <c r="P404" s="246"/>
      <c r="Q404" s="540"/>
      <c r="R404" s="246"/>
      <c r="S404" s="462"/>
      <c r="T404" s="540"/>
      <c r="U404" s="246"/>
      <c r="V404" s="540"/>
      <c r="W404" s="246"/>
      <c r="X404" s="540"/>
      <c r="Y404" s="246"/>
      <c r="Z404" s="462"/>
      <c r="AA404" s="540"/>
      <c r="AB404" s="246"/>
      <c r="AC404" s="540"/>
      <c r="AD404" s="246"/>
      <c r="AE404" s="540"/>
      <c r="AF404" s="246"/>
      <c r="AG404" s="462"/>
      <c r="AH404" s="540"/>
      <c r="AI404" s="246"/>
      <c r="AJ404" s="540"/>
      <c r="AK404" s="246"/>
      <c r="AL404" s="540"/>
      <c r="AM404" s="246"/>
      <c r="AN404" s="462"/>
      <c r="AO404" s="540"/>
      <c r="AP404" s="246"/>
      <c r="AQ404" s="540"/>
      <c r="AR404" s="246"/>
      <c r="AS404" s="540"/>
      <c r="AT404" s="254" t="str">
        <f t="shared" si="392"/>
        <v/>
      </c>
      <c r="AU404" s="269"/>
      <c r="AV404" s="269"/>
      <c r="AW404" s="206" t="str">
        <f t="shared" si="329"/>
        <v>#REF!</v>
      </c>
      <c r="AX404" s="206">
        <f t="shared" ref="AX404:BB404" si="395">AX146</f>
        <v>0</v>
      </c>
      <c r="AY404" s="206">
        <f t="shared" si="395"/>
        <v>0</v>
      </c>
      <c r="AZ404" s="206">
        <f t="shared" si="395"/>
        <v>0</v>
      </c>
      <c r="BA404" s="206">
        <f t="shared" si="395"/>
        <v>0</v>
      </c>
      <c r="BB404" s="464">
        <f t="shared" si="395"/>
        <v>0</v>
      </c>
      <c r="BC404" s="465">
        <f t="shared" si="331"/>
        <v>0</v>
      </c>
      <c r="BD404" s="206"/>
      <c r="BE404" s="466"/>
    </row>
    <row r="405">
      <c r="A405" s="94"/>
      <c r="B405" s="328" t="s">
        <v>700</v>
      </c>
      <c r="C405" s="329" t="s">
        <v>657</v>
      </c>
      <c r="D405" s="330"/>
      <c r="E405" s="259"/>
      <c r="F405" s="298"/>
      <c r="G405" s="246"/>
      <c r="H405" s="298"/>
      <c r="I405" s="246"/>
      <c r="J405" s="298"/>
      <c r="K405" s="246"/>
      <c r="L405" s="462"/>
      <c r="M405" s="298"/>
      <c r="N405" s="246"/>
      <c r="O405" s="298"/>
      <c r="P405" s="246"/>
      <c r="Q405" s="298"/>
      <c r="R405" s="246"/>
      <c r="S405" s="462"/>
      <c r="T405" s="298"/>
      <c r="U405" s="246"/>
      <c r="V405" s="298"/>
      <c r="W405" s="246"/>
      <c r="X405" s="298"/>
      <c r="Y405" s="246"/>
      <c r="Z405" s="462"/>
      <c r="AA405" s="298"/>
      <c r="AB405" s="246"/>
      <c r="AC405" s="298"/>
      <c r="AD405" s="246"/>
      <c r="AE405" s="298"/>
      <c r="AF405" s="246"/>
      <c r="AG405" s="462"/>
      <c r="AH405" s="298"/>
      <c r="AI405" s="246"/>
      <c r="AJ405" s="298"/>
      <c r="AK405" s="246"/>
      <c r="AL405" s="298"/>
      <c r="AM405" s="246"/>
      <c r="AN405" s="462"/>
      <c r="AO405" s="298"/>
      <c r="AP405" s="246"/>
      <c r="AQ405" s="298"/>
      <c r="AR405" s="246"/>
      <c r="AS405" s="298"/>
      <c r="AT405" s="254" t="str">
        <f>IF(COUNTIF($AO$86:$AT$88, #REF!) &gt; 0, "X", "")</f>
        <v/>
      </c>
      <c r="AU405" s="269"/>
      <c r="AV405" s="269"/>
      <c r="AW405" s="206" t="str">
        <f t="shared" si="329"/>
        <v>#REF!</v>
      </c>
      <c r="AX405" s="206">
        <f t="shared" ref="AX405:BB405" si="396">AX147</f>
        <v>0</v>
      </c>
      <c r="AY405" s="206">
        <f t="shared" si="396"/>
        <v>0</v>
      </c>
      <c r="AZ405" s="206">
        <f t="shared" si="396"/>
        <v>0</v>
      </c>
      <c r="BA405" s="206">
        <f t="shared" si="396"/>
        <v>0</v>
      </c>
      <c r="BB405" s="464">
        <f t="shared" si="396"/>
        <v>0</v>
      </c>
      <c r="BC405" s="465">
        <f t="shared" si="331"/>
        <v>0</v>
      </c>
      <c r="BD405" s="206"/>
      <c r="BE405" s="466"/>
    </row>
    <row r="406">
      <c r="A406" s="94"/>
      <c r="B406" s="328" t="s">
        <v>700</v>
      </c>
      <c r="C406" s="329" t="s">
        <v>657</v>
      </c>
      <c r="D406" s="351"/>
      <c r="E406" s="259"/>
      <c r="F406" s="540"/>
      <c r="G406" s="246"/>
      <c r="H406" s="540"/>
      <c r="I406" s="246"/>
      <c r="J406" s="540"/>
      <c r="K406" s="246"/>
      <c r="L406" s="462"/>
      <c r="M406" s="540"/>
      <c r="N406" s="246"/>
      <c r="O406" s="540"/>
      <c r="P406" s="246"/>
      <c r="Q406" s="540"/>
      <c r="R406" s="246"/>
      <c r="S406" s="462"/>
      <c r="T406" s="540"/>
      <c r="U406" s="246"/>
      <c r="V406" s="540"/>
      <c r="W406" s="246"/>
      <c r="X406" s="540"/>
      <c r="Y406" s="246"/>
      <c r="Z406" s="462"/>
      <c r="AA406" s="540"/>
      <c r="AB406" s="246"/>
      <c r="AC406" s="540"/>
      <c r="AD406" s="246"/>
      <c r="AE406" s="540"/>
      <c r="AF406" s="246"/>
      <c r="AG406" s="462"/>
      <c r="AH406" s="540"/>
      <c r="AI406" s="246"/>
      <c r="AJ406" s="540"/>
      <c r="AK406" s="246"/>
      <c r="AL406" s="540"/>
      <c r="AM406" s="246"/>
      <c r="AN406" s="462"/>
      <c r="AO406" s="540"/>
      <c r="AP406" s="246"/>
      <c r="AQ406" s="540"/>
      <c r="AR406" s="246"/>
      <c r="AS406" s="540"/>
      <c r="AT406" s="254" t="str">
        <f t="shared" ref="AT406:AT407" si="398">IF(COUNTIF($AO$86:$AT$88, AS406) &gt; 0, "X", "")</f>
        <v/>
      </c>
      <c r="AU406" s="269"/>
      <c r="AV406" s="269"/>
      <c r="AW406" s="206" t="str">
        <f t="shared" si="329"/>
        <v>#REF!</v>
      </c>
      <c r="AX406" s="206">
        <f t="shared" ref="AX406:BB406" si="397">AX148</f>
        <v>0</v>
      </c>
      <c r="AY406" s="206">
        <f t="shared" si="397"/>
        <v>0</v>
      </c>
      <c r="AZ406" s="206">
        <f t="shared" si="397"/>
        <v>0</v>
      </c>
      <c r="BA406" s="206">
        <f t="shared" si="397"/>
        <v>0</v>
      </c>
      <c r="BB406" s="464">
        <f t="shared" si="397"/>
        <v>0</v>
      </c>
      <c r="BC406" s="465">
        <f t="shared" si="331"/>
        <v>0</v>
      </c>
      <c r="BD406" s="206"/>
      <c r="BE406" s="466"/>
    </row>
    <row r="407">
      <c r="A407" s="94"/>
      <c r="B407" s="408" t="s">
        <v>702</v>
      </c>
      <c r="C407" s="409" t="s">
        <v>652</v>
      </c>
      <c r="D407" s="323"/>
      <c r="E407" s="259"/>
      <c r="F407" s="540"/>
      <c r="G407" s="246"/>
      <c r="H407" s="540"/>
      <c r="I407" s="246"/>
      <c r="J407" s="540"/>
      <c r="K407" s="246"/>
      <c r="L407" s="462"/>
      <c r="M407" s="540"/>
      <c r="N407" s="246"/>
      <c r="O407" s="540"/>
      <c r="P407" s="246"/>
      <c r="Q407" s="540"/>
      <c r="R407" s="246"/>
      <c r="S407" s="462"/>
      <c r="T407" s="540"/>
      <c r="U407" s="246"/>
      <c r="V407" s="540"/>
      <c r="W407" s="246"/>
      <c r="X407" s="540"/>
      <c r="Y407" s="246"/>
      <c r="Z407" s="462"/>
      <c r="AA407" s="540"/>
      <c r="AB407" s="246"/>
      <c r="AC407" s="540"/>
      <c r="AD407" s="246"/>
      <c r="AE407" s="540"/>
      <c r="AF407" s="246"/>
      <c r="AG407" s="462"/>
      <c r="AH407" s="540"/>
      <c r="AI407" s="246"/>
      <c r="AJ407" s="540"/>
      <c r="AK407" s="246"/>
      <c r="AL407" s="540"/>
      <c r="AM407" s="246"/>
      <c r="AN407" s="462"/>
      <c r="AO407" s="540"/>
      <c r="AP407" s="246"/>
      <c r="AQ407" s="540"/>
      <c r="AR407" s="246"/>
      <c r="AS407" s="540"/>
      <c r="AT407" s="254" t="str">
        <f t="shared" si="398"/>
        <v/>
      </c>
      <c r="AU407" s="269"/>
      <c r="AV407" s="269"/>
      <c r="AW407" s="206" t="str">
        <f t="shared" si="329"/>
        <v>#REF!</v>
      </c>
      <c r="AX407" s="206">
        <f t="shared" ref="AX407:BB407" si="399">AX149</f>
        <v>0</v>
      </c>
      <c r="AY407" s="206">
        <f t="shared" si="399"/>
        <v>0</v>
      </c>
      <c r="AZ407" s="206">
        <f t="shared" si="399"/>
        <v>0</v>
      </c>
      <c r="BA407" s="206">
        <f t="shared" si="399"/>
        <v>0</v>
      </c>
      <c r="BB407" s="464">
        <f t="shared" si="399"/>
        <v>0</v>
      </c>
      <c r="BC407" s="465">
        <f t="shared" si="331"/>
        <v>0</v>
      </c>
      <c r="BD407" s="206"/>
      <c r="BE407" s="466"/>
    </row>
    <row r="408">
      <c r="A408" s="234"/>
      <c r="B408" s="401" t="s">
        <v>703</v>
      </c>
      <c r="C408" s="412" t="s">
        <v>704</v>
      </c>
      <c r="D408" s="330"/>
      <c r="E408" s="259"/>
      <c r="F408" s="545"/>
      <c r="G408" s="246"/>
      <c r="H408" s="545"/>
      <c r="I408" s="246"/>
      <c r="J408" s="545"/>
      <c r="K408" s="246"/>
      <c r="L408" s="462"/>
      <c r="M408" s="545"/>
      <c r="N408" s="246"/>
      <c r="O408" s="545"/>
      <c r="P408" s="246"/>
      <c r="Q408" s="545"/>
      <c r="R408" s="246"/>
      <c r="S408" s="462"/>
      <c r="T408" s="545"/>
      <c r="U408" s="246"/>
      <c r="V408" s="545"/>
      <c r="W408" s="246"/>
      <c r="X408" s="545"/>
      <c r="Y408" s="246"/>
      <c r="Z408" s="462"/>
      <c r="AA408" s="545"/>
      <c r="AB408" s="246"/>
      <c r="AC408" s="545"/>
      <c r="AD408" s="246"/>
      <c r="AE408" s="545"/>
      <c r="AF408" s="246"/>
      <c r="AG408" s="462"/>
      <c r="AH408" s="545"/>
      <c r="AI408" s="246"/>
      <c r="AJ408" s="545"/>
      <c r="AK408" s="246"/>
      <c r="AL408" s="545"/>
      <c r="AM408" s="246"/>
      <c r="AN408" s="462"/>
      <c r="AO408" s="545"/>
      <c r="AP408" s="246"/>
      <c r="AQ408" s="545"/>
      <c r="AR408" s="246"/>
      <c r="AS408" s="545"/>
      <c r="AT408" s="254" t="str">
        <f t="shared" ref="AT408:AT410" si="401">IF(COUNTIF($AO$86:$AT$88, #REF!) &gt; 0, "X", "")</f>
        <v/>
      </c>
      <c r="AU408" s="269"/>
      <c r="AV408" s="269"/>
      <c r="AW408" s="206" t="str">
        <f t="shared" si="329"/>
        <v>#REF!</v>
      </c>
      <c r="AX408" s="206">
        <f t="shared" ref="AX408:BB408" si="400">AX150</f>
        <v>0</v>
      </c>
      <c r="AY408" s="206">
        <f t="shared" si="400"/>
        <v>0</v>
      </c>
      <c r="AZ408" s="206">
        <f t="shared" si="400"/>
        <v>0</v>
      </c>
      <c r="BA408" s="206">
        <f t="shared" si="400"/>
        <v>0</v>
      </c>
      <c r="BB408" s="464">
        <f t="shared" si="400"/>
        <v>0</v>
      </c>
      <c r="BC408" s="465">
        <f t="shared" si="331"/>
        <v>0</v>
      </c>
      <c r="BD408" s="206"/>
      <c r="BE408" s="466"/>
    </row>
    <row r="409">
      <c r="A409" s="234"/>
      <c r="B409" s="414" t="s">
        <v>705</v>
      </c>
      <c r="C409" s="415" t="s">
        <v>704</v>
      </c>
      <c r="D409" s="330"/>
      <c r="E409" s="259"/>
      <c r="F409" s="545"/>
      <c r="G409" s="246"/>
      <c r="H409" s="545"/>
      <c r="I409" s="246"/>
      <c r="J409" s="545"/>
      <c r="K409" s="246"/>
      <c r="L409" s="462"/>
      <c r="M409" s="545"/>
      <c r="N409" s="246"/>
      <c r="O409" s="545"/>
      <c r="P409" s="246"/>
      <c r="Q409" s="545"/>
      <c r="R409" s="246"/>
      <c r="S409" s="462"/>
      <c r="T409" s="545"/>
      <c r="U409" s="246"/>
      <c r="V409" s="545"/>
      <c r="W409" s="246"/>
      <c r="X409" s="545"/>
      <c r="Y409" s="246"/>
      <c r="Z409" s="462"/>
      <c r="AA409" s="545"/>
      <c r="AB409" s="246"/>
      <c r="AC409" s="545"/>
      <c r="AD409" s="246"/>
      <c r="AE409" s="545"/>
      <c r="AF409" s="246"/>
      <c r="AG409" s="462"/>
      <c r="AH409" s="545"/>
      <c r="AI409" s="246"/>
      <c r="AJ409" s="545"/>
      <c r="AK409" s="246"/>
      <c r="AL409" s="545"/>
      <c r="AM409" s="246"/>
      <c r="AN409" s="462"/>
      <c r="AO409" s="545"/>
      <c r="AP409" s="246"/>
      <c r="AQ409" s="545"/>
      <c r="AR409" s="246"/>
      <c r="AS409" s="545"/>
      <c r="AT409" s="254" t="str">
        <f t="shared" si="401"/>
        <v/>
      </c>
      <c r="AU409" s="269"/>
      <c r="AV409" s="269"/>
      <c r="AW409" s="206" t="str">
        <f t="shared" si="329"/>
        <v>#REF!</v>
      </c>
      <c r="AX409" s="206">
        <f t="shared" ref="AX409:BB409" si="402">AX151</f>
        <v>0</v>
      </c>
      <c r="AY409" s="206">
        <f t="shared" si="402"/>
        <v>0</v>
      </c>
      <c r="AZ409" s="206">
        <f t="shared" si="402"/>
        <v>0</v>
      </c>
      <c r="BA409" s="206">
        <f t="shared" si="402"/>
        <v>0</v>
      </c>
      <c r="BB409" s="464">
        <f t="shared" si="402"/>
        <v>0</v>
      </c>
      <c r="BC409" s="465">
        <f t="shared" si="331"/>
        <v>0</v>
      </c>
      <c r="BD409" s="206"/>
      <c r="BE409" s="466"/>
    </row>
    <row r="410">
      <c r="A410" s="94"/>
      <c r="B410" s="328" t="s">
        <v>705</v>
      </c>
      <c r="C410" s="257" t="s">
        <v>657</v>
      </c>
      <c r="D410" s="330"/>
      <c r="E410" s="259"/>
      <c r="F410" s="545"/>
      <c r="G410" s="246"/>
      <c r="H410" s="545"/>
      <c r="I410" s="246"/>
      <c r="J410" s="545"/>
      <c r="K410" s="246"/>
      <c r="L410" s="462"/>
      <c r="M410" s="545"/>
      <c r="N410" s="246"/>
      <c r="O410" s="545"/>
      <c r="P410" s="246"/>
      <c r="Q410" s="545"/>
      <c r="R410" s="246"/>
      <c r="S410" s="462"/>
      <c r="T410" s="545"/>
      <c r="U410" s="246"/>
      <c r="V410" s="545"/>
      <c r="W410" s="246"/>
      <c r="X410" s="545"/>
      <c r="Y410" s="246"/>
      <c r="Z410" s="462"/>
      <c r="AA410" s="545"/>
      <c r="AB410" s="246"/>
      <c r="AC410" s="545"/>
      <c r="AD410" s="246"/>
      <c r="AE410" s="545"/>
      <c r="AF410" s="246"/>
      <c r="AG410" s="462"/>
      <c r="AH410" s="545"/>
      <c r="AI410" s="246"/>
      <c r="AJ410" s="545"/>
      <c r="AK410" s="246"/>
      <c r="AL410" s="545"/>
      <c r="AM410" s="246"/>
      <c r="AN410" s="462"/>
      <c r="AO410" s="545"/>
      <c r="AP410" s="246"/>
      <c r="AQ410" s="545"/>
      <c r="AR410" s="246"/>
      <c r="AS410" s="545"/>
      <c r="AT410" s="254" t="str">
        <f t="shared" si="401"/>
        <v/>
      </c>
      <c r="AU410" s="269"/>
      <c r="AV410" s="269"/>
      <c r="AW410" s="206" t="str">
        <f t="shared" si="329"/>
        <v>#REF!</v>
      </c>
      <c r="AX410" s="206">
        <f t="shared" ref="AX410:BB410" si="403">AX152</f>
        <v>0</v>
      </c>
      <c r="AY410" s="206">
        <f t="shared" si="403"/>
        <v>0</v>
      </c>
      <c r="AZ410" s="206">
        <f t="shared" si="403"/>
        <v>0</v>
      </c>
      <c r="BA410" s="206">
        <f t="shared" si="403"/>
        <v>0</v>
      </c>
      <c r="BB410" s="464">
        <f t="shared" si="403"/>
        <v>0</v>
      </c>
      <c r="BC410" s="465">
        <f t="shared" si="331"/>
        <v>0</v>
      </c>
      <c r="BD410" s="206"/>
      <c r="BE410" s="466"/>
    </row>
    <row r="411">
      <c r="A411" s="94"/>
      <c r="B411" s="277" t="s">
        <v>705</v>
      </c>
      <c r="C411" s="329" t="s">
        <v>685</v>
      </c>
      <c r="D411" s="369"/>
      <c r="E411" s="259"/>
      <c r="F411" s="545"/>
      <c r="G411" s="246"/>
      <c r="H411" s="545"/>
      <c r="I411" s="246"/>
      <c r="J411" s="545"/>
      <c r="K411" s="246"/>
      <c r="L411" s="462"/>
      <c r="M411" s="545"/>
      <c r="N411" s="246"/>
      <c r="O411" s="545"/>
      <c r="P411" s="246"/>
      <c r="Q411" s="545"/>
      <c r="R411" s="246"/>
      <c r="S411" s="462"/>
      <c r="T411" s="545"/>
      <c r="U411" s="246"/>
      <c r="V411" s="545"/>
      <c r="W411" s="246"/>
      <c r="X411" s="545"/>
      <c r="Y411" s="246"/>
      <c r="Z411" s="462"/>
      <c r="AA411" s="545"/>
      <c r="AB411" s="246"/>
      <c r="AC411" s="545"/>
      <c r="AD411" s="246"/>
      <c r="AE411" s="545"/>
      <c r="AF411" s="246"/>
      <c r="AG411" s="462"/>
      <c r="AH411" s="545"/>
      <c r="AI411" s="246"/>
      <c r="AJ411" s="545"/>
      <c r="AK411" s="246"/>
      <c r="AL411" s="545"/>
      <c r="AM411" s="246"/>
      <c r="AN411" s="462"/>
      <c r="AO411" s="545"/>
      <c r="AP411" s="246"/>
      <c r="AQ411" s="545"/>
      <c r="AR411" s="246"/>
      <c r="AS411" s="545"/>
      <c r="AT411" s="254" t="str">
        <f>IF(COUNTIF($AO$86:$AT$88, AO410) &gt; 0, "X", "")</f>
        <v/>
      </c>
      <c r="AU411" s="269"/>
      <c r="AV411" s="269"/>
      <c r="AW411" s="206" t="str">
        <f t="shared" si="329"/>
        <v>#REF!</v>
      </c>
      <c r="AX411" s="206">
        <f t="shared" ref="AX411:BB411" si="404">AX153</f>
        <v>0</v>
      </c>
      <c r="AY411" s="206">
        <f t="shared" si="404"/>
        <v>0</v>
      </c>
      <c r="AZ411" s="206">
        <f t="shared" si="404"/>
        <v>0</v>
      </c>
      <c r="BA411" s="206">
        <f t="shared" si="404"/>
        <v>0</v>
      </c>
      <c r="BB411" s="464">
        <f t="shared" si="404"/>
        <v>0</v>
      </c>
      <c r="BC411" s="465">
        <f t="shared" si="331"/>
        <v>0</v>
      </c>
      <c r="BD411" s="206"/>
      <c r="BE411" s="466"/>
    </row>
    <row r="412">
      <c r="A412" s="94"/>
      <c r="B412" s="271" t="s">
        <v>705</v>
      </c>
      <c r="C412" s="272" t="s">
        <v>687</v>
      </c>
      <c r="D412" s="330"/>
      <c r="E412" s="259"/>
      <c r="F412" s="545"/>
      <c r="G412" s="246"/>
      <c r="H412" s="545"/>
      <c r="I412" s="246"/>
      <c r="J412" s="545"/>
      <c r="K412" s="246"/>
      <c r="L412" s="462"/>
      <c r="M412" s="545"/>
      <c r="N412" s="246"/>
      <c r="O412" s="545"/>
      <c r="P412" s="246"/>
      <c r="Q412" s="545"/>
      <c r="R412" s="246"/>
      <c r="S412" s="462"/>
      <c r="T412" s="545"/>
      <c r="U412" s="246"/>
      <c r="V412" s="545"/>
      <c r="W412" s="246"/>
      <c r="X412" s="545"/>
      <c r="Y412" s="246"/>
      <c r="Z412" s="462"/>
      <c r="AA412" s="545"/>
      <c r="AB412" s="246"/>
      <c r="AC412" s="545"/>
      <c r="AD412" s="246"/>
      <c r="AE412" s="545"/>
      <c r="AF412" s="246"/>
      <c r="AG412" s="462"/>
      <c r="AH412" s="545"/>
      <c r="AI412" s="246"/>
      <c r="AJ412" s="545"/>
      <c r="AK412" s="246"/>
      <c r="AL412" s="545"/>
      <c r="AM412" s="246"/>
      <c r="AN412" s="462"/>
      <c r="AO412" s="545"/>
      <c r="AP412" s="246"/>
      <c r="AQ412" s="545"/>
      <c r="AR412" s="246"/>
      <c r="AS412" s="545"/>
      <c r="AT412" s="254" t="str">
        <f>IF(COUNTIF($AO$86:$AT$88, #REF!) &gt; 0, "X", "")</f>
        <v/>
      </c>
      <c r="AU412" s="269"/>
      <c r="AV412" s="269"/>
      <c r="AW412" s="206" t="str">
        <f t="shared" si="329"/>
        <v>#REF!</v>
      </c>
      <c r="AX412" s="206">
        <f t="shared" ref="AX412:BB412" si="405">AX154</f>
        <v>0</v>
      </c>
      <c r="AY412" s="206">
        <f t="shared" si="405"/>
        <v>0</v>
      </c>
      <c r="AZ412" s="206">
        <f t="shared" si="405"/>
        <v>0</v>
      </c>
      <c r="BA412" s="206">
        <f t="shared" si="405"/>
        <v>0</v>
      </c>
      <c r="BB412" s="464">
        <f t="shared" si="405"/>
        <v>0</v>
      </c>
      <c r="BC412" s="465">
        <f t="shared" si="331"/>
        <v>0</v>
      </c>
      <c r="BD412" s="206"/>
      <c r="BE412" s="466"/>
    </row>
    <row r="413">
      <c r="A413" s="270"/>
      <c r="B413" s="397" t="s">
        <v>708</v>
      </c>
      <c r="C413" s="398" t="s">
        <v>654</v>
      </c>
      <c r="D413" s="330"/>
      <c r="E413" s="259"/>
      <c r="F413" s="607"/>
      <c r="G413" s="246"/>
      <c r="H413" s="607"/>
      <c r="I413" s="246"/>
      <c r="J413" s="607"/>
      <c r="K413" s="246"/>
      <c r="L413" s="462"/>
      <c r="M413" s="607"/>
      <c r="N413" s="246"/>
      <c r="O413" s="607"/>
      <c r="P413" s="246"/>
      <c r="Q413" s="607"/>
      <c r="R413" s="246"/>
      <c r="S413" s="462"/>
      <c r="T413" s="607"/>
      <c r="U413" s="246"/>
      <c r="V413" s="607"/>
      <c r="W413" s="246"/>
      <c r="X413" s="607"/>
      <c r="Y413" s="246"/>
      <c r="Z413" s="462"/>
      <c r="AA413" s="607"/>
      <c r="AB413" s="246"/>
      <c r="AC413" s="607"/>
      <c r="AD413" s="246"/>
      <c r="AE413" s="607"/>
      <c r="AF413" s="246"/>
      <c r="AG413" s="462"/>
      <c r="AH413" s="607"/>
      <c r="AI413" s="246"/>
      <c r="AJ413" s="607"/>
      <c r="AK413" s="246"/>
      <c r="AL413" s="607"/>
      <c r="AM413" s="246"/>
      <c r="AN413" s="462"/>
      <c r="AO413" s="607"/>
      <c r="AP413" s="246"/>
      <c r="AQ413" s="607"/>
      <c r="AR413" s="246"/>
      <c r="AS413" s="607"/>
      <c r="AT413" s="254" t="str">
        <f t="shared" ref="AT413:AT414" si="407">IF(COUNTIF($AO$86:$AT$88, AS413) &gt; 0, "X", "")</f>
        <v/>
      </c>
      <c r="AU413" s="269"/>
      <c r="AV413" s="269"/>
      <c r="AW413" s="206" t="str">
        <f t="shared" si="329"/>
        <v>#REF!</v>
      </c>
      <c r="AX413" s="206">
        <f t="shared" ref="AX413:BB413" si="406">AX155</f>
        <v>0</v>
      </c>
      <c r="AY413" s="206">
        <f t="shared" si="406"/>
        <v>0</v>
      </c>
      <c r="AZ413" s="206">
        <f t="shared" si="406"/>
        <v>0</v>
      </c>
      <c r="BA413" s="206">
        <f t="shared" si="406"/>
        <v>0</v>
      </c>
      <c r="BB413" s="464">
        <f t="shared" si="406"/>
        <v>0</v>
      </c>
      <c r="BC413" s="465">
        <f t="shared" si="331"/>
        <v>0</v>
      </c>
      <c r="BD413" s="206"/>
      <c r="BE413" s="466"/>
    </row>
    <row r="414">
      <c r="A414" s="94"/>
      <c r="B414" s="277" t="s">
        <v>709</v>
      </c>
      <c r="C414" s="278" t="s">
        <v>710</v>
      </c>
      <c r="D414" s="323"/>
      <c r="E414" s="259"/>
      <c r="F414" s="545"/>
      <c r="G414" s="246"/>
      <c r="H414" s="545"/>
      <c r="I414" s="246"/>
      <c r="J414" s="545"/>
      <c r="K414" s="246"/>
      <c r="L414" s="462"/>
      <c r="M414" s="545"/>
      <c r="N414" s="246"/>
      <c r="O414" s="545"/>
      <c r="P414" s="246"/>
      <c r="Q414" s="545"/>
      <c r="R414" s="246"/>
      <c r="S414" s="462"/>
      <c r="T414" s="545"/>
      <c r="U414" s="246"/>
      <c r="V414" s="545"/>
      <c r="W414" s="246"/>
      <c r="X414" s="545"/>
      <c r="Y414" s="246"/>
      <c r="Z414" s="462"/>
      <c r="AA414" s="545"/>
      <c r="AB414" s="246"/>
      <c r="AC414" s="545"/>
      <c r="AD414" s="246"/>
      <c r="AE414" s="545"/>
      <c r="AF414" s="246"/>
      <c r="AG414" s="462"/>
      <c r="AH414" s="545"/>
      <c r="AI414" s="246"/>
      <c r="AJ414" s="545"/>
      <c r="AK414" s="246"/>
      <c r="AL414" s="545"/>
      <c r="AM414" s="246"/>
      <c r="AN414" s="462"/>
      <c r="AO414" s="545"/>
      <c r="AP414" s="246"/>
      <c r="AQ414" s="545"/>
      <c r="AR414" s="246"/>
      <c r="AS414" s="545"/>
      <c r="AT414" s="254" t="str">
        <f t="shared" si="407"/>
        <v/>
      </c>
      <c r="AU414" s="269"/>
      <c r="AV414" s="269"/>
      <c r="AW414" s="206" t="str">
        <f t="shared" si="329"/>
        <v>#REF!</v>
      </c>
      <c r="AX414" s="206">
        <f t="shared" ref="AX414:BB414" si="408">AX156</f>
        <v>0</v>
      </c>
      <c r="AY414" s="206">
        <f t="shared" si="408"/>
        <v>0</v>
      </c>
      <c r="AZ414" s="206">
        <f t="shared" si="408"/>
        <v>0</v>
      </c>
      <c r="BA414" s="206">
        <f t="shared" si="408"/>
        <v>0</v>
      </c>
      <c r="BB414" s="464">
        <f t="shared" si="408"/>
        <v>0</v>
      </c>
      <c r="BC414" s="465">
        <f t="shared" si="331"/>
        <v>0</v>
      </c>
      <c r="BD414" s="206"/>
      <c r="BE414" s="466"/>
    </row>
    <row r="415">
      <c r="A415" s="94"/>
      <c r="B415" s="271" t="s">
        <v>712</v>
      </c>
      <c r="C415" s="272" t="s">
        <v>710</v>
      </c>
      <c r="D415" s="431"/>
      <c r="E415" s="259"/>
      <c r="F415" s="432"/>
      <c r="G415" s="432"/>
      <c r="H415" s="432"/>
      <c r="I415" s="432"/>
      <c r="J415" s="432"/>
      <c r="K415" s="432"/>
      <c r="L415" s="462"/>
      <c r="M415" s="432"/>
      <c r="N415" s="433"/>
      <c r="O415" s="432"/>
      <c r="P415" s="432"/>
      <c r="Q415" s="432"/>
      <c r="R415" s="432"/>
      <c r="S415" s="462"/>
      <c r="T415" s="432"/>
      <c r="U415" s="433"/>
      <c r="V415" s="432"/>
      <c r="W415" s="432"/>
      <c r="X415" s="432"/>
      <c r="Y415" s="432"/>
      <c r="Z415" s="462"/>
      <c r="AA415" s="432"/>
      <c r="AB415" s="433"/>
      <c r="AC415" s="432"/>
      <c r="AD415" s="432"/>
      <c r="AE415" s="432"/>
      <c r="AF415" s="432"/>
      <c r="AG415" s="462"/>
      <c r="AH415" s="432"/>
      <c r="AI415" s="433"/>
      <c r="AJ415" s="432"/>
      <c r="AK415" s="432"/>
      <c r="AL415" s="432"/>
      <c r="AM415" s="432"/>
      <c r="AN415" s="462"/>
      <c r="AO415" s="432"/>
      <c r="AP415" s="433"/>
      <c r="AQ415" s="432"/>
      <c r="AR415" s="432"/>
      <c r="AS415" s="432"/>
      <c r="AT415" s="430"/>
      <c r="AU415" s="269"/>
      <c r="AV415" s="269"/>
      <c r="AW415" s="206" t="str">
        <f t="shared" si="329"/>
        <v>#REF!</v>
      </c>
      <c r="AX415" s="206">
        <f t="shared" ref="AX415:BB415" si="409">AX157</f>
        <v>0</v>
      </c>
      <c r="AY415" s="206">
        <f t="shared" si="409"/>
        <v>0</v>
      </c>
      <c r="AZ415" s="206">
        <f t="shared" si="409"/>
        <v>0</v>
      </c>
      <c r="BA415" s="206">
        <f t="shared" si="409"/>
        <v>0</v>
      </c>
      <c r="BB415" s="464">
        <f t="shared" si="409"/>
        <v>0</v>
      </c>
      <c r="BC415" s="465">
        <f t="shared" si="331"/>
        <v>0</v>
      </c>
      <c r="BD415" s="206"/>
      <c r="BE415" s="466"/>
    </row>
    <row r="416">
      <c r="A416" s="94"/>
      <c r="B416" s="429" t="s">
        <v>714</v>
      </c>
      <c r="C416" s="430"/>
      <c r="D416" s="323"/>
      <c r="E416" s="259"/>
      <c r="F416" s="132"/>
      <c r="G416" s="246"/>
      <c r="H416" s="132"/>
      <c r="I416" s="246"/>
      <c r="J416" s="132"/>
      <c r="K416" s="246"/>
      <c r="L416" s="462"/>
      <c r="M416" s="132"/>
      <c r="N416" s="246"/>
      <c r="O416" s="132"/>
      <c r="P416" s="246"/>
      <c r="Q416" s="132"/>
      <c r="R416" s="246"/>
      <c r="S416" s="462"/>
      <c r="T416" s="132"/>
      <c r="U416" s="246"/>
      <c r="V416" s="132"/>
      <c r="W416" s="246"/>
      <c r="X416" s="132"/>
      <c r="Y416" s="246"/>
      <c r="Z416" s="462"/>
      <c r="AA416" s="132"/>
      <c r="AB416" s="246"/>
      <c r="AC416" s="132"/>
      <c r="AD416" s="246"/>
      <c r="AE416" s="132"/>
      <c r="AF416" s="246"/>
      <c r="AG416" s="462"/>
      <c r="AH416" s="132"/>
      <c r="AI416" s="246"/>
      <c r="AJ416" s="132"/>
      <c r="AK416" s="246"/>
      <c r="AL416" s="132"/>
      <c r="AM416" s="246"/>
      <c r="AN416" s="462"/>
      <c r="AO416" s="132"/>
      <c r="AP416" s="246"/>
      <c r="AQ416" s="132"/>
      <c r="AR416" s="246"/>
      <c r="AS416" s="132"/>
      <c r="AT416" s="254" t="str">
        <f t="shared" ref="AT416:AT429" si="411">IF(COUNTIF($AO$86:$AT$88, AS416) &gt; 0, "X", "")</f>
        <v/>
      </c>
      <c r="AU416" s="269"/>
      <c r="AV416" s="269"/>
      <c r="AW416" s="206" t="str">
        <f t="shared" si="329"/>
        <v>#REF!</v>
      </c>
      <c r="AX416" s="206">
        <f t="shared" ref="AX416:BB416" si="410">AX158</f>
        <v>0</v>
      </c>
      <c r="AY416" s="206">
        <f t="shared" si="410"/>
        <v>0</v>
      </c>
      <c r="AZ416" s="206">
        <f t="shared" si="410"/>
        <v>0</v>
      </c>
      <c r="BA416" s="206">
        <f t="shared" si="410"/>
        <v>0</v>
      </c>
      <c r="BB416" s="464">
        <f t="shared" si="410"/>
        <v>0</v>
      </c>
      <c r="BC416" s="465">
        <f t="shared" si="331"/>
        <v>0</v>
      </c>
      <c r="BD416" s="206"/>
      <c r="BE416" s="466"/>
    </row>
    <row r="417">
      <c r="A417" s="94"/>
      <c r="B417" s="401" t="s">
        <v>715</v>
      </c>
      <c r="C417" s="412" t="s">
        <v>811</v>
      </c>
      <c r="D417" s="323"/>
      <c r="E417" s="259"/>
      <c r="F417" s="132"/>
      <c r="G417" s="246"/>
      <c r="H417" s="132"/>
      <c r="I417" s="246"/>
      <c r="J417" s="132"/>
      <c r="K417" s="246"/>
      <c r="L417" s="462"/>
      <c r="M417" s="132"/>
      <c r="N417" s="246"/>
      <c r="O417" s="132"/>
      <c r="P417" s="246"/>
      <c r="Q417" s="132"/>
      <c r="R417" s="246"/>
      <c r="S417" s="462"/>
      <c r="T417" s="132"/>
      <c r="U417" s="246"/>
      <c r="V417" s="132"/>
      <c r="W417" s="246"/>
      <c r="X417" s="132"/>
      <c r="Y417" s="246"/>
      <c r="Z417" s="462"/>
      <c r="AA417" s="132"/>
      <c r="AB417" s="246"/>
      <c r="AC417" s="132"/>
      <c r="AD417" s="246"/>
      <c r="AE417" s="132"/>
      <c r="AF417" s="246"/>
      <c r="AG417" s="462"/>
      <c r="AH417" s="132"/>
      <c r="AI417" s="246"/>
      <c r="AJ417" s="132"/>
      <c r="AK417" s="246"/>
      <c r="AL417" s="132"/>
      <c r="AM417" s="246"/>
      <c r="AN417" s="462"/>
      <c r="AO417" s="132"/>
      <c r="AP417" s="246"/>
      <c r="AQ417" s="132"/>
      <c r="AR417" s="246"/>
      <c r="AS417" s="132"/>
      <c r="AT417" s="254" t="str">
        <f t="shared" si="411"/>
        <v/>
      </c>
      <c r="AU417" s="269"/>
      <c r="AV417" s="269"/>
      <c r="AW417" s="206" t="str">
        <f t="shared" si="329"/>
        <v>#REF!</v>
      </c>
      <c r="AX417" s="206">
        <f t="shared" ref="AX417:BB417" si="412">AX159</f>
        <v>0</v>
      </c>
      <c r="AY417" s="206">
        <f t="shared" si="412"/>
        <v>0</v>
      </c>
      <c r="AZ417" s="206">
        <f t="shared" si="412"/>
        <v>0</v>
      </c>
      <c r="BA417" s="206">
        <f t="shared" si="412"/>
        <v>0</v>
      </c>
      <c r="BB417" s="464">
        <f t="shared" si="412"/>
        <v>0</v>
      </c>
      <c r="BC417" s="465">
        <f t="shared" si="331"/>
        <v>0</v>
      </c>
      <c r="BD417" s="206"/>
      <c r="BE417" s="466"/>
    </row>
    <row r="418">
      <c r="A418" s="94"/>
      <c r="B418" s="550" t="s">
        <v>812</v>
      </c>
      <c r="C418" s="551" t="s">
        <v>813</v>
      </c>
      <c r="D418" s="363"/>
      <c r="E418" s="259"/>
      <c r="F418" s="132"/>
      <c r="G418" s="246"/>
      <c r="H418" s="132"/>
      <c r="I418" s="246"/>
      <c r="J418" s="132"/>
      <c r="K418" s="246"/>
      <c r="L418" s="462"/>
      <c r="M418" s="132"/>
      <c r="N418" s="246"/>
      <c r="O418" s="132"/>
      <c r="P418" s="246"/>
      <c r="Q418" s="132"/>
      <c r="R418" s="246"/>
      <c r="S418" s="462"/>
      <c r="T418" s="132"/>
      <c r="U418" s="246"/>
      <c r="V418" s="132"/>
      <c r="W418" s="246"/>
      <c r="X418" s="132"/>
      <c r="Y418" s="246"/>
      <c r="Z418" s="462"/>
      <c r="AA418" s="132"/>
      <c r="AB418" s="246"/>
      <c r="AC418" s="132"/>
      <c r="AD418" s="246"/>
      <c r="AE418" s="132"/>
      <c r="AF418" s="246"/>
      <c r="AG418" s="462"/>
      <c r="AH418" s="132"/>
      <c r="AI418" s="246"/>
      <c r="AJ418" s="132"/>
      <c r="AK418" s="246"/>
      <c r="AL418" s="132"/>
      <c r="AM418" s="246"/>
      <c r="AN418" s="462"/>
      <c r="AO418" s="132"/>
      <c r="AP418" s="246"/>
      <c r="AQ418" s="132"/>
      <c r="AR418" s="246"/>
      <c r="AS418" s="132"/>
      <c r="AT418" s="254" t="str">
        <f t="shared" si="411"/>
        <v/>
      </c>
      <c r="AU418" s="269"/>
      <c r="AV418" s="269"/>
      <c r="AW418" s="206" t="str">
        <f t="shared" si="329"/>
        <v>#REF!</v>
      </c>
      <c r="AX418" s="206">
        <f t="shared" ref="AX418:BB418" si="413">AX160</f>
        <v>0</v>
      </c>
      <c r="AY418" s="206">
        <f t="shared" si="413"/>
        <v>0</v>
      </c>
      <c r="AZ418" s="206">
        <f t="shared" si="413"/>
        <v>0</v>
      </c>
      <c r="BA418" s="206">
        <f t="shared" si="413"/>
        <v>0</v>
      </c>
      <c r="BB418" s="464">
        <f t="shared" si="413"/>
        <v>0</v>
      </c>
      <c r="BC418" s="465">
        <f t="shared" si="331"/>
        <v>0</v>
      </c>
      <c r="BD418" s="206"/>
      <c r="BE418" s="466"/>
    </row>
    <row r="419">
      <c r="A419" s="94"/>
      <c r="B419" s="552" t="s">
        <v>814</v>
      </c>
      <c r="C419" s="278" t="s">
        <v>815</v>
      </c>
      <c r="D419" s="330"/>
      <c r="E419" s="259"/>
      <c r="F419" s="132"/>
      <c r="G419" s="246"/>
      <c r="H419" s="132"/>
      <c r="I419" s="246"/>
      <c r="J419" s="132"/>
      <c r="K419" s="246"/>
      <c r="L419" s="462"/>
      <c r="M419" s="132"/>
      <c r="N419" s="246"/>
      <c r="O419" s="132"/>
      <c r="P419" s="246"/>
      <c r="Q419" s="132"/>
      <c r="R419" s="246"/>
      <c r="S419" s="462"/>
      <c r="T419" s="132"/>
      <c r="U419" s="246"/>
      <c r="V419" s="132"/>
      <c r="W419" s="246"/>
      <c r="X419" s="132"/>
      <c r="Y419" s="246"/>
      <c r="Z419" s="462"/>
      <c r="AA419" s="132"/>
      <c r="AB419" s="246"/>
      <c r="AC419" s="132"/>
      <c r="AD419" s="246"/>
      <c r="AE419" s="132"/>
      <c r="AF419" s="246"/>
      <c r="AG419" s="462"/>
      <c r="AH419" s="132"/>
      <c r="AI419" s="246"/>
      <c r="AJ419" s="132"/>
      <c r="AK419" s="246"/>
      <c r="AL419" s="132"/>
      <c r="AM419" s="246"/>
      <c r="AN419" s="462"/>
      <c r="AO419" s="132"/>
      <c r="AP419" s="246"/>
      <c r="AQ419" s="132"/>
      <c r="AR419" s="246"/>
      <c r="AS419" s="132"/>
      <c r="AT419" s="254" t="str">
        <f t="shared" si="411"/>
        <v/>
      </c>
      <c r="AU419" s="269"/>
      <c r="AV419" s="269"/>
      <c r="AW419" s="206" t="str">
        <f t="shared" si="329"/>
        <v>#REF!</v>
      </c>
      <c r="AX419" s="206">
        <f t="shared" ref="AX419:BB419" si="414">AX161</f>
        <v>0</v>
      </c>
      <c r="AY419" s="206">
        <f t="shared" si="414"/>
        <v>0</v>
      </c>
      <c r="AZ419" s="206">
        <f t="shared" si="414"/>
        <v>0</v>
      </c>
      <c r="BA419" s="206">
        <f t="shared" si="414"/>
        <v>0</v>
      </c>
      <c r="BB419" s="464">
        <f t="shared" si="414"/>
        <v>0</v>
      </c>
      <c r="BC419" s="465">
        <f t="shared" si="331"/>
        <v>0</v>
      </c>
      <c r="BD419" s="206"/>
      <c r="BE419" s="466"/>
    </row>
    <row r="420">
      <c r="A420" s="94"/>
      <c r="B420" s="439" t="s">
        <v>816</v>
      </c>
      <c r="C420" s="442" t="s">
        <v>726</v>
      </c>
      <c r="D420" s="330"/>
      <c r="E420" s="259"/>
      <c r="F420" s="132"/>
      <c r="G420" s="246"/>
      <c r="H420" s="132"/>
      <c r="I420" s="246"/>
      <c r="J420" s="132"/>
      <c r="K420" s="246"/>
      <c r="L420" s="462"/>
      <c r="M420" s="132"/>
      <c r="N420" s="246"/>
      <c r="O420" s="132"/>
      <c r="P420" s="246"/>
      <c r="Q420" s="132"/>
      <c r="R420" s="246"/>
      <c r="S420" s="462"/>
      <c r="T420" s="132"/>
      <c r="U420" s="246"/>
      <c r="V420" s="132"/>
      <c r="W420" s="246"/>
      <c r="X420" s="132"/>
      <c r="Y420" s="246"/>
      <c r="Z420" s="462"/>
      <c r="AA420" s="132"/>
      <c r="AB420" s="246"/>
      <c r="AC420" s="132"/>
      <c r="AD420" s="246"/>
      <c r="AE420" s="132"/>
      <c r="AF420" s="246"/>
      <c r="AG420" s="462"/>
      <c r="AH420" s="132"/>
      <c r="AI420" s="246"/>
      <c r="AJ420" s="132"/>
      <c r="AK420" s="246"/>
      <c r="AL420" s="132"/>
      <c r="AM420" s="246"/>
      <c r="AN420" s="462"/>
      <c r="AO420" s="132"/>
      <c r="AP420" s="246"/>
      <c r="AQ420" s="132"/>
      <c r="AR420" s="246"/>
      <c r="AS420" s="132"/>
      <c r="AT420" s="254" t="str">
        <f t="shared" si="411"/>
        <v/>
      </c>
      <c r="AU420" s="269"/>
      <c r="AV420" s="269"/>
      <c r="AW420" s="206" t="str">
        <f t="shared" si="329"/>
        <v>#REF!</v>
      </c>
      <c r="AX420" s="206">
        <f t="shared" ref="AX420:BB420" si="415">AX162</f>
        <v>0</v>
      </c>
      <c r="AY420" s="206">
        <f t="shared" si="415"/>
        <v>0</v>
      </c>
      <c r="AZ420" s="206">
        <f t="shared" si="415"/>
        <v>0</v>
      </c>
      <c r="BA420" s="206">
        <f t="shared" si="415"/>
        <v>0</v>
      </c>
      <c r="BB420" s="464">
        <f t="shared" si="415"/>
        <v>0</v>
      </c>
      <c r="BC420" s="465">
        <f t="shared" si="331"/>
        <v>0</v>
      </c>
      <c r="BD420" s="206"/>
      <c r="BE420" s="466"/>
    </row>
    <row r="421">
      <c r="A421" s="94"/>
      <c r="B421" s="439" t="s">
        <v>817</v>
      </c>
      <c r="C421" s="440" t="s">
        <v>818</v>
      </c>
      <c r="D421" s="330"/>
      <c r="E421" s="259"/>
      <c r="F421" s="446"/>
      <c r="G421" s="246"/>
      <c r="H421" s="446"/>
      <c r="I421" s="246"/>
      <c r="J421" s="446"/>
      <c r="K421" s="246"/>
      <c r="L421" s="462"/>
      <c r="M421" s="446"/>
      <c r="N421" s="246"/>
      <c r="O421" s="446"/>
      <c r="P421" s="246"/>
      <c r="Q421" s="446"/>
      <c r="R421" s="246"/>
      <c r="S421" s="462"/>
      <c r="T421" s="446"/>
      <c r="U421" s="246"/>
      <c r="V421" s="446"/>
      <c r="W421" s="246"/>
      <c r="X421" s="446"/>
      <c r="Y421" s="246"/>
      <c r="Z421" s="462"/>
      <c r="AA421" s="446"/>
      <c r="AB421" s="246"/>
      <c r="AC421" s="446"/>
      <c r="AD421" s="246"/>
      <c r="AE421" s="446"/>
      <c r="AF421" s="246"/>
      <c r="AG421" s="462"/>
      <c r="AH421" s="446"/>
      <c r="AI421" s="246"/>
      <c r="AJ421" s="446"/>
      <c r="AK421" s="246"/>
      <c r="AL421" s="446"/>
      <c r="AM421" s="246"/>
      <c r="AN421" s="462"/>
      <c r="AO421" s="446"/>
      <c r="AP421" s="246"/>
      <c r="AQ421" s="446"/>
      <c r="AR421" s="246"/>
      <c r="AS421" s="446"/>
      <c r="AT421" s="254" t="str">
        <f t="shared" si="411"/>
        <v/>
      </c>
      <c r="AU421" s="269"/>
      <c r="AV421" s="269"/>
      <c r="AW421" s="206" t="str">
        <f t="shared" si="329"/>
        <v>#REF!</v>
      </c>
      <c r="AX421" s="206">
        <f t="shared" ref="AX421:BB421" si="416">AX163</f>
        <v>0</v>
      </c>
      <c r="AY421" s="206">
        <f t="shared" si="416"/>
        <v>0</v>
      </c>
      <c r="AZ421" s="206">
        <f t="shared" si="416"/>
        <v>0</v>
      </c>
      <c r="BA421" s="206">
        <f t="shared" si="416"/>
        <v>0</v>
      </c>
      <c r="BB421" s="464">
        <f t="shared" si="416"/>
        <v>0</v>
      </c>
      <c r="BC421" s="465">
        <f t="shared" si="331"/>
        <v>0</v>
      </c>
      <c r="BD421" s="206"/>
      <c r="BE421" s="466"/>
    </row>
    <row r="422">
      <c r="A422" s="94"/>
      <c r="B422" s="444" t="s">
        <v>727</v>
      </c>
      <c r="C422" s="445" t="s">
        <v>728</v>
      </c>
      <c r="D422" s="330"/>
      <c r="E422" s="259"/>
      <c r="F422" s="446"/>
      <c r="G422" s="246"/>
      <c r="H422" s="446"/>
      <c r="I422" s="246"/>
      <c r="J422" s="446"/>
      <c r="K422" s="246"/>
      <c r="L422" s="462"/>
      <c r="M422" s="446"/>
      <c r="N422" s="246"/>
      <c r="O422" s="446"/>
      <c r="P422" s="246"/>
      <c r="Q422" s="446"/>
      <c r="R422" s="246"/>
      <c r="S422" s="462"/>
      <c r="T422" s="446"/>
      <c r="U422" s="246"/>
      <c r="V422" s="446"/>
      <c r="W422" s="246"/>
      <c r="X422" s="446"/>
      <c r="Y422" s="246"/>
      <c r="Z422" s="462"/>
      <c r="AA422" s="446"/>
      <c r="AB422" s="246"/>
      <c r="AC422" s="446"/>
      <c r="AD422" s="246"/>
      <c r="AE422" s="446"/>
      <c r="AF422" s="246"/>
      <c r="AG422" s="462"/>
      <c r="AH422" s="446"/>
      <c r="AI422" s="246"/>
      <c r="AJ422" s="446"/>
      <c r="AK422" s="246"/>
      <c r="AL422" s="446"/>
      <c r="AM422" s="246"/>
      <c r="AN422" s="462"/>
      <c r="AO422" s="446"/>
      <c r="AP422" s="246"/>
      <c r="AQ422" s="446"/>
      <c r="AR422" s="246"/>
      <c r="AS422" s="446"/>
      <c r="AT422" s="254" t="str">
        <f t="shared" si="411"/>
        <v/>
      </c>
      <c r="AU422" s="269"/>
      <c r="AV422" s="269"/>
      <c r="AW422" s="206" t="str">
        <f t="shared" si="329"/>
        <v>#REF!</v>
      </c>
      <c r="AX422" s="206">
        <f t="shared" ref="AX422:BB422" si="417">AX164</f>
        <v>0</v>
      </c>
      <c r="AY422" s="206">
        <f t="shared" si="417"/>
        <v>0</v>
      </c>
      <c r="AZ422" s="206">
        <f t="shared" si="417"/>
        <v>0</v>
      </c>
      <c r="BA422" s="206">
        <f t="shared" si="417"/>
        <v>0</v>
      </c>
      <c r="BB422" s="464">
        <f t="shared" si="417"/>
        <v>0</v>
      </c>
      <c r="BC422" s="465">
        <f t="shared" si="331"/>
        <v>0</v>
      </c>
      <c r="BD422" s="206"/>
      <c r="BE422" s="466"/>
    </row>
    <row r="423">
      <c r="A423" s="94"/>
      <c r="B423" s="553" t="s">
        <v>819</v>
      </c>
      <c r="C423" s="554"/>
      <c r="D423" s="330"/>
      <c r="E423" s="259"/>
      <c r="F423" s="446"/>
      <c r="G423" s="246"/>
      <c r="H423" s="446"/>
      <c r="I423" s="246"/>
      <c r="J423" s="446"/>
      <c r="K423" s="246"/>
      <c r="L423" s="462"/>
      <c r="M423" s="446"/>
      <c r="N423" s="246"/>
      <c r="O423" s="446"/>
      <c r="P423" s="246"/>
      <c r="Q423" s="446"/>
      <c r="R423" s="246"/>
      <c r="S423" s="462"/>
      <c r="T423" s="446"/>
      <c r="U423" s="246"/>
      <c r="V423" s="446"/>
      <c r="W423" s="246"/>
      <c r="X423" s="446"/>
      <c r="Y423" s="246"/>
      <c r="Z423" s="462"/>
      <c r="AA423" s="446"/>
      <c r="AB423" s="246"/>
      <c r="AC423" s="446"/>
      <c r="AD423" s="246"/>
      <c r="AE423" s="446"/>
      <c r="AF423" s="246"/>
      <c r="AG423" s="462"/>
      <c r="AH423" s="446"/>
      <c r="AI423" s="246"/>
      <c r="AJ423" s="446"/>
      <c r="AK423" s="246"/>
      <c r="AL423" s="446"/>
      <c r="AM423" s="246"/>
      <c r="AN423" s="462"/>
      <c r="AO423" s="446"/>
      <c r="AP423" s="246"/>
      <c r="AQ423" s="446"/>
      <c r="AR423" s="246"/>
      <c r="AS423" s="446"/>
      <c r="AT423" s="254" t="str">
        <f t="shared" si="411"/>
        <v/>
      </c>
      <c r="AU423" s="269"/>
      <c r="AV423" s="269"/>
      <c r="AW423" s="206" t="str">
        <f t="shared" si="329"/>
        <v>#REF!</v>
      </c>
      <c r="AX423" s="206">
        <f t="shared" ref="AX423:BB423" si="418">AX165</f>
        <v>0</v>
      </c>
      <c r="AY423" s="206">
        <f t="shared" si="418"/>
        <v>0</v>
      </c>
      <c r="AZ423" s="206">
        <f t="shared" si="418"/>
        <v>0</v>
      </c>
      <c r="BA423" s="206">
        <f t="shared" si="418"/>
        <v>0</v>
      </c>
      <c r="BB423" s="464">
        <f t="shared" si="418"/>
        <v>0</v>
      </c>
      <c r="BC423" s="465">
        <f t="shared" si="331"/>
        <v>0</v>
      </c>
      <c r="BD423" s="206"/>
      <c r="BE423" s="466"/>
    </row>
    <row r="424">
      <c r="A424" s="94"/>
      <c r="B424" s="450" t="s">
        <v>731</v>
      </c>
      <c r="C424" s="451" t="s">
        <v>732</v>
      </c>
      <c r="D424" s="363"/>
      <c r="E424" s="259"/>
      <c r="F424" s="556"/>
      <c r="G424" s="246"/>
      <c r="H424" s="556"/>
      <c r="I424" s="246"/>
      <c r="J424" s="556"/>
      <c r="K424" s="246"/>
      <c r="L424" s="462"/>
      <c r="M424" s="556"/>
      <c r="N424" s="246"/>
      <c r="O424" s="556"/>
      <c r="P424" s="246"/>
      <c r="Q424" s="556"/>
      <c r="R424" s="246"/>
      <c r="S424" s="462"/>
      <c r="T424" s="556"/>
      <c r="U424" s="246"/>
      <c r="V424" s="556"/>
      <c r="W424" s="246"/>
      <c r="X424" s="556"/>
      <c r="Y424" s="246"/>
      <c r="Z424" s="462"/>
      <c r="AA424" s="556"/>
      <c r="AB424" s="246"/>
      <c r="AC424" s="556"/>
      <c r="AD424" s="246"/>
      <c r="AE424" s="556"/>
      <c r="AF424" s="246"/>
      <c r="AG424" s="462"/>
      <c r="AH424" s="556"/>
      <c r="AI424" s="246"/>
      <c r="AJ424" s="556"/>
      <c r="AK424" s="246"/>
      <c r="AL424" s="556"/>
      <c r="AM424" s="246"/>
      <c r="AN424" s="462"/>
      <c r="AO424" s="556"/>
      <c r="AP424" s="246"/>
      <c r="AQ424" s="556"/>
      <c r="AR424" s="246"/>
      <c r="AS424" s="556"/>
      <c r="AT424" s="254" t="str">
        <f t="shared" si="411"/>
        <v/>
      </c>
      <c r="AU424" s="269"/>
      <c r="AV424" s="269"/>
      <c r="AW424" s="206" t="str">
        <f t="shared" si="329"/>
        <v>#REF!</v>
      </c>
      <c r="AX424" s="206">
        <f t="shared" ref="AX424:BB424" si="419">AX166</f>
        <v>0</v>
      </c>
      <c r="AY424" s="206">
        <f t="shared" si="419"/>
        <v>0</v>
      </c>
      <c r="AZ424" s="206">
        <f t="shared" si="419"/>
        <v>0</v>
      </c>
      <c r="BA424" s="206">
        <f t="shared" si="419"/>
        <v>0</v>
      </c>
      <c r="BB424" s="464">
        <f t="shared" si="419"/>
        <v>0</v>
      </c>
      <c r="BC424" s="465">
        <f t="shared" si="331"/>
        <v>0</v>
      </c>
      <c r="BD424" s="206"/>
      <c r="BE424" s="466"/>
    </row>
    <row r="425">
      <c r="A425" s="94"/>
      <c r="B425" s="555" t="s">
        <v>820</v>
      </c>
      <c r="C425" s="453" t="s">
        <v>734</v>
      </c>
      <c r="D425" s="363"/>
      <c r="E425" s="259"/>
      <c r="F425" s="545"/>
      <c r="G425" s="246"/>
      <c r="H425" s="545"/>
      <c r="I425" s="246"/>
      <c r="J425" s="545"/>
      <c r="K425" s="246"/>
      <c r="L425" s="462"/>
      <c r="M425" s="545"/>
      <c r="N425" s="246"/>
      <c r="O425" s="545"/>
      <c r="P425" s="246"/>
      <c r="Q425" s="545"/>
      <c r="R425" s="246"/>
      <c r="S425" s="462"/>
      <c r="T425" s="545"/>
      <c r="U425" s="246"/>
      <c r="V425" s="545"/>
      <c r="W425" s="246"/>
      <c r="X425" s="545"/>
      <c r="Y425" s="246"/>
      <c r="Z425" s="462"/>
      <c r="AA425" s="545"/>
      <c r="AB425" s="246"/>
      <c r="AC425" s="545"/>
      <c r="AD425" s="246"/>
      <c r="AE425" s="545"/>
      <c r="AF425" s="246"/>
      <c r="AG425" s="462"/>
      <c r="AH425" s="545"/>
      <c r="AI425" s="246"/>
      <c r="AJ425" s="545"/>
      <c r="AK425" s="246"/>
      <c r="AL425" s="545"/>
      <c r="AM425" s="246"/>
      <c r="AN425" s="462"/>
      <c r="AO425" s="545"/>
      <c r="AP425" s="246"/>
      <c r="AQ425" s="545"/>
      <c r="AR425" s="246"/>
      <c r="AS425" s="545"/>
      <c r="AT425" s="254" t="str">
        <f t="shared" si="411"/>
        <v/>
      </c>
      <c r="AU425" s="269"/>
      <c r="AV425" s="269"/>
      <c r="AW425" s="206" t="str">
        <f t="shared" si="329"/>
        <v>#REF!</v>
      </c>
      <c r="AX425" s="206">
        <f t="shared" ref="AX425:BB425" si="420">AX167</f>
        <v>0</v>
      </c>
      <c r="AY425" s="206">
        <f t="shared" si="420"/>
        <v>0</v>
      </c>
      <c r="AZ425" s="206">
        <f t="shared" si="420"/>
        <v>0</v>
      </c>
      <c r="BA425" s="206">
        <f t="shared" si="420"/>
        <v>0</v>
      </c>
      <c r="BB425" s="464">
        <f t="shared" si="420"/>
        <v>0</v>
      </c>
      <c r="BC425" s="465">
        <f t="shared" si="331"/>
        <v>0</v>
      </c>
      <c r="BD425" s="206"/>
      <c r="BE425" s="466"/>
    </row>
    <row r="426">
      <c r="A426" s="94"/>
      <c r="B426" s="557" t="s">
        <v>821</v>
      </c>
      <c r="C426" s="558" t="s">
        <v>822</v>
      </c>
      <c r="D426" s="363"/>
      <c r="E426" s="259"/>
      <c r="F426" s="446"/>
      <c r="G426" s="246"/>
      <c r="H426" s="446"/>
      <c r="I426" s="246"/>
      <c r="J426" s="446"/>
      <c r="K426" s="246"/>
      <c r="L426" s="462"/>
      <c r="M426" s="446"/>
      <c r="N426" s="246"/>
      <c r="O426" s="446"/>
      <c r="P426" s="246"/>
      <c r="Q426" s="446"/>
      <c r="R426" s="246"/>
      <c r="S426" s="462"/>
      <c r="T426" s="446"/>
      <c r="U426" s="246"/>
      <c r="V426" s="446"/>
      <c r="W426" s="246"/>
      <c r="X426" s="446"/>
      <c r="Y426" s="246"/>
      <c r="Z426" s="462"/>
      <c r="AA426" s="446"/>
      <c r="AB426" s="246"/>
      <c r="AC426" s="446"/>
      <c r="AD426" s="246"/>
      <c r="AE426" s="446"/>
      <c r="AF426" s="246"/>
      <c r="AG426" s="462"/>
      <c r="AH426" s="446"/>
      <c r="AI426" s="246"/>
      <c r="AJ426" s="446"/>
      <c r="AK426" s="246"/>
      <c r="AL426" s="446"/>
      <c r="AM426" s="246"/>
      <c r="AN426" s="462"/>
      <c r="AO426" s="446"/>
      <c r="AP426" s="246"/>
      <c r="AQ426" s="446"/>
      <c r="AR426" s="246"/>
      <c r="AS426" s="446"/>
      <c r="AT426" s="254" t="str">
        <f t="shared" si="411"/>
        <v/>
      </c>
      <c r="AU426" s="269"/>
      <c r="AV426" s="269"/>
      <c r="AW426" s="206" t="str">
        <f t="shared" si="329"/>
        <v>#REF!</v>
      </c>
      <c r="AX426" s="206">
        <f t="shared" ref="AX426:BB426" si="421">AX168</f>
        <v>0</v>
      </c>
      <c r="AY426" s="206">
        <f t="shared" si="421"/>
        <v>0</v>
      </c>
      <c r="AZ426" s="206">
        <f t="shared" si="421"/>
        <v>0</v>
      </c>
      <c r="BA426" s="206">
        <f t="shared" si="421"/>
        <v>0</v>
      </c>
      <c r="BB426" s="464">
        <f t="shared" si="421"/>
        <v>0</v>
      </c>
      <c r="BC426" s="465">
        <f t="shared" si="331"/>
        <v>0</v>
      </c>
      <c r="BD426" s="206"/>
      <c r="BE426" s="466"/>
    </row>
    <row r="427">
      <c r="A427" s="94"/>
      <c r="B427" s="454" t="s">
        <v>735</v>
      </c>
      <c r="C427" s="455" t="s">
        <v>736</v>
      </c>
      <c r="D427" s="363"/>
      <c r="E427" s="259"/>
      <c r="F427" s="446"/>
      <c r="G427" s="246"/>
      <c r="H427" s="446"/>
      <c r="I427" s="246"/>
      <c r="J427" s="446"/>
      <c r="K427" s="246"/>
      <c r="L427" s="462"/>
      <c r="M427" s="446"/>
      <c r="N427" s="246"/>
      <c r="O427" s="446"/>
      <c r="P427" s="246"/>
      <c r="Q427" s="446"/>
      <c r="R427" s="246"/>
      <c r="S427" s="462"/>
      <c r="T427" s="446"/>
      <c r="U427" s="246"/>
      <c r="V427" s="446"/>
      <c r="W427" s="246"/>
      <c r="X427" s="446"/>
      <c r="Y427" s="246"/>
      <c r="Z427" s="462"/>
      <c r="AA427" s="446"/>
      <c r="AB427" s="246"/>
      <c r="AC427" s="446"/>
      <c r="AD427" s="246"/>
      <c r="AE427" s="446"/>
      <c r="AF427" s="246"/>
      <c r="AG427" s="462"/>
      <c r="AH427" s="446"/>
      <c r="AI427" s="246"/>
      <c r="AJ427" s="446"/>
      <c r="AK427" s="246"/>
      <c r="AL427" s="446"/>
      <c r="AM427" s="246"/>
      <c r="AN427" s="462"/>
      <c r="AO427" s="446"/>
      <c r="AP427" s="246"/>
      <c r="AQ427" s="446"/>
      <c r="AR427" s="246"/>
      <c r="AS427" s="446"/>
      <c r="AT427" s="254" t="str">
        <f t="shared" si="411"/>
        <v/>
      </c>
      <c r="AU427" s="269"/>
      <c r="AV427" s="269"/>
      <c r="AW427" s="206" t="str">
        <f t="shared" si="329"/>
        <v>#REF!</v>
      </c>
      <c r="AX427" s="206">
        <f t="shared" ref="AX427:BB427" si="422">AX169</f>
        <v>0</v>
      </c>
      <c r="AY427" s="206">
        <f t="shared" si="422"/>
        <v>0</v>
      </c>
      <c r="AZ427" s="206">
        <f t="shared" si="422"/>
        <v>0</v>
      </c>
      <c r="BA427" s="206">
        <f t="shared" si="422"/>
        <v>0</v>
      </c>
      <c r="BB427" s="464">
        <f t="shared" si="422"/>
        <v>0</v>
      </c>
      <c r="BC427" s="465">
        <f t="shared" si="331"/>
        <v>0</v>
      </c>
      <c r="BD427" s="206"/>
      <c r="BE427" s="466"/>
    </row>
    <row r="428">
      <c r="A428" s="94"/>
      <c r="B428" s="454" t="s">
        <v>735</v>
      </c>
      <c r="C428" s="442" t="s">
        <v>736</v>
      </c>
      <c r="D428" s="363"/>
      <c r="E428" s="259"/>
      <c r="F428" s="132"/>
      <c r="G428" s="246"/>
      <c r="H428" s="132"/>
      <c r="I428" s="246"/>
      <c r="J428" s="132"/>
      <c r="K428" s="246"/>
      <c r="L428" s="462"/>
      <c r="M428" s="132"/>
      <c r="N428" s="246"/>
      <c r="O428" s="132"/>
      <c r="P428" s="246"/>
      <c r="Q428" s="132"/>
      <c r="R428" s="246"/>
      <c r="S428" s="462"/>
      <c r="T428" s="132"/>
      <c r="U428" s="246"/>
      <c r="V428" s="132"/>
      <c r="W428" s="246"/>
      <c r="X428" s="132"/>
      <c r="Y428" s="246"/>
      <c r="Z428" s="462"/>
      <c r="AA428" s="132"/>
      <c r="AB428" s="246"/>
      <c r="AC428" s="132"/>
      <c r="AD428" s="246"/>
      <c r="AE428" s="132"/>
      <c r="AF428" s="246"/>
      <c r="AG428" s="462"/>
      <c r="AH428" s="132"/>
      <c r="AI428" s="246"/>
      <c r="AJ428" s="132"/>
      <c r="AK428" s="246"/>
      <c r="AL428" s="132"/>
      <c r="AM428" s="246"/>
      <c r="AN428" s="462"/>
      <c r="AO428" s="132"/>
      <c r="AP428" s="246"/>
      <c r="AQ428" s="132"/>
      <c r="AR428" s="246"/>
      <c r="AS428" s="132"/>
      <c r="AT428" s="254" t="str">
        <f t="shared" si="411"/>
        <v/>
      </c>
      <c r="AU428" s="269"/>
      <c r="AV428" s="269"/>
      <c r="AW428" s="206" t="str">
        <f t="shared" si="329"/>
        <v>#REF!</v>
      </c>
      <c r="AX428" s="206">
        <f t="shared" ref="AX428:BB428" si="423">AX170</f>
        <v>0</v>
      </c>
      <c r="AY428" s="206">
        <f t="shared" si="423"/>
        <v>0</v>
      </c>
      <c r="AZ428" s="206">
        <f t="shared" si="423"/>
        <v>0</v>
      </c>
      <c r="BA428" s="206">
        <f t="shared" si="423"/>
        <v>0</v>
      </c>
      <c r="BB428" s="464">
        <f t="shared" si="423"/>
        <v>0</v>
      </c>
      <c r="BC428" s="465">
        <f t="shared" si="331"/>
        <v>0</v>
      </c>
      <c r="BD428" s="206"/>
      <c r="BE428" s="466"/>
    </row>
    <row r="429">
      <c r="A429" s="94"/>
      <c r="B429" s="457" t="s">
        <v>735</v>
      </c>
      <c r="C429" s="458" t="s">
        <v>737</v>
      </c>
      <c r="D429" s="363"/>
      <c r="E429" s="259"/>
      <c r="F429" s="132"/>
      <c r="G429" s="246"/>
      <c r="H429" s="132"/>
      <c r="I429" s="246"/>
      <c r="J429" s="132"/>
      <c r="K429" s="246"/>
      <c r="L429" s="261"/>
      <c r="M429" s="132"/>
      <c r="N429" s="246"/>
      <c r="O429" s="132"/>
      <c r="P429" s="246"/>
      <c r="Q429" s="132"/>
      <c r="R429" s="246"/>
      <c r="S429" s="261"/>
      <c r="T429" s="132"/>
      <c r="U429" s="246"/>
      <c r="V429" s="132"/>
      <c r="W429" s="246"/>
      <c r="X429" s="132"/>
      <c r="Y429" s="246"/>
      <c r="Z429" s="261"/>
      <c r="AA429" s="132"/>
      <c r="AB429" s="246"/>
      <c r="AC429" s="132"/>
      <c r="AD429" s="246"/>
      <c r="AE429" s="132"/>
      <c r="AF429" s="246"/>
      <c r="AG429" s="261"/>
      <c r="AH429" s="132"/>
      <c r="AI429" s="246"/>
      <c r="AJ429" s="132"/>
      <c r="AK429" s="246"/>
      <c r="AL429" s="132"/>
      <c r="AM429" s="246"/>
      <c r="AN429" s="261"/>
      <c r="AO429" s="132"/>
      <c r="AP429" s="246"/>
      <c r="AQ429" s="132"/>
      <c r="AR429" s="246"/>
      <c r="AS429" s="132"/>
      <c r="AT429" s="254" t="str">
        <f t="shared" si="411"/>
        <v/>
      </c>
      <c r="AU429" s="269"/>
      <c r="AV429" s="269"/>
      <c r="AW429" s="206" t="str">
        <f t="shared" si="329"/>
        <v>#REF!</v>
      </c>
      <c r="AX429" s="206">
        <f t="shared" ref="AX429:BB429" si="424">AX171</f>
        <v>0</v>
      </c>
      <c r="AY429" s="206">
        <f t="shared" si="424"/>
        <v>0</v>
      </c>
      <c r="AZ429" s="206">
        <f t="shared" si="424"/>
        <v>0</v>
      </c>
      <c r="BA429" s="206">
        <f t="shared" si="424"/>
        <v>0</v>
      </c>
      <c r="BB429" s="464">
        <f t="shared" si="424"/>
        <v>0</v>
      </c>
      <c r="BC429" s="465">
        <f t="shared" si="331"/>
        <v>0</v>
      </c>
      <c r="BD429" s="206"/>
      <c r="BE429" s="466"/>
    </row>
    <row r="430">
      <c r="A430" s="94"/>
      <c r="B430" s="459"/>
      <c r="C430" s="460" t="s">
        <v>738</v>
      </c>
      <c r="D430" s="363"/>
      <c r="E430" s="259"/>
      <c r="F430" s="132"/>
      <c r="G430" s="246"/>
      <c r="H430" s="132"/>
      <c r="I430" s="246"/>
      <c r="J430" s="132"/>
      <c r="K430" s="246"/>
      <c r="L430" s="261"/>
      <c r="M430" s="132"/>
      <c r="N430" s="246"/>
      <c r="O430" s="132"/>
      <c r="P430" s="246"/>
      <c r="Q430" s="132"/>
      <c r="R430" s="246"/>
      <c r="S430" s="261"/>
      <c r="T430" s="132"/>
      <c r="U430" s="246"/>
      <c r="V430" s="132"/>
      <c r="W430" s="246"/>
      <c r="X430" s="132"/>
      <c r="Y430" s="246"/>
      <c r="Z430" s="261"/>
      <c r="AA430" s="132"/>
      <c r="AB430" s="246"/>
      <c r="AC430" s="132"/>
      <c r="AD430" s="246"/>
      <c r="AE430" s="132"/>
      <c r="AF430" s="246"/>
      <c r="AG430" s="261"/>
      <c r="AH430" s="132"/>
      <c r="AI430" s="246"/>
      <c r="AJ430" s="132"/>
      <c r="AK430" s="246"/>
      <c r="AL430" s="132"/>
      <c r="AM430" s="246"/>
      <c r="AN430" s="261"/>
      <c r="AO430" s="132"/>
      <c r="AP430" s="246"/>
      <c r="AQ430" s="132"/>
      <c r="AR430" s="246"/>
      <c r="AS430" s="132"/>
      <c r="AT430" s="460"/>
      <c r="AU430" s="269"/>
      <c r="AV430" s="269"/>
      <c r="AW430" s="206" t="str">
        <f t="shared" si="329"/>
        <v>#REF!</v>
      </c>
      <c r="AX430" s="206">
        <f t="shared" ref="AX430:BB430" si="425">AX172</f>
        <v>0</v>
      </c>
      <c r="AY430" s="206">
        <f t="shared" si="425"/>
        <v>0</v>
      </c>
      <c r="AZ430" s="206">
        <f t="shared" si="425"/>
        <v>0</v>
      </c>
      <c r="BA430" s="206">
        <f t="shared" si="425"/>
        <v>0</v>
      </c>
      <c r="BB430" s="464">
        <f t="shared" si="425"/>
        <v>0</v>
      </c>
      <c r="BC430" s="465" t="str">
        <f t="shared" si="331"/>
        <v/>
      </c>
      <c r="BD430" s="206"/>
      <c r="BE430" s="466"/>
    </row>
    <row r="431">
      <c r="A431" s="270"/>
      <c r="B431" s="459"/>
      <c r="C431" s="460" t="s">
        <v>738</v>
      </c>
      <c r="D431" s="363"/>
      <c r="E431" s="259"/>
      <c r="F431" s="132"/>
      <c r="G431" s="246"/>
      <c r="H431" s="132"/>
      <c r="I431" s="246"/>
      <c r="J431" s="132"/>
      <c r="K431" s="246"/>
      <c r="L431" s="261"/>
      <c r="M431" s="132"/>
      <c r="N431" s="246"/>
      <c r="O431" s="132"/>
      <c r="P431" s="246"/>
      <c r="Q431" s="132"/>
      <c r="R431" s="246"/>
      <c r="S431" s="261"/>
      <c r="T431" s="132"/>
      <c r="U431" s="246"/>
      <c r="V431" s="132"/>
      <c r="W431" s="246"/>
      <c r="X431" s="132"/>
      <c r="Y431" s="246"/>
      <c r="Z431" s="261"/>
      <c r="AA431" s="132"/>
      <c r="AB431" s="246"/>
      <c r="AC431" s="132"/>
      <c r="AD431" s="246"/>
      <c r="AE431" s="132"/>
      <c r="AF431" s="246"/>
      <c r="AG431" s="261"/>
      <c r="AH431" s="132"/>
      <c r="AI431" s="246"/>
      <c r="AJ431" s="132"/>
      <c r="AK431" s="246"/>
      <c r="AL431" s="132"/>
      <c r="AM431" s="246"/>
      <c r="AN431" s="261"/>
      <c r="AO431" s="132"/>
      <c r="AP431" s="246"/>
      <c r="AQ431" s="132"/>
      <c r="AR431" s="246"/>
      <c r="AS431" s="132"/>
      <c r="AT431" s="460"/>
      <c r="AU431" s="236"/>
      <c r="AV431" s="236"/>
      <c r="AW431" s="206" t="str">
        <f t="shared" si="329"/>
        <v>#REF!</v>
      </c>
      <c r="AX431" s="206">
        <f t="shared" ref="AX431:BB431" si="426">AX173</f>
        <v>0</v>
      </c>
      <c r="AY431" s="206">
        <f t="shared" si="426"/>
        <v>0</v>
      </c>
      <c r="AZ431" s="206">
        <f t="shared" si="426"/>
        <v>0</v>
      </c>
      <c r="BA431" s="206">
        <f t="shared" si="426"/>
        <v>0</v>
      </c>
      <c r="BB431" s="464">
        <f t="shared" si="426"/>
        <v>0</v>
      </c>
      <c r="BC431" s="465" t="str">
        <f t="shared" si="331"/>
        <v/>
      </c>
      <c r="BD431" s="206"/>
      <c r="BE431" s="466"/>
    </row>
    <row r="432">
      <c r="A432" s="236"/>
      <c r="B432" s="459"/>
      <c r="C432" s="460" t="s">
        <v>738</v>
      </c>
      <c r="D432" s="363"/>
      <c r="E432" s="259"/>
      <c r="F432" s="132"/>
      <c r="G432" s="246"/>
      <c r="H432" s="132"/>
      <c r="I432" s="246"/>
      <c r="J432" s="132"/>
      <c r="K432" s="246"/>
      <c r="L432" s="261"/>
      <c r="M432" s="132"/>
      <c r="N432" s="246"/>
      <c r="O432" s="132"/>
      <c r="P432" s="246"/>
      <c r="Q432" s="132"/>
      <c r="R432" s="246"/>
      <c r="S432" s="261"/>
      <c r="T432" s="132"/>
      <c r="U432" s="246"/>
      <c r="V432" s="132"/>
      <c r="W432" s="246"/>
      <c r="X432" s="132"/>
      <c r="Y432" s="246"/>
      <c r="Z432" s="261"/>
      <c r="AA432" s="132"/>
      <c r="AB432" s="246"/>
      <c r="AC432" s="132"/>
      <c r="AD432" s="246"/>
      <c r="AE432" s="132"/>
      <c r="AF432" s="246"/>
      <c r="AG432" s="261"/>
      <c r="AH432" s="132"/>
      <c r="AI432" s="246"/>
      <c r="AJ432" s="132"/>
      <c r="AK432" s="246"/>
      <c r="AL432" s="132"/>
      <c r="AM432" s="246"/>
      <c r="AN432" s="261"/>
      <c r="AO432" s="132"/>
      <c r="AP432" s="246"/>
      <c r="AQ432" s="132"/>
      <c r="AR432" s="246"/>
      <c r="AS432" s="132"/>
      <c r="AT432" s="460"/>
      <c r="AU432" s="236"/>
      <c r="AV432" s="236"/>
      <c r="AW432" s="206" t="str">
        <f t="shared" si="329"/>
        <v>#REF!</v>
      </c>
      <c r="AX432" s="206">
        <f t="shared" ref="AX432:BB432" si="427">AX174</f>
        <v>0</v>
      </c>
      <c r="AY432" s="206">
        <f t="shared" si="427"/>
        <v>0</v>
      </c>
      <c r="AZ432" s="206">
        <f t="shared" si="427"/>
        <v>0</v>
      </c>
      <c r="BA432" s="206">
        <f t="shared" si="427"/>
        <v>0</v>
      </c>
      <c r="BB432" s="464">
        <f t="shared" si="427"/>
        <v>0</v>
      </c>
      <c r="BC432" s="465" t="str">
        <f t="shared" si="331"/>
        <v/>
      </c>
      <c r="BD432" s="206"/>
      <c r="BE432" s="466"/>
    </row>
    <row r="433">
      <c r="A433" s="236"/>
      <c r="B433" s="459"/>
      <c r="C433" s="460"/>
      <c r="D433" s="460"/>
      <c r="E433" s="559"/>
      <c r="F433" s="460"/>
      <c r="G433" s="460"/>
      <c r="H433" s="460"/>
      <c r="I433" s="460"/>
      <c r="J433" s="460"/>
      <c r="K433" s="460"/>
      <c r="L433" s="460"/>
      <c r="M433" s="460"/>
      <c r="N433" s="460"/>
      <c r="O433" s="460"/>
      <c r="P433" s="460"/>
      <c r="Q433" s="460"/>
      <c r="R433" s="460"/>
      <c r="S433" s="460"/>
      <c r="T433" s="460"/>
      <c r="U433" s="460"/>
      <c r="V433" s="460"/>
      <c r="W433" s="460"/>
      <c r="X433" s="460"/>
      <c r="Y433" s="460"/>
      <c r="Z433" s="460"/>
      <c r="AA433" s="460"/>
      <c r="AB433" s="460"/>
      <c r="AC433" s="460"/>
      <c r="AD433" s="460"/>
      <c r="AE433" s="460"/>
      <c r="AF433" s="460"/>
      <c r="AG433" s="460"/>
      <c r="AH433" s="460"/>
      <c r="AI433" s="460"/>
      <c r="AJ433" s="460"/>
      <c r="AK433" s="460"/>
      <c r="AL433" s="460"/>
      <c r="AM433" s="460"/>
      <c r="AN433" s="460"/>
      <c r="AO433" s="460"/>
      <c r="AP433" s="460"/>
      <c r="AQ433" s="460"/>
      <c r="AR433" s="460"/>
      <c r="AS433" s="460"/>
      <c r="AT433" s="460"/>
      <c r="AU433" s="236"/>
      <c r="AV433" s="236"/>
      <c r="AW433" s="182"/>
      <c r="AX433" s="182"/>
      <c r="AY433" s="182"/>
      <c r="AZ433" s="182"/>
      <c r="BA433" s="182"/>
      <c r="BB433" s="182"/>
      <c r="BC433" s="182"/>
      <c r="BD433" s="182"/>
      <c r="BE433" s="466"/>
    </row>
  </sheetData>
  <mergeCells count="132">
    <mergeCell ref="F89:L89"/>
    <mergeCell ref="M89:S89"/>
    <mergeCell ref="T89:Z89"/>
    <mergeCell ref="AA89:AG89"/>
    <mergeCell ref="AH89:AN89"/>
    <mergeCell ref="AO89:AT89"/>
    <mergeCell ref="F90:L90"/>
    <mergeCell ref="AO90:AT90"/>
    <mergeCell ref="M90:S90"/>
    <mergeCell ref="T90:Z90"/>
    <mergeCell ref="H91:I91"/>
    <mergeCell ref="J91:L91"/>
    <mergeCell ref="Q91:R91"/>
    <mergeCell ref="X91:Y91"/>
    <mergeCell ref="AE91:AF91"/>
    <mergeCell ref="M1:V2"/>
    <mergeCell ref="W1:AT2"/>
    <mergeCell ref="M3:S3"/>
    <mergeCell ref="T3:Z3"/>
    <mergeCell ref="AA3:AG3"/>
    <mergeCell ref="AH3:AN3"/>
    <mergeCell ref="AO3:AT3"/>
    <mergeCell ref="F3:L3"/>
    <mergeCell ref="M4:S4"/>
    <mergeCell ref="T4:Z4"/>
    <mergeCell ref="AA4:AG4"/>
    <mergeCell ref="AH4:AN4"/>
    <mergeCell ref="AO4:AT4"/>
    <mergeCell ref="AW4:BA4"/>
    <mergeCell ref="AS5:AT5"/>
    <mergeCell ref="AU7:AV7"/>
    <mergeCell ref="AU8:AV8"/>
    <mergeCell ref="AU9:AV9"/>
    <mergeCell ref="AU10:AV10"/>
    <mergeCell ref="AU11:AV11"/>
    <mergeCell ref="AU12:AV12"/>
    <mergeCell ref="F4:L4"/>
    <mergeCell ref="H5:I5"/>
    <mergeCell ref="J5:L5"/>
    <mergeCell ref="Q5:R5"/>
    <mergeCell ref="X5:Y5"/>
    <mergeCell ref="AE5:AF5"/>
    <mergeCell ref="AL5:AM5"/>
    <mergeCell ref="AA90:AG90"/>
    <mergeCell ref="AH90:AN90"/>
    <mergeCell ref="AW90:BA90"/>
    <mergeCell ref="AL91:AM91"/>
    <mergeCell ref="AS91:AT91"/>
    <mergeCell ref="AU93:AV93"/>
    <mergeCell ref="AU94:AV94"/>
    <mergeCell ref="AU95:AV95"/>
    <mergeCell ref="AU96:AV96"/>
    <mergeCell ref="AU97:AV97"/>
    <mergeCell ref="AU98:AV98"/>
    <mergeCell ref="M176:S176"/>
    <mergeCell ref="T176:Z176"/>
    <mergeCell ref="AW176:BA176"/>
    <mergeCell ref="AA348:AG348"/>
    <mergeCell ref="AH348:AN348"/>
    <mergeCell ref="AW348:BA348"/>
    <mergeCell ref="F347:L347"/>
    <mergeCell ref="M347:S347"/>
    <mergeCell ref="T347:Z347"/>
    <mergeCell ref="AA347:AG347"/>
    <mergeCell ref="AH347:AN347"/>
    <mergeCell ref="AO347:AT347"/>
    <mergeCell ref="F348:L348"/>
    <mergeCell ref="AO348:AT348"/>
    <mergeCell ref="AL349:AM349"/>
    <mergeCell ref="AS349:AT349"/>
    <mergeCell ref="AU351:AV351"/>
    <mergeCell ref="AU352:AV352"/>
    <mergeCell ref="AU353:AV353"/>
    <mergeCell ref="AU354:AV354"/>
    <mergeCell ref="AU355:AV355"/>
    <mergeCell ref="AU356:AV356"/>
    <mergeCell ref="M348:S348"/>
    <mergeCell ref="T348:Z348"/>
    <mergeCell ref="H349:I349"/>
    <mergeCell ref="J349:L349"/>
    <mergeCell ref="Q349:R349"/>
    <mergeCell ref="X349:Y349"/>
    <mergeCell ref="AE349:AF349"/>
    <mergeCell ref="AA176:AG176"/>
    <mergeCell ref="AH176:AN176"/>
    <mergeCell ref="AU179:AV179"/>
    <mergeCell ref="AU180:AV180"/>
    <mergeCell ref="AU181:AV181"/>
    <mergeCell ref="AU182:AV182"/>
    <mergeCell ref="AU183:AV183"/>
    <mergeCell ref="AU184:AV184"/>
    <mergeCell ref="F175:L175"/>
    <mergeCell ref="M175:S175"/>
    <mergeCell ref="T175:Z175"/>
    <mergeCell ref="AA175:AG175"/>
    <mergeCell ref="AH175:AN175"/>
    <mergeCell ref="AO175:AT175"/>
    <mergeCell ref="AO176:AT176"/>
    <mergeCell ref="F176:L176"/>
    <mergeCell ref="H177:I177"/>
    <mergeCell ref="Q177:R177"/>
    <mergeCell ref="X177:Y177"/>
    <mergeCell ref="AE177:AF177"/>
    <mergeCell ref="AL177:AM177"/>
    <mergeCell ref="AS177:AT177"/>
    <mergeCell ref="J177:L177"/>
    <mergeCell ref="F261:L261"/>
    <mergeCell ref="M261:S261"/>
    <mergeCell ref="T261:Z261"/>
    <mergeCell ref="AA261:AG261"/>
    <mergeCell ref="AH261:AN261"/>
    <mergeCell ref="AO261:AT261"/>
    <mergeCell ref="F262:L262"/>
    <mergeCell ref="M262:S262"/>
    <mergeCell ref="T262:Z262"/>
    <mergeCell ref="AA262:AG262"/>
    <mergeCell ref="AH262:AN262"/>
    <mergeCell ref="AO262:AT262"/>
    <mergeCell ref="AW262:BA262"/>
    <mergeCell ref="AU265:AV265"/>
    <mergeCell ref="AU266:AV266"/>
    <mergeCell ref="AU267:AV267"/>
    <mergeCell ref="AU268:AV268"/>
    <mergeCell ref="AU269:AV269"/>
    <mergeCell ref="AU270:AV270"/>
    <mergeCell ref="H263:I263"/>
    <mergeCell ref="J263:L263"/>
    <mergeCell ref="Q263:R263"/>
    <mergeCell ref="X263:Y263"/>
    <mergeCell ref="AE263:AF263"/>
    <mergeCell ref="AL263:AM263"/>
    <mergeCell ref="AS263:AT263"/>
  </mergeCells>
  <dataValidations>
    <dataValidation type="list" allowBlank="1" showErrorMessage="1" sqref="C3 C89 C175 C261 C347">
      <formula1>"RTC,RG,PUB,Working on it"</formula1>
    </dataValidation>
  </dataValidations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.5"/>
    <col customWidth="1" min="2" max="2" width="18.0"/>
    <col customWidth="1" min="3" max="3" width="10.88"/>
    <col customWidth="1" min="4" max="4" width="8.0"/>
    <col customWidth="1" min="5" max="5" width="1.75"/>
    <col customWidth="1" min="6" max="6" width="14.75"/>
    <col customWidth="1" min="7" max="7" width="0.88"/>
    <col customWidth="1" min="8" max="8" width="15.13"/>
    <col customWidth="1" min="9" max="9" width="0.88"/>
    <col customWidth="1" min="10" max="10" width="14.75"/>
    <col customWidth="1" min="11" max="11" width="0.88"/>
    <col customWidth="1" min="12" max="12" width="1.75"/>
    <col customWidth="1" min="13" max="13" width="15.63"/>
    <col customWidth="1" min="14" max="14" width="0.88"/>
    <col customWidth="1" min="15" max="15" width="15.63"/>
    <col customWidth="1" min="16" max="16" width="0.88"/>
    <col customWidth="1" min="17" max="17" width="14.75"/>
    <col customWidth="1" min="18" max="18" width="0.88"/>
    <col customWidth="1" min="19" max="19" width="1.75"/>
    <col customWidth="1" min="20" max="20" width="16.38"/>
    <col customWidth="1" min="21" max="21" width="0.88"/>
    <col customWidth="1" min="22" max="22" width="14.25"/>
    <col customWidth="1" min="23" max="23" width="0.88"/>
    <col customWidth="1" min="24" max="24" width="14.75"/>
    <col customWidth="1" min="25" max="25" width="0.88"/>
    <col customWidth="1" min="26" max="26" width="1.75"/>
    <col customWidth="1" min="27" max="27" width="16.38"/>
    <col customWidth="1" min="28" max="28" width="0.88"/>
    <col customWidth="1" min="29" max="29" width="16.38"/>
    <col customWidth="1" min="30" max="30" width="0.88"/>
    <col customWidth="1" min="31" max="31" width="14.75"/>
    <col customWidth="1" min="32" max="32" width="0.88"/>
    <col customWidth="1" min="33" max="33" width="1.75"/>
    <col customWidth="1" min="34" max="34" width="16.38"/>
    <col customWidth="1" min="35" max="35" width="0.88"/>
    <col customWidth="1" min="36" max="36" width="16.38"/>
    <col customWidth="1" min="37" max="37" width="0.88"/>
    <col customWidth="1" min="38" max="38" width="14.75"/>
    <col customWidth="1" min="39" max="39" width="0.88"/>
    <col customWidth="1" min="40" max="40" width="1.75"/>
    <col customWidth="1" min="41" max="41" width="16.38"/>
    <col customWidth="1" min="42" max="42" width="0.88"/>
    <col customWidth="1" min="43" max="43" width="16.38"/>
    <col customWidth="1" min="44" max="44" width="0.88"/>
    <col customWidth="1" min="45" max="45" width="14.75"/>
    <col customWidth="1" min="46" max="46" width="0.88"/>
    <col customWidth="1" min="47" max="47" width="1.5"/>
    <col customWidth="1" min="48" max="48" width="2.75"/>
  </cols>
  <sheetData>
    <row r="1" ht="9.75" customHeight="1">
      <c r="A1" s="172" t="s">
        <v>956</v>
      </c>
      <c r="B1" s="173" t="s">
        <v>603</v>
      </c>
      <c r="C1" s="174"/>
      <c r="D1" s="174"/>
      <c r="E1" s="175"/>
      <c r="F1" s="176"/>
      <c r="G1" s="176"/>
      <c r="H1" s="176"/>
      <c r="I1" s="177"/>
      <c r="J1" s="177"/>
      <c r="K1" s="177"/>
      <c r="L1" s="177"/>
      <c r="M1" s="178" t="s">
        <v>477</v>
      </c>
      <c r="W1" s="179"/>
      <c r="AU1" s="176"/>
      <c r="AV1" s="176"/>
    </row>
    <row r="2" ht="9.75" customHeight="1">
      <c r="A2" s="176"/>
      <c r="B2" s="176"/>
      <c r="C2" s="176"/>
      <c r="D2" s="176"/>
      <c r="E2" s="180"/>
      <c r="F2" s="176"/>
      <c r="G2" s="176"/>
      <c r="H2" s="176"/>
      <c r="I2" s="181"/>
      <c r="J2" s="181"/>
      <c r="K2" s="181"/>
      <c r="L2" s="181"/>
      <c r="AU2" s="176"/>
      <c r="AV2" s="176"/>
    </row>
    <row r="3">
      <c r="A3" s="182"/>
      <c r="B3" s="183" t="s">
        <v>604</v>
      </c>
      <c r="C3" s="184" t="s">
        <v>605</v>
      </c>
      <c r="D3" s="185" t="s">
        <v>486</v>
      </c>
      <c r="E3" s="186"/>
      <c r="F3" s="185" t="s">
        <v>487</v>
      </c>
      <c r="M3" s="185" t="s">
        <v>488</v>
      </c>
      <c r="T3" s="185" t="s">
        <v>489</v>
      </c>
      <c r="AA3" s="185" t="s">
        <v>490</v>
      </c>
      <c r="AH3" s="185" t="s">
        <v>491</v>
      </c>
      <c r="AO3" s="185" t="s">
        <v>492</v>
      </c>
      <c r="AU3" s="182"/>
      <c r="AV3" s="182"/>
    </row>
    <row r="4">
      <c r="A4" s="182"/>
      <c r="B4" s="187"/>
      <c r="C4" s="187"/>
      <c r="D4" s="188">
        <v>29.0</v>
      </c>
      <c r="E4" s="189"/>
      <c r="F4" s="188">
        <v>30.0</v>
      </c>
      <c r="M4" s="188">
        <v>31.0</v>
      </c>
      <c r="T4" s="188">
        <v>1.0</v>
      </c>
      <c r="AA4" s="188">
        <v>2.0</v>
      </c>
      <c r="AH4" s="188">
        <v>3.0</v>
      </c>
      <c r="AO4" s="188">
        <v>4.0</v>
      </c>
      <c r="AU4" s="182"/>
      <c r="AV4" s="182"/>
    </row>
    <row r="5">
      <c r="A5" s="182"/>
      <c r="B5" s="193" t="s">
        <v>608</v>
      </c>
      <c r="C5" s="193" t="s">
        <v>609</v>
      </c>
      <c r="D5" s="187"/>
      <c r="E5" s="189"/>
      <c r="F5" s="194" t="s">
        <v>610</v>
      </c>
      <c r="G5" s="195"/>
      <c r="H5" s="193" t="s">
        <v>611</v>
      </c>
      <c r="J5" s="194" t="s">
        <v>612</v>
      </c>
      <c r="M5" s="194" t="s">
        <v>610</v>
      </c>
      <c r="N5" s="195"/>
      <c r="O5" s="193" t="s">
        <v>611</v>
      </c>
      <c r="P5" s="195"/>
      <c r="Q5" s="194" t="s">
        <v>612</v>
      </c>
      <c r="S5" s="193"/>
      <c r="T5" s="194" t="s">
        <v>610</v>
      </c>
      <c r="U5" s="195"/>
      <c r="V5" s="193" t="s">
        <v>611</v>
      </c>
      <c r="W5" s="195"/>
      <c r="X5" s="194" t="s">
        <v>612</v>
      </c>
      <c r="Z5" s="193"/>
      <c r="AA5" s="194" t="s">
        <v>610</v>
      </c>
      <c r="AB5" s="195"/>
      <c r="AC5" s="193" t="s">
        <v>611</v>
      </c>
      <c r="AD5" s="195"/>
      <c r="AE5" s="194" t="s">
        <v>612</v>
      </c>
      <c r="AG5" s="193"/>
      <c r="AH5" s="194" t="s">
        <v>610</v>
      </c>
      <c r="AI5" s="195"/>
      <c r="AJ5" s="193" t="s">
        <v>611</v>
      </c>
      <c r="AK5" s="195"/>
      <c r="AL5" s="194" t="s">
        <v>612</v>
      </c>
      <c r="AN5" s="193"/>
      <c r="AO5" s="194" t="s">
        <v>610</v>
      </c>
      <c r="AP5" s="195"/>
      <c r="AQ5" s="193" t="s">
        <v>611</v>
      </c>
      <c r="AR5" s="195"/>
      <c r="AS5" s="194" t="s">
        <v>612</v>
      </c>
      <c r="AU5" s="182"/>
      <c r="AV5" s="182"/>
    </row>
    <row r="6" ht="15.0" customHeight="1">
      <c r="A6" s="199"/>
      <c r="B6" s="200" t="s">
        <v>620</v>
      </c>
      <c r="C6" s="201"/>
      <c r="D6" s="201"/>
      <c r="E6" s="202"/>
      <c r="F6" s="203"/>
      <c r="G6" s="204"/>
      <c r="H6" s="203"/>
      <c r="I6" s="204"/>
      <c r="J6" s="203"/>
      <c r="K6" s="204"/>
      <c r="L6" s="205"/>
      <c r="M6" s="203"/>
      <c r="N6" s="204"/>
      <c r="O6" s="203"/>
      <c r="P6" s="204"/>
      <c r="Q6" s="203"/>
      <c r="R6" s="204"/>
      <c r="S6" s="205"/>
      <c r="T6" s="203"/>
      <c r="U6" s="204"/>
      <c r="V6" s="203"/>
      <c r="W6" s="204"/>
      <c r="X6" s="203"/>
      <c r="Y6" s="204"/>
      <c r="Z6" s="205"/>
      <c r="AA6" s="203"/>
      <c r="AB6" s="204"/>
      <c r="AC6" s="203"/>
      <c r="AD6" s="204"/>
      <c r="AE6" s="203"/>
      <c r="AF6" s="204"/>
      <c r="AG6" s="205"/>
      <c r="AH6" s="203"/>
      <c r="AI6" s="204"/>
      <c r="AJ6" s="203" t="s">
        <v>827</v>
      </c>
      <c r="AK6" s="204"/>
      <c r="AL6" s="203"/>
      <c r="AM6" s="204"/>
      <c r="AN6" s="205"/>
      <c r="AO6" s="203"/>
      <c r="AP6" s="204"/>
      <c r="AQ6" s="203"/>
      <c r="AR6" s="204"/>
      <c r="AS6" s="203"/>
      <c r="AT6" s="204"/>
      <c r="AU6" s="199"/>
      <c r="AV6" s="199"/>
    </row>
    <row r="7">
      <c r="A7" s="234"/>
      <c r="B7" s="235" t="s">
        <v>608</v>
      </c>
      <c r="C7" s="195" t="s">
        <v>609</v>
      </c>
      <c r="D7" s="236"/>
      <c r="E7" s="237"/>
      <c r="F7" s="238"/>
      <c r="G7" s="182"/>
      <c r="H7" s="238"/>
      <c r="I7" s="239"/>
      <c r="J7" s="238"/>
      <c r="K7" s="239"/>
      <c r="L7" s="237"/>
      <c r="M7" s="238"/>
      <c r="N7" s="182"/>
      <c r="O7" s="238"/>
      <c r="P7" s="239"/>
      <c r="Q7" s="238"/>
      <c r="R7" s="239"/>
      <c r="S7" s="237"/>
      <c r="T7" s="238"/>
      <c r="U7" s="182"/>
      <c r="V7" s="238"/>
      <c r="W7" s="239"/>
      <c r="X7" s="238"/>
      <c r="Y7" s="239"/>
      <c r="Z7" s="237"/>
      <c r="AA7" s="238"/>
      <c r="AB7" s="182"/>
      <c r="AC7" s="238"/>
      <c r="AD7" s="239"/>
      <c r="AE7" s="238"/>
      <c r="AF7" s="239"/>
      <c r="AG7" s="237"/>
      <c r="AH7" s="238"/>
      <c r="AI7" s="182"/>
      <c r="AJ7" s="238"/>
      <c r="AK7" s="239"/>
      <c r="AL7" s="238"/>
      <c r="AM7" s="239"/>
      <c r="AN7" s="237"/>
      <c r="AO7" s="238"/>
      <c r="AP7" s="182"/>
      <c r="AQ7" s="238"/>
      <c r="AR7" s="239"/>
      <c r="AS7" s="238"/>
      <c r="AT7" s="239"/>
      <c r="AU7" s="236"/>
      <c r="AV7" s="236"/>
    </row>
    <row r="8" ht="14.25" customHeight="1">
      <c r="A8" s="240"/>
      <c r="B8" s="241" t="s">
        <v>638</v>
      </c>
      <c r="C8" s="242" t="s">
        <v>639</v>
      </c>
      <c r="D8" s="243"/>
      <c r="E8" s="244"/>
      <c r="F8" s="247"/>
      <c r="G8" s="246"/>
      <c r="I8" s="246"/>
      <c r="J8" s="274" t="s">
        <v>414</v>
      </c>
      <c r="K8" s="246"/>
      <c r="L8" s="249"/>
      <c r="M8" s="250"/>
      <c r="N8" s="246"/>
      <c r="O8" s="282"/>
      <c r="P8" s="246"/>
      <c r="Q8" s="282"/>
      <c r="R8" s="246"/>
      <c r="S8" s="249"/>
      <c r="T8" s="250"/>
      <c r="U8" s="246"/>
      <c r="V8" s="281"/>
      <c r="W8" s="246"/>
      <c r="X8" s="251" t="s">
        <v>405</v>
      </c>
      <c r="Y8" s="246"/>
      <c r="Z8" s="249"/>
      <c r="AA8" s="250"/>
      <c r="AB8" s="246"/>
      <c r="AD8" s="246"/>
      <c r="AF8" s="246"/>
      <c r="AG8" s="249"/>
      <c r="AH8" s="371"/>
      <c r="AI8" s="246"/>
      <c r="AK8" s="246"/>
      <c r="AM8" s="246"/>
      <c r="AN8" s="249"/>
      <c r="AO8" s="250"/>
      <c r="AP8" s="246"/>
      <c r="AQ8" s="276"/>
      <c r="AR8" s="246"/>
      <c r="AS8" s="252"/>
      <c r="AT8" s="254" t="str">
        <f>IF(COUNTIF($AO$80:$AT$82, #REF!) &gt; 0, "X", "")</f>
        <v/>
      </c>
      <c r="AU8" s="255"/>
      <c r="AV8" s="255"/>
    </row>
    <row r="9" ht="13.5" customHeight="1">
      <c r="A9" s="94"/>
      <c r="B9" s="256" t="s">
        <v>638</v>
      </c>
      <c r="C9" s="257" t="s">
        <v>639</v>
      </c>
      <c r="D9" s="258"/>
      <c r="E9" s="259"/>
      <c r="F9" s="264"/>
      <c r="G9" s="246"/>
      <c r="H9" s="426"/>
      <c r="I9" s="246"/>
      <c r="J9" s="265"/>
      <c r="K9" s="246"/>
      <c r="L9" s="261"/>
      <c r="M9" s="262"/>
      <c r="N9" s="246"/>
      <c r="P9" s="246"/>
      <c r="Q9" s="282"/>
      <c r="R9" s="246"/>
      <c r="S9" s="261"/>
      <c r="T9" s="262"/>
      <c r="U9" s="246"/>
      <c r="V9" s="281"/>
      <c r="W9" s="246"/>
      <c r="Y9" s="246"/>
      <c r="Z9" s="261"/>
      <c r="AA9" s="262"/>
      <c r="AB9" s="246"/>
      <c r="AD9" s="246"/>
      <c r="AF9" s="246"/>
      <c r="AG9" s="261"/>
      <c r="AH9" s="426"/>
      <c r="AI9" s="246"/>
      <c r="AJ9" s="274" t="s">
        <v>414</v>
      </c>
      <c r="AK9" s="246"/>
      <c r="AM9" s="246"/>
      <c r="AN9" s="261"/>
      <c r="AO9" s="262"/>
      <c r="AP9" s="246"/>
      <c r="AQ9" s="598"/>
      <c r="AR9" s="246"/>
      <c r="AS9" s="598"/>
      <c r="AT9" s="254" t="str">
        <f>IF(COUNTIF($AO$80:$AT$82, AS14) &gt; 0, "X", "")</f>
        <v/>
      </c>
      <c r="AU9" s="269"/>
      <c r="AV9" s="269"/>
    </row>
    <row r="10" ht="13.5" customHeight="1">
      <c r="A10" s="270"/>
      <c r="B10" s="271" t="s">
        <v>642</v>
      </c>
      <c r="C10" s="272" t="s">
        <v>639</v>
      </c>
      <c r="D10" s="258"/>
      <c r="E10" s="259"/>
      <c r="F10" s="275"/>
      <c r="G10" s="246"/>
      <c r="H10" s="280" t="s">
        <v>400</v>
      </c>
      <c r="I10" s="246"/>
      <c r="J10" s="282"/>
      <c r="K10" s="246"/>
      <c r="L10" s="261"/>
      <c r="M10" s="250"/>
      <c r="N10" s="246"/>
      <c r="O10" s="281"/>
      <c r="P10" s="246"/>
      <c r="Q10" s="282"/>
      <c r="R10" s="246"/>
      <c r="S10" s="261"/>
      <c r="T10" s="250"/>
      <c r="U10" s="246"/>
      <c r="V10" s="281"/>
      <c r="W10" s="246"/>
      <c r="X10" s="280" t="s">
        <v>400</v>
      </c>
      <c r="Y10" s="246"/>
      <c r="Z10" s="261"/>
      <c r="AA10" s="250"/>
      <c r="AB10" s="246"/>
      <c r="AD10" s="246"/>
      <c r="AF10" s="246"/>
      <c r="AG10" s="261"/>
      <c r="AH10" s="282"/>
      <c r="AI10" s="246"/>
      <c r="AK10" s="246"/>
      <c r="AL10" s="281"/>
      <c r="AM10" s="246"/>
      <c r="AN10" s="261"/>
      <c r="AO10" s="250"/>
      <c r="AP10" s="246"/>
      <c r="AQ10" s="276"/>
      <c r="AR10" s="246"/>
      <c r="AS10" s="276"/>
      <c r="AT10" s="254" t="str">
        <f>IF(COUNTIF($AO$80:$AT$82, #REF!) &gt; 0, "X", "")</f>
        <v/>
      </c>
      <c r="AU10" s="269"/>
      <c r="AV10" s="269"/>
    </row>
    <row r="11">
      <c r="A11" s="94"/>
      <c r="B11" s="277" t="s">
        <v>644</v>
      </c>
      <c r="C11" s="278" t="s">
        <v>645</v>
      </c>
      <c r="D11" s="243"/>
      <c r="E11" s="259"/>
      <c r="F11" s="371"/>
      <c r="G11" s="246"/>
      <c r="H11" s="371"/>
      <c r="I11" s="246"/>
      <c r="J11" s="371"/>
      <c r="K11" s="246"/>
      <c r="L11" s="261"/>
      <c r="M11" s="250"/>
      <c r="N11" s="246"/>
      <c r="O11" s="281"/>
      <c r="P11" s="246"/>
      <c r="Q11" s="280" t="s">
        <v>400</v>
      </c>
      <c r="R11" s="246"/>
      <c r="S11" s="261"/>
      <c r="T11" s="250"/>
      <c r="U11" s="246"/>
      <c r="V11" s="371"/>
      <c r="W11" s="246"/>
      <c r="X11" s="371"/>
      <c r="Y11" s="246"/>
      <c r="Z11" s="261"/>
      <c r="AA11" s="250"/>
      <c r="AB11" s="246"/>
      <c r="AC11" s="280" t="s">
        <v>400</v>
      </c>
      <c r="AD11" s="246"/>
      <c r="AF11" s="246"/>
      <c r="AG11" s="261"/>
      <c r="AH11" s="371"/>
      <c r="AI11" s="246"/>
      <c r="AJ11" s="280" t="s">
        <v>400</v>
      </c>
      <c r="AK11" s="246"/>
      <c r="AM11" s="246"/>
      <c r="AN11" s="261"/>
      <c r="AO11" s="250"/>
      <c r="AP11" s="246"/>
      <c r="AQ11" s="252"/>
      <c r="AR11" s="246"/>
      <c r="AS11" s="252"/>
      <c r="AT11" s="254" t="str">
        <f t="shared" ref="AT11:AT13" si="1">IF(COUNTIF($AO$80:$AT$82, AS11) &gt; 0, "X", "")</f>
        <v/>
      </c>
      <c r="AU11" s="269"/>
      <c r="AV11" s="269"/>
    </row>
    <row r="12">
      <c r="A12" s="270"/>
      <c r="B12" s="284" t="s">
        <v>646</v>
      </c>
      <c r="C12" s="285" t="s">
        <v>647</v>
      </c>
      <c r="D12" s="243"/>
      <c r="E12" s="259"/>
      <c r="F12" s="251" t="s">
        <v>427</v>
      </c>
      <c r="G12" s="246"/>
      <c r="H12" s="399"/>
      <c r="I12" s="246"/>
      <c r="J12" s="399"/>
      <c r="K12" s="246"/>
      <c r="L12" s="261"/>
      <c r="M12" s="324"/>
      <c r="N12" s="246"/>
      <c r="O12" s="399"/>
      <c r="P12" s="246"/>
      <c r="Q12" s="251" t="s">
        <v>427</v>
      </c>
      <c r="R12" s="246"/>
      <c r="S12" s="261"/>
      <c r="T12" s="324"/>
      <c r="U12" s="246"/>
      <c r="V12" s="251" t="s">
        <v>602</v>
      </c>
      <c r="W12" s="246"/>
      <c r="X12" s="251" t="s">
        <v>427</v>
      </c>
      <c r="Y12" s="246"/>
      <c r="Z12" s="261"/>
      <c r="AA12" s="324"/>
      <c r="AB12" s="246"/>
      <c r="AC12" s="282"/>
      <c r="AD12" s="246"/>
      <c r="AE12" s="251" t="s">
        <v>427</v>
      </c>
      <c r="AF12" s="246"/>
      <c r="AG12" s="261"/>
      <c r="AH12" s="251" t="s">
        <v>427</v>
      </c>
      <c r="AI12" s="246"/>
      <c r="AJ12" s="282"/>
      <c r="AK12" s="246"/>
      <c r="AL12" s="282"/>
      <c r="AM12" s="246"/>
      <c r="AN12" s="261"/>
      <c r="AO12" s="324"/>
      <c r="AP12" s="246"/>
      <c r="AQ12" s="252"/>
      <c r="AR12" s="246"/>
      <c r="AS12" s="252"/>
      <c r="AT12" s="254" t="str">
        <f t="shared" si="1"/>
        <v/>
      </c>
      <c r="AU12" s="269"/>
      <c r="AV12" s="269"/>
    </row>
    <row r="13">
      <c r="A13" s="94"/>
      <c r="B13" s="291" t="s">
        <v>648</v>
      </c>
      <c r="C13" s="292" t="s">
        <v>649</v>
      </c>
      <c r="D13" s="243"/>
      <c r="E13" s="259"/>
      <c r="F13" s="294"/>
      <c r="G13" s="246"/>
      <c r="H13" s="293"/>
      <c r="I13" s="246"/>
      <c r="J13" s="294"/>
      <c r="K13" s="246"/>
      <c r="L13" s="261"/>
      <c r="M13" s="250"/>
      <c r="N13" s="246"/>
      <c r="O13" s="293" t="s">
        <v>418</v>
      </c>
      <c r="P13" s="246"/>
      <c r="Q13" s="294"/>
      <c r="R13" s="246"/>
      <c r="S13" s="261"/>
      <c r="T13" s="250"/>
      <c r="U13" s="246"/>
      <c r="V13" s="294"/>
      <c r="W13" s="246"/>
      <c r="X13" s="293" t="s">
        <v>418</v>
      </c>
      <c r="Y13" s="246"/>
      <c r="Z13" s="261"/>
      <c r="AA13" s="250"/>
      <c r="AB13" s="246"/>
      <c r="AC13" s="294"/>
      <c r="AD13" s="246"/>
      <c r="AE13" s="293" t="s">
        <v>418</v>
      </c>
      <c r="AF13" s="246"/>
      <c r="AG13" s="261"/>
      <c r="AH13" s="294"/>
      <c r="AI13" s="246"/>
      <c r="AJ13" s="293" t="s">
        <v>418</v>
      </c>
      <c r="AK13" s="246"/>
      <c r="AL13" s="294"/>
      <c r="AM13" s="246"/>
      <c r="AN13" s="261"/>
      <c r="AO13" s="250"/>
      <c r="AP13" s="246"/>
      <c r="AQ13" s="294"/>
      <c r="AR13" s="246"/>
      <c r="AS13" s="294"/>
      <c r="AT13" s="254" t="str">
        <f t="shared" si="1"/>
        <v/>
      </c>
      <c r="AU13" s="269"/>
      <c r="AV13" s="269"/>
    </row>
    <row r="14">
      <c r="A14" s="94"/>
      <c r="B14" s="296" t="s">
        <v>650</v>
      </c>
      <c r="C14" s="297" t="s">
        <v>649</v>
      </c>
      <c r="D14" s="243"/>
      <c r="E14" s="259"/>
      <c r="F14" s="299"/>
      <c r="G14" s="298"/>
      <c r="H14" s="299"/>
      <c r="I14" s="298"/>
      <c r="J14" s="299"/>
      <c r="K14" s="298"/>
      <c r="L14" s="261"/>
      <c r="M14" s="250"/>
      <c r="N14" s="298"/>
      <c r="O14" s="299"/>
      <c r="P14" s="298"/>
      <c r="Q14" s="299"/>
      <c r="R14" s="298"/>
      <c r="S14" s="261"/>
      <c r="T14" s="250"/>
      <c r="U14" s="298"/>
      <c r="V14" s="299"/>
      <c r="W14" s="298"/>
      <c r="X14" s="299"/>
      <c r="Y14" s="298"/>
      <c r="Z14" s="261"/>
      <c r="AA14" s="250"/>
      <c r="AB14" s="298"/>
      <c r="AC14" s="299"/>
      <c r="AD14" s="298"/>
      <c r="AE14" s="299"/>
      <c r="AF14" s="298"/>
      <c r="AG14" s="261"/>
      <c r="AH14" s="299"/>
      <c r="AI14" s="298"/>
      <c r="AJ14" s="299"/>
      <c r="AK14" s="298"/>
      <c r="AL14" s="299"/>
      <c r="AM14" s="298"/>
      <c r="AN14" s="261"/>
      <c r="AO14" s="250"/>
      <c r="AP14" s="298"/>
      <c r="AQ14" s="300"/>
      <c r="AR14" s="298"/>
      <c r="AS14" s="300"/>
      <c r="AT14" s="254" t="str">
        <f t="shared" ref="AT14:AT15" si="2">IF(COUNTIF($AO$80:$AT$82, #REF!) &gt; 0, "X", "")</f>
        <v/>
      </c>
      <c r="AU14" s="269"/>
      <c r="AV14" s="269"/>
    </row>
    <row r="15">
      <c r="A15" s="94"/>
      <c r="B15" s="301" t="s">
        <v>651</v>
      </c>
      <c r="C15" s="302" t="s">
        <v>652</v>
      </c>
      <c r="D15" s="243"/>
      <c r="E15" s="259"/>
      <c r="F15" s="303"/>
      <c r="G15" s="298"/>
      <c r="H15" s="303"/>
      <c r="I15" s="298"/>
      <c r="J15" s="303"/>
      <c r="K15" s="298"/>
      <c r="L15" s="261"/>
      <c r="M15" s="250"/>
      <c r="N15" s="298"/>
      <c r="O15" s="303"/>
      <c r="P15" s="298"/>
      <c r="Q15" s="303"/>
      <c r="R15" s="298"/>
      <c r="S15" s="261"/>
      <c r="T15" s="250"/>
      <c r="U15" s="298"/>
      <c r="V15" s="303"/>
      <c r="W15" s="298"/>
      <c r="X15" s="303"/>
      <c r="Y15" s="298"/>
      <c r="Z15" s="261"/>
      <c r="AA15" s="250"/>
      <c r="AB15" s="298"/>
      <c r="AC15" s="303"/>
      <c r="AD15" s="298"/>
      <c r="AE15" s="303"/>
      <c r="AF15" s="298"/>
      <c r="AG15" s="261"/>
      <c r="AH15" s="303"/>
      <c r="AI15" s="298"/>
      <c r="AJ15" s="303"/>
      <c r="AK15" s="298"/>
      <c r="AL15" s="303"/>
      <c r="AM15" s="298"/>
      <c r="AN15" s="261"/>
      <c r="AO15" s="250"/>
      <c r="AP15" s="298"/>
      <c r="AQ15" s="304"/>
      <c r="AR15" s="298"/>
      <c r="AS15" s="304"/>
      <c r="AT15" s="254" t="str">
        <f t="shared" si="2"/>
        <v/>
      </c>
      <c r="AU15" s="269"/>
      <c r="AV15" s="269"/>
    </row>
    <row r="16">
      <c r="A16" s="94"/>
      <c r="B16" s="305" t="s">
        <v>653</v>
      </c>
      <c r="C16" s="306" t="s">
        <v>654</v>
      </c>
      <c r="D16" s="243"/>
      <c r="E16" s="259"/>
      <c r="F16" s="307"/>
      <c r="G16" s="298"/>
      <c r="H16" s="307"/>
      <c r="I16" s="298"/>
      <c r="J16" s="307"/>
      <c r="K16" s="298"/>
      <c r="L16" s="261"/>
      <c r="M16" s="250"/>
      <c r="N16" s="298"/>
      <c r="O16" s="670" t="s">
        <v>468</v>
      </c>
      <c r="P16" s="298"/>
      <c r="Q16" s="307"/>
      <c r="R16" s="298"/>
      <c r="S16" s="261"/>
      <c r="T16" s="250"/>
      <c r="U16" s="298"/>
      <c r="V16" s="307"/>
      <c r="W16" s="298"/>
      <c r="X16" s="307"/>
      <c r="Y16" s="298"/>
      <c r="Z16" s="261"/>
      <c r="AA16" s="250"/>
      <c r="AB16" s="298"/>
      <c r="AC16" s="307"/>
      <c r="AD16" s="298"/>
      <c r="AE16" s="309" t="s">
        <v>449</v>
      </c>
      <c r="AF16" s="298"/>
      <c r="AG16" s="261"/>
      <c r="AH16" s="307"/>
      <c r="AI16" s="298"/>
      <c r="AJ16" s="307"/>
      <c r="AK16" s="298"/>
      <c r="AL16" s="307"/>
      <c r="AM16" s="298"/>
      <c r="AN16" s="261"/>
      <c r="AO16" s="250"/>
      <c r="AP16" s="298"/>
      <c r="AQ16" s="307"/>
      <c r="AR16" s="298"/>
      <c r="AS16" s="307"/>
      <c r="AT16" s="254" t="str">
        <f t="shared" ref="AT16:AT17" si="3">IF(COUNTIF($AO$80:$AT$82, AS16) &gt; 0, "X", "")</f>
        <v/>
      </c>
      <c r="AU16" s="269"/>
      <c r="AV16" s="269"/>
    </row>
    <row r="17">
      <c r="A17" s="94"/>
      <c r="B17" s="310" t="s">
        <v>656</v>
      </c>
      <c r="C17" s="278" t="s">
        <v>657</v>
      </c>
      <c r="D17" s="243"/>
      <c r="E17" s="259"/>
      <c r="F17" s="281"/>
      <c r="G17" s="246"/>
      <c r="H17" s="282"/>
      <c r="I17" s="246"/>
      <c r="J17" s="282"/>
      <c r="K17" s="246"/>
      <c r="L17" s="261"/>
      <c r="M17" s="250"/>
      <c r="N17" s="246"/>
      <c r="O17" s="274" t="s">
        <v>458</v>
      </c>
      <c r="P17" s="246"/>
      <c r="Q17" s="282"/>
      <c r="R17" s="246"/>
      <c r="S17" s="261"/>
      <c r="T17" s="250"/>
      <c r="U17" s="246"/>
      <c r="V17" s="282"/>
      <c r="W17" s="246"/>
      <c r="Y17" s="246"/>
      <c r="Z17" s="261"/>
      <c r="AA17" s="250"/>
      <c r="AB17" s="246"/>
      <c r="AC17" s="282"/>
      <c r="AD17" s="246"/>
      <c r="AE17" s="311" t="s">
        <v>434</v>
      </c>
      <c r="AF17" s="246"/>
      <c r="AG17" s="261"/>
      <c r="AH17" s="282"/>
      <c r="AI17" s="246"/>
      <c r="AJ17" s="282"/>
      <c r="AK17" s="246"/>
      <c r="AL17" s="282"/>
      <c r="AM17" s="246"/>
      <c r="AN17" s="261"/>
      <c r="AO17" s="250"/>
      <c r="AP17" s="246"/>
      <c r="AR17" s="246"/>
      <c r="AS17" s="276"/>
      <c r="AT17" s="254" t="str">
        <f t="shared" si="3"/>
        <v/>
      </c>
      <c r="AU17" s="269"/>
      <c r="AV17" s="269"/>
    </row>
    <row r="18">
      <c r="A18" s="94"/>
      <c r="B18" s="277" t="s">
        <v>658</v>
      </c>
      <c r="C18" s="278" t="s">
        <v>657</v>
      </c>
      <c r="D18" s="243"/>
      <c r="E18" s="259"/>
      <c r="G18" s="246"/>
      <c r="I18" s="246"/>
      <c r="K18" s="246"/>
      <c r="L18" s="261"/>
      <c r="M18" s="250"/>
      <c r="N18" s="246"/>
      <c r="O18" s="311" t="s">
        <v>459</v>
      </c>
      <c r="P18" s="246"/>
      <c r="R18" s="246"/>
      <c r="S18" s="261"/>
      <c r="T18" s="250"/>
      <c r="U18" s="246"/>
      <c r="W18" s="246"/>
      <c r="Y18" s="246"/>
      <c r="Z18" s="261"/>
      <c r="AA18" s="250"/>
      <c r="AB18" s="246"/>
      <c r="AD18" s="246"/>
      <c r="AF18" s="246"/>
      <c r="AG18" s="261"/>
      <c r="AH18" s="282"/>
      <c r="AI18" s="246"/>
      <c r="AJ18" s="282"/>
      <c r="AK18" s="246"/>
      <c r="AM18" s="246"/>
      <c r="AN18" s="261"/>
      <c r="AO18" s="250"/>
      <c r="AP18" s="246"/>
      <c r="AQ18" s="276"/>
      <c r="AR18" s="246"/>
      <c r="AS18" s="282"/>
      <c r="AT18" s="254" t="str">
        <f t="shared" ref="AT18:AT20" si="4">IF(COUNTIF($AO$80:$AT$82, #REF!) &gt; 0, "X", "")</f>
        <v/>
      </c>
      <c r="AU18" s="269"/>
      <c r="AV18" s="269"/>
    </row>
    <row r="19">
      <c r="A19" s="94"/>
      <c r="B19" s="314" t="s">
        <v>660</v>
      </c>
      <c r="C19" s="315" t="s">
        <v>649</v>
      </c>
      <c r="D19" s="243"/>
      <c r="E19" s="259"/>
      <c r="F19" s="479"/>
      <c r="G19" s="246"/>
      <c r="H19" s="293" t="s">
        <v>416</v>
      </c>
      <c r="I19" s="246"/>
      <c r="J19" s="632" t="s">
        <v>423</v>
      </c>
      <c r="K19" s="246"/>
      <c r="L19" s="261"/>
      <c r="M19" s="316"/>
      <c r="N19" s="246"/>
      <c r="O19" s="293" t="s">
        <v>416</v>
      </c>
      <c r="P19" s="246"/>
      <c r="Q19" s="293" t="s">
        <v>421</v>
      </c>
      <c r="R19" s="246"/>
      <c r="S19" s="261"/>
      <c r="T19" s="316"/>
      <c r="U19" s="246"/>
      <c r="V19" s="293" t="s">
        <v>416</v>
      </c>
      <c r="W19" s="246"/>
      <c r="X19" s="632" t="s">
        <v>423</v>
      </c>
      <c r="Y19" s="246"/>
      <c r="Z19" s="261"/>
      <c r="AA19" s="316"/>
      <c r="AB19" s="246"/>
      <c r="AC19" s="293" t="s">
        <v>416</v>
      </c>
      <c r="AD19" s="246"/>
      <c r="AE19" s="356" t="s">
        <v>423</v>
      </c>
      <c r="AF19" s="246"/>
      <c r="AG19" s="261"/>
      <c r="AH19" s="320"/>
      <c r="AI19" s="246"/>
      <c r="AJ19" s="293" t="s">
        <v>416</v>
      </c>
      <c r="AK19" s="246"/>
      <c r="AL19" s="632" t="s">
        <v>423</v>
      </c>
      <c r="AM19" s="246"/>
      <c r="AN19" s="261"/>
      <c r="AO19" s="316"/>
      <c r="AP19" s="246"/>
      <c r="AQ19" s="293" t="s">
        <v>418</v>
      </c>
      <c r="AR19" s="246"/>
      <c r="AS19" s="356" t="s">
        <v>423</v>
      </c>
      <c r="AT19" s="254" t="str">
        <f t="shared" si="4"/>
        <v/>
      </c>
      <c r="AU19" s="269"/>
      <c r="AV19" s="269"/>
    </row>
    <row r="20">
      <c r="A20" s="94"/>
      <c r="B20" s="296" t="s">
        <v>650</v>
      </c>
      <c r="C20" s="297" t="s">
        <v>649</v>
      </c>
      <c r="D20" s="243"/>
      <c r="E20" s="259"/>
      <c r="F20" s="317"/>
      <c r="G20" s="298"/>
      <c r="H20" s="300"/>
      <c r="I20" s="298"/>
      <c r="J20" s="293" t="s">
        <v>426</v>
      </c>
      <c r="K20" s="298"/>
      <c r="L20" s="261"/>
      <c r="M20" s="250"/>
      <c r="N20" s="298"/>
      <c r="O20" s="300"/>
      <c r="P20" s="298"/>
      <c r="Q20" s="300"/>
      <c r="R20" s="298"/>
      <c r="S20" s="261"/>
      <c r="T20" s="250"/>
      <c r="U20" s="298"/>
      <c r="V20" s="319"/>
      <c r="W20" s="298"/>
      <c r="X20" s="293" t="s">
        <v>426</v>
      </c>
      <c r="Y20" s="298"/>
      <c r="Z20" s="261"/>
      <c r="AA20" s="250"/>
      <c r="AB20" s="298"/>
      <c r="AC20" s="319"/>
      <c r="AD20" s="298"/>
      <c r="AE20" s="319"/>
      <c r="AF20" s="298"/>
      <c r="AG20" s="261"/>
      <c r="AH20" s="320"/>
      <c r="AI20" s="298"/>
      <c r="AJ20" s="300"/>
      <c r="AK20" s="298"/>
      <c r="AL20" s="300"/>
      <c r="AM20" s="298"/>
      <c r="AN20" s="261"/>
      <c r="AO20" s="250"/>
      <c r="AP20" s="298"/>
      <c r="AQ20" s="300"/>
      <c r="AR20" s="298"/>
      <c r="AS20" s="299"/>
      <c r="AT20" s="254" t="str">
        <f t="shared" si="4"/>
        <v/>
      </c>
      <c r="AU20" s="269"/>
      <c r="AV20" s="269"/>
    </row>
    <row r="21">
      <c r="A21" s="94"/>
      <c r="B21" s="301" t="s">
        <v>651</v>
      </c>
      <c r="C21" s="302" t="s">
        <v>652</v>
      </c>
      <c r="D21" s="243"/>
      <c r="E21" s="259"/>
      <c r="F21" s="320"/>
      <c r="G21" s="298"/>
      <c r="H21" s="303"/>
      <c r="I21" s="298"/>
      <c r="J21" s="483"/>
      <c r="K21" s="298"/>
      <c r="L21" s="261"/>
      <c r="M21" s="250"/>
      <c r="N21" s="298"/>
      <c r="O21" s="303"/>
      <c r="P21" s="298"/>
      <c r="Q21" s="484"/>
      <c r="R21" s="298"/>
      <c r="S21" s="261"/>
      <c r="T21" s="250"/>
      <c r="U21" s="298"/>
      <c r="V21" s="303"/>
      <c r="W21" s="298"/>
      <c r="X21" s="484"/>
      <c r="Y21" s="298"/>
      <c r="Z21" s="261"/>
      <c r="AA21" s="250"/>
      <c r="AB21" s="298"/>
      <c r="AC21" s="303"/>
      <c r="AD21" s="298"/>
      <c r="AE21" s="303"/>
      <c r="AF21" s="298"/>
      <c r="AG21" s="261"/>
      <c r="AH21" s="320"/>
      <c r="AI21" s="298"/>
      <c r="AJ21" s="303"/>
      <c r="AK21" s="298"/>
      <c r="AL21" s="303"/>
      <c r="AM21" s="298"/>
      <c r="AN21" s="261"/>
      <c r="AO21" s="250"/>
      <c r="AP21" s="298"/>
      <c r="AQ21" s="303"/>
      <c r="AR21" s="298"/>
      <c r="AS21" s="303"/>
      <c r="AT21" s="254" t="str">
        <f>IF(COUNTIF($AO$80:$AT$82, AS21) &gt; 0, "X", "")</f>
        <v/>
      </c>
      <c r="AU21" s="269"/>
      <c r="AV21" s="269"/>
    </row>
    <row r="22">
      <c r="A22" s="94"/>
      <c r="B22" s="322" t="s">
        <v>662</v>
      </c>
      <c r="C22" s="306" t="s">
        <v>663</v>
      </c>
      <c r="D22" s="323"/>
      <c r="E22" s="259"/>
      <c r="F22" s="317"/>
      <c r="G22" s="298"/>
      <c r="H22" s="307"/>
      <c r="I22" s="298"/>
      <c r="J22" s="309" t="s">
        <v>409</v>
      </c>
      <c r="K22" s="298"/>
      <c r="L22" s="261"/>
      <c r="M22" s="324"/>
      <c r="N22" s="298"/>
      <c r="O22" s="307"/>
      <c r="P22" s="298"/>
      <c r="Q22" s="307"/>
      <c r="R22" s="298"/>
      <c r="S22" s="261"/>
      <c r="T22" s="324"/>
      <c r="U22" s="298"/>
      <c r="V22" s="307"/>
      <c r="W22" s="298"/>
      <c r="X22" s="309" t="s">
        <v>414</v>
      </c>
      <c r="Y22" s="298"/>
      <c r="Z22" s="261"/>
      <c r="AA22" s="324"/>
      <c r="AB22" s="298"/>
      <c r="AC22" s="307"/>
      <c r="AD22" s="298"/>
      <c r="AE22" s="309" t="s">
        <v>414</v>
      </c>
      <c r="AF22" s="298"/>
      <c r="AG22" s="261"/>
      <c r="AH22" s="320"/>
      <c r="AI22" s="298"/>
      <c r="AJ22" s="307"/>
      <c r="AK22" s="298"/>
      <c r="AL22" s="327"/>
      <c r="AM22" s="298"/>
      <c r="AN22" s="261"/>
      <c r="AO22" s="324"/>
      <c r="AP22" s="298"/>
      <c r="AQ22" s="307"/>
      <c r="AR22" s="298"/>
      <c r="AS22" s="307"/>
      <c r="AT22" s="254" t="str">
        <f t="shared" ref="AT22:AT23" si="5">IF(COUNTIF($AO$80:$AT$82, #REF!) &gt; 0, "X", "")</f>
        <v/>
      </c>
      <c r="AU22" s="269"/>
      <c r="AV22" s="269"/>
    </row>
    <row r="23">
      <c r="A23" s="94"/>
      <c r="B23" s="328" t="s">
        <v>665</v>
      </c>
      <c r="C23" s="329" t="s">
        <v>654</v>
      </c>
      <c r="D23" s="330"/>
      <c r="E23" s="259"/>
      <c r="F23" s="515"/>
      <c r="G23" s="246"/>
      <c r="H23" s="274" t="s">
        <v>458</v>
      </c>
      <c r="I23" s="246"/>
      <c r="J23" s="311" t="s">
        <v>434</v>
      </c>
      <c r="K23" s="246"/>
      <c r="L23" s="261"/>
      <c r="M23" s="333"/>
      <c r="N23" s="246"/>
      <c r="O23" s="311" t="s">
        <v>439</v>
      </c>
      <c r="P23" s="246"/>
      <c r="Q23" s="311" t="s">
        <v>434</v>
      </c>
      <c r="R23" s="246"/>
      <c r="S23" s="261"/>
      <c r="T23" s="333"/>
      <c r="U23" s="246"/>
      <c r="V23" s="274" t="s">
        <v>458</v>
      </c>
      <c r="W23" s="246"/>
      <c r="X23" s="311" t="s">
        <v>434</v>
      </c>
      <c r="Y23" s="246"/>
      <c r="Z23" s="261"/>
      <c r="AA23" s="333"/>
      <c r="AB23" s="246"/>
      <c r="AC23" s="274" t="s">
        <v>439</v>
      </c>
      <c r="AD23" s="246"/>
      <c r="AE23" s="274" t="s">
        <v>443</v>
      </c>
      <c r="AF23" s="246"/>
      <c r="AG23" s="261"/>
      <c r="AH23" s="320"/>
      <c r="AI23" s="246"/>
      <c r="AJ23" s="274" t="s">
        <v>439</v>
      </c>
      <c r="AK23" s="246"/>
      <c r="AL23" s="311" t="s">
        <v>434</v>
      </c>
      <c r="AM23" s="246"/>
      <c r="AN23" s="261"/>
      <c r="AO23" s="333"/>
      <c r="AP23" s="246"/>
      <c r="AQ23" s="274" t="s">
        <v>458</v>
      </c>
      <c r="AR23" s="246"/>
      <c r="AS23" s="274" t="s">
        <v>449</v>
      </c>
      <c r="AT23" s="254" t="str">
        <f t="shared" si="5"/>
        <v/>
      </c>
      <c r="AU23" s="269"/>
      <c r="AV23" s="269"/>
    </row>
    <row r="24">
      <c r="A24" s="94"/>
      <c r="B24" s="337" t="s">
        <v>665</v>
      </c>
      <c r="C24" s="338" t="s">
        <v>657</v>
      </c>
      <c r="D24" s="330"/>
      <c r="E24" s="259"/>
      <c r="F24" s="479"/>
      <c r="G24" s="246"/>
      <c r="H24" s="336" t="s">
        <v>450</v>
      </c>
      <c r="I24" s="246"/>
      <c r="J24" s="339" t="s">
        <v>468</v>
      </c>
      <c r="K24" s="246"/>
      <c r="L24" s="261"/>
      <c r="M24" s="324"/>
      <c r="N24" s="246"/>
      <c r="O24" s="336" t="s">
        <v>450</v>
      </c>
      <c r="P24" s="246"/>
      <c r="Q24" s="274" t="s">
        <v>443</v>
      </c>
      <c r="R24" s="246"/>
      <c r="S24" s="261"/>
      <c r="T24" s="324"/>
      <c r="U24" s="246"/>
      <c r="V24" s="336" t="s">
        <v>450</v>
      </c>
      <c r="W24" s="246"/>
      <c r="X24" s="274" t="s">
        <v>443</v>
      </c>
      <c r="Y24" s="246"/>
      <c r="Z24" s="261"/>
      <c r="AA24" s="324"/>
      <c r="AB24" s="246"/>
      <c r="AC24" s="336" t="s">
        <v>450</v>
      </c>
      <c r="AD24" s="246"/>
      <c r="AE24" s="339" t="s">
        <v>468</v>
      </c>
      <c r="AF24" s="246"/>
      <c r="AG24" s="261"/>
      <c r="AH24" s="320"/>
      <c r="AI24" s="246"/>
      <c r="AJ24" s="311" t="s">
        <v>459</v>
      </c>
      <c r="AK24" s="246"/>
      <c r="AL24" s="339" t="s">
        <v>468</v>
      </c>
      <c r="AM24" s="246"/>
      <c r="AN24" s="261"/>
      <c r="AO24" s="324"/>
      <c r="AP24" s="246"/>
      <c r="AQ24" s="336" t="s">
        <v>450</v>
      </c>
      <c r="AR24" s="246"/>
      <c r="AS24" s="339" t="s">
        <v>468</v>
      </c>
      <c r="AT24" s="254" t="str">
        <f>IF(COUNTIF($AO$80:$AT$82, AH33) &gt; 0, "X", "")</f>
        <v/>
      </c>
      <c r="AU24" s="269"/>
      <c r="AV24" s="269"/>
    </row>
    <row r="25">
      <c r="A25" s="94"/>
      <c r="B25" s="256" t="s">
        <v>665</v>
      </c>
      <c r="C25" s="257" t="s">
        <v>663</v>
      </c>
      <c r="D25" s="330"/>
      <c r="E25" s="259"/>
      <c r="F25" s="479"/>
      <c r="G25" s="246"/>
      <c r="I25" s="246"/>
      <c r="J25" s="274" t="s">
        <v>415</v>
      </c>
      <c r="K25" s="246"/>
      <c r="L25" s="261"/>
      <c r="M25" s="341"/>
      <c r="N25" s="246"/>
      <c r="O25" s="274" t="s">
        <v>415</v>
      </c>
      <c r="P25" s="246"/>
      <c r="Q25" s="274" t="s">
        <v>409</v>
      </c>
      <c r="R25" s="246"/>
      <c r="S25" s="261"/>
      <c r="T25" s="341"/>
      <c r="U25" s="246"/>
      <c r="V25" s="336" t="s">
        <v>398</v>
      </c>
      <c r="W25" s="246"/>
      <c r="X25" s="348" t="s">
        <v>664</v>
      </c>
      <c r="Y25" s="246"/>
      <c r="Z25" s="261"/>
      <c r="AA25" s="341"/>
      <c r="AB25" s="246"/>
      <c r="AD25" s="246"/>
      <c r="AE25" s="274" t="s">
        <v>448</v>
      </c>
      <c r="AF25" s="246"/>
      <c r="AG25" s="261"/>
      <c r="AH25" s="320"/>
      <c r="AI25" s="246"/>
      <c r="AK25" s="246"/>
      <c r="AM25" s="246"/>
      <c r="AN25" s="261"/>
      <c r="AO25" s="341"/>
      <c r="AP25" s="246"/>
      <c r="AR25" s="246"/>
      <c r="AT25" s="254" t="str">
        <f t="shared" ref="AT25:AT29" si="6">IF(COUNTIF($AO$80:$AT$82, #REF!) &gt; 0, "X", "")</f>
        <v/>
      </c>
      <c r="AU25" s="269"/>
      <c r="AV25" s="269"/>
    </row>
    <row r="26">
      <c r="A26" s="94"/>
      <c r="B26" s="328" t="s">
        <v>665</v>
      </c>
      <c r="C26" s="329" t="s">
        <v>645</v>
      </c>
      <c r="D26" s="330"/>
      <c r="E26" s="259"/>
      <c r="G26" s="246"/>
      <c r="H26" s="311" t="s">
        <v>459</v>
      </c>
      <c r="I26" s="246"/>
      <c r="J26" s="274" t="s">
        <v>448</v>
      </c>
      <c r="K26" s="246"/>
      <c r="L26" s="261"/>
      <c r="M26" s="341"/>
      <c r="N26" s="246"/>
      <c r="O26" s="336" t="s">
        <v>398</v>
      </c>
      <c r="P26" s="246"/>
      <c r="Q26" s="274" t="s">
        <v>448</v>
      </c>
      <c r="R26" s="246"/>
      <c r="S26" s="261"/>
      <c r="T26" s="341"/>
      <c r="U26" s="246"/>
      <c r="V26" s="311" t="s">
        <v>459</v>
      </c>
      <c r="W26" s="246"/>
      <c r="X26" s="274" t="s">
        <v>409</v>
      </c>
      <c r="Y26" s="246"/>
      <c r="Z26" s="261"/>
      <c r="AA26" s="341"/>
      <c r="AB26" s="246"/>
      <c r="AC26" s="311" t="s">
        <v>459</v>
      </c>
      <c r="AD26" s="246"/>
      <c r="AE26" s="274" t="s">
        <v>415</v>
      </c>
      <c r="AF26" s="246"/>
      <c r="AG26" s="261"/>
      <c r="AH26" s="320"/>
      <c r="AI26" s="246"/>
      <c r="AJ26" s="274" t="s">
        <v>409</v>
      </c>
      <c r="AK26" s="246"/>
      <c r="AL26" s="274" t="s">
        <v>448</v>
      </c>
      <c r="AM26" s="246"/>
      <c r="AN26" s="261"/>
      <c r="AO26" s="341"/>
      <c r="AP26" s="246"/>
      <c r="AQ26" s="274" t="s">
        <v>415</v>
      </c>
      <c r="AR26" s="246"/>
      <c r="AS26" s="274" t="s">
        <v>409</v>
      </c>
      <c r="AT26" s="254" t="str">
        <f t="shared" si="6"/>
        <v/>
      </c>
      <c r="AU26" s="269"/>
      <c r="AV26" s="269"/>
    </row>
    <row r="27">
      <c r="A27" s="94"/>
      <c r="B27" s="342" t="s">
        <v>667</v>
      </c>
      <c r="C27" s="343" t="s">
        <v>657</v>
      </c>
      <c r="D27" s="323"/>
      <c r="E27" s="261"/>
      <c r="F27" s="572" t="s">
        <v>401</v>
      </c>
      <c r="G27" s="246"/>
      <c r="H27" s="282"/>
      <c r="I27" s="246"/>
      <c r="K27" s="246"/>
      <c r="L27" s="261"/>
      <c r="M27" s="346"/>
      <c r="N27" s="246"/>
      <c r="O27" s="345" t="s">
        <v>401</v>
      </c>
      <c r="P27" s="246"/>
      <c r="R27" s="246"/>
      <c r="S27" s="261"/>
      <c r="T27" s="345" t="s">
        <v>401</v>
      </c>
      <c r="U27" s="246"/>
      <c r="V27" s="282"/>
      <c r="W27" s="246"/>
      <c r="X27" s="274" t="s">
        <v>448</v>
      </c>
      <c r="Y27" s="246"/>
      <c r="Z27" s="261"/>
      <c r="AA27" s="346"/>
      <c r="AB27" s="246"/>
      <c r="AC27" s="347" t="s">
        <v>401</v>
      </c>
      <c r="AD27" s="246"/>
      <c r="AF27" s="246"/>
      <c r="AG27" s="261"/>
      <c r="AH27" s="345" t="s">
        <v>401</v>
      </c>
      <c r="AI27" s="246"/>
      <c r="AJ27" s="282"/>
      <c r="AK27" s="246"/>
      <c r="AL27" s="282"/>
      <c r="AM27" s="246"/>
      <c r="AN27" s="261"/>
      <c r="AO27" s="346"/>
      <c r="AP27" s="246"/>
      <c r="AQ27" s="345" t="s">
        <v>401</v>
      </c>
      <c r="AR27" s="246"/>
      <c r="AT27" s="254" t="str">
        <f t="shared" si="6"/>
        <v/>
      </c>
      <c r="AU27" s="269"/>
      <c r="AV27" s="269"/>
    </row>
    <row r="28">
      <c r="A28" s="234"/>
      <c r="B28" s="349" t="s">
        <v>669</v>
      </c>
      <c r="C28" s="350" t="s">
        <v>649</v>
      </c>
      <c r="D28" s="351"/>
      <c r="E28" s="259"/>
      <c r="F28" s="293" t="s">
        <v>422</v>
      </c>
      <c r="G28" s="246"/>
      <c r="H28" s="253" t="s">
        <v>417</v>
      </c>
      <c r="I28" s="246"/>
      <c r="J28" s="293" t="s">
        <v>421</v>
      </c>
      <c r="K28" s="246"/>
      <c r="L28" s="261"/>
      <c r="M28" s="354"/>
      <c r="N28" s="246"/>
      <c r="O28" s="253" t="s">
        <v>417</v>
      </c>
      <c r="P28" s="246"/>
      <c r="Q28" s="293" t="s">
        <v>426</v>
      </c>
      <c r="R28" s="246"/>
      <c r="S28" s="261"/>
      <c r="T28" s="354"/>
      <c r="U28" s="246"/>
      <c r="V28" s="253" t="s">
        <v>417</v>
      </c>
      <c r="W28" s="246"/>
      <c r="X28" s="293" t="s">
        <v>421</v>
      </c>
      <c r="Y28" s="246"/>
      <c r="Z28" s="261"/>
      <c r="AA28" s="354"/>
      <c r="AB28" s="246"/>
      <c r="AC28" s="353" t="s">
        <v>421</v>
      </c>
      <c r="AD28" s="246"/>
      <c r="AE28" s="293" t="s">
        <v>422</v>
      </c>
      <c r="AF28" s="246"/>
      <c r="AG28" s="261"/>
      <c r="AH28" s="293" t="s">
        <v>422</v>
      </c>
      <c r="AI28" s="246"/>
      <c r="AJ28" s="355" t="s">
        <v>670</v>
      </c>
      <c r="AK28" s="246"/>
      <c r="AL28" s="293" t="s">
        <v>421</v>
      </c>
      <c r="AM28" s="246"/>
      <c r="AN28" s="261"/>
      <c r="AO28" s="354"/>
      <c r="AP28" s="246"/>
      <c r="AQ28" s="633" t="s">
        <v>420</v>
      </c>
      <c r="AR28" s="246"/>
      <c r="AS28" s="293" t="s">
        <v>422</v>
      </c>
      <c r="AT28" s="254" t="str">
        <f t="shared" si="6"/>
        <v/>
      </c>
      <c r="AU28" s="269"/>
      <c r="AV28" s="269"/>
    </row>
    <row r="29">
      <c r="A29" s="94"/>
      <c r="B29" s="296" t="s">
        <v>650</v>
      </c>
      <c r="C29" s="297" t="s">
        <v>649</v>
      </c>
      <c r="D29" s="323"/>
      <c r="E29" s="259"/>
      <c r="F29" s="300"/>
      <c r="G29" s="298"/>
      <c r="H29" s="358" t="s">
        <v>397</v>
      </c>
      <c r="I29" s="298"/>
      <c r="J29" s="300"/>
      <c r="K29" s="298"/>
      <c r="L29" s="261"/>
      <c r="M29" s="324"/>
      <c r="N29" s="298"/>
      <c r="O29" s="358" t="s">
        <v>397</v>
      </c>
      <c r="P29" s="298"/>
      <c r="Q29" s="300"/>
      <c r="R29" s="298"/>
      <c r="S29" s="261"/>
      <c r="T29" s="324"/>
      <c r="U29" s="298"/>
      <c r="V29" s="358" t="s">
        <v>397</v>
      </c>
      <c r="W29" s="298"/>
      <c r="X29" s="319"/>
      <c r="Y29" s="298"/>
      <c r="Z29" s="261"/>
      <c r="AA29" s="324"/>
      <c r="AB29" s="298"/>
      <c r="AC29" s="358" t="s">
        <v>397</v>
      </c>
      <c r="AD29" s="298"/>
      <c r="AE29" s="319"/>
      <c r="AF29" s="298"/>
      <c r="AG29" s="261"/>
      <c r="AH29" s="319"/>
      <c r="AI29" s="298"/>
      <c r="AJ29" s="358" t="s">
        <v>397</v>
      </c>
      <c r="AK29" s="298"/>
      <c r="AL29" s="319"/>
      <c r="AM29" s="298"/>
      <c r="AN29" s="261"/>
      <c r="AO29" s="324"/>
      <c r="AP29" s="298"/>
      <c r="AQ29" s="358" t="s">
        <v>397</v>
      </c>
      <c r="AR29" s="298"/>
      <c r="AS29" s="359"/>
      <c r="AT29" s="254" t="str">
        <f t="shared" si="6"/>
        <v/>
      </c>
      <c r="AU29" s="269"/>
      <c r="AV29" s="269"/>
    </row>
    <row r="30">
      <c r="A30" s="94"/>
      <c r="B30" s="301" t="s">
        <v>651</v>
      </c>
      <c r="C30" s="302" t="s">
        <v>652</v>
      </c>
      <c r="D30" s="330"/>
      <c r="E30" s="259"/>
      <c r="F30" s="303"/>
      <c r="G30" s="298"/>
      <c r="H30" s="304"/>
      <c r="I30" s="298"/>
      <c r="J30" s="483" t="s">
        <v>695</v>
      </c>
      <c r="K30" s="298"/>
      <c r="L30" s="261"/>
      <c r="M30" s="250"/>
      <c r="N30" s="298"/>
      <c r="O30" s="303"/>
      <c r="P30" s="298"/>
      <c r="Q30" s="303"/>
      <c r="R30" s="298"/>
      <c r="S30" s="261"/>
      <c r="T30" s="250"/>
      <c r="U30" s="298"/>
      <c r="V30" s="303"/>
      <c r="W30" s="298"/>
      <c r="X30" s="483" t="s">
        <v>695</v>
      </c>
      <c r="Y30" s="298"/>
      <c r="Z30" s="261"/>
      <c r="AA30" s="250"/>
      <c r="AB30" s="298"/>
      <c r="AC30" s="304"/>
      <c r="AD30" s="298"/>
      <c r="AE30" s="303"/>
      <c r="AF30" s="298"/>
      <c r="AG30" s="261"/>
      <c r="AH30" s="303"/>
      <c r="AI30" s="298"/>
      <c r="AJ30" s="304"/>
      <c r="AK30" s="298"/>
      <c r="AL30" s="483" t="s">
        <v>695</v>
      </c>
      <c r="AM30" s="298"/>
      <c r="AN30" s="261"/>
      <c r="AO30" s="250"/>
      <c r="AP30" s="298"/>
      <c r="AQ30" s="303"/>
      <c r="AR30" s="298"/>
      <c r="AS30" s="303"/>
      <c r="AT30" s="254" t="str">
        <f>IF(COUNTIF($AO$80:$AT$82, AS30) &gt; 0, "X", "")</f>
        <v/>
      </c>
      <c r="AU30" s="269"/>
      <c r="AV30" s="269"/>
    </row>
    <row r="31">
      <c r="A31" s="94"/>
      <c r="B31" s="361" t="s">
        <v>673</v>
      </c>
      <c r="C31" s="362" t="s">
        <v>674</v>
      </c>
      <c r="D31" s="363"/>
      <c r="E31" s="259"/>
      <c r="F31" s="366" t="s">
        <v>676</v>
      </c>
      <c r="G31" s="298"/>
      <c r="H31" s="336" t="s">
        <v>412</v>
      </c>
      <c r="I31" s="298"/>
      <c r="J31" s="251" t="s">
        <v>433</v>
      </c>
      <c r="K31" s="298"/>
      <c r="L31" s="261"/>
      <c r="M31" s="324"/>
      <c r="N31" s="298"/>
      <c r="O31" s="336" t="s">
        <v>412</v>
      </c>
      <c r="P31" s="298"/>
      <c r="Q31" s="366" t="s">
        <v>676</v>
      </c>
      <c r="R31" s="298"/>
      <c r="S31" s="261"/>
      <c r="T31" s="324"/>
      <c r="U31" s="298"/>
      <c r="V31" s="336" t="s">
        <v>412</v>
      </c>
      <c r="W31" s="298"/>
      <c r="X31" s="251" t="s">
        <v>457</v>
      </c>
      <c r="Y31" s="298"/>
      <c r="Z31" s="261"/>
      <c r="AA31" s="324"/>
      <c r="AB31" s="298"/>
      <c r="AC31" s="336" t="s">
        <v>412</v>
      </c>
      <c r="AD31" s="298"/>
      <c r="AE31" s="366" t="s">
        <v>676</v>
      </c>
      <c r="AF31" s="298"/>
      <c r="AG31" s="261"/>
      <c r="AH31" s="251" t="s">
        <v>433</v>
      </c>
      <c r="AI31" s="298"/>
      <c r="AJ31" s="336" t="s">
        <v>412</v>
      </c>
      <c r="AK31" s="298"/>
      <c r="AL31" s="366" t="s">
        <v>676</v>
      </c>
      <c r="AM31" s="298"/>
      <c r="AN31" s="261"/>
      <c r="AO31" s="324"/>
      <c r="AP31" s="298"/>
      <c r="AQ31" s="251" t="s">
        <v>457</v>
      </c>
      <c r="AR31" s="298"/>
      <c r="AS31" s="251" t="s">
        <v>433</v>
      </c>
      <c r="AT31" s="254" t="str">
        <f t="shared" ref="AT31:AT38" si="7">IF(COUNTIF($AO$80:$AT$82, #REF!) &gt; 0, "X", "")</f>
        <v/>
      </c>
      <c r="AU31" s="269"/>
      <c r="AV31" s="269"/>
    </row>
    <row r="32">
      <c r="A32" s="94"/>
      <c r="B32" s="367" t="s">
        <v>677</v>
      </c>
      <c r="C32" s="368" t="s">
        <v>674</v>
      </c>
      <c r="D32" s="369"/>
      <c r="E32" s="259"/>
      <c r="F32" s="282"/>
      <c r="G32" s="246"/>
      <c r="I32" s="246"/>
      <c r="K32" s="246"/>
      <c r="L32" s="261"/>
      <c r="M32" s="250"/>
      <c r="N32" s="246"/>
      <c r="P32" s="246"/>
      <c r="Q32" s="282"/>
      <c r="R32" s="246"/>
      <c r="S32" s="261"/>
      <c r="T32" s="250"/>
      <c r="U32" s="246"/>
      <c r="W32" s="246"/>
      <c r="Y32" s="246"/>
      <c r="Z32" s="261"/>
      <c r="AA32" s="250"/>
      <c r="AB32" s="246"/>
      <c r="AC32" s="311" t="s">
        <v>438</v>
      </c>
      <c r="AD32" s="246"/>
      <c r="AE32" s="516"/>
      <c r="AF32" s="246"/>
      <c r="AG32" s="261"/>
      <c r="AH32" s="371"/>
      <c r="AI32" s="246"/>
      <c r="AK32" s="246"/>
      <c r="AM32" s="246"/>
      <c r="AN32" s="261"/>
      <c r="AO32" s="250"/>
      <c r="AP32" s="246"/>
      <c r="AR32" s="246"/>
      <c r="AT32" s="254" t="str">
        <f t="shared" si="7"/>
        <v/>
      </c>
      <c r="AU32" s="269"/>
      <c r="AV32" s="269"/>
    </row>
    <row r="33">
      <c r="A33" s="372"/>
      <c r="B33" s="256" t="s">
        <v>679</v>
      </c>
      <c r="C33" s="257" t="s">
        <v>680</v>
      </c>
      <c r="D33" s="330"/>
      <c r="E33" s="259"/>
      <c r="F33" s="600" t="s">
        <v>682</v>
      </c>
      <c r="G33" s="246"/>
      <c r="H33" s="374" t="s">
        <v>436</v>
      </c>
      <c r="I33" s="246"/>
      <c r="J33" s="600" t="s">
        <v>759</v>
      </c>
      <c r="K33" s="246"/>
      <c r="L33" s="261"/>
      <c r="M33" s="333"/>
      <c r="N33" s="246"/>
      <c r="O33" s="374" t="s">
        <v>436</v>
      </c>
      <c r="P33" s="246"/>
      <c r="Q33" s="274" t="s">
        <v>449</v>
      </c>
      <c r="R33" s="246"/>
      <c r="S33" s="261"/>
      <c r="T33" s="333"/>
      <c r="U33" s="246"/>
      <c r="V33" s="311" t="s">
        <v>436</v>
      </c>
      <c r="W33" s="246"/>
      <c r="X33" s="251" t="s">
        <v>433</v>
      </c>
      <c r="Y33" s="246"/>
      <c r="Z33" s="261"/>
      <c r="AA33" s="333"/>
      <c r="AB33" s="246"/>
      <c r="AC33" s="336" t="s">
        <v>398</v>
      </c>
      <c r="AD33" s="246"/>
      <c r="AE33" s="251" t="s">
        <v>433</v>
      </c>
      <c r="AF33" s="246"/>
      <c r="AG33" s="261"/>
      <c r="AH33" s="274" t="s">
        <v>443</v>
      </c>
      <c r="AI33" s="246"/>
      <c r="AJ33" s="340" t="s">
        <v>406</v>
      </c>
      <c r="AK33" s="246"/>
      <c r="AL33" s="251" t="s">
        <v>457</v>
      </c>
      <c r="AM33" s="246"/>
      <c r="AN33" s="261"/>
      <c r="AO33" s="333"/>
      <c r="AP33" s="246"/>
      <c r="AQ33" s="340" t="s">
        <v>406</v>
      </c>
      <c r="AR33" s="246"/>
      <c r="AS33" s="311" t="s">
        <v>436</v>
      </c>
      <c r="AT33" s="254" t="str">
        <f t="shared" si="7"/>
        <v/>
      </c>
      <c r="AU33" s="269"/>
      <c r="AV33" s="269"/>
    </row>
    <row r="34">
      <c r="A34" s="94"/>
      <c r="B34" s="328" t="s">
        <v>679</v>
      </c>
      <c r="C34" s="329" t="s">
        <v>652</v>
      </c>
      <c r="D34" s="330"/>
      <c r="E34" s="259"/>
      <c r="F34" s="311" t="s">
        <v>439</v>
      </c>
      <c r="G34" s="246"/>
      <c r="I34" s="246"/>
      <c r="K34" s="246"/>
      <c r="L34" s="261"/>
      <c r="M34" s="346"/>
      <c r="N34" s="246"/>
      <c r="P34" s="246"/>
      <c r="R34" s="246"/>
      <c r="S34" s="261"/>
      <c r="T34" s="346"/>
      <c r="U34" s="246"/>
      <c r="W34" s="246"/>
      <c r="Y34" s="246"/>
      <c r="Z34" s="261"/>
      <c r="AA34" s="346"/>
      <c r="AB34" s="246"/>
      <c r="AD34" s="246"/>
      <c r="AE34" s="516"/>
      <c r="AF34" s="246"/>
      <c r="AG34" s="261"/>
      <c r="AI34" s="246"/>
      <c r="AJ34" s="516"/>
      <c r="AK34" s="246"/>
      <c r="AM34" s="246"/>
      <c r="AN34" s="261"/>
      <c r="AO34" s="346"/>
      <c r="AP34" s="246"/>
      <c r="AR34" s="246"/>
      <c r="AS34" s="348" t="s">
        <v>682</v>
      </c>
      <c r="AT34" s="254" t="str">
        <f t="shared" si="7"/>
        <v/>
      </c>
      <c r="AU34" s="269"/>
      <c r="AV34" s="269"/>
    </row>
    <row r="35">
      <c r="A35" s="94"/>
      <c r="B35" s="328" t="s">
        <v>679</v>
      </c>
      <c r="C35" s="329" t="s">
        <v>683</v>
      </c>
      <c r="D35" s="330"/>
      <c r="E35" s="259"/>
      <c r="F35" s="376" t="s">
        <v>453</v>
      </c>
      <c r="G35" s="246"/>
      <c r="H35" s="274" t="s">
        <v>406</v>
      </c>
      <c r="I35" s="246"/>
      <c r="J35" s="336" t="s">
        <v>398</v>
      </c>
      <c r="K35" s="246"/>
      <c r="L35" s="261"/>
      <c r="M35" s="341"/>
      <c r="N35" s="246"/>
      <c r="O35" s="274" t="s">
        <v>406</v>
      </c>
      <c r="P35" s="246"/>
      <c r="Q35" s="311" t="s">
        <v>455</v>
      </c>
      <c r="R35" s="246"/>
      <c r="S35" s="261"/>
      <c r="T35" s="341"/>
      <c r="U35" s="246"/>
      <c r="V35" s="274" t="s">
        <v>406</v>
      </c>
      <c r="W35" s="246"/>
      <c r="X35" s="311" t="s">
        <v>455</v>
      </c>
      <c r="Y35" s="246"/>
      <c r="Z35" s="261"/>
      <c r="AA35" s="341"/>
      <c r="AB35" s="246"/>
      <c r="AC35" s="251" t="s">
        <v>407</v>
      </c>
      <c r="AD35" s="246"/>
      <c r="AE35" s="274" t="s">
        <v>437</v>
      </c>
      <c r="AF35" s="246"/>
      <c r="AG35" s="261"/>
      <c r="AH35" s="348" t="s">
        <v>682</v>
      </c>
      <c r="AI35" s="246"/>
      <c r="AJ35" s="311" t="s">
        <v>436</v>
      </c>
      <c r="AK35" s="246"/>
      <c r="AL35" s="376" t="s">
        <v>466</v>
      </c>
      <c r="AM35" s="246"/>
      <c r="AN35" s="261"/>
      <c r="AO35" s="341"/>
      <c r="AP35" s="246"/>
      <c r="AQ35" s="311" t="s">
        <v>394</v>
      </c>
      <c r="AR35" s="246"/>
      <c r="AS35" s="311" t="s">
        <v>455</v>
      </c>
      <c r="AT35" s="254" t="str">
        <f t="shared" si="7"/>
        <v/>
      </c>
      <c r="AU35" s="269"/>
      <c r="AV35" s="269"/>
    </row>
    <row r="36">
      <c r="A36" s="270"/>
      <c r="B36" s="377" t="s">
        <v>684</v>
      </c>
      <c r="C36" s="378" t="s">
        <v>685</v>
      </c>
      <c r="D36" s="379"/>
      <c r="E36" s="380"/>
      <c r="G36" s="246"/>
      <c r="I36" s="246"/>
      <c r="K36" s="246"/>
      <c r="L36" s="381"/>
      <c r="M36" s="341"/>
      <c r="N36" s="246"/>
      <c r="P36" s="246"/>
      <c r="R36" s="246"/>
      <c r="S36" s="381"/>
      <c r="T36" s="341"/>
      <c r="U36" s="246"/>
      <c r="W36" s="246"/>
      <c r="Y36" s="246"/>
      <c r="Z36" s="381"/>
      <c r="AA36" s="341"/>
      <c r="AB36" s="246"/>
      <c r="AD36" s="246"/>
      <c r="AF36" s="246"/>
      <c r="AG36" s="381"/>
      <c r="AH36" s="376" t="s">
        <v>453</v>
      </c>
      <c r="AI36" s="246"/>
      <c r="AK36" s="246"/>
      <c r="AM36" s="246"/>
      <c r="AN36" s="381"/>
      <c r="AO36" s="341"/>
      <c r="AP36" s="246"/>
      <c r="AR36" s="246"/>
      <c r="AT36" s="254" t="str">
        <f t="shared" si="7"/>
        <v/>
      </c>
      <c r="AU36" s="269"/>
      <c r="AV36" s="269"/>
    </row>
    <row r="37">
      <c r="A37" s="234"/>
      <c r="B37" s="382" t="s">
        <v>686</v>
      </c>
      <c r="C37" s="242" t="s">
        <v>652</v>
      </c>
      <c r="D37" s="363"/>
      <c r="E37" s="259"/>
      <c r="F37" s="376" t="s">
        <v>466</v>
      </c>
      <c r="G37" s="246"/>
      <c r="H37" s="274" t="s">
        <v>435</v>
      </c>
      <c r="I37" s="246"/>
      <c r="J37" s="287" t="s">
        <v>429</v>
      </c>
      <c r="K37" s="246"/>
      <c r="L37" s="261"/>
      <c r="M37" s="341"/>
      <c r="N37" s="246"/>
      <c r="O37" s="274" t="s">
        <v>435</v>
      </c>
      <c r="P37" s="246"/>
      <c r="Q37" s="251" t="s">
        <v>429</v>
      </c>
      <c r="R37" s="246"/>
      <c r="S37" s="261"/>
      <c r="T37" s="341"/>
      <c r="U37" s="246"/>
      <c r="V37" s="383" t="s">
        <v>428</v>
      </c>
      <c r="W37" s="246"/>
      <c r="X37" s="376" t="s">
        <v>453</v>
      </c>
      <c r="Y37" s="246"/>
      <c r="Z37" s="261"/>
      <c r="AA37" s="341"/>
      <c r="AB37" s="246"/>
      <c r="AC37" s="251" t="s">
        <v>435</v>
      </c>
      <c r="AD37" s="246"/>
      <c r="AE37" s="251" t="s">
        <v>429</v>
      </c>
      <c r="AF37" s="246"/>
      <c r="AG37" s="261"/>
      <c r="AH37" s="311" t="s">
        <v>455</v>
      </c>
      <c r="AI37" s="246"/>
      <c r="AJ37" s="385" t="s">
        <v>428</v>
      </c>
      <c r="AK37" s="246"/>
      <c r="AL37" s="251" t="s">
        <v>429</v>
      </c>
      <c r="AM37" s="246"/>
      <c r="AN37" s="261"/>
      <c r="AO37" s="341"/>
      <c r="AP37" s="246"/>
      <c r="AQ37" s="385" t="s">
        <v>428</v>
      </c>
      <c r="AR37" s="246"/>
      <c r="AS37" s="251" t="s">
        <v>429</v>
      </c>
      <c r="AT37" s="254" t="str">
        <f t="shared" si="7"/>
        <v/>
      </c>
      <c r="AU37" s="269"/>
      <c r="AV37" s="269"/>
    </row>
    <row r="38">
      <c r="A38" s="94"/>
      <c r="B38" s="337" t="s">
        <v>686</v>
      </c>
      <c r="C38" s="338" t="s">
        <v>687</v>
      </c>
      <c r="D38" s="330"/>
      <c r="E38" s="259"/>
      <c r="G38" s="246"/>
      <c r="H38" s="385" t="s">
        <v>428</v>
      </c>
      <c r="I38" s="246"/>
      <c r="K38" s="246"/>
      <c r="L38" s="261"/>
      <c r="M38" s="250"/>
      <c r="N38" s="246"/>
      <c r="O38" s="385" t="s">
        <v>428</v>
      </c>
      <c r="P38" s="246"/>
      <c r="Q38" s="376" t="s">
        <v>453</v>
      </c>
      <c r="R38" s="246"/>
      <c r="S38" s="261"/>
      <c r="T38" s="250"/>
      <c r="U38" s="246"/>
      <c r="V38" s="274" t="s">
        <v>435</v>
      </c>
      <c r="W38" s="246"/>
      <c r="X38" s="376" t="s">
        <v>466</v>
      </c>
      <c r="Y38" s="246"/>
      <c r="Z38" s="261"/>
      <c r="AA38" s="250"/>
      <c r="AB38" s="246"/>
      <c r="AC38" s="376" t="s">
        <v>466</v>
      </c>
      <c r="AD38" s="246"/>
      <c r="AE38" s="311" t="s">
        <v>455</v>
      </c>
      <c r="AF38" s="246"/>
      <c r="AG38" s="261"/>
      <c r="AI38" s="246"/>
      <c r="AJ38" s="678" t="s">
        <v>435</v>
      </c>
      <c r="AK38" s="246"/>
      <c r="AM38" s="246"/>
      <c r="AN38" s="261"/>
      <c r="AO38" s="250"/>
      <c r="AP38" s="246"/>
      <c r="AQ38" s="376" t="s">
        <v>466</v>
      </c>
      <c r="AR38" s="246"/>
      <c r="AS38" s="376" t="s">
        <v>453</v>
      </c>
      <c r="AT38" s="254" t="str">
        <f t="shared" si="7"/>
        <v/>
      </c>
      <c r="AU38" s="269"/>
      <c r="AV38" s="269"/>
    </row>
    <row r="39">
      <c r="A39" s="94"/>
      <c r="B39" s="337" t="s">
        <v>688</v>
      </c>
      <c r="C39" s="285" t="s">
        <v>687</v>
      </c>
      <c r="D39" s="330"/>
      <c r="E39" s="259"/>
      <c r="G39" s="246"/>
      <c r="I39" s="246"/>
      <c r="J39" s="265"/>
      <c r="K39" s="246"/>
      <c r="L39" s="261"/>
      <c r="M39" s="262"/>
      <c r="N39" s="246"/>
      <c r="P39" s="246"/>
      <c r="R39" s="246"/>
      <c r="S39" s="261"/>
      <c r="T39" s="262"/>
      <c r="U39" s="246"/>
      <c r="W39" s="246"/>
      <c r="Y39" s="246"/>
      <c r="Z39" s="261"/>
      <c r="AA39" s="262"/>
      <c r="AB39" s="246"/>
      <c r="AC39" s="347"/>
      <c r="AD39" s="246"/>
      <c r="AF39" s="246"/>
      <c r="AG39" s="261"/>
      <c r="AH39" s="265"/>
      <c r="AI39" s="246"/>
      <c r="AJ39" s="265"/>
      <c r="AK39" s="246"/>
      <c r="AL39" s="265"/>
      <c r="AM39" s="246"/>
      <c r="AN39" s="261"/>
      <c r="AO39" s="262"/>
      <c r="AP39" s="246"/>
      <c r="AQ39" s="265"/>
      <c r="AR39" s="246"/>
      <c r="AT39" s="254" t="str">
        <f>IF(COUNTIF($AO$80:$AT$82, AS37) &gt; 0, "X", "")</f>
        <v/>
      </c>
      <c r="AU39" s="269"/>
      <c r="AV39" s="269"/>
    </row>
    <row r="40">
      <c r="A40" s="94"/>
      <c r="B40" s="387" t="s">
        <v>690</v>
      </c>
      <c r="C40" s="388" t="s">
        <v>649</v>
      </c>
      <c r="D40" s="389"/>
      <c r="E40" s="259"/>
      <c r="F40" s="390"/>
      <c r="G40" s="246"/>
      <c r="H40" s="390"/>
      <c r="I40" s="246"/>
      <c r="J40" s="390"/>
      <c r="K40" s="246"/>
      <c r="L40" s="261"/>
      <c r="M40" s="250"/>
      <c r="N40" s="246"/>
      <c r="O40" s="390"/>
      <c r="P40" s="246"/>
      <c r="Q40" s="390"/>
      <c r="R40" s="246"/>
      <c r="S40" s="261"/>
      <c r="T40" s="250"/>
      <c r="U40" s="246"/>
      <c r="V40" s="390"/>
      <c r="W40" s="246"/>
      <c r="X40" s="355"/>
      <c r="Y40" s="246"/>
      <c r="Z40" s="261"/>
      <c r="AA40" s="250"/>
      <c r="AB40" s="246"/>
      <c r="AC40" s="390"/>
      <c r="AD40" s="246"/>
      <c r="AE40" s="390"/>
      <c r="AF40" s="246"/>
      <c r="AG40" s="261"/>
      <c r="AH40" s="390"/>
      <c r="AI40" s="246"/>
      <c r="AJ40" s="633" t="s">
        <v>420</v>
      </c>
      <c r="AK40" s="246"/>
      <c r="AL40" s="390"/>
      <c r="AM40" s="246"/>
      <c r="AN40" s="261"/>
      <c r="AO40" s="250"/>
      <c r="AP40" s="246"/>
      <c r="AQ40" s="390"/>
      <c r="AR40" s="246"/>
      <c r="AS40" s="390"/>
      <c r="AT40" s="254" t="str">
        <f>IF(COUNTIF($AO$80:$AT$82, #REF!) &gt; 0, "X", "")</f>
        <v/>
      </c>
      <c r="AU40" s="269"/>
      <c r="AV40" s="269"/>
    </row>
    <row r="41">
      <c r="A41" s="94"/>
      <c r="B41" s="296" t="s">
        <v>650</v>
      </c>
      <c r="C41" s="297" t="s">
        <v>649</v>
      </c>
      <c r="D41" s="323"/>
      <c r="E41" s="259"/>
      <c r="F41" s="300"/>
      <c r="G41" s="246"/>
      <c r="H41" s="319"/>
      <c r="I41" s="246"/>
      <c r="J41" s="300"/>
      <c r="K41" s="246"/>
      <c r="L41" s="261"/>
      <c r="M41" s="250"/>
      <c r="N41" s="246"/>
      <c r="O41" s="300"/>
      <c r="P41" s="246"/>
      <c r="Q41" s="300"/>
      <c r="R41" s="246"/>
      <c r="S41" s="261"/>
      <c r="T41" s="250"/>
      <c r="U41" s="246"/>
      <c r="V41" s="300"/>
      <c r="W41" s="246"/>
      <c r="X41" s="300"/>
      <c r="Y41" s="246"/>
      <c r="Z41" s="261"/>
      <c r="AA41" s="250"/>
      <c r="AB41" s="246"/>
      <c r="AC41" s="300"/>
      <c r="AD41" s="246"/>
      <c r="AE41" s="300"/>
      <c r="AF41" s="246"/>
      <c r="AG41" s="261"/>
      <c r="AH41" s="300"/>
      <c r="AI41" s="246"/>
      <c r="AJ41" s="300"/>
      <c r="AK41" s="246"/>
      <c r="AL41" s="300"/>
      <c r="AM41" s="246"/>
      <c r="AN41" s="261"/>
      <c r="AO41" s="250"/>
      <c r="AP41" s="246"/>
      <c r="AQ41" s="300"/>
      <c r="AR41" s="246"/>
      <c r="AS41" s="300"/>
      <c r="AT41" s="254" t="str">
        <f t="shared" ref="AT41:AT48" si="8">IF(COUNTIF($AO$80:$AT$82, AS41) &gt; 0, "X", "")</f>
        <v/>
      </c>
      <c r="AU41" s="269"/>
      <c r="AV41" s="269"/>
    </row>
    <row r="42">
      <c r="A42" s="94"/>
      <c r="B42" s="301" t="s">
        <v>651</v>
      </c>
      <c r="C42" s="391" t="s">
        <v>652</v>
      </c>
      <c r="D42" s="323"/>
      <c r="E42" s="261"/>
      <c r="F42" s="304"/>
      <c r="G42" s="246"/>
      <c r="H42" s="304"/>
      <c r="I42" s="246"/>
      <c r="J42" s="304"/>
      <c r="K42" s="246"/>
      <c r="L42" s="261"/>
      <c r="M42" s="250"/>
      <c r="N42" s="246"/>
      <c r="O42" s="304"/>
      <c r="P42" s="246"/>
      <c r="Q42" s="304"/>
      <c r="R42" s="246"/>
      <c r="S42" s="261"/>
      <c r="T42" s="250"/>
      <c r="U42" s="246"/>
      <c r="V42" s="304"/>
      <c r="W42" s="246"/>
      <c r="X42" s="304"/>
      <c r="Y42" s="246"/>
      <c r="Z42" s="261"/>
      <c r="AA42" s="250"/>
      <c r="AB42" s="246"/>
      <c r="AC42" s="304"/>
      <c r="AD42" s="246"/>
      <c r="AE42" s="304"/>
      <c r="AF42" s="246"/>
      <c r="AG42" s="261"/>
      <c r="AH42" s="304"/>
      <c r="AI42" s="246"/>
      <c r="AJ42" s="304"/>
      <c r="AK42" s="246"/>
      <c r="AL42" s="304"/>
      <c r="AM42" s="246"/>
      <c r="AN42" s="261"/>
      <c r="AO42" s="250"/>
      <c r="AP42" s="246"/>
      <c r="AQ42" s="304"/>
      <c r="AR42" s="246"/>
      <c r="AS42" s="304"/>
      <c r="AT42" s="254" t="str">
        <f t="shared" si="8"/>
        <v/>
      </c>
      <c r="AU42" s="269"/>
      <c r="AV42" s="269"/>
    </row>
    <row r="43">
      <c r="A43" s="94"/>
      <c r="B43" s="392" t="s">
        <v>691</v>
      </c>
      <c r="C43" s="393" t="s">
        <v>652</v>
      </c>
      <c r="D43" s="323"/>
      <c r="E43" s="259"/>
      <c r="F43" s="307"/>
      <c r="G43" s="246"/>
      <c r="H43" s="307"/>
      <c r="I43" s="246"/>
      <c r="J43" s="307"/>
      <c r="K43" s="246"/>
      <c r="L43" s="261"/>
      <c r="M43" s="250"/>
      <c r="N43" s="246"/>
      <c r="P43" s="246"/>
      <c r="Q43" s="307"/>
      <c r="R43" s="246"/>
      <c r="S43" s="261"/>
      <c r="T43" s="250"/>
      <c r="U43" s="246"/>
      <c r="V43" s="394"/>
      <c r="W43" s="246"/>
      <c r="X43" s="394"/>
      <c r="Y43" s="246"/>
      <c r="Z43" s="261"/>
      <c r="AA43" s="250"/>
      <c r="AB43" s="246"/>
      <c r="AC43" s="307"/>
      <c r="AD43" s="246"/>
      <c r="AE43" s="307"/>
      <c r="AF43" s="246"/>
      <c r="AG43" s="261"/>
      <c r="AH43" s="307"/>
      <c r="AI43" s="246"/>
      <c r="AJ43" s="308" t="s">
        <v>394</v>
      </c>
      <c r="AK43" s="246"/>
      <c r="AL43" s="307"/>
      <c r="AM43" s="246"/>
      <c r="AN43" s="261"/>
      <c r="AO43" s="250"/>
      <c r="AP43" s="246"/>
      <c r="AQ43" s="307"/>
      <c r="AR43" s="246"/>
      <c r="AS43" s="307"/>
      <c r="AT43" s="254" t="str">
        <f t="shared" si="8"/>
        <v/>
      </c>
      <c r="AU43" s="269"/>
      <c r="AV43" s="269"/>
    </row>
    <row r="44">
      <c r="A44" s="94"/>
      <c r="B44" s="328" t="s">
        <v>692</v>
      </c>
      <c r="C44" s="329" t="s">
        <v>652</v>
      </c>
      <c r="D44" s="330"/>
      <c r="E44" s="259"/>
      <c r="F44" s="371"/>
      <c r="G44" s="246"/>
      <c r="H44" s="371"/>
      <c r="I44" s="246"/>
      <c r="J44" s="282"/>
      <c r="K44" s="246"/>
      <c r="L44" s="261"/>
      <c r="M44" s="250"/>
      <c r="N44" s="246"/>
      <c r="O44" s="371"/>
      <c r="P44" s="246"/>
      <c r="Q44" s="371"/>
      <c r="R44" s="246"/>
      <c r="S44" s="261"/>
      <c r="T44" s="250"/>
      <c r="U44" s="246"/>
      <c r="V44" s="282"/>
      <c r="W44" s="246"/>
      <c r="X44" s="371"/>
      <c r="Y44" s="246"/>
      <c r="Z44" s="261"/>
      <c r="AA44" s="250"/>
      <c r="AB44" s="246"/>
      <c r="AC44" s="371"/>
      <c r="AD44" s="246"/>
      <c r="AE44" s="371"/>
      <c r="AF44" s="246"/>
      <c r="AG44" s="261"/>
      <c r="AH44" s="371"/>
      <c r="AI44" s="246"/>
      <c r="AJ44" s="371"/>
      <c r="AK44" s="246"/>
      <c r="AL44" s="371"/>
      <c r="AM44" s="246"/>
      <c r="AN44" s="261"/>
      <c r="AO44" s="250"/>
      <c r="AP44" s="246"/>
      <c r="AQ44" s="282"/>
      <c r="AR44" s="246"/>
      <c r="AS44" s="282"/>
      <c r="AT44" s="254" t="str">
        <f t="shared" si="8"/>
        <v/>
      </c>
      <c r="AU44" s="269"/>
      <c r="AV44" s="269"/>
    </row>
    <row r="45">
      <c r="A45" s="270"/>
      <c r="B45" s="397" t="s">
        <v>692</v>
      </c>
      <c r="C45" s="398" t="s">
        <v>687</v>
      </c>
      <c r="D45" s="369"/>
      <c r="E45" s="259"/>
      <c r="F45" s="399"/>
      <c r="G45" s="246"/>
      <c r="H45" s="399"/>
      <c r="I45" s="246"/>
      <c r="J45" s="399"/>
      <c r="K45" s="246"/>
      <c r="L45" s="261"/>
      <c r="M45" s="250"/>
      <c r="N45" s="246"/>
      <c r="O45" s="282"/>
      <c r="P45" s="246"/>
      <c r="Q45" s="282"/>
      <c r="R45" s="246"/>
      <c r="S45" s="261"/>
      <c r="T45" s="250"/>
      <c r="U45" s="246"/>
      <c r="V45" s="282"/>
      <c r="W45" s="246"/>
      <c r="X45" s="399"/>
      <c r="Y45" s="246"/>
      <c r="Z45" s="261"/>
      <c r="AA45" s="250"/>
      <c r="AB45" s="246"/>
      <c r="AC45" s="399"/>
      <c r="AD45" s="246"/>
      <c r="AE45" s="399"/>
      <c r="AF45" s="246"/>
      <c r="AG45" s="261"/>
      <c r="AH45" s="399"/>
      <c r="AI45" s="246"/>
      <c r="AJ45" s="399"/>
      <c r="AK45" s="246"/>
      <c r="AL45" s="399"/>
      <c r="AM45" s="246"/>
      <c r="AN45" s="261"/>
      <c r="AO45" s="250"/>
      <c r="AP45" s="246"/>
      <c r="AQ45" s="399"/>
      <c r="AR45" s="246"/>
      <c r="AS45" s="399"/>
      <c r="AT45" s="254" t="str">
        <f t="shared" si="8"/>
        <v/>
      </c>
      <c r="AU45" s="269"/>
      <c r="AV45" s="269"/>
    </row>
    <row r="46">
      <c r="A46" s="94"/>
      <c r="B46" s="387" t="s">
        <v>694</v>
      </c>
      <c r="C46" s="388" t="s">
        <v>649</v>
      </c>
      <c r="D46" s="389"/>
      <c r="E46" s="259"/>
      <c r="F46" s="390"/>
      <c r="G46" s="246"/>
      <c r="H46" s="390"/>
      <c r="I46" s="246"/>
      <c r="J46" s="390"/>
      <c r="K46" s="246"/>
      <c r="L46" s="261"/>
      <c r="M46" s="250"/>
      <c r="N46" s="246"/>
      <c r="O46" s="390"/>
      <c r="P46" s="246"/>
      <c r="Q46" s="357" t="s">
        <v>425</v>
      </c>
      <c r="R46" s="246"/>
      <c r="S46" s="261"/>
      <c r="T46" s="250"/>
      <c r="U46" s="246"/>
      <c r="V46" s="390"/>
      <c r="W46" s="246"/>
      <c r="X46" s="357" t="s">
        <v>425</v>
      </c>
      <c r="Y46" s="246"/>
      <c r="Z46" s="261"/>
      <c r="AA46" s="250"/>
      <c r="AB46" s="246"/>
      <c r="AC46" s="390"/>
      <c r="AD46" s="246"/>
      <c r="AE46" s="357" t="s">
        <v>425</v>
      </c>
      <c r="AF46" s="246"/>
      <c r="AG46" s="261"/>
      <c r="AH46" s="390"/>
      <c r="AI46" s="246"/>
      <c r="AJ46" s="390"/>
      <c r="AK46" s="246"/>
      <c r="AL46" s="357" t="s">
        <v>425</v>
      </c>
      <c r="AM46" s="246"/>
      <c r="AN46" s="261"/>
      <c r="AO46" s="250"/>
      <c r="AP46" s="246"/>
      <c r="AQ46" s="390"/>
      <c r="AR46" s="246"/>
      <c r="AS46" s="357" t="s">
        <v>425</v>
      </c>
      <c r="AT46" s="254" t="str">
        <f t="shared" si="8"/>
        <v/>
      </c>
      <c r="AU46" s="269"/>
      <c r="AV46" s="269"/>
    </row>
    <row r="47">
      <c r="A47" s="94"/>
      <c r="B47" s="296" t="s">
        <v>650</v>
      </c>
      <c r="C47" s="297" t="s">
        <v>649</v>
      </c>
      <c r="D47" s="323"/>
      <c r="E47" s="259"/>
      <c r="F47" s="300"/>
      <c r="G47" s="298"/>
      <c r="H47" s="300"/>
      <c r="I47" s="298"/>
      <c r="J47" s="300"/>
      <c r="K47" s="298"/>
      <c r="L47" s="261"/>
      <c r="M47" s="250"/>
      <c r="N47" s="298"/>
      <c r="O47" s="300"/>
      <c r="P47" s="298"/>
      <c r="Q47" s="319"/>
      <c r="R47" s="298"/>
      <c r="S47" s="261"/>
      <c r="T47" s="250"/>
      <c r="U47" s="298"/>
      <c r="V47" s="300"/>
      <c r="W47" s="298"/>
      <c r="X47" s="300"/>
      <c r="Y47" s="298"/>
      <c r="Z47" s="261"/>
      <c r="AA47" s="250"/>
      <c r="AB47" s="298"/>
      <c r="AC47" s="300"/>
      <c r="AD47" s="298"/>
      <c r="AE47" s="300"/>
      <c r="AF47" s="298"/>
      <c r="AG47" s="261"/>
      <c r="AH47" s="300"/>
      <c r="AI47" s="298"/>
      <c r="AJ47" s="300"/>
      <c r="AK47" s="298"/>
      <c r="AL47" s="300"/>
      <c r="AM47" s="298"/>
      <c r="AN47" s="261"/>
      <c r="AO47" s="250"/>
      <c r="AP47" s="298"/>
      <c r="AQ47" s="300"/>
      <c r="AR47" s="298"/>
      <c r="AS47" s="300"/>
      <c r="AT47" s="254" t="str">
        <f t="shared" si="8"/>
        <v/>
      </c>
      <c r="AU47" s="269"/>
      <c r="AV47" s="269"/>
    </row>
    <row r="48">
      <c r="A48" s="94"/>
      <c r="B48" s="301" t="s">
        <v>651</v>
      </c>
      <c r="C48" s="391" t="s">
        <v>652</v>
      </c>
      <c r="D48" s="323"/>
      <c r="E48" s="261"/>
      <c r="F48" s="304"/>
      <c r="G48" s="298"/>
      <c r="H48" s="304"/>
      <c r="I48" s="298"/>
      <c r="J48" s="304"/>
      <c r="K48" s="298"/>
      <c r="L48" s="261"/>
      <c r="M48" s="250"/>
      <c r="N48" s="298"/>
      <c r="O48" s="304"/>
      <c r="P48" s="298"/>
      <c r="Q48" s="304"/>
      <c r="R48" s="298"/>
      <c r="S48" s="261"/>
      <c r="T48" s="250"/>
      <c r="U48" s="298"/>
      <c r="V48" s="304"/>
      <c r="W48" s="298"/>
      <c r="X48" s="304"/>
      <c r="Y48" s="298"/>
      <c r="Z48" s="261"/>
      <c r="AA48" s="250"/>
      <c r="AB48" s="298"/>
      <c r="AC48" s="304"/>
      <c r="AD48" s="298"/>
      <c r="AE48" s="304"/>
      <c r="AF48" s="298"/>
      <c r="AG48" s="261"/>
      <c r="AH48" s="304"/>
      <c r="AI48" s="298"/>
      <c r="AJ48" s="304"/>
      <c r="AK48" s="298"/>
      <c r="AL48" s="304"/>
      <c r="AM48" s="298"/>
      <c r="AN48" s="261"/>
      <c r="AO48" s="250"/>
      <c r="AP48" s="298"/>
      <c r="AQ48" s="304"/>
      <c r="AR48" s="298"/>
      <c r="AS48" s="304"/>
      <c r="AT48" s="254" t="str">
        <f t="shared" si="8"/>
        <v/>
      </c>
      <c r="AU48" s="269"/>
      <c r="AV48" s="269"/>
    </row>
    <row r="49">
      <c r="A49" s="94"/>
      <c r="B49" s="401" t="s">
        <v>697</v>
      </c>
      <c r="C49" s="393" t="s">
        <v>652</v>
      </c>
      <c r="D49" s="323"/>
      <c r="E49" s="259"/>
      <c r="F49" s="307"/>
      <c r="G49" s="298"/>
      <c r="H49" s="307"/>
      <c r="I49" s="298"/>
      <c r="J49" s="307"/>
      <c r="K49" s="298"/>
      <c r="L49" s="261"/>
      <c r="M49" s="250"/>
      <c r="N49" s="298"/>
      <c r="O49" s="307"/>
      <c r="P49" s="298"/>
      <c r="Q49" s="309" t="s">
        <v>414</v>
      </c>
      <c r="R49" s="298"/>
      <c r="S49" s="261"/>
      <c r="T49" s="250"/>
      <c r="U49" s="298"/>
      <c r="V49" s="307"/>
      <c r="W49" s="298"/>
      <c r="X49" s="532" t="s">
        <v>839</v>
      </c>
      <c r="Y49" s="298"/>
      <c r="Z49" s="261"/>
      <c r="AA49" s="250"/>
      <c r="AB49" s="298"/>
      <c r="AC49" s="307"/>
      <c r="AD49" s="298"/>
      <c r="AE49" s="532" t="s">
        <v>839</v>
      </c>
      <c r="AF49" s="298"/>
      <c r="AG49" s="261"/>
      <c r="AH49" s="307"/>
      <c r="AI49" s="298"/>
      <c r="AJ49" s="307"/>
      <c r="AK49" s="298"/>
      <c r="AL49" s="308" t="s">
        <v>445</v>
      </c>
      <c r="AM49" s="298"/>
      <c r="AN49" s="261"/>
      <c r="AO49" s="250"/>
      <c r="AP49" s="298"/>
      <c r="AQ49" s="307"/>
      <c r="AR49" s="298"/>
      <c r="AS49" s="308" t="s">
        <v>445</v>
      </c>
      <c r="AT49" s="254" t="str">
        <f t="shared" ref="AT49:AT50" si="9">IF(COUNTIF($AO$80:$AT$82, #REF!) &gt; 0, "X", "")</f>
        <v/>
      </c>
      <c r="AU49" s="269"/>
      <c r="AV49" s="269"/>
    </row>
    <row r="50">
      <c r="A50" s="94"/>
      <c r="B50" s="337" t="s">
        <v>698</v>
      </c>
      <c r="C50" s="329" t="s">
        <v>652</v>
      </c>
      <c r="D50" s="330"/>
      <c r="E50" s="259"/>
      <c r="F50" s="371"/>
      <c r="G50" s="246"/>
      <c r="H50" s="371"/>
      <c r="I50" s="246"/>
      <c r="J50" s="371"/>
      <c r="K50" s="246"/>
      <c r="L50" s="261"/>
      <c r="M50" s="250"/>
      <c r="N50" s="246"/>
      <c r="O50" s="371"/>
      <c r="P50" s="246"/>
      <c r="Q50" s="371"/>
      <c r="R50" s="246"/>
      <c r="S50" s="261"/>
      <c r="T50" s="250"/>
      <c r="U50" s="246"/>
      <c r="V50" s="371"/>
      <c r="W50" s="246"/>
      <c r="X50" s="282"/>
      <c r="Y50" s="246"/>
      <c r="Z50" s="261"/>
      <c r="AA50" s="250"/>
      <c r="AB50" s="246"/>
      <c r="AC50" s="282"/>
      <c r="AD50" s="246"/>
      <c r="AE50" s="584"/>
      <c r="AF50" s="246"/>
      <c r="AG50" s="261"/>
      <c r="AH50" s="371"/>
      <c r="AI50" s="246"/>
      <c r="AJ50" s="371"/>
      <c r="AK50" s="246"/>
      <c r="AL50" s="282"/>
      <c r="AM50" s="246"/>
      <c r="AN50" s="261"/>
      <c r="AO50" s="250"/>
      <c r="AP50" s="246"/>
      <c r="AQ50" s="371"/>
      <c r="AR50" s="246"/>
      <c r="AS50" s="282"/>
      <c r="AT50" s="254" t="str">
        <f t="shared" si="9"/>
        <v/>
      </c>
      <c r="AU50" s="269"/>
      <c r="AV50" s="269"/>
    </row>
    <row r="51">
      <c r="A51" s="270"/>
      <c r="B51" s="337" t="s">
        <v>698</v>
      </c>
      <c r="C51" s="398" t="s">
        <v>687</v>
      </c>
      <c r="D51" s="369"/>
      <c r="E51" s="259"/>
      <c r="F51" s="399"/>
      <c r="G51" s="246"/>
      <c r="H51" s="399"/>
      <c r="I51" s="246"/>
      <c r="J51" s="399"/>
      <c r="K51" s="246"/>
      <c r="L51" s="261"/>
      <c r="M51" s="250"/>
      <c r="N51" s="246"/>
      <c r="O51" s="399"/>
      <c r="P51" s="246"/>
      <c r="Q51" s="282"/>
      <c r="R51" s="246"/>
      <c r="S51" s="261"/>
      <c r="T51" s="250"/>
      <c r="U51" s="246"/>
      <c r="V51" s="399"/>
      <c r="W51" s="246"/>
      <c r="X51" s="399"/>
      <c r="Y51" s="246"/>
      <c r="Z51" s="261"/>
      <c r="AA51" s="250"/>
      <c r="AB51" s="246"/>
      <c r="AC51" s="282"/>
      <c r="AD51" s="246"/>
      <c r="AE51" s="399"/>
      <c r="AF51" s="246"/>
      <c r="AG51" s="261"/>
      <c r="AH51" s="399"/>
      <c r="AI51" s="246"/>
      <c r="AJ51" s="399"/>
      <c r="AK51" s="246"/>
      <c r="AL51" s="399"/>
      <c r="AM51" s="246"/>
      <c r="AN51" s="261"/>
      <c r="AO51" s="250"/>
      <c r="AP51" s="246"/>
      <c r="AQ51" s="399"/>
      <c r="AR51" s="246"/>
      <c r="AS51" s="399"/>
      <c r="AT51" s="254" t="str">
        <f t="shared" ref="AT51:AT53" si="10">IF(COUNTIF($AO$80:$AT$82, AS51) &gt; 0, "X", "")</f>
        <v/>
      </c>
      <c r="AU51" s="269"/>
      <c r="AV51" s="269"/>
    </row>
    <row r="52">
      <c r="A52" s="94"/>
      <c r="B52" s="402" t="s">
        <v>699</v>
      </c>
      <c r="C52" s="403" t="s">
        <v>649</v>
      </c>
      <c r="D52" s="404"/>
      <c r="E52" s="259"/>
      <c r="F52" s="294"/>
      <c r="G52" s="246"/>
      <c r="H52" s="294"/>
      <c r="I52" s="246"/>
      <c r="J52" s="294"/>
      <c r="K52" s="246"/>
      <c r="L52" s="261"/>
      <c r="M52" s="250"/>
      <c r="N52" s="246"/>
      <c r="O52" s="294"/>
      <c r="P52" s="246"/>
      <c r="Q52" s="293" t="s">
        <v>422</v>
      </c>
      <c r="R52" s="246"/>
      <c r="S52" s="261"/>
      <c r="T52" s="250"/>
      <c r="U52" s="246"/>
      <c r="V52" s="294"/>
      <c r="W52" s="246"/>
      <c r="X52" s="294"/>
      <c r="Y52" s="246"/>
      <c r="Z52" s="261"/>
      <c r="AA52" s="250"/>
      <c r="AB52" s="246"/>
      <c r="AC52" s="294"/>
      <c r="AD52" s="246"/>
      <c r="AE52" s="294"/>
      <c r="AF52" s="246"/>
      <c r="AG52" s="261"/>
      <c r="AH52" s="294"/>
      <c r="AI52" s="246"/>
      <c r="AJ52" s="294"/>
      <c r="AK52" s="246"/>
      <c r="AL52" s="294"/>
      <c r="AM52" s="246"/>
      <c r="AN52" s="261"/>
      <c r="AO52" s="250"/>
      <c r="AP52" s="246"/>
      <c r="AQ52" s="294"/>
      <c r="AR52" s="246"/>
      <c r="AS52" s="294"/>
      <c r="AT52" s="254" t="str">
        <f t="shared" si="10"/>
        <v/>
      </c>
      <c r="AU52" s="269"/>
      <c r="AV52" s="269"/>
    </row>
    <row r="53">
      <c r="A53" s="94"/>
      <c r="B53" s="328" t="s">
        <v>700</v>
      </c>
      <c r="C53" s="329" t="s">
        <v>657</v>
      </c>
      <c r="D53" s="330"/>
      <c r="E53" s="259"/>
      <c r="F53" s="264"/>
      <c r="G53" s="246"/>
      <c r="H53" s="282"/>
      <c r="I53" s="246"/>
      <c r="J53" s="371"/>
      <c r="K53" s="246"/>
      <c r="L53" s="261"/>
      <c r="M53" s="250"/>
      <c r="N53" s="246"/>
      <c r="O53" s="371"/>
      <c r="P53" s="246"/>
      <c r="Q53" s="274" t="s">
        <v>437</v>
      </c>
      <c r="R53" s="246"/>
      <c r="S53" s="261"/>
      <c r="T53" s="250"/>
      <c r="U53" s="246"/>
      <c r="V53" s="371"/>
      <c r="W53" s="246"/>
      <c r="X53" s="371"/>
      <c r="Y53" s="246"/>
      <c r="Z53" s="261"/>
      <c r="AA53" s="250"/>
      <c r="AB53" s="246"/>
      <c r="AC53" s="371"/>
      <c r="AD53" s="246"/>
      <c r="AF53" s="246"/>
      <c r="AG53" s="261"/>
      <c r="AH53" s="371"/>
      <c r="AI53" s="246"/>
      <c r="AJ53" s="371"/>
      <c r="AK53" s="246"/>
      <c r="AL53" s="371"/>
      <c r="AM53" s="246"/>
      <c r="AN53" s="261"/>
      <c r="AO53" s="250"/>
      <c r="AP53" s="246"/>
      <c r="AQ53" s="282"/>
      <c r="AR53" s="246"/>
      <c r="AS53" s="371"/>
      <c r="AT53" s="254" t="str">
        <f t="shared" si="10"/>
        <v/>
      </c>
      <c r="AU53" s="269"/>
      <c r="AV53" s="269"/>
    </row>
    <row r="54">
      <c r="A54" s="94"/>
      <c r="B54" s="328" t="s">
        <v>700</v>
      </c>
      <c r="C54" s="329" t="s">
        <v>657</v>
      </c>
      <c r="D54" s="330"/>
      <c r="E54" s="259"/>
      <c r="F54" s="371"/>
      <c r="G54" s="246"/>
      <c r="I54" s="246"/>
      <c r="K54" s="246"/>
      <c r="L54" s="261"/>
      <c r="M54" s="262"/>
      <c r="N54" s="246"/>
      <c r="O54" s="265"/>
      <c r="P54" s="246"/>
      <c r="Q54" s="405" t="s">
        <v>462</v>
      </c>
      <c r="R54" s="246"/>
      <c r="S54" s="261"/>
      <c r="T54" s="262"/>
      <c r="U54" s="246"/>
      <c r="V54" s="264"/>
      <c r="W54" s="246"/>
      <c r="Y54" s="246"/>
      <c r="Z54" s="261"/>
      <c r="AA54" s="262"/>
      <c r="AB54" s="246"/>
      <c r="AD54" s="246"/>
      <c r="AF54" s="246"/>
      <c r="AG54" s="261"/>
      <c r="AH54" s="264"/>
      <c r="AI54" s="246"/>
      <c r="AJ54" s="264"/>
      <c r="AK54" s="246"/>
      <c r="AM54" s="246"/>
      <c r="AN54" s="261"/>
      <c r="AO54" s="262"/>
      <c r="AP54" s="246"/>
      <c r="AQ54" s="264"/>
      <c r="AR54" s="246"/>
      <c r="AT54" s="254" t="str">
        <f>IF(COUNTIF($AO$80:$AT$82, AS61) &gt; 0, "X", "")</f>
        <v/>
      </c>
      <c r="AU54" s="269"/>
      <c r="AV54" s="269"/>
    </row>
    <row r="55">
      <c r="A55" s="94"/>
      <c r="B55" s="328" t="s">
        <v>700</v>
      </c>
      <c r="C55" s="329" t="s">
        <v>657</v>
      </c>
      <c r="D55" s="330"/>
      <c r="E55" s="259"/>
      <c r="G55" s="246"/>
      <c r="I55" s="246"/>
      <c r="K55" s="246"/>
      <c r="L55" s="261"/>
      <c r="M55" s="250"/>
      <c r="N55" s="246"/>
      <c r="P55" s="246"/>
      <c r="Q55" s="282"/>
      <c r="R55" s="246"/>
      <c r="S55" s="261"/>
      <c r="T55" s="250"/>
      <c r="U55" s="246"/>
      <c r="V55" s="282"/>
      <c r="W55" s="246"/>
      <c r="Y55" s="246"/>
      <c r="Z55" s="261"/>
      <c r="AA55" s="250"/>
      <c r="AB55" s="246"/>
      <c r="AD55" s="246"/>
      <c r="AE55" s="282"/>
      <c r="AF55" s="246"/>
      <c r="AG55" s="261"/>
      <c r="AH55" s="371"/>
      <c r="AI55" s="246"/>
      <c r="AK55" s="246"/>
      <c r="AM55" s="246"/>
      <c r="AN55" s="261"/>
      <c r="AO55" s="250"/>
      <c r="AP55" s="246"/>
      <c r="AQ55" s="371"/>
      <c r="AR55" s="246"/>
      <c r="AT55" s="254" t="str">
        <f>IF(COUNTIF($AO$80:$AT$82, #REF!) &gt; 0, "X", "")</f>
        <v/>
      </c>
      <c r="AU55" s="269"/>
      <c r="AV55" s="269"/>
    </row>
    <row r="56">
      <c r="A56" s="234"/>
      <c r="B56" s="408" t="s">
        <v>702</v>
      </c>
      <c r="C56" s="409" t="s">
        <v>652</v>
      </c>
      <c r="D56" s="351"/>
      <c r="E56" s="259"/>
      <c r="F56" s="411"/>
      <c r="G56" s="246"/>
      <c r="H56" s="411"/>
      <c r="I56" s="246"/>
      <c r="J56" s="411"/>
      <c r="K56" s="246"/>
      <c r="L56" s="261"/>
      <c r="M56" s="262"/>
      <c r="N56" s="246"/>
      <c r="O56" s="411"/>
      <c r="P56" s="246"/>
      <c r="Q56" s="411"/>
      <c r="R56" s="246"/>
      <c r="S56" s="261"/>
      <c r="T56" s="262"/>
      <c r="U56" s="246"/>
      <c r="V56" s="411"/>
      <c r="W56" s="246"/>
      <c r="X56" s="411"/>
      <c r="Y56" s="246"/>
      <c r="Z56" s="261"/>
      <c r="AA56" s="262"/>
      <c r="AB56" s="246"/>
      <c r="AC56" s="411"/>
      <c r="AD56" s="246"/>
      <c r="AE56" s="411"/>
      <c r="AF56" s="246"/>
      <c r="AG56" s="261"/>
      <c r="AH56" s="411"/>
      <c r="AI56" s="246"/>
      <c r="AJ56" s="411"/>
      <c r="AK56" s="246"/>
      <c r="AL56" s="411"/>
      <c r="AM56" s="246"/>
      <c r="AN56" s="261"/>
      <c r="AO56" s="262"/>
      <c r="AP56" s="246"/>
      <c r="AQ56" s="411"/>
      <c r="AR56" s="246"/>
      <c r="AS56" s="411"/>
      <c r="AT56" s="254" t="str">
        <f t="shared" ref="AT56:AT57" si="11">IF(COUNTIF($AO$80:$AT$82, AS56) &gt; 0, "X", "")</f>
        <v/>
      </c>
      <c r="AU56" s="269"/>
      <c r="AV56" s="269"/>
    </row>
    <row r="57">
      <c r="A57" s="234"/>
      <c r="B57" s="401" t="s">
        <v>703</v>
      </c>
      <c r="C57" s="412" t="s">
        <v>704</v>
      </c>
      <c r="D57" s="323"/>
      <c r="E57" s="259"/>
      <c r="F57" s="307"/>
      <c r="G57" s="246"/>
      <c r="H57" s="413"/>
      <c r="I57" s="246"/>
      <c r="J57" s="413"/>
      <c r="K57" s="246"/>
      <c r="L57" s="261"/>
      <c r="M57" s="262"/>
      <c r="N57" s="246"/>
      <c r="O57" s="413"/>
      <c r="P57" s="246"/>
      <c r="Q57" s="413"/>
      <c r="R57" s="246"/>
      <c r="S57" s="261"/>
      <c r="T57" s="262"/>
      <c r="U57" s="246"/>
      <c r="V57" s="413"/>
      <c r="W57" s="246"/>
      <c r="X57" s="413"/>
      <c r="Y57" s="246"/>
      <c r="Z57" s="261"/>
      <c r="AA57" s="262"/>
      <c r="AB57" s="246"/>
      <c r="AC57" s="413"/>
      <c r="AD57" s="246"/>
      <c r="AE57" s="413"/>
      <c r="AF57" s="246"/>
      <c r="AG57" s="261"/>
      <c r="AH57" s="413"/>
      <c r="AI57" s="246"/>
      <c r="AJ57" s="413"/>
      <c r="AK57" s="246"/>
      <c r="AL57" s="413"/>
      <c r="AM57" s="246"/>
      <c r="AN57" s="261"/>
      <c r="AO57" s="262"/>
      <c r="AP57" s="246"/>
      <c r="AQ57" s="413"/>
      <c r="AR57" s="246"/>
      <c r="AS57" s="413"/>
      <c r="AT57" s="254" t="str">
        <f t="shared" si="11"/>
        <v/>
      </c>
      <c r="AU57" s="269"/>
      <c r="AV57" s="269"/>
    </row>
    <row r="58">
      <c r="A58" s="94"/>
      <c r="B58" s="414" t="s">
        <v>705</v>
      </c>
      <c r="C58" s="415" t="s">
        <v>704</v>
      </c>
      <c r="D58" s="330"/>
      <c r="E58" s="259"/>
      <c r="G58" s="246"/>
      <c r="H58" s="251" t="s">
        <v>407</v>
      </c>
      <c r="I58" s="246"/>
      <c r="J58" s="251" t="s">
        <v>410</v>
      </c>
      <c r="K58" s="246"/>
      <c r="L58" s="261"/>
      <c r="M58" s="341"/>
      <c r="N58" s="246"/>
      <c r="O58" s="311" t="s">
        <v>438</v>
      </c>
      <c r="P58" s="246"/>
      <c r="Q58" s="311" t="s">
        <v>410</v>
      </c>
      <c r="R58" s="246"/>
      <c r="S58" s="261"/>
      <c r="T58" s="341"/>
      <c r="U58" s="246"/>
      <c r="V58" s="311" t="s">
        <v>394</v>
      </c>
      <c r="W58" s="246"/>
      <c r="X58" s="251" t="s">
        <v>410</v>
      </c>
      <c r="Y58" s="246"/>
      <c r="Z58" s="261"/>
      <c r="AA58" s="341"/>
      <c r="AB58" s="246"/>
      <c r="AC58" s="311" t="s">
        <v>394</v>
      </c>
      <c r="AD58" s="246"/>
      <c r="AE58" s="311" t="s">
        <v>467</v>
      </c>
      <c r="AF58" s="246"/>
      <c r="AG58" s="261"/>
      <c r="AH58" s="282"/>
      <c r="AI58" s="246"/>
      <c r="AJ58" s="311" t="s">
        <v>438</v>
      </c>
      <c r="AK58" s="246"/>
      <c r="AL58" s="251" t="s">
        <v>410</v>
      </c>
      <c r="AM58" s="246"/>
      <c r="AN58" s="261"/>
      <c r="AO58" s="341"/>
      <c r="AP58" s="246"/>
      <c r="AQ58" s="311" t="s">
        <v>438</v>
      </c>
      <c r="AR58" s="246"/>
      <c r="AS58" s="374" t="s">
        <v>410</v>
      </c>
      <c r="AT58" s="254" t="str">
        <f t="shared" ref="AT58:AT60" si="12">IF(COUNTIF($AO$80:$AT$82, #REF!) &gt; 0, "X", "")</f>
        <v/>
      </c>
      <c r="AU58" s="269"/>
      <c r="AV58" s="269"/>
    </row>
    <row r="59">
      <c r="A59" s="94"/>
      <c r="B59" s="328" t="s">
        <v>705</v>
      </c>
      <c r="C59" s="257" t="s">
        <v>657</v>
      </c>
      <c r="D59" s="330"/>
      <c r="E59" s="259"/>
      <c r="F59" s="586" t="s">
        <v>452</v>
      </c>
      <c r="G59" s="246"/>
      <c r="H59" s="311" t="s">
        <v>432</v>
      </c>
      <c r="I59" s="246"/>
      <c r="J59" s="311" t="s">
        <v>467</v>
      </c>
      <c r="K59" s="246"/>
      <c r="L59" s="261"/>
      <c r="M59" s="341"/>
      <c r="N59" s="246"/>
      <c r="O59" s="311" t="s">
        <v>394</v>
      </c>
      <c r="P59" s="246"/>
      <c r="Q59" s="311" t="s">
        <v>470</v>
      </c>
      <c r="R59" s="246"/>
      <c r="S59" s="261"/>
      <c r="T59" s="341"/>
      <c r="U59" s="246"/>
      <c r="V59" s="311" t="s">
        <v>438</v>
      </c>
      <c r="W59" s="246"/>
      <c r="X59" s="311" t="s">
        <v>467</v>
      </c>
      <c r="Y59" s="246"/>
      <c r="Z59" s="261"/>
      <c r="AA59" s="341"/>
      <c r="AB59" s="246"/>
      <c r="AC59" s="311" t="s">
        <v>432</v>
      </c>
      <c r="AD59" s="246"/>
      <c r="AE59" s="311" t="s">
        <v>470</v>
      </c>
      <c r="AF59" s="246"/>
      <c r="AG59" s="261"/>
      <c r="AH59" s="311" t="s">
        <v>470</v>
      </c>
      <c r="AI59" s="246"/>
      <c r="AJ59" s="251" t="s">
        <v>407</v>
      </c>
      <c r="AK59" s="246"/>
      <c r="AL59" s="586" t="s">
        <v>452</v>
      </c>
      <c r="AM59" s="246"/>
      <c r="AN59" s="261"/>
      <c r="AO59" s="341"/>
      <c r="AP59" s="246"/>
      <c r="AQ59" s="339" t="s">
        <v>404</v>
      </c>
      <c r="AR59" s="246"/>
      <c r="AS59" s="586" t="s">
        <v>452</v>
      </c>
      <c r="AT59" s="254" t="str">
        <f t="shared" si="12"/>
        <v/>
      </c>
      <c r="AU59" s="269"/>
      <c r="AV59" s="269"/>
    </row>
    <row r="60">
      <c r="A60" s="94"/>
      <c r="B60" s="277" t="s">
        <v>705</v>
      </c>
      <c r="C60" s="329" t="s">
        <v>685</v>
      </c>
      <c r="D60" s="330"/>
      <c r="E60" s="259"/>
      <c r="F60" s="311" t="s">
        <v>470</v>
      </c>
      <c r="G60" s="246"/>
      <c r="H60" s="251" t="s">
        <v>440</v>
      </c>
      <c r="I60" s="246"/>
      <c r="J60" s="251" t="s">
        <v>405</v>
      </c>
      <c r="K60" s="246"/>
      <c r="L60" s="261"/>
      <c r="M60" s="341"/>
      <c r="N60" s="246"/>
      <c r="O60" s="251" t="s">
        <v>407</v>
      </c>
      <c r="P60" s="246"/>
      <c r="Q60" s="251" t="s">
        <v>405</v>
      </c>
      <c r="R60" s="246"/>
      <c r="S60" s="261"/>
      <c r="T60" s="341"/>
      <c r="U60" s="246"/>
      <c r="V60" s="364" t="s">
        <v>836</v>
      </c>
      <c r="W60" s="246"/>
      <c r="X60" s="586" t="s">
        <v>452</v>
      </c>
      <c r="Y60" s="246"/>
      <c r="Z60" s="261"/>
      <c r="AA60" s="341"/>
      <c r="AB60" s="246"/>
      <c r="AC60" s="251" t="s">
        <v>440</v>
      </c>
      <c r="AD60" s="246"/>
      <c r="AE60" s="251" t="s">
        <v>405</v>
      </c>
      <c r="AF60" s="246"/>
      <c r="AG60" s="261"/>
      <c r="AH60" s="311" t="s">
        <v>467</v>
      </c>
      <c r="AI60" s="246"/>
      <c r="AJ60" s="251" t="s">
        <v>440</v>
      </c>
      <c r="AK60" s="246"/>
      <c r="AL60" s="251" t="s">
        <v>405</v>
      </c>
      <c r="AM60" s="246"/>
      <c r="AN60" s="261"/>
      <c r="AO60" s="341"/>
      <c r="AP60" s="246"/>
      <c r="AQ60" s="251" t="s">
        <v>440</v>
      </c>
      <c r="AR60" s="246"/>
      <c r="AS60" s="311" t="s">
        <v>470</v>
      </c>
      <c r="AT60" s="254" t="str">
        <f t="shared" si="12"/>
        <v/>
      </c>
      <c r="AU60" s="269"/>
      <c r="AV60" s="269"/>
    </row>
    <row r="61">
      <c r="A61" s="270"/>
      <c r="B61" s="271" t="s">
        <v>705</v>
      </c>
      <c r="C61" s="272" t="s">
        <v>687</v>
      </c>
      <c r="D61" s="369"/>
      <c r="E61" s="259"/>
      <c r="F61" s="282"/>
      <c r="G61" s="246"/>
      <c r="H61" s="339" t="s">
        <v>404</v>
      </c>
      <c r="I61" s="246"/>
      <c r="J61" s="384" t="s">
        <v>900</v>
      </c>
      <c r="K61" s="246"/>
      <c r="L61" s="261"/>
      <c r="M61" s="341"/>
      <c r="N61" s="246"/>
      <c r="P61" s="246"/>
      <c r="Q61" s="384" t="s">
        <v>900</v>
      </c>
      <c r="R61" s="246"/>
      <c r="S61" s="261"/>
      <c r="T61" s="341"/>
      <c r="U61" s="246"/>
      <c r="V61" s="339" t="s">
        <v>404</v>
      </c>
      <c r="W61" s="246"/>
      <c r="Y61" s="246"/>
      <c r="Z61" s="261"/>
      <c r="AA61" s="341"/>
      <c r="AB61" s="246"/>
      <c r="AC61" s="339" t="s">
        <v>404</v>
      </c>
      <c r="AD61" s="246"/>
      <c r="AE61" s="384" t="s">
        <v>900</v>
      </c>
      <c r="AF61" s="246"/>
      <c r="AG61" s="261"/>
      <c r="AH61" s="282"/>
      <c r="AI61" s="246"/>
      <c r="AJ61" s="339" t="s">
        <v>404</v>
      </c>
      <c r="AK61" s="246"/>
      <c r="AL61" s="384" t="s">
        <v>900</v>
      </c>
      <c r="AM61" s="246"/>
      <c r="AN61" s="261"/>
      <c r="AO61" s="341"/>
      <c r="AP61" s="246"/>
      <c r="AR61" s="246"/>
      <c r="AS61" s="384" t="s">
        <v>900</v>
      </c>
      <c r="AT61" s="254" t="str">
        <f>IF(COUNTIF($AO$80:$AT$82, AO60) &gt; 0, "X", "")</f>
        <v/>
      </c>
      <c r="AU61" s="269"/>
      <c r="AV61" s="269"/>
    </row>
    <row r="62">
      <c r="A62" s="94"/>
      <c r="B62" s="397" t="s">
        <v>708</v>
      </c>
      <c r="C62" s="398" t="s">
        <v>654</v>
      </c>
      <c r="D62" s="330"/>
      <c r="E62" s="259"/>
      <c r="F62" s="275"/>
      <c r="G62" s="246"/>
      <c r="H62" s="311" t="s">
        <v>441</v>
      </c>
      <c r="I62" s="246"/>
      <c r="J62" s="374" t="s">
        <v>446</v>
      </c>
      <c r="K62" s="246"/>
      <c r="L62" s="261"/>
      <c r="M62" s="341"/>
      <c r="N62" s="246"/>
      <c r="O62" s="311" t="s">
        <v>441</v>
      </c>
      <c r="P62" s="246"/>
      <c r="Q62" s="374" t="s">
        <v>446</v>
      </c>
      <c r="R62" s="246"/>
      <c r="S62" s="261"/>
      <c r="T62" s="341"/>
      <c r="U62" s="246"/>
      <c r="V62" s="365" t="s">
        <v>469</v>
      </c>
      <c r="W62" s="246"/>
      <c r="X62" s="311" t="s">
        <v>441</v>
      </c>
      <c r="Y62" s="246"/>
      <c r="Z62" s="261"/>
      <c r="AA62" s="341"/>
      <c r="AB62" s="246"/>
      <c r="AC62" s="311" t="s">
        <v>441</v>
      </c>
      <c r="AD62" s="246"/>
      <c r="AE62" s="311" t="s">
        <v>446</v>
      </c>
      <c r="AF62" s="246"/>
      <c r="AG62" s="261"/>
      <c r="AH62" s="275"/>
      <c r="AI62" s="246"/>
      <c r="AJ62" s="311" t="s">
        <v>441</v>
      </c>
      <c r="AK62" s="246"/>
      <c r="AL62" s="374" t="s">
        <v>446</v>
      </c>
      <c r="AM62" s="246"/>
      <c r="AN62" s="261"/>
      <c r="AO62" s="341"/>
      <c r="AP62" s="246"/>
      <c r="AQ62" s="365" t="s">
        <v>469</v>
      </c>
      <c r="AR62" s="246"/>
      <c r="AS62" s="374" t="s">
        <v>446</v>
      </c>
      <c r="AT62" s="254" t="str">
        <f>IF(COUNTIF($AO$80:$AT$82, #REF!) &gt; 0, "X", "")</f>
        <v/>
      </c>
      <c r="AU62" s="269"/>
      <c r="AV62" s="269"/>
    </row>
    <row r="63">
      <c r="A63" s="94"/>
      <c r="B63" s="277" t="s">
        <v>709</v>
      </c>
      <c r="C63" s="278" t="s">
        <v>710</v>
      </c>
      <c r="D63" s="330"/>
      <c r="E63" s="259"/>
      <c r="F63" s="281"/>
      <c r="G63" s="246"/>
      <c r="H63" s="282"/>
      <c r="I63" s="246"/>
      <c r="J63" s="281"/>
      <c r="K63" s="246"/>
      <c r="L63" s="261"/>
      <c r="M63" s="286"/>
      <c r="N63" s="246"/>
      <c r="O63" s="281"/>
      <c r="P63" s="246"/>
      <c r="Q63" s="251" t="s">
        <v>440</v>
      </c>
      <c r="R63" s="246"/>
      <c r="S63" s="261"/>
      <c r="T63" s="286"/>
      <c r="U63" s="246"/>
      <c r="V63" s="282"/>
      <c r="W63" s="246"/>
      <c r="X63" s="282"/>
      <c r="Y63" s="246"/>
      <c r="Z63" s="261"/>
      <c r="AA63" s="286"/>
      <c r="AB63" s="246"/>
      <c r="AC63" s="282"/>
      <c r="AD63" s="246"/>
      <c r="AE63" s="282"/>
      <c r="AF63" s="246"/>
      <c r="AG63" s="261"/>
      <c r="AH63" s="281"/>
      <c r="AI63" s="246"/>
      <c r="AJ63" s="281"/>
      <c r="AK63" s="246"/>
      <c r="AL63" s="282"/>
      <c r="AM63" s="246"/>
      <c r="AN63" s="261"/>
      <c r="AO63" s="286"/>
      <c r="AP63" s="246"/>
      <c r="AQ63" s="281"/>
      <c r="AR63" s="246"/>
      <c r="AS63" s="281"/>
      <c r="AT63" s="254" t="str">
        <f t="shared" ref="AT63:AT64" si="13">IF(COUNTIF($AO$80:$AT$82, AS63) &gt; 0, "X", "")</f>
        <v/>
      </c>
      <c r="AU63" s="269"/>
      <c r="AV63" s="269"/>
    </row>
    <row r="64">
      <c r="A64" s="94"/>
      <c r="B64" s="673" t="s">
        <v>944</v>
      </c>
      <c r="C64" s="272" t="s">
        <v>639</v>
      </c>
      <c r="D64" s="323"/>
      <c r="E64" s="259"/>
      <c r="F64" s="265"/>
      <c r="G64" s="246"/>
      <c r="H64" s="282"/>
      <c r="I64" s="246"/>
      <c r="J64" s="282"/>
      <c r="K64" s="246"/>
      <c r="L64" s="261"/>
      <c r="M64" s="341"/>
      <c r="N64" s="246"/>
      <c r="O64" s="311" t="s">
        <v>432</v>
      </c>
      <c r="P64" s="246"/>
      <c r="Q64" s="282"/>
      <c r="R64" s="246"/>
      <c r="S64" s="261"/>
      <c r="T64" s="341"/>
      <c r="U64" s="246"/>
      <c r="V64" s="325" t="s">
        <v>707</v>
      </c>
      <c r="W64" s="246"/>
      <c r="X64" s="282"/>
      <c r="Y64" s="246"/>
      <c r="Z64" s="261"/>
      <c r="AA64" s="341"/>
      <c r="AB64" s="246"/>
      <c r="AC64" s="282"/>
      <c r="AD64" s="246"/>
      <c r="AE64" s="282"/>
      <c r="AF64" s="246"/>
      <c r="AG64" s="261"/>
      <c r="AH64" s="282"/>
      <c r="AI64" s="246"/>
      <c r="AJ64" s="282"/>
      <c r="AK64" s="246"/>
      <c r="AL64" s="282"/>
      <c r="AM64" s="246"/>
      <c r="AN64" s="261"/>
      <c r="AO64" s="341"/>
      <c r="AP64" s="246"/>
      <c r="AQ64" s="282"/>
      <c r="AR64" s="246"/>
      <c r="AS64" s="282"/>
      <c r="AT64" s="254" t="str">
        <f t="shared" si="13"/>
        <v/>
      </c>
      <c r="AU64" s="269"/>
      <c r="AV64" s="269"/>
    </row>
    <row r="65">
      <c r="A65" s="94"/>
      <c r="B65" s="429" t="s">
        <v>714</v>
      </c>
      <c r="C65" s="430"/>
      <c r="D65" s="431"/>
      <c r="E65" s="259"/>
      <c r="F65" s="432"/>
      <c r="G65" s="432"/>
      <c r="H65" s="432"/>
      <c r="I65" s="432"/>
      <c r="J65" s="432"/>
      <c r="K65" s="432"/>
      <c r="L65" s="261"/>
      <c r="M65" s="432"/>
      <c r="N65" s="433"/>
      <c r="O65" s="432"/>
      <c r="P65" s="432"/>
      <c r="Q65" s="432"/>
      <c r="R65" s="432"/>
      <c r="S65" s="261"/>
      <c r="T65" s="432"/>
      <c r="U65" s="433"/>
      <c r="V65" s="432"/>
      <c r="W65" s="432"/>
      <c r="X65" s="432"/>
      <c r="Y65" s="432"/>
      <c r="Z65" s="261"/>
      <c r="AA65" s="432"/>
      <c r="AB65" s="433"/>
      <c r="AC65" s="432"/>
      <c r="AD65" s="432"/>
      <c r="AE65" s="432"/>
      <c r="AF65" s="432"/>
      <c r="AG65" s="261"/>
      <c r="AH65" s="432"/>
      <c r="AI65" s="433"/>
      <c r="AJ65" s="432"/>
      <c r="AK65" s="432"/>
      <c r="AL65" s="432"/>
      <c r="AM65" s="432"/>
      <c r="AN65" s="261"/>
      <c r="AO65" s="432"/>
      <c r="AP65" s="433"/>
      <c r="AQ65" s="432"/>
      <c r="AR65" s="432"/>
      <c r="AS65" s="432"/>
      <c r="AT65" s="430"/>
      <c r="AU65" s="269"/>
      <c r="AV65" s="269"/>
    </row>
    <row r="66">
      <c r="A66" s="94"/>
      <c r="B66" s="401" t="s">
        <v>715</v>
      </c>
      <c r="C66" s="412" t="s">
        <v>716</v>
      </c>
      <c r="D66" s="323"/>
      <c r="E66" s="259"/>
      <c r="F66" s="434"/>
      <c r="G66" s="246"/>
      <c r="H66" s="434" t="s">
        <v>403</v>
      </c>
      <c r="I66" s="246"/>
      <c r="J66" s="434"/>
      <c r="K66" s="246"/>
      <c r="L66" s="261"/>
      <c r="M66" s="434"/>
      <c r="N66" s="246"/>
      <c r="O66" s="434" t="s">
        <v>403</v>
      </c>
      <c r="P66" s="246"/>
      <c r="Q66" s="434"/>
      <c r="R66" s="246"/>
      <c r="S66" s="261"/>
      <c r="T66" s="434"/>
      <c r="U66" s="246"/>
      <c r="V66" s="434" t="s">
        <v>403</v>
      </c>
      <c r="W66" s="246"/>
      <c r="X66" s="434"/>
      <c r="Y66" s="246"/>
      <c r="Z66" s="261"/>
      <c r="AA66" s="434"/>
      <c r="AB66" s="246"/>
      <c r="AC66" s="434" t="s">
        <v>403</v>
      </c>
      <c r="AD66" s="246"/>
      <c r="AE66" s="434"/>
      <c r="AF66" s="246"/>
      <c r="AG66" s="261"/>
      <c r="AH66" s="434"/>
      <c r="AI66" s="246"/>
      <c r="AJ66" s="434" t="s">
        <v>403</v>
      </c>
      <c r="AK66" s="246"/>
      <c r="AL66" s="434"/>
      <c r="AM66" s="246"/>
      <c r="AN66" s="261"/>
      <c r="AO66" s="434"/>
      <c r="AP66" s="246"/>
      <c r="AQ66" s="434"/>
      <c r="AR66" s="246"/>
      <c r="AS66" s="434"/>
      <c r="AT66" s="254" t="str">
        <f t="shared" ref="AT66:AT75" si="14">IF(COUNTIF($AO$80:$AT$82, AS66) &gt; 0, "X", "")</f>
        <v/>
      </c>
      <c r="AU66" s="269"/>
      <c r="AV66" s="269"/>
    </row>
    <row r="67">
      <c r="A67" s="94"/>
      <c r="B67" s="401" t="s">
        <v>715</v>
      </c>
      <c r="C67" s="412" t="s">
        <v>716</v>
      </c>
      <c r="D67" s="323"/>
      <c r="E67" s="259"/>
      <c r="G67" s="246"/>
      <c r="H67" s="434"/>
      <c r="I67" s="246"/>
      <c r="J67" s="434"/>
      <c r="K67" s="246"/>
      <c r="L67" s="261"/>
      <c r="M67" s="434"/>
      <c r="N67" s="246"/>
      <c r="O67" s="434" t="s">
        <v>465</v>
      </c>
      <c r="P67" s="246"/>
      <c r="Q67" s="434"/>
      <c r="R67" s="246"/>
      <c r="S67" s="261"/>
      <c r="T67" s="434"/>
      <c r="U67" s="246"/>
      <c r="V67" s="434" t="s">
        <v>465</v>
      </c>
      <c r="W67" s="246"/>
      <c r="X67" s="434"/>
      <c r="Y67" s="246"/>
      <c r="Z67" s="261"/>
      <c r="AA67" s="434"/>
      <c r="AB67" s="246"/>
      <c r="AC67" s="434"/>
      <c r="AD67" s="246"/>
      <c r="AE67" s="434"/>
      <c r="AF67" s="246"/>
      <c r="AG67" s="261"/>
      <c r="AH67" s="434"/>
      <c r="AI67" s="246"/>
      <c r="AJ67" s="434" t="s">
        <v>465</v>
      </c>
      <c r="AK67" s="246"/>
      <c r="AL67" s="434"/>
      <c r="AM67" s="246"/>
      <c r="AN67" s="261"/>
      <c r="AO67" s="434"/>
      <c r="AP67" s="246"/>
      <c r="AQ67" s="434" t="s">
        <v>465</v>
      </c>
      <c r="AR67" s="246"/>
      <c r="AS67" s="434"/>
      <c r="AT67" s="254" t="str">
        <f t="shared" si="14"/>
        <v/>
      </c>
      <c r="AU67" s="269"/>
      <c r="AV67" s="269"/>
    </row>
    <row r="68">
      <c r="A68" s="94"/>
      <c r="B68" s="435" t="s">
        <v>717</v>
      </c>
      <c r="C68" s="415" t="s">
        <v>718</v>
      </c>
      <c r="D68" s="363"/>
      <c r="E68" s="259"/>
      <c r="F68" s="406"/>
      <c r="G68" s="246"/>
      <c r="H68" s="406" t="s">
        <v>463</v>
      </c>
      <c r="I68" s="246"/>
      <c r="J68" s="406"/>
      <c r="K68" s="246"/>
      <c r="L68" s="261"/>
      <c r="M68" s="406"/>
      <c r="N68" s="246"/>
      <c r="O68" s="406" t="s">
        <v>442</v>
      </c>
      <c r="P68" s="246"/>
      <c r="Q68" s="406"/>
      <c r="R68" s="246"/>
      <c r="S68" s="261"/>
      <c r="T68" s="406"/>
      <c r="U68" s="246"/>
      <c r="V68" s="406" t="s">
        <v>442</v>
      </c>
      <c r="W68" s="246"/>
      <c r="X68" s="406"/>
      <c r="Y68" s="246"/>
      <c r="Z68" s="261"/>
      <c r="AA68" s="406"/>
      <c r="AB68" s="246"/>
      <c r="AC68" s="406" t="s">
        <v>442</v>
      </c>
      <c r="AD68" s="246"/>
      <c r="AE68" s="406"/>
      <c r="AF68" s="246"/>
      <c r="AG68" s="261"/>
      <c r="AH68" s="406"/>
      <c r="AI68" s="246"/>
      <c r="AJ68" s="406" t="s">
        <v>442</v>
      </c>
      <c r="AK68" s="246"/>
      <c r="AL68" s="406"/>
      <c r="AM68" s="246"/>
      <c r="AN68" s="261"/>
      <c r="AO68" s="406"/>
      <c r="AP68" s="246"/>
      <c r="AQ68" s="406" t="s">
        <v>442</v>
      </c>
      <c r="AR68" s="246"/>
      <c r="AS68" s="406"/>
      <c r="AT68" s="254" t="str">
        <f t="shared" si="14"/>
        <v/>
      </c>
      <c r="AU68" s="269"/>
      <c r="AV68" s="269"/>
    </row>
    <row r="69">
      <c r="A69" s="94"/>
      <c r="B69" s="436" t="s">
        <v>719</v>
      </c>
      <c r="C69" s="437" t="s">
        <v>720</v>
      </c>
      <c r="D69" s="330"/>
      <c r="E69" s="259"/>
      <c r="F69" s="406"/>
      <c r="G69" s="246"/>
      <c r="H69" s="406" t="s">
        <v>847</v>
      </c>
      <c r="I69" s="246"/>
      <c r="J69" s="406"/>
      <c r="K69" s="246"/>
      <c r="L69" s="261"/>
      <c r="M69" s="406"/>
      <c r="N69" s="246"/>
      <c r="O69" s="406" t="s">
        <v>463</v>
      </c>
      <c r="P69" s="246"/>
      <c r="Q69" s="406"/>
      <c r="R69" s="246"/>
      <c r="S69" s="261"/>
      <c r="T69" s="406"/>
      <c r="U69" s="246"/>
      <c r="V69" s="406" t="s">
        <v>463</v>
      </c>
      <c r="W69" s="246"/>
      <c r="X69" s="406"/>
      <c r="Y69" s="246"/>
      <c r="Z69" s="261"/>
      <c r="AA69" s="406"/>
      <c r="AB69" s="246"/>
      <c r="AC69" s="434" t="s">
        <v>957</v>
      </c>
      <c r="AD69" s="246"/>
      <c r="AE69" s="406" t="s">
        <v>946</v>
      </c>
      <c r="AF69" s="246"/>
      <c r="AG69" s="261"/>
      <c r="AH69" s="406"/>
      <c r="AI69" s="246"/>
      <c r="AJ69" s="406" t="s">
        <v>957</v>
      </c>
      <c r="AK69" s="246"/>
      <c r="AL69" s="406" t="s">
        <v>946</v>
      </c>
      <c r="AM69" s="246"/>
      <c r="AN69" s="261"/>
      <c r="AO69" s="406"/>
      <c r="AP69" s="246"/>
      <c r="AQ69" s="406"/>
      <c r="AR69" s="246"/>
      <c r="AS69" s="406"/>
      <c r="AT69" s="254" t="str">
        <f t="shared" si="14"/>
        <v/>
      </c>
      <c r="AU69" s="269"/>
      <c r="AV69" s="269"/>
    </row>
    <row r="70">
      <c r="A70" s="94"/>
      <c r="B70" s="439" t="s">
        <v>721</v>
      </c>
      <c r="C70" s="440" t="s">
        <v>722</v>
      </c>
      <c r="D70" s="330"/>
      <c r="E70" s="259"/>
      <c r="F70" s="406"/>
      <c r="G70" s="246"/>
      <c r="H70" s="406" t="s">
        <v>465</v>
      </c>
      <c r="I70" s="246"/>
      <c r="J70" s="406"/>
      <c r="K70" s="246"/>
      <c r="L70" s="261"/>
      <c r="M70" s="406"/>
      <c r="N70" s="246"/>
      <c r="O70" s="406" t="s">
        <v>454</v>
      </c>
      <c r="P70" s="246"/>
      <c r="Q70" s="406"/>
      <c r="R70" s="246"/>
      <c r="S70" s="261"/>
      <c r="T70" s="406"/>
      <c r="U70" s="246"/>
      <c r="V70" s="406" t="s">
        <v>454</v>
      </c>
      <c r="W70" s="246"/>
      <c r="X70" s="406"/>
      <c r="Y70" s="246"/>
      <c r="Z70" s="261"/>
      <c r="AA70" s="406"/>
      <c r="AB70" s="246"/>
      <c r="AC70" s="406" t="s">
        <v>454</v>
      </c>
      <c r="AD70" s="246"/>
      <c r="AE70" s="406"/>
      <c r="AF70" s="246"/>
      <c r="AG70" s="261"/>
      <c r="AH70" s="406"/>
      <c r="AI70" s="246"/>
      <c r="AJ70" s="406" t="s">
        <v>454</v>
      </c>
      <c r="AK70" s="246"/>
      <c r="AL70" s="406"/>
      <c r="AM70" s="246"/>
      <c r="AN70" s="261"/>
      <c r="AO70" s="406"/>
      <c r="AP70" s="246"/>
      <c r="AQ70" s="406"/>
      <c r="AR70" s="246"/>
      <c r="AS70" s="406"/>
      <c r="AT70" s="254" t="str">
        <f t="shared" si="14"/>
        <v/>
      </c>
      <c r="AU70" s="269"/>
      <c r="AV70" s="269"/>
    </row>
    <row r="71">
      <c r="A71" s="94"/>
      <c r="B71" s="439" t="s">
        <v>723</v>
      </c>
      <c r="C71" s="440" t="s">
        <v>724</v>
      </c>
      <c r="D71" s="330"/>
      <c r="E71" s="259"/>
      <c r="F71" s="441"/>
      <c r="G71" s="246"/>
      <c r="H71" s="652" t="s">
        <v>915</v>
      </c>
      <c r="I71" s="246"/>
      <c r="J71" s="441"/>
      <c r="K71" s="246"/>
      <c r="L71" s="261"/>
      <c r="M71" s="441"/>
      <c r="N71" s="246"/>
      <c r="O71" s="406" t="s">
        <v>957</v>
      </c>
      <c r="P71" s="246"/>
      <c r="Q71" s="406" t="s">
        <v>946</v>
      </c>
      <c r="R71" s="246"/>
      <c r="S71" s="261"/>
      <c r="T71" s="441"/>
      <c r="U71" s="246"/>
      <c r="V71" s="406" t="s">
        <v>460</v>
      </c>
      <c r="W71" s="246"/>
      <c r="X71" s="441"/>
      <c r="Y71" s="246"/>
      <c r="Z71" s="261"/>
      <c r="AA71" s="441"/>
      <c r="AB71" s="246"/>
      <c r="AC71" s="406" t="s">
        <v>847</v>
      </c>
      <c r="AD71" s="246"/>
      <c r="AE71" s="441"/>
      <c r="AF71" s="246"/>
      <c r="AG71" s="261"/>
      <c r="AH71" s="441"/>
      <c r="AI71" s="246"/>
      <c r="AJ71" s="620" t="s">
        <v>905</v>
      </c>
      <c r="AK71" s="246"/>
      <c r="AL71" s="441"/>
      <c r="AM71" s="246"/>
      <c r="AN71" s="261"/>
      <c r="AO71" s="441"/>
      <c r="AP71" s="246"/>
      <c r="AQ71" s="406" t="s">
        <v>463</v>
      </c>
      <c r="AR71" s="246"/>
      <c r="AS71" s="441"/>
      <c r="AT71" s="254" t="str">
        <f t="shared" si="14"/>
        <v/>
      </c>
      <c r="AU71" s="269"/>
      <c r="AV71" s="269"/>
    </row>
    <row r="72">
      <c r="A72" s="94"/>
      <c r="B72" s="439" t="s">
        <v>725</v>
      </c>
      <c r="C72" s="442" t="s">
        <v>726</v>
      </c>
      <c r="D72" s="330"/>
      <c r="E72" s="259"/>
      <c r="F72" s="679" t="s">
        <v>442</v>
      </c>
      <c r="G72" s="246"/>
      <c r="H72" s="652" t="s">
        <v>861</v>
      </c>
      <c r="I72" s="246"/>
      <c r="J72" s="441"/>
      <c r="K72" s="246"/>
      <c r="L72" s="261"/>
      <c r="M72" s="441"/>
      <c r="N72" s="246"/>
      <c r="O72" s="406" t="s">
        <v>460</v>
      </c>
      <c r="P72" s="246"/>
      <c r="Q72" s="441"/>
      <c r="R72" s="246"/>
      <c r="S72" s="261"/>
      <c r="T72" s="441"/>
      <c r="U72" s="246"/>
      <c r="V72" s="406" t="s">
        <v>845</v>
      </c>
      <c r="W72" s="246"/>
      <c r="X72" s="441"/>
      <c r="Y72" s="246"/>
      <c r="Z72" s="261"/>
      <c r="AA72" s="441"/>
      <c r="AB72" s="246"/>
      <c r="AC72" s="652" t="s">
        <v>861</v>
      </c>
      <c r="AD72" s="246"/>
      <c r="AE72" s="441"/>
      <c r="AF72" s="246"/>
      <c r="AG72" s="261"/>
      <c r="AH72" s="406" t="s">
        <v>463</v>
      </c>
      <c r="AI72" s="246"/>
      <c r="AJ72" s="652" t="s">
        <v>861</v>
      </c>
      <c r="AK72" s="246"/>
      <c r="AL72" s="441"/>
      <c r="AM72" s="246"/>
      <c r="AN72" s="261"/>
      <c r="AO72" s="406" t="s">
        <v>958</v>
      </c>
      <c r="AP72" s="246"/>
      <c r="AQ72" s="652" t="s">
        <v>861</v>
      </c>
      <c r="AR72" s="246"/>
      <c r="AS72" s="441"/>
      <c r="AT72" s="254" t="str">
        <f t="shared" si="14"/>
        <v/>
      </c>
      <c r="AU72" s="269"/>
      <c r="AV72" s="269"/>
    </row>
    <row r="73">
      <c r="A73" s="94"/>
      <c r="B73" s="447" t="s">
        <v>729</v>
      </c>
      <c r="C73" s="448" t="s">
        <v>730</v>
      </c>
      <c r="D73" s="330"/>
      <c r="E73" s="259"/>
      <c r="F73" s="441"/>
      <c r="G73" s="246"/>
      <c r="H73" s="441"/>
      <c r="I73" s="246"/>
      <c r="J73" s="441"/>
      <c r="K73" s="246"/>
      <c r="L73" s="261"/>
      <c r="M73" s="441"/>
      <c r="N73" s="246"/>
      <c r="O73" s="441"/>
      <c r="P73" s="246"/>
      <c r="Q73" s="441"/>
      <c r="R73" s="246"/>
      <c r="S73" s="261"/>
      <c r="T73" s="441"/>
      <c r="U73" s="246"/>
      <c r="V73" s="441"/>
      <c r="W73" s="246"/>
      <c r="X73" s="441"/>
      <c r="Y73" s="246"/>
      <c r="Z73" s="261"/>
      <c r="AA73" s="441"/>
      <c r="AB73" s="246"/>
      <c r="AC73" s="441"/>
      <c r="AD73" s="246"/>
      <c r="AE73" s="441"/>
      <c r="AF73" s="246"/>
      <c r="AG73" s="261"/>
      <c r="AH73" s="441"/>
      <c r="AI73" s="246"/>
      <c r="AJ73" s="441"/>
      <c r="AK73" s="246"/>
      <c r="AL73" s="441"/>
      <c r="AM73" s="246"/>
      <c r="AN73" s="261"/>
      <c r="AO73" s="441"/>
      <c r="AP73" s="246"/>
      <c r="AQ73" s="441"/>
      <c r="AR73" s="246"/>
      <c r="AS73" s="441"/>
      <c r="AT73" s="254" t="str">
        <f t="shared" si="14"/>
        <v/>
      </c>
      <c r="AU73" s="269"/>
      <c r="AV73" s="269"/>
    </row>
    <row r="74">
      <c r="A74" s="94"/>
      <c r="B74" s="450" t="s">
        <v>731</v>
      </c>
      <c r="C74" s="451" t="s">
        <v>732</v>
      </c>
      <c r="D74" s="363"/>
      <c r="E74" s="259"/>
      <c r="F74" s="206"/>
      <c r="G74" s="246"/>
      <c r="H74" s="206" t="s">
        <v>957</v>
      </c>
      <c r="I74" s="246"/>
      <c r="J74" s="206" t="s">
        <v>946</v>
      </c>
      <c r="K74" s="246"/>
      <c r="L74" s="261"/>
      <c r="M74" s="206"/>
      <c r="N74" s="246"/>
      <c r="O74" s="406" t="s">
        <v>847</v>
      </c>
      <c r="P74" s="246"/>
      <c r="Q74" s="206"/>
      <c r="R74" s="246"/>
      <c r="S74" s="261"/>
      <c r="T74" s="206"/>
      <c r="U74" s="246"/>
      <c r="V74" s="206" t="s">
        <v>959</v>
      </c>
      <c r="W74" s="246"/>
      <c r="X74" s="206" t="s">
        <v>946</v>
      </c>
      <c r="Y74" s="246"/>
      <c r="Z74" s="261"/>
      <c r="AA74" s="206"/>
      <c r="AB74" s="246"/>
      <c r="AC74" s="406" t="s">
        <v>460</v>
      </c>
      <c r="AD74" s="246"/>
      <c r="AE74" s="206"/>
      <c r="AF74" s="246"/>
      <c r="AG74" s="261"/>
      <c r="AH74" s="206"/>
      <c r="AI74" s="246"/>
      <c r="AJ74" s="528" t="s">
        <v>460</v>
      </c>
      <c r="AK74" s="246"/>
      <c r="AL74" s="206"/>
      <c r="AM74" s="246"/>
      <c r="AN74" s="261"/>
      <c r="AO74" s="206"/>
      <c r="AP74" s="246"/>
      <c r="AQ74" s="206"/>
      <c r="AR74" s="246"/>
      <c r="AS74" s="206"/>
      <c r="AT74" s="254" t="str">
        <f t="shared" si="14"/>
        <v/>
      </c>
      <c r="AU74" s="269"/>
      <c r="AV74" s="269"/>
    </row>
    <row r="75">
      <c r="A75" s="94"/>
      <c r="B75" s="673" t="s">
        <v>944</v>
      </c>
      <c r="C75" s="272" t="s">
        <v>639</v>
      </c>
      <c r="D75" s="363"/>
      <c r="E75" s="259"/>
      <c r="F75" s="74"/>
      <c r="G75" s="246"/>
      <c r="H75" s="594" t="s">
        <v>395</v>
      </c>
      <c r="I75" s="246"/>
      <c r="J75" s="74"/>
      <c r="K75" s="246"/>
      <c r="L75" s="261"/>
      <c r="M75" s="74"/>
      <c r="N75" s="246"/>
      <c r="O75" s="680" t="s">
        <v>395</v>
      </c>
      <c r="P75" s="246"/>
      <c r="Q75" s="74"/>
      <c r="R75" s="246"/>
      <c r="S75" s="261"/>
      <c r="T75" s="74"/>
      <c r="U75" s="246"/>
      <c r="V75" s="594" t="s">
        <v>395</v>
      </c>
      <c r="W75" s="246"/>
      <c r="X75" s="74"/>
      <c r="Y75" s="246"/>
      <c r="Z75" s="261"/>
      <c r="AA75" s="74"/>
      <c r="AB75" s="246"/>
      <c r="AC75" s="594" t="s">
        <v>395</v>
      </c>
      <c r="AD75" s="246"/>
      <c r="AE75" s="74"/>
      <c r="AF75" s="246"/>
      <c r="AG75" s="261"/>
      <c r="AH75" s="74"/>
      <c r="AI75" s="246"/>
      <c r="AJ75" s="594" t="s">
        <v>395</v>
      </c>
      <c r="AK75" s="246"/>
      <c r="AL75" s="74"/>
      <c r="AM75" s="246"/>
      <c r="AN75" s="261"/>
      <c r="AO75" s="74"/>
      <c r="AP75" s="246"/>
      <c r="AQ75" s="406" t="s">
        <v>847</v>
      </c>
      <c r="AR75" s="246"/>
      <c r="AS75" s="74"/>
      <c r="AT75" s="254" t="str">
        <f t="shared" si="14"/>
        <v/>
      </c>
      <c r="AU75" s="269"/>
      <c r="AV75" s="269"/>
    </row>
    <row r="76">
      <c r="A76" s="94"/>
      <c r="B76" s="636"/>
      <c r="C76" s="637"/>
      <c r="D76" s="269"/>
      <c r="E76" s="638"/>
      <c r="F76" s="446"/>
      <c r="G76" s="246"/>
      <c r="H76" s="446"/>
      <c r="I76" s="246"/>
      <c r="J76" s="446"/>
      <c r="K76" s="246"/>
      <c r="L76" s="462"/>
      <c r="M76" s="446"/>
      <c r="N76" s="246"/>
      <c r="O76" s="446"/>
      <c r="P76" s="246"/>
      <c r="Q76" s="446"/>
      <c r="R76" s="246"/>
      <c r="S76" s="462"/>
      <c r="T76" s="446"/>
      <c r="U76" s="246"/>
      <c r="V76" s="446"/>
      <c r="W76" s="246"/>
      <c r="X76" s="446"/>
      <c r="Y76" s="246"/>
      <c r="Z76" s="462"/>
      <c r="AA76" s="446"/>
      <c r="AB76" s="246"/>
      <c r="AC76" s="446"/>
      <c r="AD76" s="246"/>
      <c r="AE76" s="446"/>
      <c r="AF76" s="246"/>
      <c r="AG76" s="462"/>
      <c r="AH76" s="446"/>
      <c r="AI76" s="246"/>
      <c r="AJ76" s="446"/>
      <c r="AK76" s="246"/>
      <c r="AL76" s="446"/>
      <c r="AM76" s="246"/>
      <c r="AN76" s="462"/>
      <c r="AO76" s="446"/>
      <c r="AP76" s="246"/>
      <c r="AQ76" s="446"/>
      <c r="AR76" s="246"/>
      <c r="AS76" s="446"/>
      <c r="AT76" s="254"/>
      <c r="AU76" s="269"/>
      <c r="AV76" s="269"/>
    </row>
    <row r="77">
      <c r="A77" s="94"/>
      <c r="B77" s="454" t="s">
        <v>735</v>
      </c>
      <c r="C77" s="455" t="s">
        <v>736</v>
      </c>
      <c r="D77" s="363"/>
      <c r="E77" s="259"/>
      <c r="F77" s="441"/>
      <c r="G77" s="246"/>
      <c r="H77" s="441"/>
      <c r="I77" s="246"/>
      <c r="J77" s="405" t="s">
        <v>462</v>
      </c>
      <c r="K77" s="246"/>
      <c r="L77" s="261"/>
      <c r="M77" s="441"/>
      <c r="N77" s="246"/>
      <c r="O77" s="441"/>
      <c r="P77" s="246"/>
      <c r="Q77" s="441"/>
      <c r="R77" s="246"/>
      <c r="S77" s="261"/>
      <c r="T77" s="441"/>
      <c r="U77" s="246"/>
      <c r="V77" s="441"/>
      <c r="W77" s="246"/>
      <c r="X77" s="405" t="s">
        <v>462</v>
      </c>
      <c r="Y77" s="246"/>
      <c r="Z77" s="261"/>
      <c r="AA77" s="681" t="s">
        <v>462</v>
      </c>
      <c r="AB77" s="246"/>
      <c r="AC77" s="441"/>
      <c r="AD77" s="246"/>
      <c r="AE77" s="441"/>
      <c r="AF77" s="246"/>
      <c r="AG77" s="261"/>
      <c r="AH77" s="441"/>
      <c r="AI77" s="246"/>
      <c r="AJ77" s="441"/>
      <c r="AK77" s="246"/>
      <c r="AL77" s="405" t="s">
        <v>462</v>
      </c>
      <c r="AM77" s="246"/>
      <c r="AN77" s="261"/>
      <c r="AO77" s="441"/>
      <c r="AP77" s="246"/>
      <c r="AQ77" s="441"/>
      <c r="AR77" s="246"/>
      <c r="AS77" s="441"/>
      <c r="AT77" s="254" t="str">
        <f t="shared" ref="AT77:AT79" si="15">IF(COUNTIF($AO$80:$AT$82, AS77) &gt; 0, "X", "")</f>
        <v/>
      </c>
      <c r="AU77" s="269"/>
      <c r="AV77" s="269"/>
    </row>
    <row r="78">
      <c r="A78" s="94"/>
      <c r="B78" s="454" t="s">
        <v>735</v>
      </c>
      <c r="C78" s="442" t="s">
        <v>736</v>
      </c>
      <c r="D78" s="363"/>
      <c r="E78" s="259"/>
      <c r="F78" s="456"/>
      <c r="G78" s="246"/>
      <c r="H78" s="456"/>
      <c r="I78" s="246"/>
      <c r="J78" s="456"/>
      <c r="K78" s="246"/>
      <c r="L78" s="261"/>
      <c r="M78" s="456"/>
      <c r="N78" s="246"/>
      <c r="O78" s="456"/>
      <c r="P78" s="246"/>
      <c r="Q78" s="456"/>
      <c r="R78" s="246"/>
      <c r="S78" s="261"/>
      <c r="T78" s="456"/>
      <c r="U78" s="246"/>
      <c r="V78" s="456"/>
      <c r="W78" s="246"/>
      <c r="X78" s="456"/>
      <c r="Y78" s="246"/>
      <c r="Z78" s="261"/>
      <c r="AA78" s="456"/>
      <c r="AB78" s="246"/>
      <c r="AC78" s="456"/>
      <c r="AD78" s="246"/>
      <c r="AE78" s="456"/>
      <c r="AF78" s="246"/>
      <c r="AG78" s="261"/>
      <c r="AH78" s="456"/>
      <c r="AI78" s="246"/>
      <c r="AJ78" s="456"/>
      <c r="AK78" s="246"/>
      <c r="AL78" s="456"/>
      <c r="AM78" s="246"/>
      <c r="AN78" s="261"/>
      <c r="AO78" s="456"/>
      <c r="AP78" s="246"/>
      <c r="AQ78" s="456"/>
      <c r="AR78" s="246"/>
      <c r="AS78" s="456"/>
      <c r="AT78" s="254" t="str">
        <f t="shared" si="15"/>
        <v/>
      </c>
      <c r="AU78" s="269"/>
      <c r="AV78" s="269"/>
    </row>
    <row r="79">
      <c r="A79" s="94"/>
      <c r="B79" s="457" t="s">
        <v>735</v>
      </c>
      <c r="C79" s="458" t="s">
        <v>737</v>
      </c>
      <c r="D79" s="363"/>
      <c r="E79" s="259"/>
      <c r="F79" s="406"/>
      <c r="G79" s="246"/>
      <c r="H79" s="406"/>
      <c r="I79" s="246"/>
      <c r="J79" s="406"/>
      <c r="K79" s="246"/>
      <c r="L79" s="261"/>
      <c r="M79" s="406"/>
      <c r="N79" s="246"/>
      <c r="O79" s="406"/>
      <c r="P79" s="246"/>
      <c r="Q79" s="406"/>
      <c r="R79" s="246"/>
      <c r="S79" s="261"/>
      <c r="T79" s="406"/>
      <c r="U79" s="246"/>
      <c r="V79" s="406"/>
      <c r="W79" s="246"/>
      <c r="X79" s="406"/>
      <c r="Y79" s="246"/>
      <c r="Z79" s="261"/>
      <c r="AA79" s="406"/>
      <c r="AB79" s="246"/>
      <c r="AC79" s="406"/>
      <c r="AD79" s="246"/>
      <c r="AE79" s="406"/>
      <c r="AF79" s="246"/>
      <c r="AG79" s="261"/>
      <c r="AH79" s="406"/>
      <c r="AI79" s="246"/>
      <c r="AJ79" s="406"/>
      <c r="AK79" s="246"/>
      <c r="AL79" s="406"/>
      <c r="AM79" s="246"/>
      <c r="AN79" s="261"/>
      <c r="AO79" s="406"/>
      <c r="AP79" s="246"/>
      <c r="AQ79" s="406"/>
      <c r="AR79" s="246"/>
      <c r="AS79" s="406"/>
      <c r="AT79" s="254" t="str">
        <f t="shared" si="15"/>
        <v/>
      </c>
      <c r="AU79" s="269"/>
      <c r="AV79" s="269"/>
    </row>
    <row r="80">
      <c r="A80" s="270"/>
      <c r="B80" s="459"/>
      <c r="C80" s="460" t="s">
        <v>738</v>
      </c>
      <c r="D80" s="363"/>
      <c r="E80" s="259"/>
      <c r="F80" s="461" t="s">
        <v>960</v>
      </c>
      <c r="G80" s="246"/>
      <c r="H80" s="132"/>
      <c r="I80" s="246"/>
      <c r="J80" s="132"/>
      <c r="K80" s="246"/>
      <c r="L80" s="462"/>
      <c r="M80" s="461" t="s">
        <v>961</v>
      </c>
      <c r="N80" s="246"/>
      <c r="O80" s="132"/>
      <c r="P80" s="246"/>
      <c r="Q80" s="132"/>
      <c r="R80" s="246"/>
      <c r="S80" s="462"/>
      <c r="T80" s="461" t="s">
        <v>962</v>
      </c>
      <c r="U80" s="246"/>
      <c r="V80" s="132"/>
      <c r="W80" s="246"/>
      <c r="X80" s="132"/>
      <c r="Y80" s="246"/>
      <c r="Z80" s="462"/>
      <c r="AA80" s="461" t="s">
        <v>963</v>
      </c>
      <c r="AB80" s="246"/>
      <c r="AC80" s="132"/>
      <c r="AD80" s="246"/>
      <c r="AE80" s="132"/>
      <c r="AF80" s="246"/>
      <c r="AG80" s="462"/>
      <c r="AH80" s="461" t="s">
        <v>964</v>
      </c>
      <c r="AI80" s="246"/>
      <c r="AJ80" s="132"/>
      <c r="AK80" s="246"/>
      <c r="AL80" s="132"/>
      <c r="AM80" s="246"/>
      <c r="AN80" s="462"/>
      <c r="AO80" s="461" t="s">
        <v>965</v>
      </c>
      <c r="AP80" s="246"/>
      <c r="AQ80" s="132"/>
      <c r="AR80" s="246"/>
      <c r="AS80" s="132"/>
      <c r="AT80" s="460"/>
      <c r="AU80" s="269"/>
      <c r="AV80" s="269"/>
    </row>
    <row r="81">
      <c r="A81" s="236"/>
      <c r="B81" s="459"/>
      <c r="C81" s="460" t="s">
        <v>738</v>
      </c>
      <c r="D81" s="363"/>
      <c r="E81" s="259"/>
      <c r="F81" s="132"/>
      <c r="G81" s="246"/>
      <c r="H81" s="132"/>
      <c r="I81" s="246"/>
      <c r="J81" s="132"/>
      <c r="K81" s="246"/>
      <c r="L81" s="462"/>
      <c r="M81" s="132"/>
      <c r="N81" s="246"/>
      <c r="O81" s="132"/>
      <c r="P81" s="246"/>
      <c r="Q81" s="132"/>
      <c r="R81" s="246"/>
      <c r="S81" s="462"/>
      <c r="T81" s="132"/>
      <c r="U81" s="246"/>
      <c r="V81" s="132"/>
      <c r="W81" s="246"/>
      <c r="X81" s="132"/>
      <c r="Y81" s="246"/>
      <c r="Z81" s="462"/>
      <c r="AA81" s="132"/>
      <c r="AB81" s="246"/>
      <c r="AC81" s="132"/>
      <c r="AD81" s="246"/>
      <c r="AE81" s="132"/>
      <c r="AF81" s="246"/>
      <c r="AG81" s="462"/>
      <c r="AH81" s="132"/>
      <c r="AI81" s="246"/>
      <c r="AJ81" s="132"/>
      <c r="AK81" s="246"/>
      <c r="AL81" s="132"/>
      <c r="AM81" s="246"/>
      <c r="AN81" s="462"/>
      <c r="AO81" s="132"/>
      <c r="AP81" s="246"/>
      <c r="AQ81" s="132"/>
      <c r="AR81" s="246"/>
      <c r="AS81" s="132"/>
      <c r="AT81" s="460"/>
      <c r="AU81" s="236"/>
      <c r="AV81" s="236"/>
    </row>
    <row r="82">
      <c r="A82" s="236"/>
      <c r="B82" s="459"/>
      <c r="C82" s="460" t="s">
        <v>738</v>
      </c>
      <c r="D82" s="363"/>
      <c r="E82" s="259"/>
      <c r="F82" s="461" t="s">
        <v>966</v>
      </c>
      <c r="G82" s="246"/>
      <c r="H82" s="132"/>
      <c r="I82" s="246"/>
      <c r="J82" s="132"/>
      <c r="K82" s="246"/>
      <c r="L82" s="462"/>
      <c r="M82" s="132"/>
      <c r="N82" s="246"/>
      <c r="O82" s="132"/>
      <c r="P82" s="246"/>
      <c r="Q82" s="132"/>
      <c r="R82" s="246"/>
      <c r="S82" s="462"/>
      <c r="T82" s="461" t="s">
        <v>529</v>
      </c>
      <c r="U82" s="246"/>
      <c r="V82" s="132"/>
      <c r="W82" s="246"/>
      <c r="X82" s="132"/>
      <c r="Y82" s="246"/>
      <c r="Z82" s="462"/>
      <c r="AA82" s="461" t="s">
        <v>529</v>
      </c>
      <c r="AB82" s="246"/>
      <c r="AC82" s="132"/>
      <c r="AD82" s="246"/>
      <c r="AE82" s="132"/>
      <c r="AF82" s="246"/>
      <c r="AG82" s="462"/>
      <c r="AH82" s="461" t="s">
        <v>529</v>
      </c>
      <c r="AI82" s="246"/>
      <c r="AJ82" s="132"/>
      <c r="AK82" s="246"/>
      <c r="AL82" s="132"/>
      <c r="AM82" s="246"/>
      <c r="AN82" s="462"/>
      <c r="AO82" s="461" t="s">
        <v>529</v>
      </c>
      <c r="AP82" s="246"/>
      <c r="AQ82" s="132"/>
      <c r="AR82" s="246"/>
      <c r="AS82" s="132"/>
      <c r="AT82" s="460"/>
      <c r="AU82" s="236"/>
      <c r="AV82" s="236"/>
    </row>
    <row r="83">
      <c r="A83" s="182"/>
      <c r="B83" s="183" t="s">
        <v>746</v>
      </c>
      <c r="C83" s="184" t="s">
        <v>605</v>
      </c>
      <c r="D83" s="185" t="s">
        <v>486</v>
      </c>
      <c r="E83" s="186"/>
      <c r="F83" s="185" t="s">
        <v>487</v>
      </c>
      <c r="M83" s="185" t="s">
        <v>488</v>
      </c>
      <c r="T83" s="185" t="s">
        <v>489</v>
      </c>
      <c r="AA83" s="185" t="s">
        <v>490</v>
      </c>
      <c r="AH83" s="185" t="s">
        <v>491</v>
      </c>
      <c r="AO83" s="185" t="s">
        <v>492</v>
      </c>
      <c r="AU83" s="182"/>
      <c r="AV83" s="182"/>
    </row>
    <row r="84">
      <c r="A84" s="182"/>
      <c r="B84" s="187"/>
      <c r="C84" s="187"/>
      <c r="D84" s="188">
        <f>AO4+1</f>
        <v>5</v>
      </c>
      <c r="E84" s="189"/>
      <c r="F84" s="188">
        <f>D84+1</f>
        <v>6</v>
      </c>
      <c r="M84" s="188">
        <f>F84+1</f>
        <v>7</v>
      </c>
      <c r="T84" s="188">
        <f>M84+1</f>
        <v>8</v>
      </c>
      <c r="AA84" s="188">
        <f>T84+1</f>
        <v>9</v>
      </c>
      <c r="AH84" s="188">
        <f>AA84+1</f>
        <v>10</v>
      </c>
      <c r="AO84" s="188">
        <f>AH84+1</f>
        <v>11</v>
      </c>
      <c r="AU84" s="182"/>
      <c r="AV84" s="182"/>
    </row>
    <row r="85">
      <c r="A85" s="182"/>
      <c r="B85" s="193" t="s">
        <v>608</v>
      </c>
      <c r="C85" s="193" t="s">
        <v>609</v>
      </c>
      <c r="D85" s="187"/>
      <c r="E85" s="189"/>
      <c r="F85" s="194" t="s">
        <v>610</v>
      </c>
      <c r="G85" s="195"/>
      <c r="H85" s="193" t="s">
        <v>611</v>
      </c>
      <c r="J85" s="194" t="s">
        <v>612</v>
      </c>
      <c r="M85" s="194" t="s">
        <v>610</v>
      </c>
      <c r="N85" s="195"/>
      <c r="O85" s="193" t="s">
        <v>611</v>
      </c>
      <c r="P85" s="195"/>
      <c r="Q85" s="194" t="s">
        <v>612</v>
      </c>
      <c r="S85" s="193"/>
      <c r="T85" s="194" t="s">
        <v>610</v>
      </c>
      <c r="U85" s="195"/>
      <c r="V85" s="193" t="s">
        <v>611</v>
      </c>
      <c r="W85" s="195"/>
      <c r="X85" s="194" t="s">
        <v>612</v>
      </c>
      <c r="Z85" s="193"/>
      <c r="AA85" s="194" t="s">
        <v>610</v>
      </c>
      <c r="AB85" s="195"/>
      <c r="AC85" s="193" t="s">
        <v>611</v>
      </c>
      <c r="AD85" s="195"/>
      <c r="AE85" s="194" t="s">
        <v>612</v>
      </c>
      <c r="AG85" s="193"/>
      <c r="AH85" s="194" t="s">
        <v>610</v>
      </c>
      <c r="AI85" s="195"/>
      <c r="AJ85" s="193" t="s">
        <v>611</v>
      </c>
      <c r="AK85" s="195"/>
      <c r="AL85" s="194" t="s">
        <v>612</v>
      </c>
      <c r="AN85" s="193"/>
      <c r="AO85" s="194" t="s">
        <v>610</v>
      </c>
      <c r="AP85" s="195"/>
      <c r="AQ85" s="193" t="s">
        <v>611</v>
      </c>
      <c r="AR85" s="195"/>
      <c r="AS85" s="194" t="s">
        <v>612</v>
      </c>
      <c r="AU85" s="182"/>
      <c r="AV85" s="182"/>
    </row>
    <row r="86" ht="15.0" customHeight="1">
      <c r="A86" s="199"/>
      <c r="B86" s="200" t="s">
        <v>620</v>
      </c>
      <c r="C86" s="201"/>
      <c r="D86" s="201"/>
      <c r="E86" s="202"/>
      <c r="F86" s="203"/>
      <c r="G86" s="204"/>
      <c r="H86" s="203"/>
      <c r="I86" s="204"/>
      <c r="J86" s="203"/>
      <c r="K86" s="204"/>
      <c r="L86" s="205"/>
      <c r="M86" s="203"/>
      <c r="N86" s="204"/>
      <c r="O86" s="203"/>
      <c r="P86" s="204"/>
      <c r="Q86" s="203"/>
      <c r="R86" s="204"/>
      <c r="S86" s="205"/>
      <c r="T86" s="203"/>
      <c r="U86" s="204"/>
      <c r="V86" s="203"/>
      <c r="W86" s="204"/>
      <c r="X86" s="203"/>
      <c r="Y86" s="204"/>
      <c r="Z86" s="205"/>
      <c r="AA86" s="203"/>
      <c r="AB86" s="204"/>
      <c r="AC86" s="203"/>
      <c r="AD86" s="204"/>
      <c r="AE86" s="203"/>
      <c r="AF86" s="204"/>
      <c r="AG86" s="205"/>
      <c r="AH86" s="203" t="s">
        <v>826</v>
      </c>
      <c r="AI86" s="204"/>
      <c r="AJ86" s="203"/>
      <c r="AK86" s="204"/>
      <c r="AL86" s="682" t="s">
        <v>908</v>
      </c>
      <c r="AM86" s="204"/>
      <c r="AN86" s="205"/>
      <c r="AO86" s="203"/>
      <c r="AP86" s="204"/>
      <c r="AQ86" s="203"/>
      <c r="AR86" s="204"/>
      <c r="AS86" s="203"/>
      <c r="AT86" s="204"/>
      <c r="AU86" s="199"/>
      <c r="AV86" s="199"/>
    </row>
    <row r="87">
      <c r="A87" s="234"/>
      <c r="B87" s="235" t="s">
        <v>608</v>
      </c>
      <c r="C87" s="195" t="s">
        <v>609</v>
      </c>
      <c r="D87" s="236"/>
      <c r="E87" s="237"/>
      <c r="F87" s="238"/>
      <c r="G87" s="182"/>
      <c r="H87" s="238"/>
      <c r="I87" s="239"/>
      <c r="J87" s="238"/>
      <c r="K87" s="239"/>
      <c r="L87" s="237"/>
      <c r="M87" s="238"/>
      <c r="N87" s="182"/>
      <c r="O87" s="238"/>
      <c r="P87" s="239"/>
      <c r="Q87" s="238"/>
      <c r="R87" s="239"/>
      <c r="S87" s="237"/>
      <c r="T87" s="238"/>
      <c r="U87" s="182"/>
      <c r="V87" s="238"/>
      <c r="W87" s="239"/>
      <c r="X87" s="238"/>
      <c r="Y87" s="239"/>
      <c r="Z87" s="237"/>
      <c r="AA87" s="238"/>
      <c r="AB87" s="182"/>
      <c r="AC87" s="238"/>
      <c r="AD87" s="239"/>
      <c r="AE87" s="238"/>
      <c r="AF87" s="239"/>
      <c r="AG87" s="237"/>
      <c r="AH87" s="238"/>
      <c r="AI87" s="182"/>
      <c r="AJ87" s="238"/>
      <c r="AK87" s="239"/>
      <c r="AL87" s="238"/>
      <c r="AM87" s="239"/>
      <c r="AN87" s="237"/>
      <c r="AO87" s="238"/>
      <c r="AP87" s="182"/>
      <c r="AQ87" s="238"/>
      <c r="AR87" s="239"/>
      <c r="AS87" s="238"/>
      <c r="AT87" s="239"/>
      <c r="AU87" s="236"/>
      <c r="AV87" s="236"/>
    </row>
    <row r="88" ht="14.25" customHeight="1">
      <c r="A88" s="240"/>
      <c r="B88" s="241" t="s">
        <v>638</v>
      </c>
      <c r="C88" s="242" t="s">
        <v>639</v>
      </c>
      <c r="D88" s="243"/>
      <c r="E88" s="244"/>
      <c r="F88" s="371"/>
      <c r="G88" s="246"/>
      <c r="H88" s="282"/>
      <c r="I88" s="246"/>
      <c r="J88" s="282"/>
      <c r="K88" s="246"/>
      <c r="L88" s="249"/>
      <c r="M88" s="250"/>
      <c r="N88" s="246"/>
      <c r="O88" s="282"/>
      <c r="P88" s="246"/>
      <c r="R88" s="246"/>
      <c r="S88" s="249"/>
      <c r="T88" s="250"/>
      <c r="U88" s="246"/>
      <c r="V88" s="282"/>
      <c r="W88" s="246"/>
      <c r="X88" s="251" t="s">
        <v>405</v>
      </c>
      <c r="Y88" s="246"/>
      <c r="Z88" s="249"/>
      <c r="AA88" s="250"/>
      <c r="AB88" s="246"/>
      <c r="AC88" s="336" t="s">
        <v>414</v>
      </c>
      <c r="AD88" s="246"/>
      <c r="AF88" s="246"/>
      <c r="AG88" s="249"/>
      <c r="AH88" s="371"/>
      <c r="AI88" s="246"/>
      <c r="AK88" s="246"/>
      <c r="AM88" s="246"/>
      <c r="AN88" s="249"/>
      <c r="AO88" s="320"/>
      <c r="AP88" s="246"/>
      <c r="AQ88" s="252"/>
      <c r="AR88" s="246"/>
      <c r="AS88" s="282"/>
      <c r="AT88" s="254" t="str">
        <f>IF(COUNTIF($AO$80:$AT$82, #REF!) &gt; 0, "X", "")</f>
        <v/>
      </c>
      <c r="AU88" s="255"/>
      <c r="AV88" s="255"/>
    </row>
    <row r="89" ht="13.5" customHeight="1">
      <c r="A89" s="94"/>
      <c r="B89" s="256" t="s">
        <v>638</v>
      </c>
      <c r="C89" s="257" t="s">
        <v>639</v>
      </c>
      <c r="D89" s="258"/>
      <c r="E89" s="259"/>
      <c r="F89" s="371"/>
      <c r="G89" s="246"/>
      <c r="H89" s="282"/>
      <c r="I89" s="246"/>
      <c r="K89" s="246"/>
      <c r="L89" s="249"/>
      <c r="M89" s="250"/>
      <c r="N89" s="246"/>
      <c r="O89" s="282"/>
      <c r="P89" s="246"/>
      <c r="R89" s="246"/>
      <c r="S89" s="249"/>
      <c r="T89" s="250"/>
      <c r="U89" s="246"/>
      <c r="V89" s="282"/>
      <c r="W89" s="246"/>
      <c r="X89" s="683" t="s">
        <v>419</v>
      </c>
      <c r="Y89" s="246"/>
      <c r="Z89" s="249"/>
      <c r="AA89" s="250"/>
      <c r="AB89" s="246"/>
      <c r="AC89" s="683" t="s">
        <v>419</v>
      </c>
      <c r="AD89" s="246"/>
      <c r="AE89" s="265"/>
      <c r="AF89" s="246"/>
      <c r="AG89" s="249"/>
      <c r="AH89" s="371"/>
      <c r="AI89" s="246"/>
      <c r="AK89" s="246"/>
      <c r="AL89" s="265"/>
      <c r="AM89" s="246"/>
      <c r="AN89" s="249"/>
      <c r="AO89" s="320"/>
      <c r="AP89" s="246"/>
      <c r="AQ89" s="252"/>
      <c r="AR89" s="246"/>
      <c r="AS89" s="282"/>
      <c r="AT89" s="254" t="str">
        <f>IF(COUNTIF($AO$80:$AT$82, AS95) &gt; 0, "X", "")</f>
        <v/>
      </c>
      <c r="AU89" s="269"/>
      <c r="AV89" s="269"/>
    </row>
    <row r="90" ht="13.5" customHeight="1">
      <c r="A90" s="270"/>
      <c r="B90" s="271" t="s">
        <v>642</v>
      </c>
      <c r="C90" s="272" t="s">
        <v>639</v>
      </c>
      <c r="D90" s="258"/>
      <c r="E90" s="259"/>
      <c r="F90" s="426"/>
      <c r="G90" s="246"/>
      <c r="H90" s="426"/>
      <c r="I90" s="246"/>
      <c r="J90" s="265"/>
      <c r="K90" s="246"/>
      <c r="L90" s="261"/>
      <c r="M90" s="262"/>
      <c r="N90" s="246"/>
      <c r="P90" s="246"/>
      <c r="Q90" s="282"/>
      <c r="R90" s="246"/>
      <c r="S90" s="261"/>
      <c r="T90" s="262"/>
      <c r="U90" s="246"/>
      <c r="V90" s="265"/>
      <c r="W90" s="246"/>
      <c r="X90" s="474" t="s">
        <v>421</v>
      </c>
      <c r="Y90" s="246"/>
      <c r="Z90" s="261"/>
      <c r="AA90" s="262"/>
      <c r="AB90" s="246"/>
      <c r="AD90" s="246"/>
      <c r="AE90" s="265"/>
      <c r="AF90" s="246"/>
      <c r="AG90" s="261"/>
      <c r="AH90" s="426"/>
      <c r="AI90" s="246"/>
      <c r="AJ90" s="426"/>
      <c r="AK90" s="246"/>
      <c r="AL90" s="265"/>
      <c r="AM90" s="246"/>
      <c r="AN90" s="261"/>
      <c r="AO90" s="320"/>
      <c r="AP90" s="246"/>
      <c r="AQ90" s="426"/>
      <c r="AR90" s="246"/>
      <c r="AS90" s="426"/>
      <c r="AT90" s="254" t="str">
        <f>IF(COUNTIF($AO$80:$AT$82, #REF!) &gt; 0, "X", "")</f>
        <v/>
      </c>
      <c r="AU90" s="269"/>
      <c r="AV90" s="269"/>
    </row>
    <row r="91" ht="11.25" customHeight="1">
      <c r="A91" s="234"/>
      <c r="B91" s="277" t="s">
        <v>644</v>
      </c>
      <c r="C91" s="278" t="s">
        <v>645</v>
      </c>
      <c r="D91" s="243"/>
      <c r="E91" s="259"/>
      <c r="F91" s="281"/>
      <c r="G91" s="246"/>
      <c r="H91" s="280" t="s">
        <v>400</v>
      </c>
      <c r="I91" s="246"/>
      <c r="J91" s="282"/>
      <c r="K91" s="246"/>
      <c r="L91" s="261"/>
      <c r="M91" s="250"/>
      <c r="N91" s="246"/>
      <c r="O91" s="280" t="s">
        <v>400</v>
      </c>
      <c r="P91" s="246"/>
      <c r="Q91" s="282"/>
      <c r="R91" s="246"/>
      <c r="S91" s="261"/>
      <c r="T91" s="250"/>
      <c r="U91" s="246"/>
      <c r="V91" s="281"/>
      <c r="W91" s="246"/>
      <c r="X91" s="280" t="s">
        <v>400</v>
      </c>
      <c r="Y91" s="246"/>
      <c r="Z91" s="261"/>
      <c r="AA91" s="250"/>
      <c r="AB91" s="246"/>
      <c r="AC91" s="280" t="s">
        <v>400</v>
      </c>
      <c r="AD91" s="246"/>
      <c r="AE91" s="282"/>
      <c r="AF91" s="246"/>
      <c r="AG91" s="261"/>
      <c r="AH91" s="281"/>
      <c r="AI91" s="246"/>
      <c r="AJ91" s="280" t="s">
        <v>400</v>
      </c>
      <c r="AK91" s="246"/>
      <c r="AL91" s="281"/>
      <c r="AM91" s="246"/>
      <c r="AN91" s="261"/>
      <c r="AO91" s="320"/>
      <c r="AP91" s="246"/>
      <c r="AQ91" s="281"/>
      <c r="AR91" s="246"/>
      <c r="AS91" s="281"/>
      <c r="AT91" s="254" t="str">
        <f t="shared" ref="AT91:AT93" si="16">IF(COUNTIF($AO$80:$AT$82, AS92) &gt; 0, "X", "")</f>
        <v/>
      </c>
      <c r="AU91" s="269"/>
      <c r="AV91" s="269"/>
    </row>
    <row r="92">
      <c r="A92" s="94"/>
      <c r="B92" s="256" t="s">
        <v>757</v>
      </c>
      <c r="C92" s="257" t="s">
        <v>645</v>
      </c>
      <c r="D92" s="243"/>
      <c r="E92" s="259"/>
      <c r="F92" s="274" t="s">
        <v>402</v>
      </c>
      <c r="G92" s="246"/>
      <c r="H92" s="371"/>
      <c r="I92" s="246"/>
      <c r="J92" s="371"/>
      <c r="K92" s="246"/>
      <c r="L92" s="261"/>
      <c r="M92" s="250"/>
      <c r="N92" s="246"/>
      <c r="O92" s="371"/>
      <c r="P92" s="246"/>
      <c r="Q92" s="280" t="s">
        <v>402</v>
      </c>
      <c r="R92" s="246"/>
      <c r="S92" s="261"/>
      <c r="T92" s="250"/>
      <c r="U92" s="246"/>
      <c r="V92" s="371"/>
      <c r="W92" s="246"/>
      <c r="X92" s="274" t="s">
        <v>402</v>
      </c>
      <c r="Y92" s="246"/>
      <c r="Z92" s="261"/>
      <c r="AA92" s="250"/>
      <c r="AB92" s="246"/>
      <c r="AC92" s="371"/>
      <c r="AD92" s="246"/>
      <c r="AF92" s="246"/>
      <c r="AG92" s="261"/>
      <c r="AH92" s="371"/>
      <c r="AI92" s="246"/>
      <c r="AJ92" s="371"/>
      <c r="AK92" s="246"/>
      <c r="AL92" s="274" t="s">
        <v>402</v>
      </c>
      <c r="AM92" s="246"/>
      <c r="AN92" s="261"/>
      <c r="AO92" s="320"/>
      <c r="AP92" s="246"/>
      <c r="AQ92" s="274" t="s">
        <v>402</v>
      </c>
      <c r="AR92" s="246"/>
      <c r="AS92" s="371"/>
      <c r="AT92" s="254" t="str">
        <f t="shared" si="16"/>
        <v/>
      </c>
      <c r="AU92" s="269"/>
      <c r="AV92" s="269"/>
    </row>
    <row r="93">
      <c r="A93" s="94"/>
      <c r="B93" s="284" t="s">
        <v>646</v>
      </c>
      <c r="C93" s="285" t="s">
        <v>647</v>
      </c>
      <c r="D93" s="243"/>
      <c r="E93" s="259"/>
      <c r="F93" s="251" t="s">
        <v>427</v>
      </c>
      <c r="G93" s="246"/>
      <c r="H93" s="399"/>
      <c r="I93" s="246"/>
      <c r="J93" s="399"/>
      <c r="K93" s="246"/>
      <c r="L93" s="261"/>
      <c r="M93" s="324"/>
      <c r="N93" s="246"/>
      <c r="O93" s="282"/>
      <c r="P93" s="246"/>
      <c r="Q93" s="251" t="s">
        <v>427</v>
      </c>
      <c r="R93" s="246"/>
      <c r="S93" s="261"/>
      <c r="T93" s="324"/>
      <c r="U93" s="246"/>
      <c r="V93" s="282"/>
      <c r="W93" s="246"/>
      <c r="X93" s="251" t="s">
        <v>427</v>
      </c>
      <c r="Y93" s="246"/>
      <c r="Z93" s="261"/>
      <c r="AA93" s="324"/>
      <c r="AB93" s="246"/>
      <c r="AD93" s="246"/>
      <c r="AE93" s="251" t="s">
        <v>427</v>
      </c>
      <c r="AF93" s="246"/>
      <c r="AG93" s="261"/>
      <c r="AH93" s="251" t="s">
        <v>427</v>
      </c>
      <c r="AI93" s="246"/>
      <c r="AJ93" s="399"/>
      <c r="AK93" s="246"/>
      <c r="AL93" s="282"/>
      <c r="AM93" s="246"/>
      <c r="AN93" s="261"/>
      <c r="AO93" s="320"/>
      <c r="AP93" s="246"/>
      <c r="AQ93" s="399"/>
      <c r="AR93" s="246"/>
      <c r="AS93" s="399"/>
      <c r="AT93" s="254" t="str">
        <f t="shared" si="16"/>
        <v/>
      </c>
      <c r="AU93" s="269"/>
      <c r="AV93" s="269"/>
    </row>
    <row r="94">
      <c r="A94" s="270"/>
      <c r="B94" s="291" t="s">
        <v>648</v>
      </c>
      <c r="C94" s="292" t="s">
        <v>649</v>
      </c>
      <c r="D94" s="243"/>
      <c r="E94" s="259"/>
      <c r="F94" s="294"/>
      <c r="G94" s="246"/>
      <c r="H94" s="293" t="s">
        <v>418</v>
      </c>
      <c r="I94" s="246"/>
      <c r="J94" s="294"/>
      <c r="K94" s="246"/>
      <c r="L94" s="261"/>
      <c r="M94" s="250"/>
      <c r="N94" s="246"/>
      <c r="O94" s="293" t="s">
        <v>418</v>
      </c>
      <c r="P94" s="246"/>
      <c r="Q94" s="294"/>
      <c r="R94" s="246"/>
      <c r="S94" s="261"/>
      <c r="T94" s="250"/>
      <c r="U94" s="246"/>
      <c r="V94" s="294"/>
      <c r="W94" s="246"/>
      <c r="X94" s="293" t="s">
        <v>418</v>
      </c>
      <c r="Y94" s="246"/>
      <c r="Z94" s="261"/>
      <c r="AA94" s="250"/>
      <c r="AB94" s="246"/>
      <c r="AC94" s="294"/>
      <c r="AD94" s="246"/>
      <c r="AE94" s="293" t="s">
        <v>418</v>
      </c>
      <c r="AF94" s="246"/>
      <c r="AG94" s="261"/>
      <c r="AH94" s="294"/>
      <c r="AI94" s="246"/>
      <c r="AJ94" s="293" t="s">
        <v>418</v>
      </c>
      <c r="AK94" s="246"/>
      <c r="AL94" s="294"/>
      <c r="AM94" s="246"/>
      <c r="AN94" s="261"/>
      <c r="AO94" s="320"/>
      <c r="AP94" s="246"/>
      <c r="AQ94" s="294"/>
      <c r="AR94" s="246"/>
      <c r="AS94" s="294"/>
      <c r="AT94" s="254" t="str">
        <f t="shared" ref="AT94:AT95" si="17">IF(COUNTIF($AO$80:$AT$82, #REF!) &gt; 0, "X", "")</f>
        <v/>
      </c>
      <c r="AU94" s="269"/>
      <c r="AV94" s="269"/>
    </row>
    <row r="95">
      <c r="A95" s="94"/>
      <c r="B95" s="296" t="s">
        <v>650</v>
      </c>
      <c r="C95" s="297" t="s">
        <v>649</v>
      </c>
      <c r="D95" s="243"/>
      <c r="E95" s="259"/>
      <c r="F95" s="299"/>
      <c r="G95" s="298"/>
      <c r="H95" s="299"/>
      <c r="I95" s="298"/>
      <c r="J95" s="299"/>
      <c r="K95" s="298"/>
      <c r="L95" s="261"/>
      <c r="M95" s="250"/>
      <c r="N95" s="298"/>
      <c r="O95" s="299"/>
      <c r="P95" s="298"/>
      <c r="Q95" s="299"/>
      <c r="R95" s="298"/>
      <c r="S95" s="261"/>
      <c r="T95" s="250"/>
      <c r="U95" s="298"/>
      <c r="V95" s="299"/>
      <c r="W95" s="298"/>
      <c r="X95" s="299"/>
      <c r="Y95" s="298"/>
      <c r="Z95" s="261"/>
      <c r="AA95" s="250"/>
      <c r="AB95" s="298"/>
      <c r="AC95" s="299"/>
      <c r="AD95" s="298"/>
      <c r="AE95" s="299"/>
      <c r="AF95" s="298"/>
      <c r="AG95" s="261"/>
      <c r="AH95" s="299"/>
      <c r="AI95" s="298"/>
      <c r="AJ95" s="299"/>
      <c r="AK95" s="298"/>
      <c r="AL95" s="299"/>
      <c r="AM95" s="298"/>
      <c r="AN95" s="261"/>
      <c r="AO95" s="320"/>
      <c r="AP95" s="298"/>
      <c r="AQ95" s="299"/>
      <c r="AR95" s="298"/>
      <c r="AS95" s="299"/>
      <c r="AT95" s="254" t="str">
        <f t="shared" si="17"/>
        <v/>
      </c>
      <c r="AU95" s="269"/>
      <c r="AV95" s="269"/>
    </row>
    <row r="96">
      <c r="A96" s="94"/>
      <c r="B96" s="301" t="s">
        <v>651</v>
      </c>
      <c r="C96" s="302" t="s">
        <v>652</v>
      </c>
      <c r="D96" s="243"/>
      <c r="E96" s="259"/>
      <c r="F96" s="303"/>
      <c r="G96" s="298"/>
      <c r="H96" s="303"/>
      <c r="I96" s="298"/>
      <c r="J96" s="303"/>
      <c r="K96" s="298"/>
      <c r="L96" s="261"/>
      <c r="M96" s="250"/>
      <c r="N96" s="298"/>
      <c r="O96" s="303"/>
      <c r="P96" s="298"/>
      <c r="Q96" s="303"/>
      <c r="R96" s="298"/>
      <c r="S96" s="261"/>
      <c r="T96" s="250"/>
      <c r="U96" s="298"/>
      <c r="V96" s="303"/>
      <c r="W96" s="298"/>
      <c r="X96" s="303"/>
      <c r="Y96" s="298"/>
      <c r="Z96" s="261"/>
      <c r="AA96" s="250"/>
      <c r="AB96" s="298"/>
      <c r="AC96" s="303"/>
      <c r="AD96" s="298"/>
      <c r="AE96" s="303"/>
      <c r="AF96" s="298"/>
      <c r="AG96" s="261"/>
      <c r="AH96" s="303"/>
      <c r="AI96" s="298"/>
      <c r="AJ96" s="303"/>
      <c r="AK96" s="298"/>
      <c r="AL96" s="303"/>
      <c r="AM96" s="298"/>
      <c r="AN96" s="261"/>
      <c r="AO96" s="320"/>
      <c r="AP96" s="298"/>
      <c r="AQ96" s="303"/>
      <c r="AR96" s="298"/>
      <c r="AS96" s="303"/>
      <c r="AT96" s="254" t="str">
        <f t="shared" ref="AT96:AT97" si="18">IF(COUNTIF($AO$80:$AT$82, AS97) &gt; 0, "X", "")</f>
        <v/>
      </c>
      <c r="AU96" s="269"/>
      <c r="AV96" s="269"/>
    </row>
    <row r="97">
      <c r="A97" s="94"/>
      <c r="B97" s="305" t="s">
        <v>653</v>
      </c>
      <c r="C97" s="306" t="s">
        <v>654</v>
      </c>
      <c r="D97" s="243"/>
      <c r="E97" s="259"/>
      <c r="F97" s="307"/>
      <c r="G97" s="298"/>
      <c r="H97" s="307"/>
      <c r="I97" s="298"/>
      <c r="J97" s="307"/>
      <c r="K97" s="298"/>
      <c r="L97" s="261"/>
      <c r="M97" s="250"/>
      <c r="N97" s="298"/>
      <c r="O97" s="307"/>
      <c r="P97" s="298"/>
      <c r="Q97" s="307"/>
      <c r="R97" s="298"/>
      <c r="S97" s="261"/>
      <c r="T97" s="250"/>
      <c r="U97" s="298"/>
      <c r="V97" s="307"/>
      <c r="W97" s="298"/>
      <c r="X97" s="307"/>
      <c r="Y97" s="298"/>
      <c r="Z97" s="261"/>
      <c r="AA97" s="250"/>
      <c r="AB97" s="298"/>
      <c r="AC97" s="307"/>
      <c r="AD97" s="298"/>
      <c r="AE97" s="309" t="s">
        <v>449</v>
      </c>
      <c r="AF97" s="298"/>
      <c r="AG97" s="261"/>
      <c r="AH97" s="307"/>
      <c r="AI97" s="298"/>
      <c r="AJ97" s="307"/>
      <c r="AK97" s="298"/>
      <c r="AL97" s="307"/>
      <c r="AM97" s="298"/>
      <c r="AN97" s="261"/>
      <c r="AO97" s="320"/>
      <c r="AP97" s="298"/>
      <c r="AQ97" s="307"/>
      <c r="AR97" s="298"/>
      <c r="AS97" s="307"/>
      <c r="AT97" s="254" t="str">
        <f t="shared" si="18"/>
        <v/>
      </c>
      <c r="AU97" s="269"/>
      <c r="AV97" s="269"/>
    </row>
    <row r="98">
      <c r="A98" s="94"/>
      <c r="B98" s="310" t="s">
        <v>656</v>
      </c>
      <c r="C98" s="278" t="s">
        <v>657</v>
      </c>
      <c r="D98" s="243"/>
      <c r="E98" s="259"/>
      <c r="F98" s="281"/>
      <c r="G98" s="246"/>
      <c r="H98" s="282"/>
      <c r="I98" s="246"/>
      <c r="J98" s="282"/>
      <c r="K98" s="246"/>
      <c r="L98" s="261"/>
      <c r="M98" s="250"/>
      <c r="N98" s="246"/>
      <c r="O98" s="348" t="s">
        <v>855</v>
      </c>
      <c r="P98" s="246"/>
      <c r="R98" s="246"/>
      <c r="S98" s="261"/>
      <c r="T98" s="250"/>
      <c r="U98" s="246"/>
      <c r="V98" s="282"/>
      <c r="W98" s="246"/>
      <c r="Y98" s="246"/>
      <c r="Z98" s="261"/>
      <c r="AA98" s="250"/>
      <c r="AB98" s="246"/>
      <c r="AC98" s="282"/>
      <c r="AD98" s="246"/>
      <c r="AE98" s="311" t="s">
        <v>434</v>
      </c>
      <c r="AF98" s="246"/>
      <c r="AG98" s="261"/>
      <c r="AH98" s="282"/>
      <c r="AI98" s="246"/>
      <c r="AK98" s="246"/>
      <c r="AL98" s="282"/>
      <c r="AM98" s="246"/>
      <c r="AN98" s="261"/>
      <c r="AO98" s="320"/>
      <c r="AP98" s="246"/>
      <c r="AR98" s="246"/>
      <c r="AS98" s="281"/>
      <c r="AT98" s="254" t="str">
        <f t="shared" ref="AT98:AT100" si="19">IF(COUNTIF($AO$80:$AT$82, #REF!) &gt; 0, "X", "")</f>
        <v/>
      </c>
      <c r="AU98" s="269"/>
      <c r="AV98" s="269"/>
    </row>
    <row r="99">
      <c r="A99" s="94"/>
      <c r="B99" s="277" t="s">
        <v>658</v>
      </c>
      <c r="C99" s="278" t="s">
        <v>657</v>
      </c>
      <c r="D99" s="243"/>
      <c r="E99" s="259"/>
      <c r="G99" s="246"/>
      <c r="H99" s="282"/>
      <c r="I99" s="246"/>
      <c r="J99" s="281"/>
      <c r="K99" s="246"/>
      <c r="L99" s="261"/>
      <c r="M99" s="250"/>
      <c r="N99" s="246"/>
      <c r="O99" s="311" t="s">
        <v>459</v>
      </c>
      <c r="P99" s="246"/>
      <c r="Q99" s="282"/>
      <c r="R99" s="246"/>
      <c r="S99" s="261"/>
      <c r="T99" s="250"/>
      <c r="U99" s="246"/>
      <c r="W99" s="246"/>
      <c r="Y99" s="246"/>
      <c r="Z99" s="261"/>
      <c r="AA99" s="250"/>
      <c r="AB99" s="246"/>
      <c r="AC99" s="282"/>
      <c r="AD99" s="246"/>
      <c r="AF99" s="246"/>
      <c r="AG99" s="261"/>
      <c r="AH99" s="282"/>
      <c r="AI99" s="246"/>
      <c r="AK99" s="246"/>
      <c r="AL99" s="641" t="s">
        <v>419</v>
      </c>
      <c r="AM99" s="246"/>
      <c r="AN99" s="261"/>
      <c r="AO99" s="320"/>
      <c r="AP99" s="246"/>
      <c r="AQ99" s="282"/>
      <c r="AR99" s="246"/>
      <c r="AT99" s="254" t="str">
        <f t="shared" si="19"/>
        <v/>
      </c>
      <c r="AU99" s="269"/>
      <c r="AV99" s="269"/>
    </row>
    <row r="100">
      <c r="A100" s="94"/>
      <c r="B100" s="314" t="s">
        <v>660</v>
      </c>
      <c r="C100" s="315" t="s">
        <v>649</v>
      </c>
      <c r="D100" s="243"/>
      <c r="E100" s="259"/>
      <c r="F100" s="356" t="s">
        <v>423</v>
      </c>
      <c r="G100" s="246"/>
      <c r="H100" s="293" t="s">
        <v>416</v>
      </c>
      <c r="I100" s="246"/>
      <c r="J100" s="353" t="s">
        <v>421</v>
      </c>
      <c r="K100" s="246"/>
      <c r="L100" s="261"/>
      <c r="M100" s="316"/>
      <c r="N100" s="246"/>
      <c r="O100" s="293" t="s">
        <v>416</v>
      </c>
      <c r="P100" s="246"/>
      <c r="Q100" s="293" t="s">
        <v>424</v>
      </c>
      <c r="R100" s="246"/>
      <c r="S100" s="261"/>
      <c r="T100" s="316"/>
      <c r="U100" s="246"/>
      <c r="V100" s="293" t="s">
        <v>416</v>
      </c>
      <c r="W100" s="246"/>
      <c r="X100" s="293" t="s">
        <v>424</v>
      </c>
      <c r="Y100" s="246"/>
      <c r="Z100" s="261"/>
      <c r="AA100" s="316"/>
      <c r="AB100" s="246"/>
      <c r="AC100" s="293" t="s">
        <v>416</v>
      </c>
      <c r="AD100" s="246"/>
      <c r="AE100" s="353" t="s">
        <v>421</v>
      </c>
      <c r="AF100" s="246"/>
      <c r="AG100" s="261"/>
      <c r="AH100" s="506"/>
      <c r="AI100" s="246"/>
      <c r="AJ100" s="632" t="s">
        <v>423</v>
      </c>
      <c r="AK100" s="246"/>
      <c r="AL100" s="293" t="s">
        <v>424</v>
      </c>
      <c r="AM100" s="246"/>
      <c r="AN100" s="261"/>
      <c r="AO100" s="479"/>
      <c r="AP100" s="246"/>
      <c r="AQ100" s="293" t="s">
        <v>416</v>
      </c>
      <c r="AR100" s="246"/>
      <c r="AS100" s="353" t="s">
        <v>424</v>
      </c>
      <c r="AT100" s="254" t="str">
        <f t="shared" si="19"/>
        <v/>
      </c>
      <c r="AU100" s="269"/>
      <c r="AV100" s="269"/>
    </row>
    <row r="101">
      <c r="A101" s="94"/>
      <c r="B101" s="296" t="s">
        <v>650</v>
      </c>
      <c r="C101" s="297" t="s">
        <v>649</v>
      </c>
      <c r="D101" s="243"/>
      <c r="E101" s="259"/>
      <c r="F101" s="299"/>
      <c r="G101" s="298"/>
      <c r="H101" s="299"/>
      <c r="I101" s="298"/>
      <c r="J101" s="299"/>
      <c r="K101" s="298"/>
      <c r="L101" s="261"/>
      <c r="M101" s="250"/>
      <c r="N101" s="298"/>
      <c r="O101" s="300"/>
      <c r="P101" s="298"/>
      <c r="Q101" s="645" t="s">
        <v>417</v>
      </c>
      <c r="R101" s="298"/>
      <c r="S101" s="261"/>
      <c r="T101" s="250"/>
      <c r="U101" s="298"/>
      <c r="V101" s="300"/>
      <c r="W101" s="298"/>
      <c r="X101" s="356" t="s">
        <v>423</v>
      </c>
      <c r="Y101" s="298"/>
      <c r="Z101" s="261"/>
      <c r="AA101" s="250"/>
      <c r="AB101" s="298"/>
      <c r="AC101" s="300"/>
      <c r="AD101" s="298"/>
      <c r="AE101" s="293" t="s">
        <v>422</v>
      </c>
      <c r="AF101" s="298"/>
      <c r="AG101" s="261"/>
      <c r="AH101" s="317"/>
      <c r="AI101" s="298"/>
      <c r="AJ101" s="645" t="s">
        <v>417</v>
      </c>
      <c r="AK101" s="298"/>
      <c r="AL101" s="293" t="s">
        <v>426</v>
      </c>
      <c r="AM101" s="298"/>
      <c r="AN101" s="261"/>
      <c r="AO101" s="509"/>
      <c r="AP101" s="298"/>
      <c r="AQ101" s="299"/>
      <c r="AR101" s="298"/>
      <c r="AS101" s="299"/>
      <c r="AT101" s="254" t="str">
        <f>IF(COUNTIF($AO$80:$AT$82, AS102) &gt; 0, "X", "")</f>
        <v/>
      </c>
      <c r="AU101" s="269"/>
      <c r="AV101" s="269"/>
    </row>
    <row r="102">
      <c r="A102" s="94"/>
      <c r="B102" s="301" t="s">
        <v>651</v>
      </c>
      <c r="C102" s="302" t="s">
        <v>652</v>
      </c>
      <c r="D102" s="323"/>
      <c r="E102" s="259"/>
      <c r="F102" s="303"/>
      <c r="G102" s="298"/>
      <c r="H102" s="303"/>
      <c r="I102" s="298"/>
      <c r="J102" s="303"/>
      <c r="K102" s="298"/>
      <c r="L102" s="261"/>
      <c r="M102" s="250"/>
      <c r="N102" s="298"/>
      <c r="O102" s="303"/>
      <c r="P102" s="298"/>
      <c r="Q102" s="303"/>
      <c r="R102" s="298"/>
      <c r="S102" s="261"/>
      <c r="T102" s="250"/>
      <c r="U102" s="298"/>
      <c r="V102" s="303"/>
      <c r="W102" s="298"/>
      <c r="X102" s="303"/>
      <c r="Y102" s="298"/>
      <c r="Z102" s="261"/>
      <c r="AA102" s="250"/>
      <c r="AB102" s="298"/>
      <c r="AC102" s="303"/>
      <c r="AD102" s="298"/>
      <c r="AE102" s="303"/>
      <c r="AF102" s="298"/>
      <c r="AG102" s="261"/>
      <c r="AH102" s="320"/>
      <c r="AI102" s="298"/>
      <c r="AJ102" s="303"/>
      <c r="AK102" s="298"/>
      <c r="AL102" s="484"/>
      <c r="AM102" s="298"/>
      <c r="AN102" s="261"/>
      <c r="AO102" s="320"/>
      <c r="AP102" s="298"/>
      <c r="AQ102" s="303"/>
      <c r="AR102" s="298"/>
      <c r="AS102" s="303"/>
      <c r="AT102" s="254" t="str">
        <f t="shared" ref="AT102:AT103" si="20">IF(COUNTIF($AO$80:$AT$82, #REF!) &gt; 0, "X", "")</f>
        <v/>
      </c>
      <c r="AU102" s="269"/>
      <c r="AV102" s="269"/>
    </row>
    <row r="103">
      <c r="A103" s="94"/>
      <c r="B103" s="322" t="s">
        <v>662</v>
      </c>
      <c r="C103" s="306" t="s">
        <v>663</v>
      </c>
      <c r="D103" s="330"/>
      <c r="E103" s="259"/>
      <c r="F103" s="307"/>
      <c r="G103" s="298"/>
      <c r="H103" s="307"/>
      <c r="I103" s="298"/>
      <c r="J103" s="395" t="s">
        <v>414</v>
      </c>
      <c r="K103" s="298"/>
      <c r="L103" s="261"/>
      <c r="M103" s="324"/>
      <c r="N103" s="298"/>
      <c r="O103" s="309" t="s">
        <v>409</v>
      </c>
      <c r="P103" s="298"/>
      <c r="Q103" s="309" t="s">
        <v>415</v>
      </c>
      <c r="R103" s="298"/>
      <c r="S103" s="261"/>
      <c r="T103" s="324"/>
      <c r="U103" s="298"/>
      <c r="V103" s="307"/>
      <c r="W103" s="298"/>
      <c r="X103" s="309" t="s">
        <v>409</v>
      </c>
      <c r="Y103" s="298"/>
      <c r="Z103" s="261"/>
      <c r="AA103" s="324"/>
      <c r="AB103" s="298"/>
      <c r="AC103" s="307"/>
      <c r="AD103" s="298"/>
      <c r="AE103" s="309" t="s">
        <v>409</v>
      </c>
      <c r="AF103" s="298"/>
      <c r="AG103" s="261"/>
      <c r="AH103" s="317"/>
      <c r="AI103" s="298"/>
      <c r="AJ103" s="307"/>
      <c r="AK103" s="298"/>
      <c r="AL103" s="395" t="s">
        <v>414</v>
      </c>
      <c r="AM103" s="298"/>
      <c r="AN103" s="261"/>
      <c r="AO103" s="317"/>
      <c r="AP103" s="298"/>
      <c r="AQ103" s="307"/>
      <c r="AR103" s="298"/>
      <c r="AS103" s="307"/>
      <c r="AT103" s="254" t="str">
        <f t="shared" si="20"/>
        <v/>
      </c>
      <c r="AU103" s="269"/>
      <c r="AV103" s="269"/>
    </row>
    <row r="104">
      <c r="A104" s="94"/>
      <c r="B104" s="328" t="s">
        <v>665</v>
      </c>
      <c r="C104" s="329" t="s">
        <v>654</v>
      </c>
      <c r="D104" s="330"/>
      <c r="E104" s="259"/>
      <c r="G104" s="246"/>
      <c r="H104" s="348" t="s">
        <v>855</v>
      </c>
      <c r="I104" s="246"/>
      <c r="J104" s="325" t="s">
        <v>666</v>
      </c>
      <c r="K104" s="246"/>
      <c r="L104" s="261"/>
      <c r="M104" s="333"/>
      <c r="N104" s="246"/>
      <c r="O104" s="274" t="s">
        <v>439</v>
      </c>
      <c r="P104" s="246"/>
      <c r="Q104" s="274" t="s">
        <v>449</v>
      </c>
      <c r="R104" s="246"/>
      <c r="S104" s="261"/>
      <c r="T104" s="333"/>
      <c r="U104" s="246"/>
      <c r="V104" s="274" t="s">
        <v>458</v>
      </c>
      <c r="W104" s="246"/>
      <c r="X104" s="311" t="s">
        <v>434</v>
      </c>
      <c r="Y104" s="246"/>
      <c r="Z104" s="261"/>
      <c r="AA104" s="333"/>
      <c r="AB104" s="246"/>
      <c r="AC104" s="274" t="s">
        <v>458</v>
      </c>
      <c r="AD104" s="246"/>
      <c r="AE104" s="274" t="s">
        <v>443</v>
      </c>
      <c r="AF104" s="246"/>
      <c r="AG104" s="261"/>
      <c r="AH104" s="506"/>
      <c r="AI104" s="246"/>
      <c r="AJ104" s="274" t="s">
        <v>439</v>
      </c>
      <c r="AK104" s="246"/>
      <c r="AL104" s="311" t="s">
        <v>434</v>
      </c>
      <c r="AM104" s="246"/>
      <c r="AN104" s="261"/>
      <c r="AO104" s="320"/>
      <c r="AP104" s="246"/>
      <c r="AQ104" s="274" t="s">
        <v>458</v>
      </c>
      <c r="AR104" s="246"/>
      <c r="AS104" s="274" t="s">
        <v>449</v>
      </c>
      <c r="AT104" s="254" t="str">
        <f>IF(COUNTIF($AO$80:$AT$82, AH112) &gt; 0, "X", "")</f>
        <v/>
      </c>
      <c r="AU104" s="269"/>
      <c r="AV104" s="269"/>
    </row>
    <row r="105">
      <c r="A105" s="94"/>
      <c r="B105" s="337" t="s">
        <v>665</v>
      </c>
      <c r="C105" s="338" t="s">
        <v>657</v>
      </c>
      <c r="D105" s="330"/>
      <c r="E105" s="259"/>
      <c r="F105" s="274" t="s">
        <v>448</v>
      </c>
      <c r="G105" s="246"/>
      <c r="H105" s="311" t="s">
        <v>459</v>
      </c>
      <c r="I105" s="246"/>
      <c r="J105" s="274" t="s">
        <v>439</v>
      </c>
      <c r="K105" s="246"/>
      <c r="L105" s="261"/>
      <c r="M105" s="324"/>
      <c r="N105" s="246"/>
      <c r="P105" s="246"/>
      <c r="Q105" s="311" t="s">
        <v>434</v>
      </c>
      <c r="R105" s="246"/>
      <c r="S105" s="261"/>
      <c r="T105" s="324"/>
      <c r="U105" s="246"/>
      <c r="V105" s="311" t="s">
        <v>459</v>
      </c>
      <c r="W105" s="246"/>
      <c r="X105" s="274" t="s">
        <v>443</v>
      </c>
      <c r="Y105" s="246"/>
      <c r="Z105" s="261"/>
      <c r="AA105" s="324"/>
      <c r="AB105" s="246"/>
      <c r="AC105" s="274" t="s">
        <v>439</v>
      </c>
      <c r="AD105" s="246"/>
      <c r="AE105" s="339" t="s">
        <v>468</v>
      </c>
      <c r="AF105" s="246"/>
      <c r="AG105" s="261"/>
      <c r="AH105" s="506"/>
      <c r="AI105" s="246"/>
      <c r="AJ105" s="311" t="s">
        <v>459</v>
      </c>
      <c r="AK105" s="246"/>
      <c r="AL105" s="274" t="s">
        <v>443</v>
      </c>
      <c r="AM105" s="246"/>
      <c r="AN105" s="261"/>
      <c r="AO105" s="320"/>
      <c r="AP105" s="246"/>
      <c r="AQ105" s="311" t="s">
        <v>459</v>
      </c>
      <c r="AR105" s="246"/>
      <c r="AS105" s="339" t="s">
        <v>447</v>
      </c>
      <c r="AT105" s="254" t="str">
        <f t="shared" ref="AT105:AT109" si="21">IF(COUNTIF($AO$80:$AT$82, #REF!) &gt; 0, "X", "")</f>
        <v/>
      </c>
      <c r="AU105" s="269"/>
      <c r="AV105" s="269"/>
    </row>
    <row r="106">
      <c r="A106" s="94"/>
      <c r="B106" s="256" t="s">
        <v>665</v>
      </c>
      <c r="C106" s="257" t="s">
        <v>663</v>
      </c>
      <c r="D106" s="330"/>
      <c r="E106" s="259"/>
      <c r="G106" s="246"/>
      <c r="I106" s="246"/>
      <c r="J106" s="274" t="s">
        <v>409</v>
      </c>
      <c r="K106" s="246"/>
      <c r="L106" s="261"/>
      <c r="M106" s="341"/>
      <c r="N106" s="246"/>
      <c r="P106" s="246"/>
      <c r="Q106" s="274" t="s">
        <v>443</v>
      </c>
      <c r="R106" s="246"/>
      <c r="S106" s="261"/>
      <c r="T106" s="341"/>
      <c r="U106" s="246"/>
      <c r="W106" s="246"/>
      <c r="X106" s="339" t="s">
        <v>468</v>
      </c>
      <c r="Y106" s="246"/>
      <c r="Z106" s="261"/>
      <c r="AA106" s="341"/>
      <c r="AB106" s="246"/>
      <c r="AD106" s="246"/>
      <c r="AF106" s="246"/>
      <c r="AG106" s="261"/>
      <c r="AH106" s="506"/>
      <c r="AI106" s="246"/>
      <c r="AJ106" s="336" t="s">
        <v>398</v>
      </c>
      <c r="AK106" s="246"/>
      <c r="AL106" s="339" t="s">
        <v>468</v>
      </c>
      <c r="AM106" s="246"/>
      <c r="AN106" s="261"/>
      <c r="AO106" s="320"/>
      <c r="AP106" s="246"/>
      <c r="AR106" s="246"/>
      <c r="AS106" s="274" t="s">
        <v>443</v>
      </c>
      <c r="AT106" s="254" t="str">
        <f t="shared" si="21"/>
        <v/>
      </c>
      <c r="AU106" s="269"/>
      <c r="AV106" s="269"/>
    </row>
    <row r="107">
      <c r="A107" s="94"/>
      <c r="B107" s="328" t="s">
        <v>665</v>
      </c>
      <c r="C107" s="329" t="s">
        <v>645</v>
      </c>
      <c r="D107" s="323"/>
      <c r="E107" s="261"/>
      <c r="F107" s="274" t="s">
        <v>415</v>
      </c>
      <c r="G107" s="246"/>
      <c r="H107" s="283" t="s">
        <v>450</v>
      </c>
      <c r="I107" s="246"/>
      <c r="J107" s="339" t="s">
        <v>468</v>
      </c>
      <c r="K107" s="246"/>
      <c r="L107" s="261"/>
      <c r="M107" s="341"/>
      <c r="N107" s="246"/>
      <c r="O107" s="283" t="s">
        <v>450</v>
      </c>
      <c r="P107" s="246"/>
      <c r="Q107" s="274" t="s">
        <v>448</v>
      </c>
      <c r="R107" s="246"/>
      <c r="S107" s="261"/>
      <c r="T107" s="341"/>
      <c r="U107" s="246"/>
      <c r="V107" s="283" t="s">
        <v>450</v>
      </c>
      <c r="W107" s="246"/>
      <c r="X107" s="274" t="s">
        <v>448</v>
      </c>
      <c r="Y107" s="246"/>
      <c r="Z107" s="261"/>
      <c r="AA107" s="341"/>
      <c r="AB107" s="246"/>
      <c r="AC107" s="283" t="s">
        <v>450</v>
      </c>
      <c r="AD107" s="246"/>
      <c r="AE107" s="274" t="s">
        <v>415</v>
      </c>
      <c r="AF107" s="246"/>
      <c r="AG107" s="261"/>
      <c r="AH107" s="506"/>
      <c r="AI107" s="246"/>
      <c r="AJ107" s="283" t="s">
        <v>450</v>
      </c>
      <c r="AK107" s="246"/>
      <c r="AL107" s="274" t="s">
        <v>448</v>
      </c>
      <c r="AM107" s="246"/>
      <c r="AN107" s="261"/>
      <c r="AO107" s="320"/>
      <c r="AP107" s="246"/>
      <c r="AQ107" s="274" t="s">
        <v>448</v>
      </c>
      <c r="AR107" s="246"/>
      <c r="AS107" s="274" t="s">
        <v>415</v>
      </c>
      <c r="AT107" s="254" t="str">
        <f t="shared" si="21"/>
        <v/>
      </c>
      <c r="AU107" s="269"/>
      <c r="AV107" s="269"/>
    </row>
    <row r="108">
      <c r="A108" s="94"/>
      <c r="B108" s="342" t="s">
        <v>667</v>
      </c>
      <c r="C108" s="343" t="s">
        <v>657</v>
      </c>
      <c r="D108" s="351"/>
      <c r="E108" s="259"/>
      <c r="F108" s="345" t="s">
        <v>401</v>
      </c>
      <c r="G108" s="246"/>
      <c r="H108" s="282"/>
      <c r="I108" s="246"/>
      <c r="K108" s="246"/>
      <c r="L108" s="261"/>
      <c r="M108" s="346"/>
      <c r="N108" s="246"/>
      <c r="O108" s="345" t="s">
        <v>401</v>
      </c>
      <c r="P108" s="246"/>
      <c r="R108" s="246"/>
      <c r="S108" s="261"/>
      <c r="T108" s="346"/>
      <c r="U108" s="246"/>
      <c r="V108" s="347" t="s">
        <v>401</v>
      </c>
      <c r="W108" s="246"/>
      <c r="Y108" s="246"/>
      <c r="Z108" s="261"/>
      <c r="AA108" s="346"/>
      <c r="AB108" s="246"/>
      <c r="AC108" s="347" t="s">
        <v>401</v>
      </c>
      <c r="AD108" s="246"/>
      <c r="AF108" s="246"/>
      <c r="AG108" s="261"/>
      <c r="AH108" s="347" t="s">
        <v>401</v>
      </c>
      <c r="AI108" s="246"/>
      <c r="AK108" s="246"/>
      <c r="AL108" s="274" t="s">
        <v>409</v>
      </c>
      <c r="AM108" s="246"/>
      <c r="AN108" s="261"/>
      <c r="AO108" s="320"/>
      <c r="AP108" s="246"/>
      <c r="AQ108" s="347" t="s">
        <v>401</v>
      </c>
      <c r="AR108" s="246"/>
      <c r="AT108" s="254" t="str">
        <f t="shared" si="21"/>
        <v/>
      </c>
      <c r="AU108" s="269"/>
      <c r="AV108" s="269"/>
    </row>
    <row r="109">
      <c r="A109" s="94"/>
      <c r="B109" s="349" t="s">
        <v>669</v>
      </c>
      <c r="C109" s="350" t="s">
        <v>649</v>
      </c>
      <c r="D109" s="323"/>
      <c r="E109" s="259"/>
      <c r="F109" s="353" t="s">
        <v>426</v>
      </c>
      <c r="G109" s="246"/>
      <c r="H109" s="633" t="s">
        <v>420</v>
      </c>
      <c r="I109" s="246"/>
      <c r="J109" s="293" t="s">
        <v>422</v>
      </c>
      <c r="K109" s="246"/>
      <c r="L109" s="261"/>
      <c r="M109" s="354"/>
      <c r="N109" s="246"/>
      <c r="O109" s="633" t="s">
        <v>670</v>
      </c>
      <c r="P109" s="246"/>
      <c r="Q109" s="356" t="s">
        <v>423</v>
      </c>
      <c r="R109" s="246"/>
      <c r="S109" s="261"/>
      <c r="T109" s="354"/>
      <c r="U109" s="246"/>
      <c r="V109" s="645" t="s">
        <v>417</v>
      </c>
      <c r="W109" s="246"/>
      <c r="X109" s="355" t="s">
        <v>670</v>
      </c>
      <c r="Y109" s="246"/>
      <c r="Z109" s="261"/>
      <c r="AA109" s="354"/>
      <c r="AB109" s="246"/>
      <c r="AC109" s="633" t="s">
        <v>420</v>
      </c>
      <c r="AD109" s="246"/>
      <c r="AE109" s="353" t="s">
        <v>424</v>
      </c>
      <c r="AF109" s="246"/>
      <c r="AG109" s="261"/>
      <c r="AH109" s="293" t="s">
        <v>422</v>
      </c>
      <c r="AI109" s="246"/>
      <c r="AJ109" s="633" t="s">
        <v>420</v>
      </c>
      <c r="AK109" s="246"/>
      <c r="AL109" s="353" t="s">
        <v>421</v>
      </c>
      <c r="AM109" s="246"/>
      <c r="AN109" s="261"/>
      <c r="AO109" s="320"/>
      <c r="AP109" s="246"/>
      <c r="AQ109" s="645" t="s">
        <v>417</v>
      </c>
      <c r="AR109" s="246"/>
      <c r="AS109" s="293" t="s">
        <v>422</v>
      </c>
      <c r="AT109" s="254" t="str">
        <f t="shared" si="21"/>
        <v/>
      </c>
      <c r="AU109" s="269"/>
      <c r="AV109" s="269"/>
    </row>
    <row r="110">
      <c r="A110" s="234"/>
      <c r="B110" s="296" t="s">
        <v>650</v>
      </c>
      <c r="C110" s="297" t="s">
        <v>649</v>
      </c>
      <c r="D110" s="330"/>
      <c r="E110" s="259"/>
      <c r="F110" s="299"/>
      <c r="G110" s="298"/>
      <c r="H110" s="299"/>
      <c r="I110" s="298"/>
      <c r="J110" s="299"/>
      <c r="K110" s="298"/>
      <c r="L110" s="261"/>
      <c r="M110" s="324"/>
      <c r="N110" s="298"/>
      <c r="O110" s="293" t="s">
        <v>426</v>
      </c>
      <c r="P110" s="298"/>
      <c r="Q110" s="299"/>
      <c r="R110" s="298"/>
      <c r="S110" s="261"/>
      <c r="T110" s="324"/>
      <c r="U110" s="298"/>
      <c r="V110" s="517" t="s">
        <v>397</v>
      </c>
      <c r="W110" s="298"/>
      <c r="X110" s="293" t="s">
        <v>426</v>
      </c>
      <c r="Y110" s="298"/>
      <c r="Z110" s="261"/>
      <c r="AA110" s="324"/>
      <c r="AB110" s="298"/>
      <c r="AC110" s="253" t="s">
        <v>417</v>
      </c>
      <c r="AD110" s="298"/>
      <c r="AE110" s="632" t="s">
        <v>423</v>
      </c>
      <c r="AF110" s="298"/>
      <c r="AG110" s="261"/>
      <c r="AH110" s="300"/>
      <c r="AI110" s="298"/>
      <c r="AJ110" s="517" t="s">
        <v>397</v>
      </c>
      <c r="AK110" s="298"/>
      <c r="AL110" s="300"/>
      <c r="AM110" s="298"/>
      <c r="AN110" s="261"/>
      <c r="AO110" s="320"/>
      <c r="AP110" s="298"/>
      <c r="AQ110" s="517" t="s">
        <v>397</v>
      </c>
      <c r="AR110" s="298"/>
      <c r="AS110" s="299"/>
      <c r="AT110" s="254" t="str">
        <f>IF(COUNTIF($AO$80:$AT$82, AO111) &gt; 0, "X", "")</f>
        <v/>
      </c>
      <c r="AU110" s="269"/>
      <c r="AV110" s="269"/>
    </row>
    <row r="111">
      <c r="A111" s="94"/>
      <c r="B111" s="301" t="s">
        <v>651</v>
      </c>
      <c r="C111" s="302" t="s">
        <v>652</v>
      </c>
      <c r="D111" s="363"/>
      <c r="E111" s="259"/>
      <c r="F111" s="303"/>
      <c r="G111" s="298"/>
      <c r="H111" s="304"/>
      <c r="I111" s="298"/>
      <c r="J111" s="484"/>
      <c r="K111" s="298"/>
      <c r="L111" s="261"/>
      <c r="M111" s="250"/>
      <c r="N111" s="298"/>
      <c r="O111" s="303"/>
      <c r="P111" s="298"/>
      <c r="Q111" s="303"/>
      <c r="R111" s="298"/>
      <c r="S111" s="261"/>
      <c r="T111" s="250"/>
      <c r="U111" s="298"/>
      <c r="V111" s="304"/>
      <c r="W111" s="298"/>
      <c r="X111" s="484"/>
      <c r="Y111" s="298"/>
      <c r="Z111" s="261"/>
      <c r="AA111" s="250"/>
      <c r="AB111" s="298"/>
      <c r="AC111" s="303"/>
      <c r="AD111" s="298"/>
      <c r="AE111" s="303"/>
      <c r="AF111" s="298"/>
      <c r="AG111" s="261"/>
      <c r="AH111" s="304"/>
      <c r="AI111" s="298"/>
      <c r="AJ111" s="304"/>
      <c r="AK111" s="298"/>
      <c r="AL111" s="303"/>
      <c r="AM111" s="298"/>
      <c r="AN111" s="261"/>
      <c r="AO111" s="320"/>
      <c r="AP111" s="298"/>
      <c r="AQ111" s="303"/>
      <c r="AR111" s="298"/>
      <c r="AS111" s="303"/>
      <c r="AT111" s="254" t="str">
        <f t="shared" ref="AT111:AT112" si="22">IF(COUNTIF($AO$80:$AT$82, #REF!) &gt; 0, "X", "")</f>
        <v/>
      </c>
      <c r="AU111" s="269"/>
      <c r="AV111" s="269"/>
    </row>
    <row r="112">
      <c r="A112" s="94"/>
      <c r="B112" s="361" t="s">
        <v>673</v>
      </c>
      <c r="C112" s="362" t="s">
        <v>674</v>
      </c>
      <c r="D112" s="369"/>
      <c r="E112" s="259"/>
      <c r="F112" s="274" t="s">
        <v>443</v>
      </c>
      <c r="G112" s="298"/>
      <c r="H112" s="366" t="s">
        <v>676</v>
      </c>
      <c r="I112" s="298"/>
      <c r="J112" s="280" t="s">
        <v>433</v>
      </c>
      <c r="K112" s="298"/>
      <c r="L112" s="261"/>
      <c r="M112" s="324"/>
      <c r="N112" s="298"/>
      <c r="O112" s="336" t="s">
        <v>412</v>
      </c>
      <c r="P112" s="298"/>
      <c r="Q112" s="366" t="s">
        <v>676</v>
      </c>
      <c r="R112" s="298"/>
      <c r="S112" s="261"/>
      <c r="T112" s="324"/>
      <c r="U112" s="298"/>
      <c r="V112" s="251" t="s">
        <v>412</v>
      </c>
      <c r="W112" s="298"/>
      <c r="X112" s="251" t="s">
        <v>457</v>
      </c>
      <c r="Y112" s="298"/>
      <c r="Z112" s="261"/>
      <c r="AA112" s="324"/>
      <c r="AB112" s="298"/>
      <c r="AC112" s="251" t="s">
        <v>412</v>
      </c>
      <c r="AD112" s="298"/>
      <c r="AE112" s="251" t="s">
        <v>457</v>
      </c>
      <c r="AF112" s="298"/>
      <c r="AG112" s="261"/>
      <c r="AH112" s="274" t="s">
        <v>433</v>
      </c>
      <c r="AI112" s="298"/>
      <c r="AJ112" s="251" t="s">
        <v>412</v>
      </c>
      <c r="AK112" s="298"/>
      <c r="AL112" s="251" t="s">
        <v>457</v>
      </c>
      <c r="AM112" s="298"/>
      <c r="AN112" s="261"/>
      <c r="AO112" s="320"/>
      <c r="AP112" s="298"/>
      <c r="AQ112" s="336" t="s">
        <v>398</v>
      </c>
      <c r="AR112" s="298"/>
      <c r="AS112" s="366" t="s">
        <v>676</v>
      </c>
      <c r="AT112" s="254" t="str">
        <f t="shared" si="22"/>
        <v/>
      </c>
      <c r="AU112" s="269"/>
      <c r="AV112" s="269"/>
    </row>
    <row r="113">
      <c r="A113" s="94"/>
      <c r="B113" s="367" t="s">
        <v>677</v>
      </c>
      <c r="C113" s="368" t="s">
        <v>674</v>
      </c>
      <c r="D113" s="330"/>
      <c r="E113" s="259"/>
      <c r="G113" s="246"/>
      <c r="H113" s="532" t="s">
        <v>675</v>
      </c>
      <c r="I113" s="246"/>
      <c r="J113" s="282"/>
      <c r="K113" s="246"/>
      <c r="L113" s="261"/>
      <c r="M113" s="250"/>
      <c r="N113" s="246"/>
      <c r="O113" s="311" t="s">
        <v>394</v>
      </c>
      <c r="P113" s="246"/>
      <c r="R113" s="246"/>
      <c r="S113" s="261"/>
      <c r="T113" s="250"/>
      <c r="U113" s="246"/>
      <c r="V113" s="282"/>
      <c r="W113" s="246"/>
      <c r="Y113" s="246"/>
      <c r="Z113" s="261"/>
      <c r="AA113" s="250"/>
      <c r="AB113" s="246"/>
      <c r="AC113" s="282"/>
      <c r="AD113" s="246"/>
      <c r="AE113" s="282"/>
      <c r="AF113" s="246"/>
      <c r="AG113" s="261"/>
      <c r="AH113" s="282"/>
      <c r="AI113" s="246"/>
      <c r="AJ113" s="282"/>
      <c r="AK113" s="246"/>
      <c r="AL113" s="282"/>
      <c r="AM113" s="246"/>
      <c r="AN113" s="261"/>
      <c r="AO113" s="320"/>
      <c r="AP113" s="246"/>
      <c r="AQ113" s="282"/>
      <c r="AR113" s="246"/>
      <c r="AT113" s="254" t="str">
        <f>IF(COUNTIF($AO$80:$AT$82, AO113) &gt; 0, "X", "")</f>
        <v/>
      </c>
      <c r="AU113" s="269"/>
      <c r="AV113" s="269"/>
    </row>
    <row r="114">
      <c r="A114" s="94"/>
      <c r="B114" s="256" t="s">
        <v>679</v>
      </c>
      <c r="C114" s="257" t="s">
        <v>680</v>
      </c>
      <c r="D114" s="330"/>
      <c r="E114" s="259"/>
      <c r="F114" s="311" t="s">
        <v>393</v>
      </c>
      <c r="G114" s="246"/>
      <c r="H114" s="374" t="s">
        <v>407</v>
      </c>
      <c r="I114" s="246"/>
      <c r="J114" s="348" t="s">
        <v>682</v>
      </c>
      <c r="K114" s="246"/>
      <c r="L114" s="261"/>
      <c r="M114" s="333"/>
      <c r="N114" s="246"/>
      <c r="O114" s="374" t="s">
        <v>436</v>
      </c>
      <c r="P114" s="246"/>
      <c r="Q114" s="280" t="s">
        <v>433</v>
      </c>
      <c r="R114" s="246"/>
      <c r="S114" s="261"/>
      <c r="T114" s="333"/>
      <c r="U114" s="246"/>
      <c r="V114" s="374" t="s">
        <v>436</v>
      </c>
      <c r="W114" s="246"/>
      <c r="X114" s="280" t="s">
        <v>433</v>
      </c>
      <c r="Y114" s="246"/>
      <c r="Z114" s="261"/>
      <c r="AA114" s="333"/>
      <c r="AB114" s="246"/>
      <c r="AC114" s="374" t="s">
        <v>436</v>
      </c>
      <c r="AD114" s="246"/>
      <c r="AE114" s="280" t="s">
        <v>433</v>
      </c>
      <c r="AF114" s="246"/>
      <c r="AG114" s="261"/>
      <c r="AH114" s="311" t="s">
        <v>393</v>
      </c>
      <c r="AI114" s="246"/>
      <c r="AJ114" s="374" t="s">
        <v>436</v>
      </c>
      <c r="AK114" s="246"/>
      <c r="AL114" s="274" t="s">
        <v>437</v>
      </c>
      <c r="AM114" s="246"/>
      <c r="AN114" s="261"/>
      <c r="AO114" s="320"/>
      <c r="AP114" s="246"/>
      <c r="AQ114" s="274" t="s">
        <v>406</v>
      </c>
      <c r="AR114" s="246"/>
      <c r="AS114" s="274" t="s">
        <v>437</v>
      </c>
      <c r="AT114" s="254" t="str">
        <f t="shared" ref="AT114:AT118" si="23">IF(COUNTIF($AO$80:$AT$82, #REF!) &gt; 0, "X", "")</f>
        <v/>
      </c>
      <c r="AU114" s="269"/>
      <c r="AV114" s="269"/>
    </row>
    <row r="115">
      <c r="A115" s="372"/>
      <c r="B115" s="328" t="s">
        <v>679</v>
      </c>
      <c r="C115" s="329" t="s">
        <v>652</v>
      </c>
      <c r="D115" s="330"/>
      <c r="E115" s="259"/>
      <c r="F115" s="282"/>
      <c r="G115" s="246"/>
      <c r="H115" s="586" t="s">
        <v>397</v>
      </c>
      <c r="I115" s="246"/>
      <c r="K115" s="246"/>
      <c r="L115" s="261"/>
      <c r="M115" s="346"/>
      <c r="N115" s="246"/>
      <c r="O115" s="336" t="s">
        <v>398</v>
      </c>
      <c r="P115" s="246"/>
      <c r="Q115" s="339" t="s">
        <v>468</v>
      </c>
      <c r="R115" s="246"/>
      <c r="S115" s="261"/>
      <c r="T115" s="346"/>
      <c r="U115" s="246"/>
      <c r="W115" s="246"/>
      <c r="X115" s="311" t="s">
        <v>455</v>
      </c>
      <c r="Y115" s="246"/>
      <c r="Z115" s="261"/>
      <c r="AA115" s="346"/>
      <c r="AB115" s="246"/>
      <c r="AC115" s="274" t="s">
        <v>406</v>
      </c>
      <c r="AD115" s="246"/>
      <c r="AE115" s="370" t="s">
        <v>678</v>
      </c>
      <c r="AF115" s="246"/>
      <c r="AG115" s="261"/>
      <c r="AH115" s="282"/>
      <c r="AI115" s="246"/>
      <c r="AK115" s="246"/>
      <c r="AM115" s="246"/>
      <c r="AN115" s="261"/>
      <c r="AO115" s="320"/>
      <c r="AP115" s="246"/>
      <c r="AR115" s="246"/>
      <c r="AT115" s="254" t="str">
        <f t="shared" si="23"/>
        <v/>
      </c>
      <c r="AU115" s="269"/>
      <c r="AV115" s="269"/>
    </row>
    <row r="116">
      <c r="A116" s="94"/>
      <c r="B116" s="328" t="s">
        <v>679</v>
      </c>
      <c r="C116" s="329" t="s">
        <v>683</v>
      </c>
      <c r="D116" s="379"/>
      <c r="E116" s="380"/>
      <c r="F116" s="376" t="s">
        <v>453</v>
      </c>
      <c r="G116" s="246"/>
      <c r="I116" s="246"/>
      <c r="J116" s="311" t="s">
        <v>455</v>
      </c>
      <c r="K116" s="246"/>
      <c r="L116" s="261"/>
      <c r="M116" s="341"/>
      <c r="N116" s="246"/>
      <c r="O116" s="274" t="s">
        <v>406</v>
      </c>
      <c r="P116" s="246"/>
      <c r="Q116" s="311" t="s">
        <v>455</v>
      </c>
      <c r="R116" s="246"/>
      <c r="S116" s="261"/>
      <c r="T116" s="341"/>
      <c r="U116" s="246"/>
      <c r="V116" s="366" t="s">
        <v>676</v>
      </c>
      <c r="W116" s="246"/>
      <c r="X116" s="274" t="s">
        <v>439</v>
      </c>
      <c r="Y116" s="246"/>
      <c r="Z116" s="261"/>
      <c r="AA116" s="341"/>
      <c r="AB116" s="246"/>
      <c r="AC116" s="251" t="s">
        <v>398</v>
      </c>
      <c r="AD116" s="246"/>
      <c r="AE116" s="311" t="s">
        <v>455</v>
      </c>
      <c r="AF116" s="246"/>
      <c r="AG116" s="261"/>
      <c r="AI116" s="246"/>
      <c r="AJ116" s="374" t="s">
        <v>407</v>
      </c>
      <c r="AK116" s="246"/>
      <c r="AL116" s="311" t="s">
        <v>466</v>
      </c>
      <c r="AM116" s="246"/>
      <c r="AN116" s="261"/>
      <c r="AO116" s="320"/>
      <c r="AP116" s="246"/>
      <c r="AQ116" s="374" t="s">
        <v>436</v>
      </c>
      <c r="AR116" s="246"/>
      <c r="AS116" s="251" t="s">
        <v>457</v>
      </c>
      <c r="AT116" s="254" t="str">
        <f t="shared" si="23"/>
        <v/>
      </c>
      <c r="AU116" s="269"/>
      <c r="AV116" s="269"/>
    </row>
    <row r="117">
      <c r="A117" s="94"/>
      <c r="B117" s="377" t="s">
        <v>684</v>
      </c>
      <c r="C117" s="378" t="s">
        <v>685</v>
      </c>
      <c r="D117" s="363"/>
      <c r="E117" s="259"/>
      <c r="F117" s="311" t="s">
        <v>410</v>
      </c>
      <c r="G117" s="246"/>
      <c r="H117" s="274" t="s">
        <v>406</v>
      </c>
      <c r="I117" s="246"/>
      <c r="J117" s="251" t="s">
        <v>405</v>
      </c>
      <c r="K117" s="246"/>
      <c r="L117" s="381"/>
      <c r="M117" s="341"/>
      <c r="N117" s="246"/>
      <c r="P117" s="246"/>
      <c r="Q117" s="282"/>
      <c r="R117" s="246"/>
      <c r="S117" s="381"/>
      <c r="T117" s="341"/>
      <c r="U117" s="246"/>
      <c r="W117" s="246"/>
      <c r="Y117" s="246"/>
      <c r="Z117" s="381"/>
      <c r="AA117" s="341"/>
      <c r="AB117" s="246"/>
      <c r="AD117" s="246"/>
      <c r="AF117" s="246"/>
      <c r="AG117" s="381"/>
      <c r="AH117" s="376" t="s">
        <v>453</v>
      </c>
      <c r="AI117" s="246"/>
      <c r="AJ117" s="376"/>
      <c r="AK117" s="246"/>
      <c r="AM117" s="246"/>
      <c r="AN117" s="381"/>
      <c r="AO117" s="320"/>
      <c r="AP117" s="246"/>
      <c r="AQ117" s="282"/>
      <c r="AR117" s="246"/>
      <c r="AT117" s="254" t="str">
        <f t="shared" si="23"/>
        <v/>
      </c>
      <c r="AU117" s="269"/>
      <c r="AV117" s="269"/>
    </row>
    <row r="118">
      <c r="A118" s="270"/>
      <c r="B118" s="382" t="s">
        <v>686</v>
      </c>
      <c r="C118" s="242" t="s">
        <v>652</v>
      </c>
      <c r="D118" s="330"/>
      <c r="E118" s="259"/>
      <c r="F118" s="376" t="s">
        <v>466</v>
      </c>
      <c r="G118" s="246"/>
      <c r="H118" s="280" t="s">
        <v>435</v>
      </c>
      <c r="I118" s="246"/>
      <c r="J118" s="251" t="s">
        <v>429</v>
      </c>
      <c r="K118" s="246"/>
      <c r="L118" s="261"/>
      <c r="M118" s="341"/>
      <c r="N118" s="246"/>
      <c r="O118" s="365" t="s">
        <v>435</v>
      </c>
      <c r="P118" s="246"/>
      <c r="Q118" s="251" t="s">
        <v>429</v>
      </c>
      <c r="R118" s="246"/>
      <c r="S118" s="261"/>
      <c r="T118" s="341"/>
      <c r="U118" s="246"/>
      <c r="V118" s="251" t="s">
        <v>435</v>
      </c>
      <c r="W118" s="246"/>
      <c r="X118" s="376" t="s">
        <v>453</v>
      </c>
      <c r="Y118" s="246"/>
      <c r="Z118" s="261"/>
      <c r="AA118" s="341"/>
      <c r="AB118" s="246"/>
      <c r="AC118" s="383" t="s">
        <v>428</v>
      </c>
      <c r="AD118" s="246"/>
      <c r="AE118" s="251" t="s">
        <v>429</v>
      </c>
      <c r="AF118" s="246"/>
      <c r="AG118" s="261"/>
      <c r="AH118" s="251" t="s">
        <v>429</v>
      </c>
      <c r="AI118" s="246"/>
      <c r="AJ118" s="280" t="s">
        <v>435</v>
      </c>
      <c r="AK118" s="246"/>
      <c r="AL118" s="311" t="s">
        <v>455</v>
      </c>
      <c r="AM118" s="246"/>
      <c r="AN118" s="261"/>
      <c r="AO118" s="320"/>
      <c r="AP118" s="246"/>
      <c r="AQ118" s="274" t="s">
        <v>435</v>
      </c>
      <c r="AR118" s="246"/>
      <c r="AS118" s="311" t="s">
        <v>466</v>
      </c>
      <c r="AT118" s="254" t="str">
        <f t="shared" si="23"/>
        <v/>
      </c>
      <c r="AU118" s="269"/>
      <c r="AV118" s="269"/>
    </row>
    <row r="119">
      <c r="A119" s="234"/>
      <c r="B119" s="337" t="s">
        <v>686</v>
      </c>
      <c r="C119" s="338" t="s">
        <v>687</v>
      </c>
      <c r="D119" s="330"/>
      <c r="E119" s="259"/>
      <c r="F119" s="282"/>
      <c r="G119" s="246"/>
      <c r="H119" s="383" t="s">
        <v>428</v>
      </c>
      <c r="I119" s="246"/>
      <c r="K119" s="246"/>
      <c r="L119" s="261"/>
      <c r="M119" s="250"/>
      <c r="N119" s="246"/>
      <c r="O119" s="311" t="s">
        <v>466</v>
      </c>
      <c r="P119" s="246"/>
      <c r="Q119" s="376" t="s">
        <v>453</v>
      </c>
      <c r="R119" s="246"/>
      <c r="S119" s="261"/>
      <c r="T119" s="250"/>
      <c r="U119" s="246"/>
      <c r="V119" s="385" t="s">
        <v>428</v>
      </c>
      <c r="W119" s="246"/>
      <c r="X119" s="251" t="s">
        <v>429</v>
      </c>
      <c r="Y119" s="246"/>
      <c r="Z119" s="261"/>
      <c r="AA119" s="250"/>
      <c r="AB119" s="246"/>
      <c r="AC119" s="376" t="s">
        <v>466</v>
      </c>
      <c r="AD119" s="246"/>
      <c r="AF119" s="246"/>
      <c r="AG119" s="261"/>
      <c r="AH119" s="282"/>
      <c r="AI119" s="246"/>
      <c r="AJ119" s="383" t="s">
        <v>428</v>
      </c>
      <c r="AK119" s="246"/>
      <c r="AM119" s="246"/>
      <c r="AN119" s="261"/>
      <c r="AO119" s="320"/>
      <c r="AP119" s="246"/>
      <c r="AQ119" s="383" t="s">
        <v>428</v>
      </c>
      <c r="AR119" s="246"/>
      <c r="AS119" s="376" t="s">
        <v>453</v>
      </c>
      <c r="AT119" s="254" t="str">
        <f>IF(COUNTIF($AO$80:$AT$82, AQ119) &gt; 0, "X", "")</f>
        <v/>
      </c>
      <c r="AU119" s="269"/>
      <c r="AV119" s="269"/>
    </row>
    <row r="120">
      <c r="A120" s="94"/>
      <c r="B120" s="337" t="s">
        <v>688</v>
      </c>
      <c r="C120" s="285" t="s">
        <v>687</v>
      </c>
      <c r="D120" s="389"/>
      <c r="E120" s="259"/>
      <c r="F120" s="265"/>
      <c r="G120" s="246"/>
      <c r="I120" s="246"/>
      <c r="J120" s="265"/>
      <c r="K120" s="246"/>
      <c r="L120" s="261"/>
      <c r="M120" s="262"/>
      <c r="N120" s="246"/>
      <c r="O120" s="265"/>
      <c r="P120" s="246"/>
      <c r="Q120" s="265"/>
      <c r="R120" s="246"/>
      <c r="S120" s="261"/>
      <c r="T120" s="262"/>
      <c r="U120" s="246"/>
      <c r="V120" s="265"/>
      <c r="W120" s="246"/>
      <c r="Y120" s="246"/>
      <c r="Z120" s="261"/>
      <c r="AA120" s="262"/>
      <c r="AB120" s="246"/>
      <c r="AC120" s="265"/>
      <c r="AD120" s="246"/>
      <c r="AF120" s="246"/>
      <c r="AG120" s="261"/>
      <c r="AH120" s="265"/>
      <c r="AI120" s="246"/>
      <c r="AJ120" s="265"/>
      <c r="AK120" s="246"/>
      <c r="AL120" s="265"/>
      <c r="AM120" s="246"/>
      <c r="AN120" s="261"/>
      <c r="AO120" s="320"/>
      <c r="AP120" s="246"/>
      <c r="AR120" s="246"/>
      <c r="AS120" s="265"/>
      <c r="AT120" s="254" t="str">
        <f>IF(COUNTIF($AO$80:$AT$82, #REF!) &gt; 0, "X", "")</f>
        <v/>
      </c>
      <c r="AU120" s="269"/>
      <c r="AV120" s="269"/>
    </row>
    <row r="121">
      <c r="A121" s="94"/>
      <c r="B121" s="387" t="s">
        <v>690</v>
      </c>
      <c r="C121" s="388" t="s">
        <v>649</v>
      </c>
      <c r="D121" s="323"/>
      <c r="E121" s="259"/>
      <c r="F121" s="390"/>
      <c r="G121" s="246"/>
      <c r="H121" s="390"/>
      <c r="I121" s="246"/>
      <c r="J121" s="390"/>
      <c r="K121" s="246"/>
      <c r="L121" s="261"/>
      <c r="M121" s="250"/>
      <c r="N121" s="246"/>
      <c r="O121" s="357" t="s">
        <v>420</v>
      </c>
      <c r="P121" s="246"/>
      <c r="Q121" s="390"/>
      <c r="R121" s="246"/>
      <c r="S121" s="261"/>
      <c r="T121" s="250"/>
      <c r="U121" s="246"/>
      <c r="V121" s="357"/>
      <c r="W121" s="246"/>
      <c r="X121" s="633" t="s">
        <v>420</v>
      </c>
      <c r="Y121" s="246"/>
      <c r="Z121" s="261"/>
      <c r="AA121" s="250"/>
      <c r="AB121" s="246"/>
      <c r="AC121" s="355" t="s">
        <v>670</v>
      </c>
      <c r="AD121" s="246"/>
      <c r="AE121" s="390"/>
      <c r="AF121" s="246"/>
      <c r="AG121" s="261"/>
      <c r="AH121" s="390"/>
      <c r="AI121" s="246"/>
      <c r="AJ121" s="390"/>
      <c r="AK121" s="246"/>
      <c r="AL121" s="390"/>
      <c r="AM121" s="246"/>
      <c r="AN121" s="261"/>
      <c r="AO121" s="320"/>
      <c r="AP121" s="246"/>
      <c r="AQ121" s="390"/>
      <c r="AR121" s="246"/>
      <c r="AS121" s="390"/>
      <c r="AT121" s="254" t="str">
        <f t="shared" ref="AT121:AT128" si="24">IF(COUNTIF($AO$80:$AT$82, AS122) &gt; 0, "X", "")</f>
        <v/>
      </c>
      <c r="AU121" s="269"/>
      <c r="AV121" s="269"/>
    </row>
    <row r="122">
      <c r="A122" s="94"/>
      <c r="B122" s="296" t="s">
        <v>650</v>
      </c>
      <c r="C122" s="297" t="s">
        <v>649</v>
      </c>
      <c r="D122" s="323"/>
      <c r="E122" s="261"/>
      <c r="F122" s="300"/>
      <c r="G122" s="246"/>
      <c r="H122" s="319"/>
      <c r="I122" s="246"/>
      <c r="J122" s="300"/>
      <c r="K122" s="246"/>
      <c r="L122" s="261"/>
      <c r="M122" s="250"/>
      <c r="N122" s="246"/>
      <c r="O122" s="300"/>
      <c r="P122" s="246"/>
      <c r="Q122" s="300"/>
      <c r="R122" s="246"/>
      <c r="S122" s="261"/>
      <c r="T122" s="250"/>
      <c r="U122" s="246"/>
      <c r="V122" s="319"/>
      <c r="W122" s="246"/>
      <c r="X122" s="300"/>
      <c r="Y122" s="246"/>
      <c r="Z122" s="261"/>
      <c r="AA122" s="250"/>
      <c r="AB122" s="246"/>
      <c r="AC122" s="521"/>
      <c r="AD122" s="246"/>
      <c r="AE122" s="300"/>
      <c r="AF122" s="246"/>
      <c r="AG122" s="261"/>
      <c r="AH122" s="300"/>
      <c r="AI122" s="246"/>
      <c r="AJ122" s="300"/>
      <c r="AK122" s="246"/>
      <c r="AL122" s="300"/>
      <c r="AM122" s="246"/>
      <c r="AN122" s="261"/>
      <c r="AO122" s="320"/>
      <c r="AP122" s="246"/>
      <c r="AQ122" s="300"/>
      <c r="AR122" s="246"/>
      <c r="AS122" s="300"/>
      <c r="AT122" s="254" t="str">
        <f t="shared" si="24"/>
        <v/>
      </c>
      <c r="AU122" s="269"/>
      <c r="AV122" s="269"/>
    </row>
    <row r="123">
      <c r="A123" s="94"/>
      <c r="B123" s="301" t="s">
        <v>651</v>
      </c>
      <c r="C123" s="391" t="s">
        <v>652</v>
      </c>
      <c r="D123" s="323"/>
      <c r="E123" s="259"/>
      <c r="F123" s="304"/>
      <c r="G123" s="246"/>
      <c r="H123" s="304"/>
      <c r="I123" s="246"/>
      <c r="J123" s="304"/>
      <c r="K123" s="246"/>
      <c r="L123" s="261"/>
      <c r="M123" s="250"/>
      <c r="N123" s="246"/>
      <c r="O123" s="304"/>
      <c r="P123" s="246"/>
      <c r="Q123" s="304"/>
      <c r="R123" s="246"/>
      <c r="S123" s="261"/>
      <c r="T123" s="250"/>
      <c r="U123" s="246"/>
      <c r="V123" s="304"/>
      <c r="W123" s="246"/>
      <c r="X123" s="304"/>
      <c r="Y123" s="246"/>
      <c r="Z123" s="261"/>
      <c r="AA123" s="250"/>
      <c r="AB123" s="246"/>
      <c r="AC123" s="304"/>
      <c r="AD123" s="246"/>
      <c r="AE123" s="304"/>
      <c r="AF123" s="246"/>
      <c r="AG123" s="261"/>
      <c r="AH123" s="304"/>
      <c r="AI123" s="246"/>
      <c r="AJ123" s="304"/>
      <c r="AK123" s="246"/>
      <c r="AL123" s="304"/>
      <c r="AM123" s="246"/>
      <c r="AN123" s="261"/>
      <c r="AO123" s="320"/>
      <c r="AP123" s="246"/>
      <c r="AQ123" s="304"/>
      <c r="AR123" s="246"/>
      <c r="AS123" s="304"/>
      <c r="AT123" s="254" t="str">
        <f t="shared" si="24"/>
        <v/>
      </c>
      <c r="AU123" s="269"/>
      <c r="AV123" s="269"/>
    </row>
    <row r="124">
      <c r="A124" s="94"/>
      <c r="B124" s="392" t="s">
        <v>691</v>
      </c>
      <c r="C124" s="393" t="s">
        <v>652</v>
      </c>
      <c r="D124" s="330"/>
      <c r="E124" s="259"/>
      <c r="F124" s="307"/>
      <c r="G124" s="246"/>
      <c r="H124" s="307"/>
      <c r="I124" s="246"/>
      <c r="J124" s="307"/>
      <c r="K124" s="246"/>
      <c r="L124" s="261"/>
      <c r="M124" s="250"/>
      <c r="N124" s="246"/>
      <c r="O124" s="647" t="s">
        <v>397</v>
      </c>
      <c r="P124" s="246"/>
      <c r="Q124" s="307"/>
      <c r="R124" s="246"/>
      <c r="S124" s="261"/>
      <c r="T124" s="250"/>
      <c r="U124" s="246"/>
      <c r="V124" s="307"/>
      <c r="W124" s="246"/>
      <c r="X124" s="394" t="s">
        <v>398</v>
      </c>
      <c r="Y124" s="246"/>
      <c r="Z124" s="261"/>
      <c r="AA124" s="250"/>
      <c r="AB124" s="246"/>
      <c r="AC124" s="647" t="s">
        <v>397</v>
      </c>
      <c r="AD124" s="246"/>
      <c r="AE124" s="307"/>
      <c r="AF124" s="246"/>
      <c r="AG124" s="261"/>
      <c r="AH124" s="307"/>
      <c r="AI124" s="246"/>
      <c r="AJ124" s="307"/>
      <c r="AK124" s="246"/>
      <c r="AL124" s="307"/>
      <c r="AM124" s="246"/>
      <c r="AN124" s="261"/>
      <c r="AO124" s="320"/>
      <c r="AP124" s="246"/>
      <c r="AQ124" s="307"/>
      <c r="AR124" s="246"/>
      <c r="AS124" s="307"/>
      <c r="AT124" s="254" t="str">
        <f t="shared" si="24"/>
        <v/>
      </c>
      <c r="AU124" s="269"/>
      <c r="AV124" s="269"/>
    </row>
    <row r="125">
      <c r="A125" s="94"/>
      <c r="B125" s="328" t="s">
        <v>692</v>
      </c>
      <c r="C125" s="329" t="s">
        <v>652</v>
      </c>
      <c r="D125" s="369"/>
      <c r="E125" s="259"/>
      <c r="F125" s="282"/>
      <c r="G125" s="246"/>
      <c r="H125" s="371"/>
      <c r="I125" s="246"/>
      <c r="J125" s="371"/>
      <c r="K125" s="246"/>
      <c r="L125" s="261"/>
      <c r="M125" s="250"/>
      <c r="N125" s="246"/>
      <c r="P125" s="246"/>
      <c r="Q125" s="371"/>
      <c r="R125" s="246"/>
      <c r="S125" s="261"/>
      <c r="T125" s="250"/>
      <c r="U125" s="246"/>
      <c r="W125" s="246"/>
      <c r="X125" s="282"/>
      <c r="Y125" s="246"/>
      <c r="Z125" s="261"/>
      <c r="AA125" s="250"/>
      <c r="AB125" s="246"/>
      <c r="AC125" s="371"/>
      <c r="AD125" s="246"/>
      <c r="AE125" s="371"/>
      <c r="AF125" s="246"/>
      <c r="AG125" s="261"/>
      <c r="AH125" s="371"/>
      <c r="AI125" s="246"/>
      <c r="AJ125" s="371"/>
      <c r="AK125" s="246"/>
      <c r="AL125" s="371"/>
      <c r="AM125" s="246"/>
      <c r="AN125" s="261"/>
      <c r="AO125" s="320"/>
      <c r="AP125" s="246"/>
      <c r="AQ125" s="371"/>
      <c r="AR125" s="246"/>
      <c r="AS125" s="265"/>
      <c r="AT125" s="254" t="str">
        <f t="shared" si="24"/>
        <v/>
      </c>
      <c r="AU125" s="269"/>
      <c r="AV125" s="269"/>
    </row>
    <row r="126">
      <c r="A126" s="94"/>
      <c r="B126" s="397" t="s">
        <v>692</v>
      </c>
      <c r="C126" s="398" t="s">
        <v>687</v>
      </c>
      <c r="D126" s="389"/>
      <c r="E126" s="259"/>
      <c r="F126" s="399"/>
      <c r="G126" s="246"/>
      <c r="H126" s="399"/>
      <c r="I126" s="246"/>
      <c r="J126" s="399"/>
      <c r="K126" s="246"/>
      <c r="L126" s="261"/>
      <c r="M126" s="250"/>
      <c r="N126" s="246"/>
      <c r="O126" s="282"/>
      <c r="P126" s="246"/>
      <c r="Q126" s="399"/>
      <c r="R126" s="246"/>
      <c r="S126" s="261"/>
      <c r="T126" s="250"/>
      <c r="U126" s="246"/>
      <c r="V126" s="282"/>
      <c r="W126" s="246"/>
      <c r="X126" s="282"/>
      <c r="Y126" s="246"/>
      <c r="Z126" s="261"/>
      <c r="AA126" s="250"/>
      <c r="AB126" s="246"/>
      <c r="AC126" s="399"/>
      <c r="AD126" s="246"/>
      <c r="AE126" s="399"/>
      <c r="AF126" s="246"/>
      <c r="AG126" s="261"/>
      <c r="AH126" s="399"/>
      <c r="AI126" s="246"/>
      <c r="AJ126" s="399"/>
      <c r="AK126" s="246"/>
      <c r="AL126" s="399"/>
      <c r="AM126" s="246"/>
      <c r="AN126" s="261"/>
      <c r="AO126" s="320"/>
      <c r="AP126" s="246"/>
      <c r="AQ126" s="399"/>
      <c r="AR126" s="246"/>
      <c r="AS126" s="265"/>
      <c r="AT126" s="254" t="str">
        <f t="shared" si="24"/>
        <v/>
      </c>
      <c r="AU126" s="269"/>
      <c r="AV126" s="269"/>
    </row>
    <row r="127">
      <c r="A127" s="94"/>
      <c r="B127" s="387" t="s">
        <v>694</v>
      </c>
      <c r="C127" s="388" t="s">
        <v>649</v>
      </c>
      <c r="D127" s="323"/>
      <c r="E127" s="259"/>
      <c r="F127" s="390"/>
      <c r="G127" s="246"/>
      <c r="H127" s="390"/>
      <c r="I127" s="246"/>
      <c r="J127" s="390"/>
      <c r="K127" s="246"/>
      <c r="L127" s="261"/>
      <c r="M127" s="250"/>
      <c r="N127" s="246"/>
      <c r="O127" s="390"/>
      <c r="P127" s="246"/>
      <c r="Q127" s="357" t="s">
        <v>425</v>
      </c>
      <c r="R127" s="246"/>
      <c r="S127" s="261"/>
      <c r="T127" s="250"/>
      <c r="U127" s="246"/>
      <c r="V127" s="390"/>
      <c r="W127" s="246"/>
      <c r="X127" s="357" t="s">
        <v>425</v>
      </c>
      <c r="Y127" s="246"/>
      <c r="Z127" s="261"/>
      <c r="AA127" s="250"/>
      <c r="AB127" s="246"/>
      <c r="AC127" s="390"/>
      <c r="AD127" s="246"/>
      <c r="AE127" s="357" t="s">
        <v>425</v>
      </c>
      <c r="AF127" s="246"/>
      <c r="AG127" s="261"/>
      <c r="AH127" s="390"/>
      <c r="AI127" s="246"/>
      <c r="AJ127" s="390"/>
      <c r="AK127" s="246"/>
      <c r="AL127" s="357" t="s">
        <v>425</v>
      </c>
      <c r="AM127" s="246"/>
      <c r="AN127" s="261"/>
      <c r="AO127" s="320"/>
      <c r="AP127" s="246"/>
      <c r="AQ127" s="390"/>
      <c r="AR127" s="246"/>
      <c r="AS127" s="357" t="s">
        <v>425</v>
      </c>
      <c r="AT127" s="254" t="str">
        <f t="shared" si="24"/>
        <v/>
      </c>
      <c r="AU127" s="269"/>
      <c r="AV127" s="269"/>
    </row>
    <row r="128">
      <c r="A128" s="94"/>
      <c r="B128" s="296" t="s">
        <v>650</v>
      </c>
      <c r="C128" s="297" t="s">
        <v>649</v>
      </c>
      <c r="D128" s="323"/>
      <c r="E128" s="261"/>
      <c r="F128" s="300"/>
      <c r="G128" s="298"/>
      <c r="H128" s="300"/>
      <c r="I128" s="298"/>
      <c r="J128" s="300"/>
      <c r="K128" s="298"/>
      <c r="L128" s="261"/>
      <c r="M128" s="250"/>
      <c r="N128" s="298"/>
      <c r="O128" s="300"/>
      <c r="P128" s="298"/>
      <c r="Q128" s="319"/>
      <c r="R128" s="298"/>
      <c r="S128" s="261"/>
      <c r="T128" s="250"/>
      <c r="U128" s="298"/>
      <c r="V128" s="300"/>
      <c r="W128" s="298"/>
      <c r="X128" s="684" t="s">
        <v>967</v>
      </c>
      <c r="Y128" s="298"/>
      <c r="Z128" s="261"/>
      <c r="AA128" s="250"/>
      <c r="AB128" s="298"/>
      <c r="AC128" s="300"/>
      <c r="AD128" s="298"/>
      <c r="AE128" s="684" t="s">
        <v>967</v>
      </c>
      <c r="AF128" s="298"/>
      <c r="AG128" s="261"/>
      <c r="AH128" s="300"/>
      <c r="AI128" s="298"/>
      <c r="AJ128" s="300"/>
      <c r="AK128" s="298"/>
      <c r="AL128" s="684" t="s">
        <v>967</v>
      </c>
      <c r="AM128" s="298"/>
      <c r="AN128" s="261"/>
      <c r="AO128" s="320"/>
      <c r="AP128" s="298"/>
      <c r="AQ128" s="300"/>
      <c r="AR128" s="298"/>
      <c r="AS128" s="299"/>
      <c r="AT128" s="254" t="str">
        <f t="shared" si="24"/>
        <v/>
      </c>
      <c r="AU128" s="269"/>
      <c r="AV128" s="269"/>
    </row>
    <row r="129">
      <c r="A129" s="94"/>
      <c r="B129" s="301" t="s">
        <v>651</v>
      </c>
      <c r="C129" s="391" t="s">
        <v>652</v>
      </c>
      <c r="D129" s="323"/>
      <c r="E129" s="259"/>
      <c r="F129" s="304"/>
      <c r="G129" s="298"/>
      <c r="H129" s="304"/>
      <c r="I129" s="298"/>
      <c r="J129" s="304"/>
      <c r="K129" s="298"/>
      <c r="L129" s="261"/>
      <c r="M129" s="250"/>
      <c r="N129" s="298"/>
      <c r="O129" s="304"/>
      <c r="P129" s="298"/>
      <c r="Q129" s="304"/>
      <c r="R129" s="298"/>
      <c r="S129" s="261"/>
      <c r="T129" s="250"/>
      <c r="U129" s="298"/>
      <c r="V129" s="304"/>
      <c r="W129" s="298"/>
      <c r="X129" s="360" t="s">
        <v>968</v>
      </c>
      <c r="Y129" s="298"/>
      <c r="Z129" s="261"/>
      <c r="AA129" s="250"/>
      <c r="AB129" s="298"/>
      <c r="AC129" s="304"/>
      <c r="AD129" s="298"/>
      <c r="AE129" s="360" t="s">
        <v>968</v>
      </c>
      <c r="AF129" s="298"/>
      <c r="AG129" s="261"/>
      <c r="AH129" s="304"/>
      <c r="AI129" s="298"/>
      <c r="AJ129" s="304"/>
      <c r="AK129" s="298"/>
      <c r="AL129" s="360" t="s">
        <v>968</v>
      </c>
      <c r="AM129" s="298"/>
      <c r="AN129" s="261"/>
      <c r="AO129" s="320"/>
      <c r="AP129" s="298"/>
      <c r="AQ129" s="304"/>
      <c r="AR129" s="298"/>
      <c r="AS129" s="303"/>
      <c r="AT129" s="254" t="str">
        <f t="shared" ref="AT129:AT130" si="25">IF(COUNTIF($AO$80:$AT$82, #REF!) &gt; 0, "X", "")</f>
        <v/>
      </c>
      <c r="AU129" s="269"/>
      <c r="AV129" s="269"/>
    </row>
    <row r="130">
      <c r="A130" s="94"/>
      <c r="B130" s="392" t="s">
        <v>691</v>
      </c>
      <c r="C130" s="393" t="s">
        <v>652</v>
      </c>
      <c r="D130" s="330"/>
      <c r="E130" s="259"/>
      <c r="F130" s="307"/>
      <c r="G130" s="298"/>
      <c r="H130" s="307"/>
      <c r="I130" s="298"/>
      <c r="J130" s="307"/>
      <c r="K130" s="298"/>
      <c r="L130" s="261"/>
      <c r="M130" s="250"/>
      <c r="N130" s="298"/>
      <c r="O130" s="307"/>
      <c r="P130" s="298"/>
      <c r="Q130" s="395" t="s">
        <v>414</v>
      </c>
      <c r="R130" s="298"/>
      <c r="S130" s="261"/>
      <c r="T130" s="250"/>
      <c r="U130" s="298"/>
      <c r="V130" s="307"/>
      <c r="W130" s="298"/>
      <c r="X130" s="492" t="s">
        <v>430</v>
      </c>
      <c r="Y130" s="298"/>
      <c r="Z130" s="261"/>
      <c r="AA130" s="250"/>
      <c r="AB130" s="298"/>
      <c r="AC130" s="307"/>
      <c r="AD130" s="298"/>
      <c r="AE130" s="492" t="s">
        <v>430</v>
      </c>
      <c r="AF130" s="298"/>
      <c r="AG130" s="261"/>
      <c r="AH130" s="307"/>
      <c r="AI130" s="298"/>
      <c r="AJ130" s="307"/>
      <c r="AK130" s="298"/>
      <c r="AL130" s="308" t="s">
        <v>445</v>
      </c>
      <c r="AM130" s="298"/>
      <c r="AN130" s="261"/>
      <c r="AO130" s="320"/>
      <c r="AP130" s="298"/>
      <c r="AQ130" s="307"/>
      <c r="AR130" s="298"/>
      <c r="AS130" s="308" t="s">
        <v>445</v>
      </c>
      <c r="AT130" s="254" t="str">
        <f t="shared" si="25"/>
        <v/>
      </c>
      <c r="AU130" s="269"/>
      <c r="AV130" s="269"/>
    </row>
    <row r="131">
      <c r="A131" s="94"/>
      <c r="B131" s="328" t="s">
        <v>692</v>
      </c>
      <c r="C131" s="329" t="s">
        <v>652</v>
      </c>
      <c r="D131" s="369"/>
      <c r="E131" s="259"/>
      <c r="F131" s="371"/>
      <c r="G131" s="246"/>
      <c r="H131" s="371"/>
      <c r="I131" s="246"/>
      <c r="J131" s="282"/>
      <c r="K131" s="246"/>
      <c r="L131" s="261"/>
      <c r="M131" s="250"/>
      <c r="N131" s="246"/>
      <c r="O131" s="371"/>
      <c r="P131" s="246"/>
      <c r="Q131" s="282"/>
      <c r="R131" s="246"/>
      <c r="S131" s="261"/>
      <c r="T131" s="250"/>
      <c r="U131" s="246"/>
      <c r="V131" s="371"/>
      <c r="W131" s="246"/>
      <c r="Y131" s="246"/>
      <c r="Z131" s="261"/>
      <c r="AA131" s="250"/>
      <c r="AB131" s="246"/>
      <c r="AC131" s="282"/>
      <c r="AD131" s="246"/>
      <c r="AF131" s="246"/>
      <c r="AG131" s="261"/>
      <c r="AH131" s="371"/>
      <c r="AI131" s="246"/>
      <c r="AJ131" s="371"/>
      <c r="AK131" s="246"/>
      <c r="AL131" s="282"/>
      <c r="AM131" s="246"/>
      <c r="AN131" s="261"/>
      <c r="AO131" s="320"/>
      <c r="AP131" s="246"/>
      <c r="AQ131" s="371"/>
      <c r="AR131" s="246"/>
      <c r="AS131" s="282"/>
      <c r="AT131" s="254" t="str">
        <f t="shared" ref="AT131:AT134" si="26">IF(COUNTIF($AO$80:$AT$82, AS132) &gt; 0, "X", "")</f>
        <v/>
      </c>
      <c r="AU131" s="269"/>
      <c r="AV131" s="269"/>
    </row>
    <row r="132">
      <c r="A132" s="94"/>
      <c r="B132" s="397" t="s">
        <v>692</v>
      </c>
      <c r="C132" s="398" t="s">
        <v>687</v>
      </c>
      <c r="D132" s="404"/>
      <c r="E132" s="259"/>
      <c r="F132" s="399"/>
      <c r="G132" s="246"/>
      <c r="H132" s="399"/>
      <c r="I132" s="246"/>
      <c r="J132" s="252"/>
      <c r="K132" s="246"/>
      <c r="L132" s="261"/>
      <c r="M132" s="250"/>
      <c r="N132" s="246"/>
      <c r="O132" s="399"/>
      <c r="P132" s="246"/>
      <c r="Q132" s="399"/>
      <c r="R132" s="246"/>
      <c r="S132" s="261"/>
      <c r="T132" s="250"/>
      <c r="U132" s="246"/>
      <c r="V132" s="399"/>
      <c r="W132" s="246"/>
      <c r="X132" s="399"/>
      <c r="Y132" s="246"/>
      <c r="Z132" s="261"/>
      <c r="AA132" s="250"/>
      <c r="AB132" s="246"/>
      <c r="AC132" s="282"/>
      <c r="AD132" s="246"/>
      <c r="AE132" s="399"/>
      <c r="AF132" s="246"/>
      <c r="AG132" s="261"/>
      <c r="AH132" s="399"/>
      <c r="AI132" s="246"/>
      <c r="AJ132" s="399"/>
      <c r="AK132" s="246"/>
      <c r="AL132" s="399"/>
      <c r="AM132" s="246"/>
      <c r="AN132" s="261"/>
      <c r="AO132" s="320"/>
      <c r="AP132" s="246"/>
      <c r="AQ132" s="399"/>
      <c r="AR132" s="246"/>
      <c r="AS132" s="399"/>
      <c r="AT132" s="254" t="str">
        <f t="shared" si="26"/>
        <v/>
      </c>
      <c r="AU132" s="269"/>
      <c r="AV132" s="269"/>
    </row>
    <row r="133">
      <c r="A133" s="270"/>
      <c r="B133" s="402" t="s">
        <v>699</v>
      </c>
      <c r="C133" s="403" t="s">
        <v>649</v>
      </c>
      <c r="D133" s="330"/>
      <c r="E133" s="259"/>
      <c r="F133" s="294"/>
      <c r="G133" s="246"/>
      <c r="H133" s="294"/>
      <c r="I133" s="246"/>
      <c r="J133" s="294"/>
      <c r="K133" s="246"/>
      <c r="L133" s="261"/>
      <c r="M133" s="250"/>
      <c r="N133" s="246"/>
      <c r="O133" s="294"/>
      <c r="P133" s="246"/>
      <c r="Q133" s="293" t="s">
        <v>422</v>
      </c>
      <c r="R133" s="246"/>
      <c r="S133" s="261"/>
      <c r="T133" s="250"/>
      <c r="U133" s="246"/>
      <c r="V133" s="294"/>
      <c r="W133" s="246"/>
      <c r="X133" s="294"/>
      <c r="Y133" s="246"/>
      <c r="Z133" s="261"/>
      <c r="AA133" s="250"/>
      <c r="AB133" s="246"/>
      <c r="AC133" s="294"/>
      <c r="AD133" s="246"/>
      <c r="AE133" s="293" t="s">
        <v>426</v>
      </c>
      <c r="AF133" s="246"/>
      <c r="AG133" s="261"/>
      <c r="AH133" s="294"/>
      <c r="AI133" s="246"/>
      <c r="AJ133" s="294"/>
      <c r="AK133" s="246"/>
      <c r="AL133" s="294"/>
      <c r="AM133" s="246"/>
      <c r="AN133" s="261"/>
      <c r="AO133" s="320"/>
      <c r="AP133" s="246"/>
      <c r="AQ133" s="294"/>
      <c r="AR133" s="246"/>
      <c r="AS133" s="294"/>
      <c r="AT133" s="254" t="str">
        <f t="shared" si="26"/>
        <v/>
      </c>
      <c r="AU133" s="269"/>
      <c r="AV133" s="269"/>
    </row>
    <row r="134">
      <c r="A134" s="94"/>
      <c r="B134" s="328" t="s">
        <v>700</v>
      </c>
      <c r="C134" s="329" t="s">
        <v>657</v>
      </c>
      <c r="D134" s="330"/>
      <c r="E134" s="259"/>
      <c r="F134" s="371"/>
      <c r="G134" s="246"/>
      <c r="H134" s="282"/>
      <c r="I134" s="246"/>
      <c r="J134" s="282"/>
      <c r="K134" s="246"/>
      <c r="L134" s="261"/>
      <c r="M134" s="250"/>
      <c r="N134" s="246"/>
      <c r="O134" s="371"/>
      <c r="P134" s="246"/>
      <c r="Q134" s="280" t="s">
        <v>437</v>
      </c>
      <c r="R134" s="246"/>
      <c r="S134" s="261"/>
      <c r="T134" s="250"/>
      <c r="U134" s="246"/>
      <c r="V134" s="371"/>
      <c r="W134" s="246"/>
      <c r="X134" s="371"/>
      <c r="Y134" s="246"/>
      <c r="Z134" s="261"/>
      <c r="AA134" s="250"/>
      <c r="AB134" s="246"/>
      <c r="AC134" s="371"/>
      <c r="AD134" s="246"/>
      <c r="AE134" s="274" t="s">
        <v>437</v>
      </c>
      <c r="AF134" s="246"/>
      <c r="AG134" s="261"/>
      <c r="AH134" s="371"/>
      <c r="AI134" s="246"/>
      <c r="AJ134" s="371"/>
      <c r="AK134" s="246"/>
      <c r="AL134" s="371"/>
      <c r="AM134" s="246"/>
      <c r="AN134" s="261"/>
      <c r="AO134" s="320"/>
      <c r="AP134" s="246"/>
      <c r="AQ134" s="371"/>
      <c r="AR134" s="246"/>
      <c r="AS134" s="371"/>
      <c r="AT134" s="254" t="str">
        <f t="shared" si="26"/>
        <v/>
      </c>
      <c r="AU134" s="269"/>
      <c r="AV134" s="269"/>
    </row>
    <row r="135">
      <c r="A135" s="94"/>
      <c r="B135" s="328" t="s">
        <v>700</v>
      </c>
      <c r="C135" s="329" t="s">
        <v>657</v>
      </c>
      <c r="D135" s="330"/>
      <c r="E135" s="259"/>
      <c r="F135" s="264"/>
      <c r="G135" s="246"/>
      <c r="H135" s="265"/>
      <c r="I135" s="246"/>
      <c r="K135" s="246"/>
      <c r="L135" s="261"/>
      <c r="M135" s="262"/>
      <c r="N135" s="246"/>
      <c r="P135" s="246"/>
      <c r="Q135" s="405" t="s">
        <v>462</v>
      </c>
      <c r="R135" s="246"/>
      <c r="S135" s="261"/>
      <c r="T135" s="262"/>
      <c r="U135" s="246"/>
      <c r="V135" s="264"/>
      <c r="W135" s="246"/>
      <c r="Y135" s="246"/>
      <c r="Z135" s="261"/>
      <c r="AA135" s="262"/>
      <c r="AB135" s="246"/>
      <c r="AD135" s="246"/>
      <c r="AE135" s="405" t="s">
        <v>462</v>
      </c>
      <c r="AF135" s="246"/>
      <c r="AG135" s="261"/>
      <c r="AH135" s="264"/>
      <c r="AI135" s="246"/>
      <c r="AJ135" s="264"/>
      <c r="AK135" s="246"/>
      <c r="AL135" s="265"/>
      <c r="AM135" s="246"/>
      <c r="AN135" s="261"/>
      <c r="AO135" s="320"/>
      <c r="AP135" s="246"/>
      <c r="AQ135" s="264"/>
      <c r="AR135" s="246"/>
      <c r="AS135" s="264"/>
      <c r="AT135" s="254" t="str">
        <f>IF(COUNTIF($AO$80:$AT$82, #REF!) &gt; 0, "X", "")</f>
        <v/>
      </c>
      <c r="AU135" s="269"/>
      <c r="AV135" s="269"/>
    </row>
    <row r="136">
      <c r="A136" s="94"/>
      <c r="B136" s="328" t="s">
        <v>700</v>
      </c>
      <c r="C136" s="329" t="s">
        <v>657</v>
      </c>
      <c r="D136" s="351"/>
      <c r="E136" s="259"/>
      <c r="F136" s="371"/>
      <c r="G136" s="246"/>
      <c r="H136" s="282"/>
      <c r="I136" s="246"/>
      <c r="K136" s="246"/>
      <c r="L136" s="261"/>
      <c r="M136" s="250"/>
      <c r="N136" s="246"/>
      <c r="O136" s="282"/>
      <c r="P136" s="246"/>
      <c r="Q136" s="282"/>
      <c r="R136" s="246"/>
      <c r="S136" s="261"/>
      <c r="T136" s="250"/>
      <c r="U136" s="246"/>
      <c r="V136" s="282"/>
      <c r="W136" s="246"/>
      <c r="Y136" s="246"/>
      <c r="Z136" s="261"/>
      <c r="AA136" s="250"/>
      <c r="AB136" s="246"/>
      <c r="AC136" s="371"/>
      <c r="AD136" s="246"/>
      <c r="AF136" s="246"/>
      <c r="AG136" s="261"/>
      <c r="AI136" s="246"/>
      <c r="AJ136" s="282"/>
      <c r="AK136" s="246"/>
      <c r="AL136" s="371"/>
      <c r="AM136" s="246"/>
      <c r="AN136" s="261"/>
      <c r="AO136" s="320"/>
      <c r="AP136" s="246"/>
      <c r="AQ136" s="282"/>
      <c r="AR136" s="246"/>
      <c r="AS136" s="282"/>
      <c r="AT136" s="254" t="str">
        <f t="shared" ref="AT136:AT137" si="27">IF(COUNTIF($AO$80:$AT$82, AS137) &gt; 0, "X", "")</f>
        <v/>
      </c>
      <c r="AU136" s="269"/>
      <c r="AV136" s="269"/>
    </row>
    <row r="137">
      <c r="A137" s="94"/>
      <c r="B137" s="408" t="s">
        <v>702</v>
      </c>
      <c r="C137" s="409" t="s">
        <v>652</v>
      </c>
      <c r="D137" s="323"/>
      <c r="E137" s="259"/>
      <c r="F137" s="411"/>
      <c r="G137" s="246"/>
      <c r="H137" s="411"/>
      <c r="I137" s="246"/>
      <c r="J137" s="411"/>
      <c r="K137" s="246"/>
      <c r="L137" s="261"/>
      <c r="M137" s="262"/>
      <c r="N137" s="246"/>
      <c r="O137" s="411"/>
      <c r="P137" s="246"/>
      <c r="Q137" s="411"/>
      <c r="R137" s="246"/>
      <c r="S137" s="261"/>
      <c r="T137" s="262"/>
      <c r="U137" s="246"/>
      <c r="V137" s="411"/>
      <c r="W137" s="246"/>
      <c r="X137" s="411"/>
      <c r="Y137" s="246"/>
      <c r="Z137" s="261"/>
      <c r="AA137" s="262"/>
      <c r="AB137" s="246"/>
      <c r="AC137" s="411"/>
      <c r="AD137" s="246"/>
      <c r="AE137" s="411"/>
      <c r="AF137" s="246"/>
      <c r="AG137" s="261"/>
      <c r="AH137" s="411"/>
      <c r="AI137" s="246"/>
      <c r="AJ137" s="411"/>
      <c r="AK137" s="246"/>
      <c r="AL137" s="411"/>
      <c r="AM137" s="246"/>
      <c r="AN137" s="261"/>
      <c r="AO137" s="320"/>
      <c r="AP137" s="246"/>
      <c r="AQ137" s="411"/>
      <c r="AR137" s="246"/>
      <c r="AS137" s="411"/>
      <c r="AT137" s="254" t="str">
        <f t="shared" si="27"/>
        <v/>
      </c>
      <c r="AU137" s="269"/>
      <c r="AV137" s="269"/>
    </row>
    <row r="138">
      <c r="A138" s="234"/>
      <c r="B138" s="401" t="s">
        <v>703</v>
      </c>
      <c r="C138" s="412" t="s">
        <v>704</v>
      </c>
      <c r="D138" s="330"/>
      <c r="E138" s="259"/>
      <c r="F138" s="413"/>
      <c r="G138" s="246"/>
      <c r="H138" s="413"/>
      <c r="I138" s="246"/>
      <c r="J138" s="413"/>
      <c r="K138" s="246"/>
      <c r="L138" s="261"/>
      <c r="M138" s="262"/>
      <c r="N138" s="246"/>
      <c r="O138" s="413"/>
      <c r="P138" s="246"/>
      <c r="Q138" s="413"/>
      <c r="R138" s="246"/>
      <c r="S138" s="261"/>
      <c r="T138" s="262"/>
      <c r="U138" s="246"/>
      <c r="V138" s="413"/>
      <c r="W138" s="246"/>
      <c r="X138" s="413"/>
      <c r="Y138" s="246"/>
      <c r="Z138" s="261"/>
      <c r="AA138" s="262"/>
      <c r="AB138" s="246"/>
      <c r="AC138" s="413"/>
      <c r="AD138" s="246"/>
      <c r="AE138" s="413"/>
      <c r="AF138" s="246"/>
      <c r="AG138" s="261"/>
      <c r="AH138" s="413"/>
      <c r="AI138" s="246"/>
      <c r="AJ138" s="413"/>
      <c r="AK138" s="246"/>
      <c r="AL138" s="413"/>
      <c r="AM138" s="246"/>
      <c r="AN138" s="261"/>
      <c r="AO138" s="320"/>
      <c r="AP138" s="246"/>
      <c r="AQ138" s="413"/>
      <c r="AR138" s="246"/>
      <c r="AS138" s="413"/>
      <c r="AT138" s="254" t="str">
        <f t="shared" ref="AT138:AT142" si="28">IF(COUNTIF($AO$80:$AT$82, #REF!) &gt; 0, "X", "")</f>
        <v/>
      </c>
      <c r="AU138" s="269"/>
      <c r="AV138" s="269"/>
    </row>
    <row r="139">
      <c r="A139" s="234"/>
      <c r="B139" s="414" t="s">
        <v>705</v>
      </c>
      <c r="C139" s="415" t="s">
        <v>704</v>
      </c>
      <c r="D139" s="330"/>
      <c r="E139" s="259"/>
      <c r="F139" s="311" t="s">
        <v>467</v>
      </c>
      <c r="G139" s="246"/>
      <c r="H139" s="311" t="s">
        <v>394</v>
      </c>
      <c r="I139" s="246"/>
      <c r="J139" s="586" t="s">
        <v>452</v>
      </c>
      <c r="K139" s="246"/>
      <c r="L139" s="261"/>
      <c r="M139" s="341"/>
      <c r="N139" s="246"/>
      <c r="O139" s="311" t="s">
        <v>438</v>
      </c>
      <c r="P139" s="246"/>
      <c r="Q139" s="311" t="s">
        <v>410</v>
      </c>
      <c r="R139" s="246"/>
      <c r="S139" s="261"/>
      <c r="T139" s="341"/>
      <c r="U139" s="246"/>
      <c r="V139" s="311" t="s">
        <v>394</v>
      </c>
      <c r="W139" s="246"/>
      <c r="X139" s="311" t="s">
        <v>467</v>
      </c>
      <c r="Y139" s="246"/>
      <c r="Z139" s="261"/>
      <c r="AA139" s="341"/>
      <c r="AB139" s="246"/>
      <c r="AC139" s="311" t="s">
        <v>438</v>
      </c>
      <c r="AD139" s="246"/>
      <c r="AE139" s="311" t="s">
        <v>410</v>
      </c>
      <c r="AF139" s="246"/>
      <c r="AG139" s="261"/>
      <c r="AH139" s="282"/>
      <c r="AI139" s="246"/>
      <c r="AJ139" s="311" t="s">
        <v>438</v>
      </c>
      <c r="AK139" s="246"/>
      <c r="AL139" s="251" t="s">
        <v>432</v>
      </c>
      <c r="AM139" s="246"/>
      <c r="AN139" s="261"/>
      <c r="AO139" s="320"/>
      <c r="AP139" s="246"/>
      <c r="AQ139" s="311" t="s">
        <v>438</v>
      </c>
      <c r="AR139" s="246"/>
      <c r="AS139" s="374" t="s">
        <v>410</v>
      </c>
      <c r="AT139" s="254" t="str">
        <f t="shared" si="28"/>
        <v/>
      </c>
      <c r="AU139" s="269"/>
      <c r="AV139" s="269"/>
    </row>
    <row r="140">
      <c r="A140" s="94"/>
      <c r="B140" s="328" t="s">
        <v>705</v>
      </c>
      <c r="C140" s="257" t="s">
        <v>657</v>
      </c>
      <c r="D140" s="330"/>
      <c r="E140" s="259"/>
      <c r="F140" s="311" t="s">
        <v>470</v>
      </c>
      <c r="G140" s="246"/>
      <c r="H140" s="311" t="s">
        <v>438</v>
      </c>
      <c r="I140" s="246"/>
      <c r="J140" s="311" t="s">
        <v>432</v>
      </c>
      <c r="K140" s="246"/>
      <c r="L140" s="261"/>
      <c r="M140" s="341"/>
      <c r="N140" s="246"/>
      <c r="O140" s="311" t="s">
        <v>407</v>
      </c>
      <c r="P140" s="246"/>
      <c r="Q140" s="311" t="s">
        <v>470</v>
      </c>
      <c r="R140" s="246"/>
      <c r="S140" s="261"/>
      <c r="T140" s="341"/>
      <c r="U140" s="246"/>
      <c r="V140" s="251" t="s">
        <v>440</v>
      </c>
      <c r="W140" s="246"/>
      <c r="X140" s="311" t="s">
        <v>410</v>
      </c>
      <c r="Y140" s="246"/>
      <c r="Z140" s="261"/>
      <c r="AA140" s="341"/>
      <c r="AB140" s="246"/>
      <c r="AC140" s="374" t="s">
        <v>407</v>
      </c>
      <c r="AD140" s="246"/>
      <c r="AE140" s="311" t="s">
        <v>467</v>
      </c>
      <c r="AF140" s="246"/>
      <c r="AG140" s="261"/>
      <c r="AH140" s="311" t="s">
        <v>470</v>
      </c>
      <c r="AI140" s="246"/>
      <c r="AJ140" s="274" t="s">
        <v>406</v>
      </c>
      <c r="AK140" s="246"/>
      <c r="AL140" s="384" t="s">
        <v>900</v>
      </c>
      <c r="AM140" s="246"/>
      <c r="AN140" s="261"/>
      <c r="AO140" s="320"/>
      <c r="AP140" s="246"/>
      <c r="AQ140" s="311" t="s">
        <v>394</v>
      </c>
      <c r="AR140" s="246"/>
      <c r="AS140" s="251" t="s">
        <v>432</v>
      </c>
      <c r="AT140" s="254" t="str">
        <f t="shared" si="28"/>
        <v/>
      </c>
      <c r="AU140" s="269"/>
      <c r="AV140" s="269"/>
    </row>
    <row r="141">
      <c r="A141" s="94"/>
      <c r="B141" s="277" t="s">
        <v>705</v>
      </c>
      <c r="C141" s="329" t="s">
        <v>685</v>
      </c>
      <c r="D141" s="369"/>
      <c r="E141" s="259"/>
      <c r="G141" s="246"/>
      <c r="H141" s="251" t="s">
        <v>440</v>
      </c>
      <c r="I141" s="246"/>
      <c r="K141" s="246"/>
      <c r="L141" s="261"/>
      <c r="M141" s="341"/>
      <c r="N141" s="246"/>
      <c r="O141" s="251" t="s">
        <v>440</v>
      </c>
      <c r="P141" s="246"/>
      <c r="Q141" s="251" t="s">
        <v>405</v>
      </c>
      <c r="R141" s="246"/>
      <c r="S141" s="261"/>
      <c r="T141" s="341"/>
      <c r="U141" s="246"/>
      <c r="V141" s="274" t="s">
        <v>406</v>
      </c>
      <c r="W141" s="246"/>
      <c r="X141" s="534" t="s">
        <v>798</v>
      </c>
      <c r="Y141" s="246"/>
      <c r="Z141" s="261"/>
      <c r="AA141" s="341"/>
      <c r="AB141" s="246"/>
      <c r="AC141" s="251" t="s">
        <v>440</v>
      </c>
      <c r="AD141" s="246"/>
      <c r="AE141" s="311" t="s">
        <v>470</v>
      </c>
      <c r="AF141" s="246"/>
      <c r="AG141" s="261"/>
      <c r="AH141" s="311" t="s">
        <v>467</v>
      </c>
      <c r="AI141" s="246"/>
      <c r="AJ141" s="251" t="s">
        <v>440</v>
      </c>
      <c r="AK141" s="246"/>
      <c r="AL141" s="311" t="s">
        <v>394</v>
      </c>
      <c r="AM141" s="246"/>
      <c r="AN141" s="261"/>
      <c r="AO141" s="320"/>
      <c r="AP141" s="246"/>
      <c r="AQ141" s="374" t="s">
        <v>407</v>
      </c>
      <c r="AR141" s="246"/>
      <c r="AS141" s="311" t="s">
        <v>470</v>
      </c>
      <c r="AT141" s="254" t="str">
        <f t="shared" si="28"/>
        <v/>
      </c>
      <c r="AU141" s="269"/>
      <c r="AV141" s="269"/>
    </row>
    <row r="142">
      <c r="A142" s="94"/>
      <c r="B142" s="271" t="s">
        <v>705</v>
      </c>
      <c r="C142" s="272" t="s">
        <v>687</v>
      </c>
      <c r="D142" s="330"/>
      <c r="E142" s="259"/>
      <c r="G142" s="246"/>
      <c r="H142" s="339" t="s">
        <v>404</v>
      </c>
      <c r="I142" s="246"/>
      <c r="J142" s="384" t="s">
        <v>900</v>
      </c>
      <c r="K142" s="246"/>
      <c r="L142" s="261"/>
      <c r="M142" s="341"/>
      <c r="N142" s="246"/>
      <c r="O142" s="339" t="s">
        <v>404</v>
      </c>
      <c r="P142" s="246"/>
      <c r="Q142" s="384" t="s">
        <v>900</v>
      </c>
      <c r="R142" s="246"/>
      <c r="S142" s="261"/>
      <c r="T142" s="341"/>
      <c r="U142" s="246"/>
      <c r="V142" s="664" t="s">
        <v>969</v>
      </c>
      <c r="W142" s="246"/>
      <c r="X142" s="384" t="s">
        <v>900</v>
      </c>
      <c r="Y142" s="246"/>
      <c r="Z142" s="261"/>
      <c r="AA142" s="341"/>
      <c r="AB142" s="246"/>
      <c r="AC142" s="339" t="s">
        <v>404</v>
      </c>
      <c r="AD142" s="246"/>
      <c r="AE142" s="384" t="s">
        <v>900</v>
      </c>
      <c r="AF142" s="246"/>
      <c r="AG142" s="261"/>
      <c r="AI142" s="246"/>
      <c r="AJ142" s="339" t="s">
        <v>404</v>
      </c>
      <c r="AK142" s="246"/>
      <c r="AM142" s="246"/>
      <c r="AN142" s="261"/>
      <c r="AO142" s="320"/>
      <c r="AP142" s="246"/>
      <c r="AR142" s="246"/>
      <c r="AS142" s="282"/>
      <c r="AT142" s="254" t="str">
        <f t="shared" si="28"/>
        <v/>
      </c>
      <c r="AU142" s="269"/>
      <c r="AV142" s="269"/>
    </row>
    <row r="143">
      <c r="A143" s="270"/>
      <c r="B143" s="397" t="s">
        <v>708</v>
      </c>
      <c r="C143" s="398" t="s">
        <v>654</v>
      </c>
      <c r="D143" s="330"/>
      <c r="E143" s="259"/>
      <c r="F143" s="275"/>
      <c r="G143" s="246"/>
      <c r="H143" s="311" t="s">
        <v>441</v>
      </c>
      <c r="I143" s="246"/>
      <c r="J143" s="374" t="s">
        <v>446</v>
      </c>
      <c r="K143" s="246"/>
      <c r="L143" s="261"/>
      <c r="M143" s="341"/>
      <c r="N143" s="246"/>
      <c r="O143" s="311" t="s">
        <v>441</v>
      </c>
      <c r="P143" s="246"/>
      <c r="Q143" s="374" t="s">
        <v>446</v>
      </c>
      <c r="R143" s="246"/>
      <c r="S143" s="261"/>
      <c r="T143" s="341"/>
      <c r="U143" s="246"/>
      <c r="V143" s="365" t="s">
        <v>469</v>
      </c>
      <c r="W143" s="246"/>
      <c r="X143" s="311" t="s">
        <v>441</v>
      </c>
      <c r="Y143" s="246"/>
      <c r="Z143" s="261"/>
      <c r="AA143" s="341"/>
      <c r="AB143" s="246"/>
      <c r="AC143" s="311" t="s">
        <v>441</v>
      </c>
      <c r="AD143" s="246"/>
      <c r="AE143" s="325" t="s">
        <v>842</v>
      </c>
      <c r="AF143" s="246"/>
      <c r="AG143" s="261"/>
      <c r="AH143" s="275"/>
      <c r="AI143" s="246"/>
      <c r="AJ143" s="311" t="s">
        <v>441</v>
      </c>
      <c r="AK143" s="246"/>
      <c r="AL143" s="374" t="s">
        <v>446</v>
      </c>
      <c r="AM143" s="246"/>
      <c r="AN143" s="261"/>
      <c r="AO143" s="320"/>
      <c r="AP143" s="246"/>
      <c r="AQ143" s="365" t="s">
        <v>469</v>
      </c>
      <c r="AR143" s="246"/>
      <c r="AS143" s="374" t="s">
        <v>446</v>
      </c>
      <c r="AT143" s="254" t="str">
        <f t="shared" ref="AT143:AT144" si="29">IF(COUNTIF($AO$80:$AT$82, AS144) &gt; 0, "X", "")</f>
        <v/>
      </c>
      <c r="AU143" s="269"/>
      <c r="AV143" s="269"/>
    </row>
    <row r="144">
      <c r="A144" s="94"/>
      <c r="B144" s="277" t="s">
        <v>709</v>
      </c>
      <c r="C144" s="278" t="s">
        <v>710</v>
      </c>
      <c r="D144" s="323"/>
      <c r="E144" s="259"/>
      <c r="F144" s="281"/>
      <c r="G144" s="246"/>
      <c r="H144" s="281"/>
      <c r="I144" s="246"/>
      <c r="J144" s="281"/>
      <c r="K144" s="246"/>
      <c r="L144" s="261"/>
      <c r="M144" s="286"/>
      <c r="N144" s="246"/>
      <c r="P144" s="246"/>
      <c r="R144" s="246"/>
      <c r="S144" s="261"/>
      <c r="T144" s="286"/>
      <c r="U144" s="246"/>
      <c r="V144" s="282"/>
      <c r="W144" s="246"/>
      <c r="X144" s="281"/>
      <c r="Y144" s="246"/>
      <c r="Z144" s="261"/>
      <c r="AA144" s="286"/>
      <c r="AB144" s="246"/>
      <c r="AC144" s="282"/>
      <c r="AD144" s="246"/>
      <c r="AF144" s="246"/>
      <c r="AG144" s="261"/>
      <c r="AH144" s="281"/>
      <c r="AI144" s="246"/>
      <c r="AJ144" s="281"/>
      <c r="AK144" s="246"/>
      <c r="AL144" s="281"/>
      <c r="AM144" s="246"/>
      <c r="AN144" s="261"/>
      <c r="AO144" s="320"/>
      <c r="AP144" s="246"/>
      <c r="AQ144" s="281"/>
      <c r="AR144" s="246"/>
      <c r="AS144" s="281"/>
      <c r="AT144" s="254" t="str">
        <f t="shared" si="29"/>
        <v/>
      </c>
      <c r="AU144" s="269"/>
      <c r="AV144" s="269"/>
    </row>
    <row r="145">
      <c r="A145" s="94"/>
      <c r="B145" s="673" t="s">
        <v>944</v>
      </c>
      <c r="C145" s="272" t="s">
        <v>639</v>
      </c>
      <c r="D145" s="431"/>
      <c r="E145" s="259"/>
      <c r="F145" s="282"/>
      <c r="G145" s="246"/>
      <c r="H145" s="282"/>
      <c r="I145" s="246"/>
      <c r="J145" s="282"/>
      <c r="K145" s="246"/>
      <c r="L145" s="261"/>
      <c r="M145" s="341"/>
      <c r="N145" s="246"/>
      <c r="O145" s="311" t="s">
        <v>432</v>
      </c>
      <c r="P145" s="246"/>
      <c r="Q145" s="282"/>
      <c r="R145" s="246"/>
      <c r="S145" s="261"/>
      <c r="T145" s="341"/>
      <c r="U145" s="246"/>
      <c r="V145" s="282"/>
      <c r="W145" s="246"/>
      <c r="X145" s="282"/>
      <c r="Y145" s="246"/>
      <c r="Z145" s="261"/>
      <c r="AA145" s="341"/>
      <c r="AB145" s="246"/>
      <c r="AC145" s="685" t="s">
        <v>432</v>
      </c>
      <c r="AD145" s="246"/>
      <c r="AE145" s="282"/>
      <c r="AF145" s="246"/>
      <c r="AG145" s="261"/>
      <c r="AH145" s="282"/>
      <c r="AI145" s="246"/>
      <c r="AJ145" s="282"/>
      <c r="AK145" s="246"/>
      <c r="AL145" s="282"/>
      <c r="AM145" s="246"/>
      <c r="AN145" s="261"/>
      <c r="AO145" s="320"/>
      <c r="AP145" s="246"/>
      <c r="AQ145" s="282"/>
      <c r="AR145" s="246"/>
      <c r="AS145" s="282"/>
      <c r="AT145" s="430"/>
      <c r="AU145" s="269"/>
      <c r="AV145" s="269"/>
    </row>
    <row r="146">
      <c r="A146" s="94"/>
      <c r="B146" s="429" t="s">
        <v>714</v>
      </c>
      <c r="C146" s="430"/>
      <c r="D146" s="323"/>
      <c r="E146" s="259"/>
      <c r="F146" s="432"/>
      <c r="G146" s="432"/>
      <c r="H146" s="432"/>
      <c r="I146" s="432"/>
      <c r="J146" s="432"/>
      <c r="K146" s="432"/>
      <c r="L146" s="261"/>
      <c r="M146" s="432"/>
      <c r="N146" s="433"/>
      <c r="O146" s="432"/>
      <c r="P146" s="432"/>
      <c r="Q146" s="432"/>
      <c r="R146" s="432"/>
      <c r="S146" s="261"/>
      <c r="T146" s="432"/>
      <c r="U146" s="433"/>
      <c r="V146" s="432"/>
      <c r="W146" s="432"/>
      <c r="X146" s="432"/>
      <c r="Y146" s="432"/>
      <c r="Z146" s="261"/>
      <c r="AA146" s="432"/>
      <c r="AB146" s="433"/>
      <c r="AC146" s="432"/>
      <c r="AD146" s="432"/>
      <c r="AE146" s="432"/>
      <c r="AF146" s="432"/>
      <c r="AG146" s="261"/>
      <c r="AH146" s="432"/>
      <c r="AI146" s="433"/>
      <c r="AJ146" s="432"/>
      <c r="AK146" s="432"/>
      <c r="AL146" s="432"/>
      <c r="AM146" s="432"/>
      <c r="AN146" s="261"/>
      <c r="AO146" s="432"/>
      <c r="AP146" s="433"/>
      <c r="AQ146" s="432"/>
      <c r="AR146" s="432"/>
      <c r="AS146" s="432"/>
      <c r="AT146" s="254" t="str">
        <f t="shared" ref="AT146:AT151" si="30">IF(COUNTIF($AO$80:$AT$82, AS147) &gt; 0, "X", "")</f>
        <v/>
      </c>
      <c r="AU146" s="269"/>
      <c r="AV146" s="269"/>
    </row>
    <row r="147">
      <c r="A147" s="94"/>
      <c r="B147" s="401" t="s">
        <v>715</v>
      </c>
      <c r="C147" s="412" t="s">
        <v>716</v>
      </c>
      <c r="D147" s="323"/>
      <c r="E147" s="259"/>
      <c r="F147" s="434"/>
      <c r="G147" s="246"/>
      <c r="H147" s="434" t="s">
        <v>403</v>
      </c>
      <c r="I147" s="246"/>
      <c r="J147" s="434"/>
      <c r="K147" s="246"/>
      <c r="L147" s="261"/>
      <c r="M147" s="434" t="s">
        <v>465</v>
      </c>
      <c r="N147" s="246"/>
      <c r="O147" s="434" t="s">
        <v>403</v>
      </c>
      <c r="P147" s="246"/>
      <c r="Q147" s="434"/>
      <c r="R147" s="246"/>
      <c r="S147" s="261"/>
      <c r="T147" s="434" t="s">
        <v>465</v>
      </c>
      <c r="U147" s="246"/>
      <c r="V147" s="434" t="s">
        <v>403</v>
      </c>
      <c r="W147" s="246"/>
      <c r="X147" s="434"/>
      <c r="Y147" s="246"/>
      <c r="Z147" s="261"/>
      <c r="AA147" s="434" t="s">
        <v>465</v>
      </c>
      <c r="AB147" s="246"/>
      <c r="AC147" s="434" t="s">
        <v>403</v>
      </c>
      <c r="AD147" s="246"/>
      <c r="AE147" s="434"/>
      <c r="AF147" s="246"/>
      <c r="AG147" s="261"/>
      <c r="AH147" s="434" t="s">
        <v>465</v>
      </c>
      <c r="AI147" s="246"/>
      <c r="AJ147" s="434" t="s">
        <v>403</v>
      </c>
      <c r="AK147" s="246"/>
      <c r="AL147" s="434"/>
      <c r="AM147" s="246"/>
      <c r="AN147" s="261"/>
      <c r="AO147" s="434" t="s">
        <v>465</v>
      </c>
      <c r="AP147" s="246"/>
      <c r="AQ147" s="434"/>
      <c r="AR147" s="246"/>
      <c r="AS147" s="434"/>
      <c r="AT147" s="254" t="str">
        <f t="shared" si="30"/>
        <v/>
      </c>
      <c r="AU147" s="269"/>
      <c r="AV147" s="269"/>
    </row>
    <row r="148">
      <c r="A148" s="94"/>
      <c r="B148" s="435" t="s">
        <v>717</v>
      </c>
      <c r="C148" s="415" t="s">
        <v>718</v>
      </c>
      <c r="D148" s="363"/>
      <c r="E148" s="259"/>
      <c r="F148" s="434"/>
      <c r="G148" s="246"/>
      <c r="H148" s="406" t="s">
        <v>442</v>
      </c>
      <c r="I148" s="246"/>
      <c r="J148" s="434"/>
      <c r="K148" s="246"/>
      <c r="L148" s="261"/>
      <c r="M148" s="434"/>
      <c r="N148" s="246"/>
      <c r="O148" s="406" t="s">
        <v>442</v>
      </c>
      <c r="P148" s="246"/>
      <c r="Q148" s="434"/>
      <c r="R148" s="246"/>
      <c r="S148" s="261"/>
      <c r="T148" s="434"/>
      <c r="U148" s="246"/>
      <c r="V148" s="406" t="s">
        <v>442</v>
      </c>
      <c r="W148" s="246"/>
      <c r="X148" s="434"/>
      <c r="Y148" s="246"/>
      <c r="Z148" s="261"/>
      <c r="AA148" s="434"/>
      <c r="AB148" s="246"/>
      <c r="AC148" s="406" t="s">
        <v>442</v>
      </c>
      <c r="AD148" s="246"/>
      <c r="AE148" s="434"/>
      <c r="AF148" s="246"/>
      <c r="AG148" s="261"/>
      <c r="AH148" s="434"/>
      <c r="AI148" s="246"/>
      <c r="AJ148" s="406" t="s">
        <v>442</v>
      </c>
      <c r="AK148" s="246"/>
      <c r="AL148" s="434"/>
      <c r="AM148" s="246"/>
      <c r="AN148" s="261"/>
      <c r="AO148" s="434"/>
      <c r="AP148" s="246"/>
      <c r="AQ148" s="406" t="s">
        <v>463</v>
      </c>
      <c r="AR148" s="246"/>
      <c r="AS148" s="434"/>
      <c r="AT148" s="254" t="str">
        <f t="shared" si="30"/>
        <v/>
      </c>
      <c r="AU148" s="269"/>
      <c r="AV148" s="269"/>
    </row>
    <row r="149">
      <c r="A149" s="94"/>
      <c r="B149" s="436" t="s">
        <v>719</v>
      </c>
      <c r="C149" s="437" t="s">
        <v>720</v>
      </c>
      <c r="D149" s="330"/>
      <c r="E149" s="259"/>
      <c r="F149" s="406"/>
      <c r="G149" s="246"/>
      <c r="H149" s="406" t="s">
        <v>463</v>
      </c>
      <c r="I149" s="246"/>
      <c r="J149" s="406"/>
      <c r="K149" s="246"/>
      <c r="L149" s="261"/>
      <c r="M149" s="406"/>
      <c r="N149" s="246"/>
      <c r="O149" s="406" t="s">
        <v>463</v>
      </c>
      <c r="P149" s="246"/>
      <c r="Q149" s="406"/>
      <c r="R149" s="246"/>
      <c r="S149" s="261"/>
      <c r="T149" s="406"/>
      <c r="U149" s="246"/>
      <c r="V149" s="406" t="s">
        <v>463</v>
      </c>
      <c r="W149" s="246"/>
      <c r="X149" s="406"/>
      <c r="Y149" s="246"/>
      <c r="Z149" s="261"/>
      <c r="AA149" s="406"/>
      <c r="AB149" s="246"/>
      <c r="AC149" s="406" t="s">
        <v>946</v>
      </c>
      <c r="AD149" s="246"/>
      <c r="AE149" s="406"/>
      <c r="AF149" s="246"/>
      <c r="AG149" s="261"/>
      <c r="AH149" s="406"/>
      <c r="AI149" s="246"/>
      <c r="AJ149" s="406" t="s">
        <v>847</v>
      </c>
      <c r="AK149" s="246"/>
      <c r="AL149" s="406"/>
      <c r="AM149" s="246"/>
      <c r="AN149" s="261"/>
      <c r="AO149" s="406"/>
      <c r="AP149" s="246"/>
      <c r="AQ149" s="406"/>
      <c r="AR149" s="246"/>
      <c r="AS149" s="406"/>
      <c r="AT149" s="254" t="str">
        <f t="shared" si="30"/>
        <v/>
      </c>
      <c r="AU149" s="269"/>
      <c r="AV149" s="269"/>
    </row>
    <row r="150">
      <c r="A150" s="94"/>
      <c r="B150" s="439" t="s">
        <v>721</v>
      </c>
      <c r="C150" s="440" t="s">
        <v>722</v>
      </c>
      <c r="D150" s="330"/>
      <c r="E150" s="259"/>
      <c r="F150" s="406"/>
      <c r="G150" s="246"/>
      <c r="H150" s="406" t="s">
        <v>454</v>
      </c>
      <c r="I150" s="246"/>
      <c r="J150" s="406"/>
      <c r="K150" s="246"/>
      <c r="L150" s="261"/>
      <c r="M150" s="406"/>
      <c r="N150" s="246"/>
      <c r="O150" s="406" t="s">
        <v>454</v>
      </c>
      <c r="P150" s="246"/>
      <c r="Q150" s="406"/>
      <c r="R150" s="246"/>
      <c r="S150" s="261"/>
      <c r="T150" s="406"/>
      <c r="U150" s="246"/>
      <c r="V150" s="406" t="s">
        <v>957</v>
      </c>
      <c r="W150" s="246"/>
      <c r="X150" s="406" t="s">
        <v>970</v>
      </c>
      <c r="Y150" s="246"/>
      <c r="Z150" s="261"/>
      <c r="AA150" s="406"/>
      <c r="AB150" s="246"/>
      <c r="AC150" s="406" t="s">
        <v>454</v>
      </c>
      <c r="AD150" s="246"/>
      <c r="AE150" s="406"/>
      <c r="AF150" s="246"/>
      <c r="AG150" s="261"/>
      <c r="AH150" s="406"/>
      <c r="AI150" s="246"/>
      <c r="AJ150" s="406" t="s">
        <v>454</v>
      </c>
      <c r="AK150" s="246"/>
      <c r="AL150" s="406"/>
      <c r="AM150" s="246"/>
      <c r="AN150" s="261"/>
      <c r="AO150" s="406"/>
      <c r="AP150" s="246"/>
      <c r="AQ150" s="406"/>
      <c r="AR150" s="246"/>
      <c r="AS150" s="406"/>
      <c r="AT150" s="254" t="str">
        <f t="shared" si="30"/>
        <v/>
      </c>
      <c r="AU150" s="269"/>
      <c r="AV150" s="269"/>
    </row>
    <row r="151">
      <c r="A151" s="94"/>
      <c r="B151" s="439" t="s">
        <v>723</v>
      </c>
      <c r="C151" s="440" t="s">
        <v>724</v>
      </c>
      <c r="D151" s="330"/>
      <c r="E151" s="259"/>
      <c r="F151" s="406" t="s">
        <v>970</v>
      </c>
      <c r="G151" s="246"/>
      <c r="H151" s="434" t="s">
        <v>946</v>
      </c>
      <c r="I151" s="246"/>
      <c r="J151" s="406" t="s">
        <v>957</v>
      </c>
      <c r="K151" s="246"/>
      <c r="L151" s="261"/>
      <c r="M151" s="406" t="s">
        <v>970</v>
      </c>
      <c r="N151" s="246"/>
      <c r="O151" s="434" t="s">
        <v>946</v>
      </c>
      <c r="P151" s="246"/>
      <c r="Q151" s="406" t="s">
        <v>957</v>
      </c>
      <c r="R151" s="246"/>
      <c r="S151" s="261"/>
      <c r="T151" s="406"/>
      <c r="U151" s="246"/>
      <c r="V151" s="434" t="s">
        <v>460</v>
      </c>
      <c r="W151" s="246"/>
      <c r="X151" s="406"/>
      <c r="Y151" s="246"/>
      <c r="Z151" s="261"/>
      <c r="AA151" s="406"/>
      <c r="AB151" s="246"/>
      <c r="AC151" s="406" t="s">
        <v>847</v>
      </c>
      <c r="AD151" s="246"/>
      <c r="AE151" s="406"/>
      <c r="AF151" s="246"/>
      <c r="AG151" s="261"/>
      <c r="AH151" s="406"/>
      <c r="AI151" s="246"/>
      <c r="AJ151" s="406" t="s">
        <v>463</v>
      </c>
      <c r="AK151" s="246"/>
      <c r="AL151" s="406"/>
      <c r="AM151" s="246"/>
      <c r="AN151" s="261"/>
      <c r="AO151" s="406"/>
      <c r="AP151" s="246"/>
      <c r="AQ151" s="434"/>
      <c r="AR151" s="246"/>
      <c r="AS151" s="406"/>
      <c r="AT151" s="254" t="str">
        <f t="shared" si="30"/>
        <v/>
      </c>
      <c r="AU151" s="269"/>
      <c r="AV151" s="269"/>
    </row>
    <row r="152">
      <c r="A152" s="94"/>
      <c r="B152" s="439" t="s">
        <v>725</v>
      </c>
      <c r="C152" s="442" t="s">
        <v>726</v>
      </c>
      <c r="D152" s="330"/>
      <c r="E152" s="259"/>
      <c r="F152" s="441"/>
      <c r="G152" s="246"/>
      <c r="H152" s="406" t="s">
        <v>460</v>
      </c>
      <c r="I152" s="246"/>
      <c r="J152" s="441"/>
      <c r="K152" s="246"/>
      <c r="L152" s="261"/>
      <c r="M152" s="441"/>
      <c r="N152" s="246"/>
      <c r="O152" s="406" t="s">
        <v>460</v>
      </c>
      <c r="P152" s="246"/>
      <c r="Q152" s="441"/>
      <c r="R152" s="246"/>
      <c r="S152" s="261"/>
      <c r="T152" s="441"/>
      <c r="U152" s="246"/>
      <c r="V152" s="406" t="s">
        <v>454</v>
      </c>
      <c r="W152" s="246"/>
      <c r="X152" s="441"/>
      <c r="Y152" s="246"/>
      <c r="Z152" s="261"/>
      <c r="AA152" s="441"/>
      <c r="AB152" s="246"/>
      <c r="AC152" s="406" t="s">
        <v>957</v>
      </c>
      <c r="AD152" s="246"/>
      <c r="AE152" s="406" t="s">
        <v>970</v>
      </c>
      <c r="AF152" s="246"/>
      <c r="AG152" s="261"/>
      <c r="AH152" s="406"/>
      <c r="AI152" s="246"/>
      <c r="AJ152" s="406" t="s">
        <v>957</v>
      </c>
      <c r="AK152" s="246"/>
      <c r="AL152" s="406" t="s">
        <v>970</v>
      </c>
      <c r="AM152" s="246"/>
      <c r="AN152" s="261"/>
      <c r="AO152" s="441"/>
      <c r="AP152" s="246"/>
      <c r="AQ152" s="434" t="s">
        <v>958</v>
      </c>
      <c r="AR152" s="246"/>
      <c r="AS152" s="441"/>
      <c r="AT152" s="254" t="str">
        <f>IF(COUNTIF($AO$80:$AT$82, #REF!) &gt; 0, "X", "")</f>
        <v/>
      </c>
      <c r="AU152" s="269"/>
      <c r="AV152" s="269"/>
    </row>
    <row r="153">
      <c r="A153" s="94"/>
      <c r="B153" s="447" t="s">
        <v>729</v>
      </c>
      <c r="C153" s="448" t="s">
        <v>730</v>
      </c>
      <c r="D153" s="330"/>
      <c r="E153" s="259"/>
      <c r="F153" s="441"/>
      <c r="G153" s="246"/>
      <c r="H153" s="406"/>
      <c r="I153" s="246"/>
      <c r="J153" s="441"/>
      <c r="K153" s="246"/>
      <c r="L153" s="261"/>
      <c r="M153" s="441"/>
      <c r="N153" s="246"/>
      <c r="O153" s="406"/>
      <c r="P153" s="246"/>
      <c r="Q153" s="441"/>
      <c r="R153" s="246"/>
      <c r="S153" s="261"/>
      <c r="T153" s="441"/>
      <c r="U153" s="246"/>
      <c r="V153" s="441"/>
      <c r="W153" s="246"/>
      <c r="X153" s="441"/>
      <c r="Y153" s="246"/>
      <c r="Z153" s="261"/>
      <c r="AA153" s="441"/>
      <c r="AB153" s="246"/>
      <c r="AC153" s="406"/>
      <c r="AD153" s="246"/>
      <c r="AE153" s="441"/>
      <c r="AF153" s="246"/>
      <c r="AG153" s="261"/>
      <c r="AH153" s="441"/>
      <c r="AI153" s="246"/>
      <c r="AJ153" s="441"/>
      <c r="AK153" s="246"/>
      <c r="AL153" s="441"/>
      <c r="AM153" s="246"/>
      <c r="AN153" s="261"/>
      <c r="AO153" s="441"/>
      <c r="AP153" s="246"/>
      <c r="AQ153" s="441"/>
      <c r="AR153" s="246"/>
      <c r="AS153" s="441"/>
      <c r="AT153" s="254" t="str">
        <f t="shared" ref="AT153:AT155" si="31">IF(COUNTIF($AO$80:$AT$82, AS153) &gt; 0, "X", "")</f>
        <v/>
      </c>
      <c r="AU153" s="269"/>
      <c r="AV153" s="269"/>
    </row>
    <row r="154">
      <c r="A154" s="94"/>
      <c r="B154" s="450" t="s">
        <v>731</v>
      </c>
      <c r="C154" s="451" t="s">
        <v>732</v>
      </c>
      <c r="D154" s="363"/>
      <c r="E154" s="259"/>
      <c r="F154" s="206"/>
      <c r="G154" s="246"/>
      <c r="H154" s="406" t="s">
        <v>847</v>
      </c>
      <c r="I154" s="246"/>
      <c r="J154" s="206"/>
      <c r="K154" s="246"/>
      <c r="L154" s="261"/>
      <c r="M154" s="206"/>
      <c r="N154" s="246"/>
      <c r="O154" s="406" t="s">
        <v>847</v>
      </c>
      <c r="P154" s="246"/>
      <c r="Q154" s="206"/>
      <c r="R154" s="246"/>
      <c r="S154" s="261"/>
      <c r="T154" s="406"/>
      <c r="U154" s="246"/>
      <c r="V154" s="434" t="s">
        <v>946</v>
      </c>
      <c r="W154" s="246"/>
      <c r="X154" s="206"/>
      <c r="Y154" s="246"/>
      <c r="Z154" s="261"/>
      <c r="AA154" s="206"/>
      <c r="AB154" s="246"/>
      <c r="AC154" s="434" t="s">
        <v>460</v>
      </c>
      <c r="AD154" s="246"/>
      <c r="AE154" s="206"/>
      <c r="AF154" s="246"/>
      <c r="AG154" s="261"/>
      <c r="AH154" s="206"/>
      <c r="AI154" s="246"/>
      <c r="AJ154" s="406" t="s">
        <v>946</v>
      </c>
      <c r="AK154" s="246"/>
      <c r="AL154" s="206"/>
      <c r="AM154" s="246"/>
      <c r="AN154" s="261"/>
      <c r="AO154" s="206"/>
      <c r="AP154" s="246"/>
      <c r="AQ154" s="206"/>
      <c r="AR154" s="246"/>
      <c r="AS154" s="206"/>
      <c r="AT154" s="254" t="str">
        <f t="shared" si="31"/>
        <v/>
      </c>
      <c r="AU154" s="269"/>
      <c r="AV154" s="269"/>
    </row>
    <row r="155">
      <c r="A155" s="94"/>
      <c r="B155" s="452" t="s">
        <v>733</v>
      </c>
      <c r="C155" s="453" t="s">
        <v>734</v>
      </c>
      <c r="D155" s="363"/>
      <c r="E155" s="259"/>
      <c r="F155" s="74"/>
      <c r="G155" s="246"/>
      <c r="H155" s="594" t="s">
        <v>395</v>
      </c>
      <c r="I155" s="246"/>
      <c r="J155" s="74"/>
      <c r="K155" s="246"/>
      <c r="L155" s="261"/>
      <c r="M155" s="74"/>
      <c r="N155" s="246"/>
      <c r="O155" s="594" t="s">
        <v>395</v>
      </c>
      <c r="P155" s="246"/>
      <c r="Q155" s="74"/>
      <c r="R155" s="246"/>
      <c r="S155" s="261"/>
      <c r="T155" s="74"/>
      <c r="U155" s="246"/>
      <c r="V155" s="594" t="s">
        <v>395</v>
      </c>
      <c r="W155" s="246"/>
      <c r="X155" s="74"/>
      <c r="Y155" s="246"/>
      <c r="Z155" s="261"/>
      <c r="AA155" s="74"/>
      <c r="AB155" s="246"/>
      <c r="AC155" s="594" t="s">
        <v>395</v>
      </c>
      <c r="AD155" s="246"/>
      <c r="AE155" s="74"/>
      <c r="AF155" s="246"/>
      <c r="AG155" s="261"/>
      <c r="AH155" s="74"/>
      <c r="AI155" s="246"/>
      <c r="AJ155" s="594" t="s">
        <v>395</v>
      </c>
      <c r="AK155" s="246"/>
      <c r="AL155" s="74"/>
      <c r="AM155" s="246"/>
      <c r="AN155" s="261"/>
      <c r="AO155" s="74"/>
      <c r="AP155" s="246"/>
      <c r="AQ155" s="434" t="s">
        <v>460</v>
      </c>
      <c r="AR155" s="246"/>
      <c r="AS155" s="654"/>
      <c r="AT155" s="254" t="str">
        <f t="shared" si="31"/>
        <v/>
      </c>
      <c r="AU155" s="269"/>
      <c r="AV155" s="269"/>
    </row>
    <row r="156">
      <c r="A156" s="94"/>
      <c r="B156" s="636"/>
      <c r="C156" s="637"/>
      <c r="D156" s="269"/>
      <c r="E156" s="638"/>
      <c r="F156" s="446"/>
      <c r="G156" s="246"/>
      <c r="H156" s="446"/>
      <c r="I156" s="246"/>
      <c r="J156" s="446"/>
      <c r="K156" s="246"/>
      <c r="L156" s="462"/>
      <c r="M156" s="446"/>
      <c r="N156" s="246"/>
      <c r="O156" s="446"/>
      <c r="P156" s="246"/>
      <c r="Q156" s="446"/>
      <c r="R156" s="246"/>
      <c r="S156" s="462"/>
      <c r="T156" s="446"/>
      <c r="U156" s="246"/>
      <c r="V156" s="446"/>
      <c r="W156" s="246"/>
      <c r="X156" s="446"/>
      <c r="Y156" s="246"/>
      <c r="Z156" s="462"/>
      <c r="AA156" s="446"/>
      <c r="AB156" s="246"/>
      <c r="AC156" s="446"/>
      <c r="AD156" s="246"/>
      <c r="AE156" s="446"/>
      <c r="AF156" s="246"/>
      <c r="AG156" s="462"/>
      <c r="AH156" s="446"/>
      <c r="AI156" s="246"/>
      <c r="AJ156" s="446"/>
      <c r="AK156" s="246"/>
      <c r="AL156" s="446"/>
      <c r="AM156" s="246"/>
      <c r="AN156" s="462"/>
      <c r="AO156" s="446"/>
      <c r="AP156" s="246"/>
      <c r="AQ156" s="446"/>
      <c r="AR156" s="246"/>
      <c r="AS156" s="446"/>
      <c r="AT156" s="254"/>
      <c r="AU156" s="269"/>
      <c r="AV156" s="269"/>
    </row>
    <row r="157">
      <c r="A157" s="94"/>
      <c r="B157" s="454" t="s">
        <v>735</v>
      </c>
      <c r="C157" s="455" t="s">
        <v>736</v>
      </c>
      <c r="D157" s="363"/>
      <c r="E157" s="259"/>
      <c r="F157" s="441"/>
      <c r="G157" s="246"/>
      <c r="H157" s="441"/>
      <c r="I157" s="246"/>
      <c r="J157" s="405" t="s">
        <v>462</v>
      </c>
      <c r="K157" s="246"/>
      <c r="L157" s="261"/>
      <c r="M157" s="441"/>
      <c r="N157" s="246"/>
      <c r="O157" s="441"/>
      <c r="P157" s="246"/>
      <c r="Q157" s="441"/>
      <c r="R157" s="246"/>
      <c r="S157" s="261"/>
      <c r="T157" s="441"/>
      <c r="U157" s="246"/>
      <c r="V157" s="441"/>
      <c r="W157" s="246"/>
      <c r="X157" s="405" t="s">
        <v>462</v>
      </c>
      <c r="Y157" s="246"/>
      <c r="Z157" s="261"/>
      <c r="AA157" s="441"/>
      <c r="AB157" s="246"/>
      <c r="AC157" s="441"/>
      <c r="AD157" s="246"/>
      <c r="AE157" s="441"/>
      <c r="AF157" s="246"/>
      <c r="AG157" s="261"/>
      <c r="AH157" s="441"/>
      <c r="AI157" s="246"/>
      <c r="AJ157" s="441"/>
      <c r="AK157" s="246"/>
      <c r="AL157" s="405" t="s">
        <v>462</v>
      </c>
      <c r="AM157" s="246"/>
      <c r="AN157" s="261"/>
      <c r="AO157" s="441"/>
      <c r="AP157" s="246"/>
      <c r="AQ157" s="441"/>
      <c r="AR157" s="246"/>
      <c r="AS157" s="441"/>
      <c r="AT157" s="254" t="str">
        <f t="shared" ref="AT157:AT159" si="32">IF(COUNTIF($AO$80:$AT$82, AS157) &gt; 0, "X", "")</f>
        <v/>
      </c>
      <c r="AU157" s="269"/>
      <c r="AV157" s="269"/>
    </row>
    <row r="158">
      <c r="A158" s="94"/>
      <c r="B158" s="454" t="s">
        <v>735</v>
      </c>
      <c r="C158" s="442" t="s">
        <v>736</v>
      </c>
      <c r="D158" s="363"/>
      <c r="E158" s="259"/>
      <c r="F158" s="456"/>
      <c r="G158" s="246"/>
      <c r="H158" s="456"/>
      <c r="I158" s="246"/>
      <c r="J158" s="456"/>
      <c r="K158" s="246"/>
      <c r="L158" s="261"/>
      <c r="M158" s="456"/>
      <c r="N158" s="246"/>
      <c r="O158" s="456"/>
      <c r="P158" s="246"/>
      <c r="Q158" s="456"/>
      <c r="R158" s="246"/>
      <c r="S158" s="261"/>
      <c r="T158" s="456"/>
      <c r="U158" s="246"/>
      <c r="V158" s="456"/>
      <c r="W158" s="246"/>
      <c r="X158" s="456"/>
      <c r="Y158" s="246"/>
      <c r="Z158" s="261"/>
      <c r="AA158" s="456"/>
      <c r="AB158" s="246"/>
      <c r="AC158" s="456"/>
      <c r="AD158" s="246"/>
      <c r="AE158" s="456"/>
      <c r="AF158" s="246"/>
      <c r="AG158" s="261"/>
      <c r="AH158" s="456"/>
      <c r="AI158" s="246"/>
      <c r="AJ158" s="456"/>
      <c r="AK158" s="246"/>
      <c r="AL158" s="456"/>
      <c r="AM158" s="246"/>
      <c r="AN158" s="261"/>
      <c r="AO158" s="456"/>
      <c r="AP158" s="246"/>
      <c r="AQ158" s="456"/>
      <c r="AR158" s="246"/>
      <c r="AS158" s="456"/>
      <c r="AT158" s="254" t="str">
        <f t="shared" si="32"/>
        <v/>
      </c>
      <c r="AU158" s="269"/>
      <c r="AV158" s="269"/>
    </row>
    <row r="159">
      <c r="A159" s="94"/>
      <c r="B159" s="457" t="s">
        <v>735</v>
      </c>
      <c r="C159" s="458" t="s">
        <v>737</v>
      </c>
      <c r="D159" s="363"/>
      <c r="E159" s="259"/>
      <c r="F159" s="406"/>
      <c r="G159" s="246"/>
      <c r="H159" s="406"/>
      <c r="I159" s="246"/>
      <c r="J159" s="406"/>
      <c r="K159" s="246"/>
      <c r="L159" s="261"/>
      <c r="M159" s="406"/>
      <c r="N159" s="246"/>
      <c r="O159" s="406"/>
      <c r="P159" s="246"/>
      <c r="Q159" s="406"/>
      <c r="R159" s="246"/>
      <c r="S159" s="261"/>
      <c r="T159" s="406"/>
      <c r="U159" s="246"/>
      <c r="V159" s="406"/>
      <c r="W159" s="246"/>
      <c r="X159" s="406"/>
      <c r="Y159" s="246"/>
      <c r="Z159" s="261"/>
      <c r="AA159" s="406"/>
      <c r="AB159" s="246"/>
      <c r="AC159" s="406"/>
      <c r="AD159" s="246"/>
      <c r="AE159" s="406"/>
      <c r="AF159" s="246"/>
      <c r="AG159" s="261"/>
      <c r="AH159" s="406"/>
      <c r="AI159" s="246"/>
      <c r="AJ159" s="406"/>
      <c r="AK159" s="246"/>
      <c r="AL159" s="406"/>
      <c r="AM159" s="246"/>
      <c r="AN159" s="261"/>
      <c r="AO159" s="406"/>
      <c r="AP159" s="246"/>
      <c r="AQ159" s="406"/>
      <c r="AR159" s="246"/>
      <c r="AS159" s="406"/>
      <c r="AT159" s="254" t="str">
        <f t="shared" si="32"/>
        <v/>
      </c>
      <c r="AU159" s="269"/>
      <c r="AV159" s="269"/>
    </row>
    <row r="160">
      <c r="A160" s="94"/>
      <c r="B160" s="459"/>
      <c r="C160" s="460" t="s">
        <v>738</v>
      </c>
      <c r="D160" s="363"/>
      <c r="E160" s="259"/>
      <c r="F160" s="461" t="s">
        <v>971</v>
      </c>
      <c r="G160" s="246"/>
      <c r="H160" s="132"/>
      <c r="I160" s="246"/>
      <c r="J160" s="132"/>
      <c r="K160" s="246"/>
      <c r="L160" s="462"/>
      <c r="M160" s="461"/>
      <c r="N160" s="246"/>
      <c r="O160" s="132"/>
      <c r="P160" s="246"/>
      <c r="Q160" s="132"/>
      <c r="R160" s="246"/>
      <c r="S160" s="462"/>
      <c r="T160" s="461"/>
      <c r="U160" s="246"/>
      <c r="V160" s="132"/>
      <c r="W160" s="246"/>
      <c r="X160" s="132"/>
      <c r="Y160" s="246"/>
      <c r="Z160" s="462"/>
      <c r="AA160" s="461" t="s">
        <v>528</v>
      </c>
      <c r="AB160" s="246"/>
      <c r="AC160" s="132"/>
      <c r="AD160" s="246"/>
      <c r="AE160" s="132"/>
      <c r="AF160" s="246"/>
      <c r="AG160" s="462"/>
      <c r="AH160" s="461" t="s">
        <v>972</v>
      </c>
      <c r="AI160" s="246"/>
      <c r="AJ160" s="132"/>
      <c r="AK160" s="246"/>
      <c r="AL160" s="132"/>
      <c r="AM160" s="246"/>
      <c r="AN160" s="462"/>
      <c r="AO160" s="461" t="s">
        <v>973</v>
      </c>
      <c r="AP160" s="246"/>
      <c r="AQ160" s="132"/>
      <c r="AR160" s="246"/>
      <c r="AS160" s="132"/>
      <c r="AT160" s="460"/>
      <c r="AU160" s="269"/>
      <c r="AV160" s="269"/>
    </row>
    <row r="161">
      <c r="A161" s="270"/>
      <c r="B161" s="459"/>
      <c r="C161" s="460" t="s">
        <v>738</v>
      </c>
      <c r="D161" s="363"/>
      <c r="E161" s="259"/>
      <c r="F161" s="461"/>
      <c r="G161" s="246"/>
      <c r="H161" s="132"/>
      <c r="I161" s="246"/>
      <c r="J161" s="132"/>
      <c r="K161" s="246"/>
      <c r="L161" s="462"/>
      <c r="M161" s="461" t="s">
        <v>514</v>
      </c>
      <c r="N161" s="246"/>
      <c r="O161" s="132"/>
      <c r="P161" s="246"/>
      <c r="Q161" s="132"/>
      <c r="R161" s="246"/>
      <c r="S161" s="462"/>
      <c r="T161" s="461" t="s">
        <v>514</v>
      </c>
      <c r="U161" s="246"/>
      <c r="V161" s="132"/>
      <c r="W161" s="246"/>
      <c r="X161" s="132"/>
      <c r="Y161" s="246"/>
      <c r="Z161" s="462"/>
      <c r="AA161" s="461" t="s">
        <v>514</v>
      </c>
      <c r="AB161" s="246"/>
      <c r="AC161" s="132"/>
      <c r="AD161" s="246"/>
      <c r="AE161" s="132"/>
      <c r="AF161" s="246"/>
      <c r="AG161" s="462"/>
      <c r="AH161" s="461" t="s">
        <v>514</v>
      </c>
      <c r="AI161" s="246"/>
      <c r="AJ161" s="132"/>
      <c r="AK161" s="246"/>
      <c r="AL161" s="132"/>
      <c r="AM161" s="246"/>
      <c r="AN161" s="462"/>
      <c r="AO161" s="461" t="s">
        <v>514</v>
      </c>
      <c r="AP161" s="246"/>
      <c r="AQ161" s="132"/>
      <c r="AR161" s="246"/>
      <c r="AS161" s="132"/>
      <c r="AT161" s="460"/>
      <c r="AU161" s="236"/>
      <c r="AV161" s="236"/>
    </row>
    <row r="162">
      <c r="A162" s="236"/>
      <c r="B162" s="459"/>
      <c r="C162" s="460" t="s">
        <v>738</v>
      </c>
      <c r="D162" s="363"/>
      <c r="E162" s="259"/>
      <c r="F162" s="132"/>
      <c r="G162" s="246"/>
      <c r="H162" s="132"/>
      <c r="I162" s="246"/>
      <c r="J162" s="132"/>
      <c r="K162" s="246"/>
      <c r="L162" s="462"/>
      <c r="M162" s="132"/>
      <c r="N162" s="246"/>
      <c r="O162" s="132"/>
      <c r="P162" s="246"/>
      <c r="Q162" s="132"/>
      <c r="R162" s="246"/>
      <c r="S162" s="462"/>
      <c r="T162" s="132"/>
      <c r="U162" s="246"/>
      <c r="V162" s="132"/>
      <c r="W162" s="246"/>
      <c r="X162" s="132"/>
      <c r="Y162" s="246"/>
      <c r="Z162" s="462"/>
      <c r="AA162" s="132"/>
      <c r="AB162" s="246"/>
      <c r="AC162" s="132"/>
      <c r="AD162" s="246"/>
      <c r="AE162" s="132"/>
      <c r="AF162" s="246"/>
      <c r="AG162" s="462"/>
      <c r="AH162" s="461"/>
      <c r="AI162" s="246"/>
      <c r="AJ162" s="132"/>
      <c r="AK162" s="246"/>
      <c r="AL162" s="132"/>
      <c r="AM162" s="246"/>
      <c r="AN162" s="462"/>
      <c r="AO162" s="461"/>
      <c r="AP162" s="246"/>
      <c r="AQ162" s="132"/>
      <c r="AR162" s="246"/>
      <c r="AS162" s="132"/>
      <c r="AT162" s="460"/>
      <c r="AU162" s="236"/>
      <c r="AV162" s="236"/>
    </row>
    <row r="163">
      <c r="A163" s="182"/>
      <c r="B163" s="183" t="s">
        <v>778</v>
      </c>
      <c r="C163" s="184" t="s">
        <v>605</v>
      </c>
      <c r="D163" s="185" t="s">
        <v>486</v>
      </c>
      <c r="E163" s="186"/>
      <c r="F163" s="185" t="s">
        <v>487</v>
      </c>
      <c r="M163" s="185" t="s">
        <v>488</v>
      </c>
      <c r="T163" s="185" t="s">
        <v>489</v>
      </c>
      <c r="AA163" s="185" t="s">
        <v>490</v>
      </c>
      <c r="AH163" s="185" t="s">
        <v>491</v>
      </c>
      <c r="AO163" s="185" t="s">
        <v>492</v>
      </c>
      <c r="AU163" s="182"/>
      <c r="AV163" s="182"/>
    </row>
    <row r="164">
      <c r="A164" s="182"/>
      <c r="B164" s="187"/>
      <c r="C164" s="187"/>
      <c r="D164" s="188">
        <f>AO84+1</f>
        <v>12</v>
      </c>
      <c r="E164" s="189"/>
      <c r="F164" s="188">
        <f>D164+1</f>
        <v>13</v>
      </c>
      <c r="M164" s="188">
        <f>F164+1</f>
        <v>14</v>
      </c>
      <c r="T164" s="188">
        <f>M164+1</f>
        <v>15</v>
      </c>
      <c r="AA164" s="188">
        <f>T164+1</f>
        <v>16</v>
      </c>
      <c r="AH164" s="188">
        <f>AA164+1</f>
        <v>17</v>
      </c>
      <c r="AO164" s="188">
        <f>AH164+1</f>
        <v>18</v>
      </c>
      <c r="AU164" s="182"/>
      <c r="AV164" s="182"/>
    </row>
    <row r="165">
      <c r="A165" s="182"/>
      <c r="B165" s="193" t="s">
        <v>608</v>
      </c>
      <c r="C165" s="193" t="s">
        <v>609</v>
      </c>
      <c r="D165" s="187"/>
      <c r="E165" s="189"/>
      <c r="F165" s="194" t="s">
        <v>610</v>
      </c>
      <c r="G165" s="195"/>
      <c r="H165" s="193" t="s">
        <v>611</v>
      </c>
      <c r="J165" s="194" t="s">
        <v>612</v>
      </c>
      <c r="M165" s="194" t="s">
        <v>610</v>
      </c>
      <c r="N165" s="195"/>
      <c r="O165" s="193" t="s">
        <v>611</v>
      </c>
      <c r="P165" s="195"/>
      <c r="Q165" s="194" t="s">
        <v>612</v>
      </c>
      <c r="S165" s="193"/>
      <c r="T165" s="194" t="s">
        <v>610</v>
      </c>
      <c r="U165" s="195"/>
      <c r="V165" s="193" t="s">
        <v>611</v>
      </c>
      <c r="W165" s="195"/>
      <c r="X165" s="194" t="s">
        <v>612</v>
      </c>
      <c r="Z165" s="193"/>
      <c r="AA165" s="194" t="s">
        <v>610</v>
      </c>
      <c r="AB165" s="195"/>
      <c r="AC165" s="193" t="s">
        <v>611</v>
      </c>
      <c r="AD165" s="195"/>
      <c r="AE165" s="194" t="s">
        <v>612</v>
      </c>
      <c r="AG165" s="193"/>
      <c r="AH165" s="194" t="s">
        <v>610</v>
      </c>
      <c r="AI165" s="195"/>
      <c r="AJ165" s="193" t="s">
        <v>611</v>
      </c>
      <c r="AK165" s="195"/>
      <c r="AL165" s="194" t="s">
        <v>612</v>
      </c>
      <c r="AN165" s="193"/>
      <c r="AO165" s="194" t="s">
        <v>610</v>
      </c>
      <c r="AP165" s="195"/>
      <c r="AQ165" s="193" t="s">
        <v>611</v>
      </c>
      <c r="AR165" s="195"/>
      <c r="AS165" s="194" t="s">
        <v>612</v>
      </c>
      <c r="AU165" s="182"/>
      <c r="AV165" s="182"/>
    </row>
    <row r="166">
      <c r="A166" s="199"/>
      <c r="B166" s="200" t="s">
        <v>620</v>
      </c>
      <c r="C166" s="201"/>
      <c r="D166" s="203"/>
      <c r="E166" s="202"/>
      <c r="F166" s="203"/>
      <c r="G166" s="204"/>
      <c r="H166" s="203"/>
      <c r="I166" s="204"/>
      <c r="J166" s="203"/>
      <c r="K166" s="204"/>
      <c r="L166" s="205"/>
      <c r="M166" s="203" t="s">
        <v>747</v>
      </c>
      <c r="N166" s="204"/>
      <c r="O166" s="203" t="s">
        <v>748</v>
      </c>
      <c r="P166" s="204"/>
      <c r="Q166" s="203" t="s">
        <v>620</v>
      </c>
      <c r="R166" s="204"/>
      <c r="S166" s="205"/>
      <c r="T166" s="203"/>
      <c r="U166" s="204"/>
      <c r="V166" s="203"/>
      <c r="W166" s="204"/>
      <c r="X166" s="203"/>
      <c r="Y166" s="204"/>
      <c r="Z166" s="205"/>
      <c r="AA166" s="203"/>
      <c r="AB166" s="204"/>
      <c r="AC166" s="203"/>
      <c r="AD166" s="204"/>
      <c r="AE166" s="203"/>
      <c r="AF166" s="204"/>
      <c r="AG166" s="205"/>
      <c r="AH166" s="203"/>
      <c r="AI166" s="204"/>
      <c r="AJ166" s="203"/>
      <c r="AK166" s="204"/>
      <c r="AL166" s="203" t="s">
        <v>974</v>
      </c>
      <c r="AM166" s="204"/>
      <c r="AN166" s="205"/>
      <c r="AO166" s="203"/>
      <c r="AP166" s="204"/>
      <c r="AQ166" s="203"/>
      <c r="AR166" s="204"/>
      <c r="AS166" s="203"/>
      <c r="AT166" s="204"/>
      <c r="AU166" s="199"/>
      <c r="AV166" s="199"/>
    </row>
    <row r="167">
      <c r="A167" s="234"/>
      <c r="B167" s="235" t="s">
        <v>608</v>
      </c>
      <c r="C167" s="195" t="s">
        <v>609</v>
      </c>
      <c r="D167" s="236"/>
      <c r="E167" s="237"/>
      <c r="F167" s="238"/>
      <c r="G167" s="182"/>
      <c r="H167" s="238"/>
      <c r="I167" s="239"/>
      <c r="J167" s="238"/>
      <c r="K167" s="239"/>
      <c r="L167" s="237"/>
      <c r="M167" s="238"/>
      <c r="N167" s="182"/>
      <c r="O167" s="238"/>
      <c r="P167" s="239"/>
      <c r="Q167" s="238"/>
      <c r="R167" s="239"/>
      <c r="S167" s="237"/>
      <c r="T167" s="238"/>
      <c r="U167" s="182"/>
      <c r="V167" s="238"/>
      <c r="W167" s="239"/>
      <c r="X167" s="238"/>
      <c r="Y167" s="239"/>
      <c r="Z167" s="237"/>
      <c r="AA167" s="238"/>
      <c r="AB167" s="182"/>
      <c r="AC167" s="238"/>
      <c r="AD167" s="239"/>
      <c r="AE167" s="238"/>
      <c r="AF167" s="239"/>
      <c r="AG167" s="237"/>
      <c r="AH167" s="238"/>
      <c r="AI167" s="182"/>
      <c r="AJ167" s="238"/>
      <c r="AK167" s="239"/>
      <c r="AL167" s="238"/>
      <c r="AM167" s="239"/>
      <c r="AN167" s="237"/>
      <c r="AO167" s="238"/>
      <c r="AP167" s="182"/>
      <c r="AQ167" s="238"/>
      <c r="AR167" s="239"/>
      <c r="AS167" s="238"/>
      <c r="AT167" s="239"/>
      <c r="AU167" s="236"/>
      <c r="AV167" s="236"/>
    </row>
    <row r="168">
      <c r="A168" s="240"/>
      <c r="B168" s="241" t="s">
        <v>638</v>
      </c>
      <c r="C168" s="242" t="s">
        <v>639</v>
      </c>
      <c r="D168" s="243"/>
      <c r="E168" s="244"/>
      <c r="F168" s="371"/>
      <c r="G168" s="246"/>
      <c r="H168" s="426"/>
      <c r="I168" s="246"/>
      <c r="J168" s="274"/>
      <c r="K168" s="246"/>
      <c r="L168" s="249"/>
      <c r="M168" s="250"/>
      <c r="N168" s="246"/>
      <c r="P168" s="246"/>
      <c r="Q168" s="251" t="s">
        <v>405</v>
      </c>
      <c r="R168" s="246"/>
      <c r="S168" s="249"/>
      <c r="T168" s="250"/>
      <c r="U168" s="246"/>
      <c r="V168" s="282"/>
      <c r="W168" s="246"/>
      <c r="X168" s="251" t="s">
        <v>405</v>
      </c>
      <c r="Y168" s="246"/>
      <c r="Z168" s="249"/>
      <c r="AA168" s="250"/>
      <c r="AB168" s="246"/>
      <c r="AC168" s="282"/>
      <c r="AD168" s="246"/>
      <c r="AF168" s="246"/>
      <c r="AG168" s="249"/>
      <c r="AH168" s="371"/>
      <c r="AI168" s="246"/>
      <c r="AJ168" s="282"/>
      <c r="AK168" s="246"/>
      <c r="AL168" s="274"/>
      <c r="AM168" s="246"/>
      <c r="AN168" s="249"/>
      <c r="AP168" s="246"/>
      <c r="AR168" s="246"/>
      <c r="AT168" s="254" t="str">
        <f>IF(COUNTIF($AO$80:$AT$82, #REF!) &gt; 0, "X", "")</f>
        <v/>
      </c>
      <c r="AU168" s="255"/>
      <c r="AV168" s="255"/>
    </row>
    <row r="169">
      <c r="A169" s="94"/>
      <c r="B169" s="256" t="s">
        <v>638</v>
      </c>
      <c r="C169" s="257" t="s">
        <v>639</v>
      </c>
      <c r="D169" s="258"/>
      <c r="E169" s="259"/>
      <c r="F169" s="371"/>
      <c r="G169" s="246"/>
      <c r="H169" s="426"/>
      <c r="I169" s="246"/>
      <c r="J169" s="274" t="s">
        <v>419</v>
      </c>
      <c r="K169" s="246"/>
      <c r="L169" s="249"/>
      <c r="M169" s="250"/>
      <c r="N169" s="246"/>
      <c r="P169" s="246"/>
      <c r="R169" s="246"/>
      <c r="S169" s="249"/>
      <c r="T169" s="250"/>
      <c r="U169" s="246"/>
      <c r="V169" s="282"/>
      <c r="W169" s="246"/>
      <c r="X169" s="274" t="s">
        <v>414</v>
      </c>
      <c r="Y169" s="246"/>
      <c r="Z169" s="249"/>
      <c r="AA169" s="250"/>
      <c r="AB169" s="246"/>
      <c r="AC169" s="282"/>
      <c r="AD169" s="246"/>
      <c r="AE169" s="686" t="s">
        <v>419</v>
      </c>
      <c r="AF169" s="246"/>
      <c r="AG169" s="249"/>
      <c r="AH169" s="371"/>
      <c r="AI169" s="246"/>
      <c r="AJ169" s="282"/>
      <c r="AK169" s="246"/>
      <c r="AM169" s="246"/>
      <c r="AN169" s="249"/>
      <c r="AP169" s="246"/>
      <c r="AR169" s="246"/>
      <c r="AT169" s="254" t="str">
        <f>IF(COUNTIF($AO$80:$AT$82, AS175) &gt; 0, "X", "")</f>
        <v/>
      </c>
      <c r="AU169" s="269"/>
      <c r="AV169" s="269"/>
    </row>
    <row r="170">
      <c r="A170" s="270"/>
      <c r="B170" s="271" t="s">
        <v>642</v>
      </c>
      <c r="C170" s="272" t="s">
        <v>639</v>
      </c>
      <c r="D170" s="258"/>
      <c r="E170" s="259"/>
      <c r="F170" s="426"/>
      <c r="G170" s="246"/>
      <c r="H170" s="426"/>
      <c r="I170" s="246"/>
      <c r="J170" s="265"/>
      <c r="K170" s="246"/>
      <c r="L170" s="261"/>
      <c r="M170" s="262"/>
      <c r="N170" s="246"/>
      <c r="O170" s="265"/>
      <c r="P170" s="246"/>
      <c r="R170" s="246"/>
      <c r="S170" s="261"/>
      <c r="T170" s="262"/>
      <c r="U170" s="246"/>
      <c r="W170" s="246"/>
      <c r="Y170" s="246"/>
      <c r="Z170" s="261"/>
      <c r="AA170" s="262"/>
      <c r="AB170" s="246"/>
      <c r="AC170" s="265"/>
      <c r="AD170" s="246"/>
      <c r="AE170" s="474" t="s">
        <v>421</v>
      </c>
      <c r="AF170" s="246"/>
      <c r="AG170" s="261"/>
      <c r="AH170" s="426"/>
      <c r="AI170" s="246"/>
      <c r="AJ170" s="265"/>
      <c r="AK170" s="246"/>
      <c r="AM170" s="246"/>
      <c r="AN170" s="261"/>
      <c r="AO170" s="598"/>
      <c r="AP170" s="246"/>
      <c r="AR170" s="246"/>
      <c r="AT170" s="254" t="str">
        <f>IF(COUNTIF($AO$80:$AT$82, #REF!) &gt; 0, "X", "")</f>
        <v/>
      </c>
      <c r="AU170" s="269"/>
      <c r="AV170" s="269"/>
    </row>
    <row r="171">
      <c r="A171" s="234"/>
      <c r="B171" s="277" t="s">
        <v>644</v>
      </c>
      <c r="C171" s="278" t="s">
        <v>645</v>
      </c>
      <c r="D171" s="687" t="s">
        <v>975</v>
      </c>
      <c r="E171" s="259"/>
      <c r="F171" s="281"/>
      <c r="G171" s="246"/>
      <c r="H171" s="280" t="s">
        <v>400</v>
      </c>
      <c r="I171" s="246"/>
      <c r="J171" s="282"/>
      <c r="K171" s="246"/>
      <c r="L171" s="261"/>
      <c r="M171" s="250"/>
      <c r="N171" s="246"/>
      <c r="O171" s="281"/>
      <c r="P171" s="246"/>
      <c r="Q171" s="282"/>
      <c r="R171" s="246"/>
      <c r="S171" s="261"/>
      <c r="T171" s="250"/>
      <c r="U171" s="246"/>
      <c r="V171" s="280" t="s">
        <v>400</v>
      </c>
      <c r="W171" s="246"/>
      <c r="Y171" s="246"/>
      <c r="Z171" s="261"/>
      <c r="AA171" s="250"/>
      <c r="AB171" s="246"/>
      <c r="AC171" s="281"/>
      <c r="AD171" s="246"/>
      <c r="AE171" s="280" t="s">
        <v>400</v>
      </c>
      <c r="AF171" s="246"/>
      <c r="AG171" s="261"/>
      <c r="AH171" s="282"/>
      <c r="AI171" s="246"/>
      <c r="AJ171" s="280" t="s">
        <v>400</v>
      </c>
      <c r="AK171" s="246"/>
      <c r="AL171" s="281"/>
      <c r="AM171" s="246"/>
      <c r="AN171" s="261"/>
      <c r="AO171" s="276"/>
      <c r="AP171" s="246"/>
      <c r="AQ171" s="276"/>
      <c r="AR171" s="246"/>
      <c r="AT171" s="254" t="str">
        <f>IF(COUNTIF($AO$80:$AT$82, AO172) &gt; 0, "X", "")</f>
        <v/>
      </c>
      <c r="AU171" s="269"/>
      <c r="AV171" s="269"/>
    </row>
    <row r="172">
      <c r="A172" s="94"/>
      <c r="B172" s="256" t="s">
        <v>757</v>
      </c>
      <c r="C172" s="257" t="s">
        <v>645</v>
      </c>
      <c r="D172" s="311" t="s">
        <v>432</v>
      </c>
      <c r="E172" s="259"/>
      <c r="F172" s="274" t="s">
        <v>402</v>
      </c>
      <c r="G172" s="246"/>
      <c r="H172" s="371"/>
      <c r="I172" s="246"/>
      <c r="J172" s="371"/>
      <c r="K172" s="246"/>
      <c r="L172" s="261"/>
      <c r="M172" s="250"/>
      <c r="N172" s="246"/>
      <c r="O172" s="280" t="s">
        <v>402</v>
      </c>
      <c r="P172" s="246"/>
      <c r="Q172" s="280" t="s">
        <v>400</v>
      </c>
      <c r="R172" s="246"/>
      <c r="S172" s="261"/>
      <c r="T172" s="250"/>
      <c r="U172" s="246"/>
      <c r="V172" s="371"/>
      <c r="W172" s="246"/>
      <c r="X172" s="274" t="s">
        <v>402</v>
      </c>
      <c r="Y172" s="246"/>
      <c r="Z172" s="261"/>
      <c r="AA172" s="250"/>
      <c r="AB172" s="246"/>
      <c r="AC172" s="274" t="s">
        <v>402</v>
      </c>
      <c r="AD172" s="246"/>
      <c r="AE172" s="282"/>
      <c r="AF172" s="246"/>
      <c r="AG172" s="261"/>
      <c r="AH172" s="371"/>
      <c r="AI172" s="246"/>
      <c r="AJ172" s="371"/>
      <c r="AK172" s="246"/>
      <c r="AL172" s="274" t="s">
        <v>402</v>
      </c>
      <c r="AM172" s="246"/>
      <c r="AN172" s="261"/>
      <c r="AO172" s="274" t="s">
        <v>402</v>
      </c>
      <c r="AP172" s="246"/>
      <c r="AQ172" s="252"/>
      <c r="AR172" s="246"/>
      <c r="AT172" s="254" t="str">
        <f>IF(COUNTIF($AO$80:$AT$82, AC187) &gt; 0, "X", "")</f>
        <v/>
      </c>
      <c r="AU172" s="269"/>
      <c r="AV172" s="269"/>
    </row>
    <row r="173">
      <c r="A173" s="94"/>
      <c r="B173" s="284" t="s">
        <v>646</v>
      </c>
      <c r="C173" s="285" t="s">
        <v>647</v>
      </c>
      <c r="D173" s="336" t="s">
        <v>398</v>
      </c>
      <c r="E173" s="259"/>
      <c r="F173" s="251" t="s">
        <v>427</v>
      </c>
      <c r="G173" s="246"/>
      <c r="H173" s="399"/>
      <c r="I173" s="246"/>
      <c r="J173" s="399"/>
      <c r="K173" s="246"/>
      <c r="L173" s="261"/>
      <c r="M173" s="324"/>
      <c r="N173" s="246"/>
      <c r="O173" s="399"/>
      <c r="P173" s="246"/>
      <c r="Q173" s="287" t="s">
        <v>427</v>
      </c>
      <c r="R173" s="246"/>
      <c r="S173" s="261"/>
      <c r="T173" s="324"/>
      <c r="U173" s="246"/>
      <c r="W173" s="246"/>
      <c r="X173" s="251" t="s">
        <v>427</v>
      </c>
      <c r="Y173" s="246"/>
      <c r="Z173" s="261"/>
      <c r="AA173" s="324"/>
      <c r="AB173" s="246"/>
      <c r="AD173" s="246"/>
      <c r="AE173" s="251" t="s">
        <v>427</v>
      </c>
      <c r="AF173" s="246"/>
      <c r="AG173" s="261"/>
      <c r="AH173" s="251" t="s">
        <v>427</v>
      </c>
      <c r="AI173" s="246"/>
      <c r="AJ173" s="282"/>
      <c r="AK173" s="246"/>
      <c r="AL173" s="282"/>
      <c r="AM173" s="246"/>
      <c r="AN173" s="261"/>
      <c r="AO173" s="252"/>
      <c r="AP173" s="246"/>
      <c r="AQ173" s="252"/>
      <c r="AR173" s="246"/>
      <c r="AT173" s="254" t="str">
        <f t="shared" ref="AT173:AT175" si="33">IF(COUNTIF($AO$80:$AT$82, #REF!) &gt; 0, "X", "")</f>
        <v/>
      </c>
      <c r="AU173" s="269"/>
      <c r="AV173" s="269"/>
    </row>
    <row r="174">
      <c r="A174" s="270"/>
      <c r="B174" s="291" t="s">
        <v>648</v>
      </c>
      <c r="C174" s="292" t="s">
        <v>649</v>
      </c>
      <c r="D174" s="243"/>
      <c r="E174" s="259"/>
      <c r="F174" s="294"/>
      <c r="G174" s="246"/>
      <c r="H174" s="293" t="s">
        <v>418</v>
      </c>
      <c r="I174" s="246"/>
      <c r="J174" s="294"/>
      <c r="K174" s="246"/>
      <c r="L174" s="261"/>
      <c r="M174" s="250"/>
      <c r="N174" s="246"/>
      <c r="O174" s="293" t="s">
        <v>418</v>
      </c>
      <c r="P174" s="246"/>
      <c r="Q174" s="294"/>
      <c r="R174" s="246"/>
      <c r="S174" s="261"/>
      <c r="T174" s="250"/>
      <c r="U174" s="246"/>
      <c r="V174" s="294"/>
      <c r="W174" s="246"/>
      <c r="X174" s="293" t="s">
        <v>418</v>
      </c>
      <c r="Y174" s="246"/>
      <c r="Z174" s="261"/>
      <c r="AA174" s="250"/>
      <c r="AB174" s="246"/>
      <c r="AC174" s="294"/>
      <c r="AD174" s="246"/>
      <c r="AE174" s="293" t="s">
        <v>418</v>
      </c>
      <c r="AF174" s="246"/>
      <c r="AG174" s="261"/>
      <c r="AH174" s="294"/>
      <c r="AI174" s="246"/>
      <c r="AJ174" s="293"/>
      <c r="AK174" s="246"/>
      <c r="AL174" s="294"/>
      <c r="AM174" s="246"/>
      <c r="AN174" s="261"/>
      <c r="AO174" s="294"/>
      <c r="AP174" s="246"/>
      <c r="AQ174" s="294"/>
      <c r="AR174" s="246"/>
      <c r="AS174" s="294"/>
      <c r="AT174" s="254" t="str">
        <f t="shared" si="33"/>
        <v/>
      </c>
      <c r="AU174" s="269"/>
      <c r="AV174" s="269"/>
    </row>
    <row r="175">
      <c r="A175" s="94"/>
      <c r="B175" s="296" t="s">
        <v>650</v>
      </c>
      <c r="C175" s="297" t="s">
        <v>649</v>
      </c>
      <c r="D175" s="243"/>
      <c r="E175" s="259"/>
      <c r="F175" s="299"/>
      <c r="G175" s="298"/>
      <c r="H175" s="299"/>
      <c r="I175" s="298"/>
      <c r="J175" s="299"/>
      <c r="K175" s="298"/>
      <c r="L175" s="261"/>
      <c r="M175" s="250"/>
      <c r="N175" s="298"/>
      <c r="O175" s="299"/>
      <c r="P175" s="298"/>
      <c r="Q175" s="299"/>
      <c r="R175" s="298"/>
      <c r="S175" s="261"/>
      <c r="T175" s="250"/>
      <c r="U175" s="298"/>
      <c r="V175" s="299"/>
      <c r="W175" s="298"/>
      <c r="X175" s="299"/>
      <c r="Y175" s="298"/>
      <c r="Z175" s="261"/>
      <c r="AA175" s="250"/>
      <c r="AB175" s="298"/>
      <c r="AC175" s="299"/>
      <c r="AD175" s="298"/>
      <c r="AE175" s="299"/>
      <c r="AF175" s="298"/>
      <c r="AG175" s="261"/>
      <c r="AH175" s="299"/>
      <c r="AI175" s="298"/>
      <c r="AJ175" s="299"/>
      <c r="AK175" s="298"/>
      <c r="AL175" s="299"/>
      <c r="AM175" s="298"/>
      <c r="AN175" s="261"/>
      <c r="AO175" s="300"/>
      <c r="AP175" s="298"/>
      <c r="AQ175" s="300"/>
      <c r="AR175" s="298"/>
      <c r="AS175" s="300"/>
      <c r="AT175" s="254" t="str">
        <f t="shared" si="33"/>
        <v/>
      </c>
      <c r="AU175" s="269"/>
      <c r="AV175" s="269"/>
    </row>
    <row r="176">
      <c r="A176" s="94"/>
      <c r="B176" s="301" t="s">
        <v>651</v>
      </c>
      <c r="C176" s="302" t="s">
        <v>652</v>
      </c>
      <c r="D176" s="243"/>
      <c r="E176" s="259"/>
      <c r="F176" s="303"/>
      <c r="G176" s="298"/>
      <c r="H176" s="303"/>
      <c r="I176" s="298"/>
      <c r="J176" s="303"/>
      <c r="K176" s="298"/>
      <c r="L176" s="261"/>
      <c r="M176" s="250"/>
      <c r="N176" s="298"/>
      <c r="O176" s="303"/>
      <c r="P176" s="298"/>
      <c r="Q176" s="303"/>
      <c r="R176" s="298"/>
      <c r="S176" s="261"/>
      <c r="T176" s="250"/>
      <c r="U176" s="298"/>
      <c r="V176" s="303"/>
      <c r="W176" s="298"/>
      <c r="X176" s="303"/>
      <c r="Y176" s="298"/>
      <c r="Z176" s="261"/>
      <c r="AA176" s="250"/>
      <c r="AB176" s="298"/>
      <c r="AC176" s="303"/>
      <c r="AD176" s="298"/>
      <c r="AE176" s="303"/>
      <c r="AF176" s="298"/>
      <c r="AG176" s="261"/>
      <c r="AH176" s="303"/>
      <c r="AI176" s="298"/>
      <c r="AJ176" s="303"/>
      <c r="AK176" s="298"/>
      <c r="AL176" s="303"/>
      <c r="AM176" s="298"/>
      <c r="AN176" s="261"/>
      <c r="AO176" s="304"/>
      <c r="AP176" s="298"/>
      <c r="AQ176" s="304"/>
      <c r="AR176" s="298"/>
      <c r="AS176" s="304"/>
      <c r="AT176" s="254" t="str">
        <f t="shared" ref="AT176:AT177" si="34">IF(COUNTIF($AO$80:$AT$82, AS177) &gt; 0, "X", "")</f>
        <v/>
      </c>
      <c r="AU176" s="269"/>
      <c r="AV176" s="269"/>
    </row>
    <row r="177">
      <c r="A177" s="94"/>
      <c r="B177" s="305" t="s">
        <v>653</v>
      </c>
      <c r="C177" s="306" t="s">
        <v>654</v>
      </c>
      <c r="D177" s="243"/>
      <c r="E177" s="259"/>
      <c r="F177" s="307"/>
      <c r="G177" s="298"/>
      <c r="H177" s="307"/>
      <c r="I177" s="298"/>
      <c r="J177" s="307"/>
      <c r="K177" s="298"/>
      <c r="L177" s="261"/>
      <c r="M177" s="250"/>
      <c r="N177" s="298"/>
      <c r="O177" s="308" t="s">
        <v>434</v>
      </c>
      <c r="P177" s="298"/>
      <c r="Q177" s="307"/>
      <c r="R177" s="298"/>
      <c r="S177" s="261"/>
      <c r="T177" s="250"/>
      <c r="U177" s="298"/>
      <c r="V177" s="307"/>
      <c r="W177" s="298"/>
      <c r="X177" s="309" t="s">
        <v>419</v>
      </c>
      <c r="Y177" s="298"/>
      <c r="Z177" s="261"/>
      <c r="AA177" s="250"/>
      <c r="AB177" s="298"/>
      <c r="AC177" s="307"/>
      <c r="AD177" s="298"/>
      <c r="AE177" s="308" t="s">
        <v>434</v>
      </c>
      <c r="AF177" s="298"/>
      <c r="AG177" s="261"/>
      <c r="AH177" s="307"/>
      <c r="AI177" s="298"/>
      <c r="AJ177" s="307"/>
      <c r="AK177" s="298"/>
      <c r="AL177" s="307"/>
      <c r="AM177" s="298"/>
      <c r="AN177" s="261"/>
      <c r="AO177" s="307"/>
      <c r="AP177" s="298"/>
      <c r="AQ177" s="307"/>
      <c r="AR177" s="298"/>
      <c r="AS177" s="307"/>
      <c r="AT177" s="254" t="str">
        <f t="shared" si="34"/>
        <v/>
      </c>
      <c r="AU177" s="269"/>
      <c r="AV177" s="269"/>
    </row>
    <row r="178">
      <c r="A178" s="94"/>
      <c r="B178" s="310" t="s">
        <v>656</v>
      </c>
      <c r="C178" s="278" t="s">
        <v>657</v>
      </c>
      <c r="D178" s="243"/>
      <c r="E178" s="259"/>
      <c r="F178" s="281"/>
      <c r="G178" s="246"/>
      <c r="H178" s="282"/>
      <c r="I178" s="246"/>
      <c r="J178" s="282"/>
      <c r="K178" s="246"/>
      <c r="L178" s="261"/>
      <c r="M178" s="250"/>
      <c r="N178" s="246"/>
      <c r="O178" s="274" t="s">
        <v>458</v>
      </c>
      <c r="P178" s="246"/>
      <c r="Q178" s="281"/>
      <c r="R178" s="246"/>
      <c r="S178" s="261"/>
      <c r="T178" s="250"/>
      <c r="U178" s="246"/>
      <c r="V178" s="282"/>
      <c r="W178" s="246"/>
      <c r="X178" s="688" t="s">
        <v>888</v>
      </c>
      <c r="Y178" s="246"/>
      <c r="Z178" s="261"/>
      <c r="AA178" s="250"/>
      <c r="AB178" s="246"/>
      <c r="AD178" s="246"/>
      <c r="AE178" s="274" t="s">
        <v>449</v>
      </c>
      <c r="AF178" s="246"/>
      <c r="AG178" s="261"/>
      <c r="AH178" s="282"/>
      <c r="AI178" s="246"/>
      <c r="AJ178" s="282"/>
      <c r="AK178" s="246"/>
      <c r="AL178" s="282"/>
      <c r="AM178" s="246"/>
      <c r="AN178" s="261"/>
      <c r="AO178" s="276"/>
      <c r="AP178" s="246"/>
      <c r="AQ178" s="276"/>
      <c r="AR178" s="246"/>
      <c r="AS178" s="276"/>
      <c r="AT178" s="254" t="str">
        <f t="shared" ref="AT178:AT180" si="35">IF(COUNTIF($AO$80:$AT$82, #REF!) &gt; 0, "X", "")</f>
        <v/>
      </c>
      <c r="AU178" s="269"/>
      <c r="AV178" s="269"/>
    </row>
    <row r="179">
      <c r="A179" s="94"/>
      <c r="B179" s="277" t="s">
        <v>658</v>
      </c>
      <c r="C179" s="278" t="s">
        <v>657</v>
      </c>
      <c r="D179" s="243"/>
      <c r="E179" s="259"/>
      <c r="G179" s="246"/>
      <c r="H179" s="282"/>
      <c r="I179" s="246"/>
      <c r="J179" s="282"/>
      <c r="K179" s="246"/>
      <c r="L179" s="261"/>
      <c r="M179" s="250"/>
      <c r="N179" s="246"/>
      <c r="O179" s="339" t="s">
        <v>468</v>
      </c>
      <c r="P179" s="246"/>
      <c r="Q179" s="274" t="s">
        <v>419</v>
      </c>
      <c r="R179" s="246"/>
      <c r="S179" s="261"/>
      <c r="T179" s="250"/>
      <c r="U179" s="246"/>
      <c r="W179" s="246"/>
      <c r="X179" s="689" t="s">
        <v>890</v>
      </c>
      <c r="Y179" s="246"/>
      <c r="Z179" s="261"/>
      <c r="AA179" s="250"/>
      <c r="AB179" s="246"/>
      <c r="AC179" s="282"/>
      <c r="AD179" s="246"/>
      <c r="AE179" s="664" t="s">
        <v>976</v>
      </c>
      <c r="AF179" s="246"/>
      <c r="AG179" s="261"/>
      <c r="AH179" s="282"/>
      <c r="AI179" s="246"/>
      <c r="AJ179" s="282"/>
      <c r="AK179" s="246"/>
      <c r="AL179" s="471" t="s">
        <v>419</v>
      </c>
      <c r="AM179" s="246"/>
      <c r="AN179" s="261"/>
      <c r="AO179" s="276"/>
      <c r="AP179" s="246"/>
      <c r="AR179" s="246"/>
      <c r="AT179" s="254" t="str">
        <f t="shared" si="35"/>
        <v/>
      </c>
      <c r="AU179" s="269"/>
      <c r="AV179" s="269"/>
    </row>
    <row r="180">
      <c r="A180" s="94"/>
      <c r="B180" s="314" t="s">
        <v>660</v>
      </c>
      <c r="C180" s="315" t="s">
        <v>649</v>
      </c>
      <c r="D180" s="243"/>
      <c r="E180" s="259"/>
      <c r="F180" s="632" t="s">
        <v>423</v>
      </c>
      <c r="G180" s="246"/>
      <c r="H180" s="645" t="s">
        <v>417</v>
      </c>
      <c r="I180" s="246"/>
      <c r="J180" s="293" t="s">
        <v>416</v>
      </c>
      <c r="K180" s="246"/>
      <c r="L180" s="261"/>
      <c r="M180" s="316"/>
      <c r="N180" s="246"/>
      <c r="O180" s="293" t="s">
        <v>416</v>
      </c>
      <c r="P180" s="246"/>
      <c r="Q180" s="293" t="s">
        <v>421</v>
      </c>
      <c r="R180" s="246"/>
      <c r="S180" s="261"/>
      <c r="T180" s="316"/>
      <c r="U180" s="246"/>
      <c r="V180" s="293" t="s">
        <v>416</v>
      </c>
      <c r="W180" s="246"/>
      <c r="X180" s="632" t="s">
        <v>423</v>
      </c>
      <c r="Y180" s="246"/>
      <c r="Z180" s="261"/>
      <c r="AA180" s="316"/>
      <c r="AB180" s="246"/>
      <c r="AC180" s="293" t="s">
        <v>416</v>
      </c>
      <c r="AD180" s="246"/>
      <c r="AE180" s="353" t="s">
        <v>424</v>
      </c>
      <c r="AF180" s="246"/>
      <c r="AG180" s="261"/>
      <c r="AH180" s="317"/>
      <c r="AI180" s="246"/>
      <c r="AJ180" s="645" t="s">
        <v>417</v>
      </c>
      <c r="AK180" s="246"/>
      <c r="AL180" s="356" t="s">
        <v>423</v>
      </c>
      <c r="AM180" s="246"/>
      <c r="AN180" s="261"/>
      <c r="AO180" s="479"/>
      <c r="AP180" s="246"/>
      <c r="AQ180" s="293" t="s">
        <v>416</v>
      </c>
      <c r="AR180" s="246"/>
      <c r="AS180" s="293" t="s">
        <v>421</v>
      </c>
      <c r="AT180" s="254" t="str">
        <f t="shared" si="35"/>
        <v/>
      </c>
      <c r="AU180" s="269"/>
      <c r="AV180" s="269"/>
    </row>
    <row r="181">
      <c r="A181" s="94"/>
      <c r="B181" s="296" t="s">
        <v>650</v>
      </c>
      <c r="C181" s="297" t="s">
        <v>649</v>
      </c>
      <c r="D181" s="243"/>
      <c r="E181" s="259"/>
      <c r="F181" s="300"/>
      <c r="G181" s="298"/>
      <c r="H181" s="300"/>
      <c r="I181" s="298"/>
      <c r="J181" s="300"/>
      <c r="K181" s="298"/>
      <c r="L181" s="261"/>
      <c r="M181" s="250"/>
      <c r="N181" s="298"/>
      <c r="O181" s="300"/>
      <c r="P181" s="298"/>
      <c r="Q181" s="356" t="s">
        <v>423</v>
      </c>
      <c r="R181" s="298"/>
      <c r="S181" s="261"/>
      <c r="T181" s="250"/>
      <c r="U181" s="298"/>
      <c r="V181" s="300"/>
      <c r="W181" s="298"/>
      <c r="X181" s="353" t="s">
        <v>422</v>
      </c>
      <c r="Y181" s="298"/>
      <c r="Z181" s="261"/>
      <c r="AA181" s="250"/>
      <c r="AB181" s="298"/>
      <c r="AC181" s="319"/>
      <c r="AD181" s="298"/>
      <c r="AE181" s="356" t="s">
        <v>423</v>
      </c>
      <c r="AF181" s="298"/>
      <c r="AG181" s="261"/>
      <c r="AH181" s="317"/>
      <c r="AI181" s="298"/>
      <c r="AJ181" s="300"/>
      <c r="AK181" s="298"/>
      <c r="AL181" s="293" t="s">
        <v>421</v>
      </c>
      <c r="AM181" s="298"/>
      <c r="AN181" s="261"/>
      <c r="AO181" s="509"/>
      <c r="AP181" s="298"/>
      <c r="AQ181" s="300"/>
      <c r="AR181" s="298"/>
      <c r="AS181" s="353" t="s">
        <v>426</v>
      </c>
      <c r="AT181" s="254" t="str">
        <f>IF(COUNTIF($AO$80:$AT$82, AS182) &gt; 0, "X", "")</f>
        <v/>
      </c>
      <c r="AU181" s="269"/>
      <c r="AV181" s="269"/>
    </row>
    <row r="182">
      <c r="A182" s="94"/>
      <c r="B182" s="301" t="s">
        <v>651</v>
      </c>
      <c r="C182" s="302" t="s">
        <v>652</v>
      </c>
      <c r="D182" s="323"/>
      <c r="E182" s="259"/>
      <c r="F182" s="303"/>
      <c r="G182" s="298"/>
      <c r="H182" s="303"/>
      <c r="I182" s="298"/>
      <c r="J182" s="483" t="s">
        <v>977</v>
      </c>
      <c r="K182" s="298"/>
      <c r="L182" s="261"/>
      <c r="M182" s="250"/>
      <c r="N182" s="298"/>
      <c r="O182" s="303"/>
      <c r="P182" s="298"/>
      <c r="Q182" s="484"/>
      <c r="R182" s="298"/>
      <c r="S182" s="261"/>
      <c r="T182" s="250"/>
      <c r="U182" s="298"/>
      <c r="V182" s="303"/>
      <c r="W182" s="298"/>
      <c r="X182" s="626" t="s">
        <v>421</v>
      </c>
      <c r="Y182" s="298"/>
      <c r="Z182" s="261"/>
      <c r="AA182" s="250"/>
      <c r="AB182" s="298"/>
      <c r="AC182" s="303"/>
      <c r="AD182" s="298"/>
      <c r="AE182" s="303"/>
      <c r="AF182" s="298"/>
      <c r="AG182" s="261"/>
      <c r="AH182" s="320"/>
      <c r="AI182" s="298"/>
      <c r="AJ182" s="303"/>
      <c r="AK182" s="298"/>
      <c r="AL182" s="303"/>
      <c r="AM182" s="298"/>
      <c r="AN182" s="261"/>
      <c r="AO182" s="320"/>
      <c r="AP182" s="298"/>
      <c r="AQ182" s="303"/>
      <c r="AR182" s="298"/>
      <c r="AS182" s="303"/>
      <c r="AT182" s="254" t="str">
        <f t="shared" ref="AT182:AT183" si="36">IF(COUNTIF($AO$80:$AT$82, #REF!) &gt; 0, "X", "")</f>
        <v/>
      </c>
      <c r="AU182" s="269"/>
      <c r="AV182" s="269"/>
    </row>
    <row r="183">
      <c r="A183" s="94"/>
      <c r="B183" s="322" t="s">
        <v>662</v>
      </c>
      <c r="C183" s="306" t="s">
        <v>663</v>
      </c>
      <c r="D183" s="330"/>
      <c r="E183" s="259"/>
      <c r="F183" s="307"/>
      <c r="G183" s="298"/>
      <c r="H183" s="307"/>
      <c r="I183" s="298"/>
      <c r="J183" s="309" t="s">
        <v>414</v>
      </c>
      <c r="K183" s="298"/>
      <c r="L183" s="261"/>
      <c r="M183" s="324"/>
      <c r="N183" s="298"/>
      <c r="P183" s="298"/>
      <c r="Q183" s="309" t="s">
        <v>409</v>
      </c>
      <c r="R183" s="298"/>
      <c r="S183" s="261"/>
      <c r="T183" s="324"/>
      <c r="U183" s="298"/>
      <c r="V183" s="307"/>
      <c r="W183" s="298"/>
      <c r="X183" s="309" t="s">
        <v>409</v>
      </c>
      <c r="Y183" s="298"/>
      <c r="Z183" s="261"/>
      <c r="AA183" s="324"/>
      <c r="AB183" s="298"/>
      <c r="AC183" s="307"/>
      <c r="AD183" s="298"/>
      <c r="AE183" s="307"/>
      <c r="AF183" s="298"/>
      <c r="AG183" s="261"/>
      <c r="AH183" s="317"/>
      <c r="AI183" s="298"/>
      <c r="AJ183" s="307"/>
      <c r="AK183" s="298"/>
      <c r="AL183" s="309" t="s">
        <v>414</v>
      </c>
      <c r="AM183" s="298"/>
      <c r="AN183" s="261"/>
      <c r="AO183" s="317"/>
      <c r="AP183" s="298"/>
      <c r="AQ183" s="307"/>
      <c r="AR183" s="298"/>
      <c r="AS183" s="309" t="s">
        <v>414</v>
      </c>
      <c r="AT183" s="254" t="str">
        <f t="shared" si="36"/>
        <v/>
      </c>
      <c r="AU183" s="269"/>
      <c r="AV183" s="269"/>
    </row>
    <row r="184">
      <c r="A184" s="94"/>
      <c r="B184" s="328" t="s">
        <v>665</v>
      </c>
      <c r="C184" s="329" t="s">
        <v>654</v>
      </c>
      <c r="D184" s="330"/>
      <c r="E184" s="259"/>
      <c r="F184" s="348" t="s">
        <v>759</v>
      </c>
      <c r="G184" s="246"/>
      <c r="H184" s="274" t="s">
        <v>458</v>
      </c>
      <c r="I184" s="246"/>
      <c r="J184" s="311" t="s">
        <v>434</v>
      </c>
      <c r="K184" s="246"/>
      <c r="L184" s="261"/>
      <c r="M184" s="333"/>
      <c r="N184" s="246"/>
      <c r="O184" s="311" t="s">
        <v>459</v>
      </c>
      <c r="P184" s="246"/>
      <c r="Q184" s="274" t="s">
        <v>449</v>
      </c>
      <c r="R184" s="246"/>
      <c r="S184" s="261"/>
      <c r="T184" s="333"/>
      <c r="U184" s="246"/>
      <c r="V184" s="280" t="s">
        <v>458</v>
      </c>
      <c r="W184" s="246"/>
      <c r="X184" s="311" t="s">
        <v>434</v>
      </c>
      <c r="Y184" s="246"/>
      <c r="Z184" s="261"/>
      <c r="AA184" s="333"/>
      <c r="AB184" s="246"/>
      <c r="AC184" s="280" t="s">
        <v>458</v>
      </c>
      <c r="AD184" s="246"/>
      <c r="AF184" s="246"/>
      <c r="AG184" s="261"/>
      <c r="AH184" s="320"/>
      <c r="AI184" s="246"/>
      <c r="AJ184" s="274" t="s">
        <v>439</v>
      </c>
      <c r="AK184" s="246"/>
      <c r="AL184" s="339" t="s">
        <v>468</v>
      </c>
      <c r="AM184" s="246"/>
      <c r="AN184" s="261"/>
      <c r="AO184" s="479"/>
      <c r="AP184" s="246"/>
      <c r="AQ184" s="311" t="s">
        <v>459</v>
      </c>
      <c r="AR184" s="246"/>
      <c r="AS184" s="274" t="s">
        <v>449</v>
      </c>
      <c r="AT184" s="254" t="str">
        <f>IF(COUNTIF($AO$80:$AT$82, AL192) &gt; 0, "X", "")</f>
        <v/>
      </c>
      <c r="AU184" s="269"/>
      <c r="AV184" s="269"/>
    </row>
    <row r="185">
      <c r="A185" s="94"/>
      <c r="B185" s="337" t="s">
        <v>665</v>
      </c>
      <c r="C185" s="338" t="s">
        <v>657</v>
      </c>
      <c r="D185" s="330"/>
      <c r="E185" s="259"/>
      <c r="F185" s="274" t="s">
        <v>448</v>
      </c>
      <c r="G185" s="246"/>
      <c r="H185" s="336" t="s">
        <v>450</v>
      </c>
      <c r="I185" s="246"/>
      <c r="J185" s="339" t="s">
        <v>447</v>
      </c>
      <c r="K185" s="246"/>
      <c r="L185" s="261"/>
      <c r="M185" s="324"/>
      <c r="N185" s="246"/>
      <c r="O185" s="336" t="s">
        <v>398</v>
      </c>
      <c r="P185" s="246"/>
      <c r="R185" s="246"/>
      <c r="S185" s="261"/>
      <c r="T185" s="324"/>
      <c r="U185" s="246"/>
      <c r="V185" s="311" t="s">
        <v>459</v>
      </c>
      <c r="W185" s="246"/>
      <c r="X185" s="339" t="s">
        <v>468</v>
      </c>
      <c r="Y185" s="246"/>
      <c r="Z185" s="261"/>
      <c r="AA185" s="324"/>
      <c r="AB185" s="246"/>
      <c r="AC185" s="311" t="s">
        <v>459</v>
      </c>
      <c r="AD185" s="246"/>
      <c r="AE185" s="274" t="s">
        <v>443</v>
      </c>
      <c r="AF185" s="246"/>
      <c r="AG185" s="261"/>
      <c r="AH185" s="320"/>
      <c r="AI185" s="246"/>
      <c r="AJ185" s="311" t="s">
        <v>459</v>
      </c>
      <c r="AK185" s="246"/>
      <c r="AL185" s="274" t="s">
        <v>409</v>
      </c>
      <c r="AM185" s="246"/>
      <c r="AN185" s="261"/>
      <c r="AO185" s="479"/>
      <c r="AP185" s="246"/>
      <c r="AQ185" s="311" t="s">
        <v>434</v>
      </c>
      <c r="AR185" s="246"/>
      <c r="AS185" s="661" t="s">
        <v>409</v>
      </c>
      <c r="AT185" s="254" t="str">
        <f t="shared" ref="AT185:AT200" si="37">IF(COUNTIF($AO$80:$AT$82, #REF!) &gt; 0, "X", "")</f>
        <v/>
      </c>
      <c r="AU185" s="269"/>
      <c r="AV185" s="269"/>
    </row>
    <row r="186">
      <c r="A186" s="94"/>
      <c r="B186" s="256" t="s">
        <v>665</v>
      </c>
      <c r="C186" s="257" t="s">
        <v>663</v>
      </c>
      <c r="D186" s="330"/>
      <c r="E186" s="259"/>
      <c r="F186" s="282"/>
      <c r="G186" s="246"/>
      <c r="I186" s="246"/>
      <c r="J186" s="274" t="s">
        <v>409</v>
      </c>
      <c r="K186" s="246"/>
      <c r="L186" s="261"/>
      <c r="M186" s="341"/>
      <c r="N186" s="246"/>
      <c r="P186" s="246"/>
      <c r="Q186" s="311" t="s">
        <v>439</v>
      </c>
      <c r="R186" s="246"/>
      <c r="S186" s="261"/>
      <c r="T186" s="341"/>
      <c r="U186" s="246"/>
      <c r="W186" s="246"/>
      <c r="X186" s="274" t="s">
        <v>448</v>
      </c>
      <c r="Y186" s="246"/>
      <c r="Z186" s="261"/>
      <c r="AA186" s="341"/>
      <c r="AB186" s="246"/>
      <c r="AD186" s="246"/>
      <c r="AE186" s="274" t="s">
        <v>448</v>
      </c>
      <c r="AF186" s="246"/>
      <c r="AG186" s="261"/>
      <c r="AH186" s="320"/>
      <c r="AI186" s="246"/>
      <c r="AJ186" s="532" t="s">
        <v>978</v>
      </c>
      <c r="AK186" s="246"/>
      <c r="AM186" s="246"/>
      <c r="AN186" s="261"/>
      <c r="AO186" s="506"/>
      <c r="AP186" s="246"/>
      <c r="AR186" s="246"/>
      <c r="AS186" s="274" t="s">
        <v>443</v>
      </c>
      <c r="AT186" s="254" t="str">
        <f t="shared" si="37"/>
        <v/>
      </c>
      <c r="AU186" s="269"/>
      <c r="AV186" s="269"/>
    </row>
    <row r="187">
      <c r="A187" s="94"/>
      <c r="B187" s="328" t="s">
        <v>665</v>
      </c>
      <c r="C187" s="329" t="s">
        <v>645</v>
      </c>
      <c r="D187" s="323"/>
      <c r="E187" s="261"/>
      <c r="F187" s="311" t="s">
        <v>439</v>
      </c>
      <c r="G187" s="246"/>
      <c r="H187" s="274" t="s">
        <v>415</v>
      </c>
      <c r="I187" s="246"/>
      <c r="J187" s="339" t="s">
        <v>468</v>
      </c>
      <c r="K187" s="246"/>
      <c r="L187" s="261"/>
      <c r="M187" s="341"/>
      <c r="N187" s="246"/>
      <c r="O187" s="336" t="s">
        <v>450</v>
      </c>
      <c r="P187" s="246"/>
      <c r="Q187" s="274" t="s">
        <v>448</v>
      </c>
      <c r="R187" s="246"/>
      <c r="S187" s="261"/>
      <c r="T187" s="341"/>
      <c r="U187" s="246"/>
      <c r="V187" s="274" t="s">
        <v>439</v>
      </c>
      <c r="W187" s="246"/>
      <c r="X187" s="336" t="s">
        <v>450</v>
      </c>
      <c r="Y187" s="246"/>
      <c r="Z187" s="261"/>
      <c r="AA187" s="341"/>
      <c r="AB187" s="246"/>
      <c r="AC187" s="336" t="s">
        <v>450</v>
      </c>
      <c r="AD187" s="246"/>
      <c r="AE187" s="274" t="s">
        <v>415</v>
      </c>
      <c r="AF187" s="246"/>
      <c r="AG187" s="261"/>
      <c r="AH187" s="320"/>
      <c r="AI187" s="246"/>
      <c r="AJ187" s="336" t="s">
        <v>450</v>
      </c>
      <c r="AK187" s="246"/>
      <c r="AL187" s="274" t="s">
        <v>415</v>
      </c>
      <c r="AM187" s="246"/>
      <c r="AN187" s="261"/>
      <c r="AO187" s="479"/>
      <c r="AP187" s="246"/>
      <c r="AQ187" s="274" t="s">
        <v>415</v>
      </c>
      <c r="AR187" s="246"/>
      <c r="AS187" s="274" t="s">
        <v>448</v>
      </c>
      <c r="AT187" s="254" t="str">
        <f t="shared" si="37"/>
        <v/>
      </c>
      <c r="AU187" s="269"/>
      <c r="AV187" s="269"/>
    </row>
    <row r="188">
      <c r="A188" s="94"/>
      <c r="B188" s="342" t="s">
        <v>667</v>
      </c>
      <c r="C188" s="343" t="s">
        <v>657</v>
      </c>
      <c r="D188" s="351"/>
      <c r="E188" s="259"/>
      <c r="F188" s="345" t="s">
        <v>401</v>
      </c>
      <c r="G188" s="246"/>
      <c r="H188" s="282"/>
      <c r="I188" s="246"/>
      <c r="J188" s="282"/>
      <c r="K188" s="246"/>
      <c r="L188" s="261"/>
      <c r="M188" s="346"/>
      <c r="N188" s="246"/>
      <c r="O188" s="345"/>
      <c r="P188" s="246"/>
      <c r="R188" s="246"/>
      <c r="S188" s="261"/>
      <c r="T188" s="345" t="s">
        <v>401</v>
      </c>
      <c r="U188" s="246"/>
      <c r="W188" s="246"/>
      <c r="X188" s="274" t="s">
        <v>415</v>
      </c>
      <c r="Y188" s="246"/>
      <c r="Z188" s="261"/>
      <c r="AA188" s="690"/>
      <c r="AB188" s="246"/>
      <c r="AC188" s="347" t="s">
        <v>401</v>
      </c>
      <c r="AD188" s="246"/>
      <c r="AF188" s="246"/>
      <c r="AG188" s="261"/>
      <c r="AH188" s="345" t="s">
        <v>401</v>
      </c>
      <c r="AI188" s="246"/>
      <c r="AJ188" s="282"/>
      <c r="AK188" s="246"/>
      <c r="AL188" s="282"/>
      <c r="AM188" s="246"/>
      <c r="AN188" s="261"/>
      <c r="AO188" s="479"/>
      <c r="AP188" s="246"/>
      <c r="AQ188" s="345" t="s">
        <v>401</v>
      </c>
      <c r="AR188" s="246"/>
      <c r="AT188" s="254" t="str">
        <f t="shared" si="37"/>
        <v/>
      </c>
      <c r="AU188" s="269"/>
      <c r="AV188" s="269"/>
    </row>
    <row r="189">
      <c r="A189" s="94"/>
      <c r="B189" s="349" t="s">
        <v>669</v>
      </c>
      <c r="C189" s="350" t="s">
        <v>649</v>
      </c>
      <c r="D189" s="323"/>
      <c r="E189" s="259"/>
      <c r="F189" s="353" t="s">
        <v>426</v>
      </c>
      <c r="G189" s="246"/>
      <c r="H189" s="633" t="s">
        <v>420</v>
      </c>
      <c r="I189" s="246"/>
      <c r="J189" s="353" t="s">
        <v>422</v>
      </c>
      <c r="K189" s="246"/>
      <c r="L189" s="261"/>
      <c r="M189" s="354"/>
      <c r="N189" s="246"/>
      <c r="O189" s="645" t="s">
        <v>417</v>
      </c>
      <c r="P189" s="246"/>
      <c r="Q189" s="353" t="s">
        <v>426</v>
      </c>
      <c r="R189" s="246"/>
      <c r="S189" s="261"/>
      <c r="T189" s="354"/>
      <c r="U189" s="246"/>
      <c r="V189" s="355" t="s">
        <v>670</v>
      </c>
      <c r="W189" s="246"/>
      <c r="X189" s="353" t="s">
        <v>424</v>
      </c>
      <c r="Y189" s="246"/>
      <c r="Z189" s="261"/>
      <c r="AA189" s="354"/>
      <c r="AB189" s="246"/>
      <c r="AC189" s="645" t="s">
        <v>417</v>
      </c>
      <c r="AD189" s="246"/>
      <c r="AE189" s="355" t="s">
        <v>420</v>
      </c>
      <c r="AF189" s="246"/>
      <c r="AG189" s="261"/>
      <c r="AH189" s="353" t="s">
        <v>422</v>
      </c>
      <c r="AI189" s="246"/>
      <c r="AJ189" s="357" t="s">
        <v>420</v>
      </c>
      <c r="AK189" s="246"/>
      <c r="AL189" s="353" t="s">
        <v>424</v>
      </c>
      <c r="AM189" s="246"/>
      <c r="AN189" s="261"/>
      <c r="AO189" s="479"/>
      <c r="AP189" s="246"/>
      <c r="AQ189" s="645" t="s">
        <v>417</v>
      </c>
      <c r="AR189" s="246"/>
      <c r="AS189" s="353" t="s">
        <v>422</v>
      </c>
      <c r="AT189" s="254" t="str">
        <f t="shared" si="37"/>
        <v/>
      </c>
      <c r="AU189" s="269"/>
      <c r="AV189" s="269"/>
    </row>
    <row r="190">
      <c r="A190" s="234"/>
      <c r="B190" s="296" t="s">
        <v>650</v>
      </c>
      <c r="C190" s="297" t="s">
        <v>649</v>
      </c>
      <c r="D190" s="330"/>
      <c r="E190" s="259"/>
      <c r="F190" s="299"/>
      <c r="G190" s="298"/>
      <c r="H190" s="617" t="s">
        <v>397</v>
      </c>
      <c r="I190" s="298"/>
      <c r="J190" s="299"/>
      <c r="K190" s="298"/>
      <c r="L190" s="261"/>
      <c r="M190" s="324"/>
      <c r="N190" s="298"/>
      <c r="O190" s="319"/>
      <c r="P190" s="298"/>
      <c r="Q190" s="319"/>
      <c r="R190" s="298"/>
      <c r="S190" s="261"/>
      <c r="T190" s="324"/>
      <c r="U190" s="298"/>
      <c r="V190" s="353" t="s">
        <v>426</v>
      </c>
      <c r="W190" s="298"/>
      <c r="X190" s="483" t="s">
        <v>977</v>
      </c>
      <c r="Y190" s="298"/>
      <c r="Z190" s="261"/>
      <c r="AA190" s="324"/>
      <c r="AB190" s="298"/>
      <c r="AC190" s="319"/>
      <c r="AD190" s="298"/>
      <c r="AE190" s="617" t="s">
        <v>397</v>
      </c>
      <c r="AF190" s="298"/>
      <c r="AG190" s="261"/>
      <c r="AH190" s="319"/>
      <c r="AI190" s="298"/>
      <c r="AJ190" s="617" t="s">
        <v>397</v>
      </c>
      <c r="AK190" s="298"/>
      <c r="AL190" s="319"/>
      <c r="AM190" s="298"/>
      <c r="AN190" s="261"/>
      <c r="AO190" s="479"/>
      <c r="AP190" s="298"/>
      <c r="AQ190" s="359"/>
      <c r="AR190" s="298"/>
      <c r="AS190" s="359"/>
      <c r="AT190" s="254" t="str">
        <f t="shared" si="37"/>
        <v/>
      </c>
      <c r="AU190" s="269"/>
      <c r="AV190" s="269"/>
    </row>
    <row r="191">
      <c r="A191" s="94"/>
      <c r="B191" s="301" t="s">
        <v>651</v>
      </c>
      <c r="C191" s="302" t="s">
        <v>652</v>
      </c>
      <c r="D191" s="363"/>
      <c r="E191" s="259"/>
      <c r="F191" s="303"/>
      <c r="G191" s="298"/>
      <c r="H191" s="304"/>
      <c r="I191" s="298"/>
      <c r="J191" s="321" t="s">
        <v>979</v>
      </c>
      <c r="K191" s="298"/>
      <c r="L191" s="261"/>
      <c r="M191" s="250"/>
      <c r="N191" s="298"/>
      <c r="O191" s="304"/>
      <c r="P191" s="298"/>
      <c r="Q191" s="483" t="s">
        <v>977</v>
      </c>
      <c r="R191" s="298"/>
      <c r="S191" s="261"/>
      <c r="T191" s="250"/>
      <c r="U191" s="298"/>
      <c r="V191" s="303"/>
      <c r="W191" s="298"/>
      <c r="X191" s="321" t="s">
        <v>979</v>
      </c>
      <c r="Y191" s="298"/>
      <c r="Z191" s="261"/>
      <c r="AA191" s="250"/>
      <c r="AB191" s="298"/>
      <c r="AC191" s="304"/>
      <c r="AD191" s="298"/>
      <c r="AE191" s="691" t="s">
        <v>977</v>
      </c>
      <c r="AF191" s="298"/>
      <c r="AG191" s="261"/>
      <c r="AH191" s="303"/>
      <c r="AI191" s="298"/>
      <c r="AJ191" s="304"/>
      <c r="AK191" s="298"/>
      <c r="AL191" s="321" t="s">
        <v>979</v>
      </c>
      <c r="AM191" s="298"/>
      <c r="AN191" s="261"/>
      <c r="AO191" s="479"/>
      <c r="AP191" s="298"/>
      <c r="AQ191" s="303"/>
      <c r="AR191" s="298"/>
      <c r="AS191" s="303"/>
      <c r="AT191" s="254" t="str">
        <f t="shared" si="37"/>
        <v/>
      </c>
      <c r="AU191" s="269"/>
      <c r="AV191" s="269"/>
    </row>
    <row r="192">
      <c r="A192" s="94"/>
      <c r="B192" s="361" t="s">
        <v>673</v>
      </c>
      <c r="C192" s="362" t="s">
        <v>674</v>
      </c>
      <c r="D192" s="369"/>
      <c r="E192" s="259"/>
      <c r="F192" s="366" t="s">
        <v>676</v>
      </c>
      <c r="G192" s="298"/>
      <c r="H192" s="336" t="s">
        <v>412</v>
      </c>
      <c r="I192" s="298"/>
      <c r="J192" s="251" t="s">
        <v>433</v>
      </c>
      <c r="K192" s="298"/>
      <c r="L192" s="261"/>
      <c r="M192" s="324"/>
      <c r="N192" s="298"/>
      <c r="O192" s="336" t="s">
        <v>412</v>
      </c>
      <c r="P192" s="298"/>
      <c r="Q192" s="311" t="s">
        <v>765</v>
      </c>
      <c r="R192" s="298"/>
      <c r="S192" s="261"/>
      <c r="T192" s="324"/>
      <c r="U192" s="298"/>
      <c r="V192" s="336" t="s">
        <v>412</v>
      </c>
      <c r="W192" s="298"/>
      <c r="X192" s="336" t="s">
        <v>398</v>
      </c>
      <c r="Y192" s="298"/>
      <c r="Z192" s="261"/>
      <c r="AA192" s="324"/>
      <c r="AB192" s="298"/>
      <c r="AC192" s="336" t="s">
        <v>412</v>
      </c>
      <c r="AD192" s="298"/>
      <c r="AE192" s="336" t="s">
        <v>398</v>
      </c>
      <c r="AF192" s="298"/>
      <c r="AG192" s="261"/>
      <c r="AH192" s="251" t="s">
        <v>457</v>
      </c>
      <c r="AI192" s="298"/>
      <c r="AJ192" s="336" t="s">
        <v>412</v>
      </c>
      <c r="AK192" s="298"/>
      <c r="AL192" s="251" t="s">
        <v>433</v>
      </c>
      <c r="AM192" s="298"/>
      <c r="AN192" s="261"/>
      <c r="AO192" s="479"/>
      <c r="AP192" s="298"/>
      <c r="AQ192" s="311" t="s">
        <v>765</v>
      </c>
      <c r="AR192" s="298"/>
      <c r="AS192" s="251" t="s">
        <v>433</v>
      </c>
      <c r="AT192" s="254" t="str">
        <f t="shared" si="37"/>
        <v/>
      </c>
      <c r="AU192" s="269"/>
      <c r="AV192" s="269"/>
    </row>
    <row r="193">
      <c r="A193" s="94"/>
      <c r="B193" s="367" t="s">
        <v>677</v>
      </c>
      <c r="C193" s="368" t="s">
        <v>674</v>
      </c>
      <c r="D193" s="330"/>
      <c r="E193" s="259"/>
      <c r="F193" s="282"/>
      <c r="G193" s="246"/>
      <c r="H193" s="282"/>
      <c r="I193" s="246"/>
      <c r="K193" s="246"/>
      <c r="L193" s="261"/>
      <c r="M193" s="250"/>
      <c r="N193" s="246"/>
      <c r="O193" s="282"/>
      <c r="P193" s="246"/>
      <c r="R193" s="246"/>
      <c r="S193" s="261"/>
      <c r="T193" s="250"/>
      <c r="U193" s="246"/>
      <c r="V193" s="251"/>
      <c r="W193" s="246"/>
      <c r="X193" s="251"/>
      <c r="Y193" s="246"/>
      <c r="Z193" s="261"/>
      <c r="AA193" s="250"/>
      <c r="AB193" s="246"/>
      <c r="AC193" s="311" t="s">
        <v>438</v>
      </c>
      <c r="AD193" s="246"/>
      <c r="AE193" s="282"/>
      <c r="AF193" s="246"/>
      <c r="AG193" s="261"/>
      <c r="AH193" s="371"/>
      <c r="AI193" s="246"/>
      <c r="AK193" s="246"/>
      <c r="AL193" s="282"/>
      <c r="AM193" s="246"/>
      <c r="AN193" s="261"/>
      <c r="AO193" s="479"/>
      <c r="AP193" s="246"/>
      <c r="AR193" s="246"/>
      <c r="AT193" s="254" t="str">
        <f t="shared" si="37"/>
        <v/>
      </c>
      <c r="AU193" s="269"/>
      <c r="AV193" s="269"/>
    </row>
    <row r="194">
      <c r="A194" s="94"/>
      <c r="B194" s="256" t="s">
        <v>679</v>
      </c>
      <c r="C194" s="257" t="s">
        <v>680</v>
      </c>
      <c r="D194" s="330"/>
      <c r="E194" s="259"/>
      <c r="F194" s="311" t="s">
        <v>393</v>
      </c>
      <c r="G194" s="246"/>
      <c r="H194" s="374" t="s">
        <v>436</v>
      </c>
      <c r="I194" s="246"/>
      <c r="J194" s="274" t="s">
        <v>437</v>
      </c>
      <c r="K194" s="246"/>
      <c r="L194" s="261"/>
      <c r="M194" s="333"/>
      <c r="N194" s="246"/>
      <c r="O194" s="374" t="s">
        <v>436</v>
      </c>
      <c r="P194" s="246"/>
      <c r="Q194" s="348" t="s">
        <v>759</v>
      </c>
      <c r="R194" s="246"/>
      <c r="S194" s="261"/>
      <c r="T194" s="333"/>
      <c r="U194" s="246"/>
      <c r="V194" s="311" t="s">
        <v>436</v>
      </c>
      <c r="W194" s="246"/>
      <c r="X194" s="251" t="s">
        <v>433</v>
      </c>
      <c r="Y194" s="246"/>
      <c r="Z194" s="261"/>
      <c r="AA194" s="333"/>
      <c r="AB194" s="246"/>
      <c r="AC194" s="274" t="s">
        <v>406</v>
      </c>
      <c r="AD194" s="246"/>
      <c r="AE194" s="274" t="s">
        <v>439</v>
      </c>
      <c r="AF194" s="246"/>
      <c r="AG194" s="261"/>
      <c r="AH194" s="274" t="s">
        <v>443</v>
      </c>
      <c r="AI194" s="246"/>
      <c r="AJ194" s="374" t="s">
        <v>436</v>
      </c>
      <c r="AK194" s="246"/>
      <c r="AL194" s="274" t="s">
        <v>406</v>
      </c>
      <c r="AM194" s="246"/>
      <c r="AN194" s="261"/>
      <c r="AO194" s="479"/>
      <c r="AP194" s="246"/>
      <c r="AQ194" s="274" t="s">
        <v>406</v>
      </c>
      <c r="AR194" s="246"/>
      <c r="AS194" s="274" t="s">
        <v>437</v>
      </c>
      <c r="AT194" s="254" t="str">
        <f t="shared" si="37"/>
        <v/>
      </c>
      <c r="AU194" s="269"/>
      <c r="AV194" s="269"/>
    </row>
    <row r="195">
      <c r="A195" s="372"/>
      <c r="B195" s="328" t="s">
        <v>679</v>
      </c>
      <c r="C195" s="329" t="s">
        <v>652</v>
      </c>
      <c r="D195" s="330"/>
      <c r="E195" s="259"/>
      <c r="G195" s="246"/>
      <c r="H195" s="311" t="s">
        <v>394</v>
      </c>
      <c r="I195" s="246"/>
      <c r="K195" s="246"/>
      <c r="L195" s="261"/>
      <c r="M195" s="346"/>
      <c r="N195" s="246"/>
      <c r="O195" s="366" t="s">
        <v>676</v>
      </c>
      <c r="P195" s="246"/>
      <c r="R195" s="246"/>
      <c r="S195" s="261"/>
      <c r="T195" s="346"/>
      <c r="U195" s="246"/>
      <c r="V195" s="311" t="s">
        <v>394</v>
      </c>
      <c r="W195" s="246"/>
      <c r="Y195" s="246"/>
      <c r="Z195" s="261"/>
      <c r="AA195" s="346"/>
      <c r="AB195" s="246"/>
      <c r="AD195" s="246"/>
      <c r="AF195" s="246"/>
      <c r="AG195" s="261"/>
      <c r="AI195" s="246"/>
      <c r="AK195" s="246"/>
      <c r="AM195" s="246"/>
      <c r="AN195" s="261"/>
      <c r="AO195" s="479"/>
      <c r="AP195" s="246"/>
      <c r="AR195" s="246"/>
      <c r="AT195" s="254" t="str">
        <f t="shared" si="37"/>
        <v/>
      </c>
      <c r="AU195" s="269"/>
      <c r="AV195" s="269"/>
    </row>
    <row r="196">
      <c r="A196" s="94"/>
      <c r="B196" s="328" t="s">
        <v>679</v>
      </c>
      <c r="C196" s="329" t="s">
        <v>683</v>
      </c>
      <c r="D196" s="379"/>
      <c r="E196" s="380"/>
      <c r="G196" s="246"/>
      <c r="H196" s="274" t="s">
        <v>406</v>
      </c>
      <c r="I196" s="246"/>
      <c r="J196" s="376" t="s">
        <v>466</v>
      </c>
      <c r="K196" s="246"/>
      <c r="L196" s="261"/>
      <c r="M196" s="341"/>
      <c r="N196" s="246"/>
      <c r="O196" s="274" t="s">
        <v>406</v>
      </c>
      <c r="P196" s="246"/>
      <c r="Q196" s="251" t="s">
        <v>433</v>
      </c>
      <c r="R196" s="246"/>
      <c r="S196" s="261"/>
      <c r="T196" s="341"/>
      <c r="U196" s="246"/>
      <c r="V196" s="274" t="s">
        <v>406</v>
      </c>
      <c r="W196" s="246"/>
      <c r="X196" s="311" t="s">
        <v>455</v>
      </c>
      <c r="Y196" s="246"/>
      <c r="Z196" s="261"/>
      <c r="AA196" s="341"/>
      <c r="AB196" s="246"/>
      <c r="AC196" s="311" t="s">
        <v>394</v>
      </c>
      <c r="AD196" s="246"/>
      <c r="AE196" s="251" t="s">
        <v>457</v>
      </c>
      <c r="AF196" s="246"/>
      <c r="AG196" s="261"/>
      <c r="AH196" s="274" t="s">
        <v>437</v>
      </c>
      <c r="AI196" s="246"/>
      <c r="AJ196" s="251" t="s">
        <v>407</v>
      </c>
      <c r="AK196" s="246"/>
      <c r="AL196" s="311" t="s">
        <v>394</v>
      </c>
      <c r="AM196" s="246"/>
      <c r="AN196" s="261"/>
      <c r="AO196" s="479"/>
      <c r="AP196" s="246"/>
      <c r="AQ196" s="311" t="s">
        <v>436</v>
      </c>
      <c r="AR196" s="246"/>
      <c r="AS196" s="251" t="s">
        <v>457</v>
      </c>
      <c r="AT196" s="254" t="str">
        <f t="shared" si="37"/>
        <v/>
      </c>
      <c r="AU196" s="269"/>
      <c r="AV196" s="269"/>
    </row>
    <row r="197">
      <c r="A197" s="94"/>
      <c r="B197" s="377" t="s">
        <v>684</v>
      </c>
      <c r="C197" s="378" t="s">
        <v>685</v>
      </c>
      <c r="D197" s="363"/>
      <c r="E197" s="259"/>
      <c r="F197" s="311" t="s">
        <v>455</v>
      </c>
      <c r="G197" s="246"/>
      <c r="H197" s="282"/>
      <c r="I197" s="246"/>
      <c r="K197" s="246"/>
      <c r="L197" s="381"/>
      <c r="M197" s="341"/>
      <c r="N197" s="246"/>
      <c r="O197" s="282"/>
      <c r="P197" s="246"/>
      <c r="Q197" s="274" t="s">
        <v>414</v>
      </c>
      <c r="R197" s="246"/>
      <c r="S197" s="381"/>
      <c r="T197" s="341"/>
      <c r="U197" s="246"/>
      <c r="W197" s="246"/>
      <c r="X197" s="311" t="s">
        <v>410</v>
      </c>
      <c r="Y197" s="246"/>
      <c r="Z197" s="381"/>
      <c r="AA197" s="341"/>
      <c r="AB197" s="246"/>
      <c r="AD197" s="246"/>
      <c r="AE197" s="251" t="s">
        <v>405</v>
      </c>
      <c r="AF197" s="246"/>
      <c r="AG197" s="381"/>
      <c r="AH197" s="251" t="s">
        <v>410</v>
      </c>
      <c r="AI197" s="246"/>
      <c r="AK197" s="246"/>
      <c r="AM197" s="246"/>
      <c r="AN197" s="381"/>
      <c r="AO197" s="479"/>
      <c r="AP197" s="246"/>
      <c r="AQ197" s="282"/>
      <c r="AR197" s="246"/>
      <c r="AS197" s="251" t="s">
        <v>405</v>
      </c>
      <c r="AT197" s="254" t="str">
        <f t="shared" si="37"/>
        <v/>
      </c>
      <c r="AU197" s="269"/>
      <c r="AV197" s="269"/>
    </row>
    <row r="198">
      <c r="A198" s="270"/>
      <c r="B198" s="382" t="s">
        <v>686</v>
      </c>
      <c r="C198" s="242" t="s">
        <v>652</v>
      </c>
      <c r="D198" s="330"/>
      <c r="E198" s="259"/>
      <c r="F198" s="376" t="s">
        <v>453</v>
      </c>
      <c r="G198" s="246"/>
      <c r="H198" s="251" t="s">
        <v>435</v>
      </c>
      <c r="I198" s="246"/>
      <c r="J198" s="251" t="s">
        <v>429</v>
      </c>
      <c r="K198" s="246"/>
      <c r="L198" s="261"/>
      <c r="M198" s="341"/>
      <c r="N198" s="246"/>
      <c r="O198" s="251" t="s">
        <v>435</v>
      </c>
      <c r="P198" s="246"/>
      <c r="Q198" s="251" t="s">
        <v>429</v>
      </c>
      <c r="R198" s="246"/>
      <c r="S198" s="261"/>
      <c r="T198" s="341"/>
      <c r="U198" s="246"/>
      <c r="V198" s="251" t="s">
        <v>435</v>
      </c>
      <c r="W198" s="246"/>
      <c r="X198" s="251" t="s">
        <v>429</v>
      </c>
      <c r="Y198" s="246"/>
      <c r="Z198" s="261"/>
      <c r="AA198" s="341"/>
      <c r="AB198" s="246"/>
      <c r="AC198" s="251" t="s">
        <v>435</v>
      </c>
      <c r="AD198" s="246"/>
      <c r="AE198" s="251" t="s">
        <v>429</v>
      </c>
      <c r="AF198" s="246"/>
      <c r="AG198" s="261"/>
      <c r="AH198" s="311" t="s">
        <v>455</v>
      </c>
      <c r="AI198" s="246"/>
      <c r="AJ198" s="385" t="s">
        <v>428</v>
      </c>
      <c r="AK198" s="246"/>
      <c r="AL198" s="251" t="s">
        <v>429</v>
      </c>
      <c r="AM198" s="246"/>
      <c r="AN198" s="261"/>
      <c r="AO198" s="479"/>
      <c r="AP198" s="246"/>
      <c r="AQ198" s="385" t="s">
        <v>428</v>
      </c>
      <c r="AR198" s="246"/>
      <c r="AS198" s="311" t="s">
        <v>466</v>
      </c>
      <c r="AT198" s="254" t="str">
        <f t="shared" si="37"/>
        <v/>
      </c>
      <c r="AU198" s="269"/>
      <c r="AV198" s="269"/>
    </row>
    <row r="199">
      <c r="A199" s="234"/>
      <c r="B199" s="337" t="s">
        <v>686</v>
      </c>
      <c r="C199" s="338" t="s">
        <v>687</v>
      </c>
      <c r="D199" s="330"/>
      <c r="E199" s="259"/>
      <c r="G199" s="246"/>
      <c r="H199" s="385" t="s">
        <v>428</v>
      </c>
      <c r="I199" s="246"/>
      <c r="K199" s="246"/>
      <c r="L199" s="261"/>
      <c r="M199" s="250"/>
      <c r="N199" s="246"/>
      <c r="O199" s="376" t="s">
        <v>466</v>
      </c>
      <c r="P199" s="246"/>
      <c r="Q199" s="376" t="s">
        <v>453</v>
      </c>
      <c r="R199" s="246"/>
      <c r="S199" s="261"/>
      <c r="T199" s="250"/>
      <c r="U199" s="246"/>
      <c r="V199" s="383" t="s">
        <v>428</v>
      </c>
      <c r="W199" s="246"/>
      <c r="X199" s="579" t="s">
        <v>942</v>
      </c>
      <c r="Y199" s="246"/>
      <c r="Z199" s="261"/>
      <c r="AA199" s="250"/>
      <c r="AB199" s="246"/>
      <c r="AC199" s="376" t="s">
        <v>466</v>
      </c>
      <c r="AD199" s="246"/>
      <c r="AE199" s="311" t="s">
        <v>455</v>
      </c>
      <c r="AF199" s="246"/>
      <c r="AG199" s="261"/>
      <c r="AI199" s="246"/>
      <c r="AJ199" s="251" t="s">
        <v>435</v>
      </c>
      <c r="AK199" s="246"/>
      <c r="AL199" s="376" t="s">
        <v>466</v>
      </c>
      <c r="AM199" s="246"/>
      <c r="AN199" s="261"/>
      <c r="AO199" s="479"/>
      <c r="AP199" s="246"/>
      <c r="AQ199" s="311" t="s">
        <v>455</v>
      </c>
      <c r="AR199" s="246"/>
      <c r="AS199" s="265"/>
      <c r="AT199" s="254" t="str">
        <f t="shared" si="37"/>
        <v/>
      </c>
      <c r="AU199" s="269"/>
      <c r="AV199" s="269"/>
    </row>
    <row r="200">
      <c r="A200" s="94"/>
      <c r="B200" s="337" t="s">
        <v>688</v>
      </c>
      <c r="C200" s="285" t="s">
        <v>687</v>
      </c>
      <c r="D200" s="389"/>
      <c r="E200" s="259"/>
      <c r="G200" s="246"/>
      <c r="H200" s="265"/>
      <c r="I200" s="246"/>
      <c r="J200" s="265"/>
      <c r="K200" s="246"/>
      <c r="L200" s="261"/>
      <c r="M200" s="262"/>
      <c r="N200" s="246"/>
      <c r="O200" s="265"/>
      <c r="P200" s="246"/>
      <c r="Q200" s="385" t="s">
        <v>428</v>
      </c>
      <c r="R200" s="246"/>
      <c r="S200" s="261"/>
      <c r="T200" s="262"/>
      <c r="U200" s="246"/>
      <c r="W200" s="246"/>
      <c r="Y200" s="246"/>
      <c r="Z200" s="261"/>
      <c r="AA200" s="262"/>
      <c r="AB200" s="246"/>
      <c r="AC200" s="265"/>
      <c r="AD200" s="246"/>
      <c r="AF200" s="246"/>
      <c r="AG200" s="261"/>
      <c r="AH200" s="265"/>
      <c r="AI200" s="246"/>
      <c r="AK200" s="246"/>
      <c r="AL200" s="265"/>
      <c r="AM200" s="246"/>
      <c r="AN200" s="261"/>
      <c r="AO200" s="479"/>
      <c r="AP200" s="246"/>
      <c r="AQ200" s="265"/>
      <c r="AR200" s="246"/>
      <c r="AS200" s="265"/>
      <c r="AT200" s="254" t="str">
        <f t="shared" si="37"/>
        <v/>
      </c>
      <c r="AU200" s="269"/>
      <c r="AV200" s="269"/>
    </row>
    <row r="201">
      <c r="A201" s="94"/>
      <c r="B201" s="387" t="s">
        <v>690</v>
      </c>
      <c r="C201" s="388" t="s">
        <v>649</v>
      </c>
      <c r="D201" s="323"/>
      <c r="E201" s="259"/>
      <c r="F201" s="390"/>
      <c r="G201" s="246"/>
      <c r="H201" s="390"/>
      <c r="I201" s="246"/>
      <c r="J201" s="390"/>
      <c r="K201" s="246"/>
      <c r="L201" s="261"/>
      <c r="M201" s="250"/>
      <c r="N201" s="246"/>
      <c r="O201" s="357" t="s">
        <v>420</v>
      </c>
      <c r="P201" s="246"/>
      <c r="Q201" s="390"/>
      <c r="R201" s="246"/>
      <c r="S201" s="261"/>
      <c r="T201" s="250"/>
      <c r="U201" s="246"/>
      <c r="V201" s="357" t="s">
        <v>420</v>
      </c>
      <c r="W201" s="246"/>
      <c r="X201" s="390"/>
      <c r="Y201" s="246"/>
      <c r="Z201" s="261"/>
      <c r="AA201" s="250"/>
      <c r="AB201" s="246"/>
      <c r="AC201" s="357"/>
      <c r="AD201" s="246"/>
      <c r="AE201" s="390"/>
      <c r="AF201" s="246"/>
      <c r="AG201" s="261"/>
      <c r="AH201" s="390"/>
      <c r="AI201" s="246"/>
      <c r="AJ201" s="390"/>
      <c r="AK201" s="246"/>
      <c r="AL201" s="390"/>
      <c r="AM201" s="246"/>
      <c r="AN201" s="261"/>
      <c r="AO201" s="479"/>
      <c r="AP201" s="246"/>
      <c r="AQ201" s="390"/>
      <c r="AR201" s="246"/>
      <c r="AS201" s="390"/>
      <c r="AT201" s="254" t="str">
        <f t="shared" ref="AT201:AT204" si="38">IF(COUNTIF($AO$80:$AT$82, AS201) &gt; 0, "X", "")</f>
        <v/>
      </c>
      <c r="AU201" s="269"/>
      <c r="AV201" s="269"/>
    </row>
    <row r="202">
      <c r="A202" s="94"/>
      <c r="B202" s="296" t="s">
        <v>650</v>
      </c>
      <c r="C202" s="297" t="s">
        <v>649</v>
      </c>
      <c r="D202" s="323"/>
      <c r="E202" s="261"/>
      <c r="F202" s="300"/>
      <c r="G202" s="246"/>
      <c r="H202" s="319"/>
      <c r="I202" s="246"/>
      <c r="J202" s="300"/>
      <c r="K202" s="246"/>
      <c r="L202" s="261"/>
      <c r="M202" s="250"/>
      <c r="N202" s="246"/>
      <c r="O202" s="300"/>
      <c r="P202" s="246"/>
      <c r="Q202" s="300"/>
      <c r="R202" s="246"/>
      <c r="S202" s="261"/>
      <c r="T202" s="250"/>
      <c r="U202" s="246"/>
      <c r="V202" s="300"/>
      <c r="W202" s="246"/>
      <c r="X202" s="300"/>
      <c r="Y202" s="246"/>
      <c r="Z202" s="261"/>
      <c r="AA202" s="250"/>
      <c r="AB202" s="246"/>
      <c r="AC202" s="300"/>
      <c r="AD202" s="246"/>
      <c r="AE202" s="300"/>
      <c r="AF202" s="246"/>
      <c r="AG202" s="261"/>
      <c r="AH202" s="300"/>
      <c r="AI202" s="246"/>
      <c r="AJ202" s="300"/>
      <c r="AK202" s="246"/>
      <c r="AL202" s="300"/>
      <c r="AM202" s="246"/>
      <c r="AN202" s="261"/>
      <c r="AO202" s="479"/>
      <c r="AP202" s="246"/>
      <c r="AQ202" s="300"/>
      <c r="AR202" s="246"/>
      <c r="AS202" s="300"/>
      <c r="AT202" s="254" t="str">
        <f t="shared" si="38"/>
        <v/>
      </c>
      <c r="AU202" s="269"/>
      <c r="AV202" s="269"/>
    </row>
    <row r="203">
      <c r="A203" s="94"/>
      <c r="B203" s="301" t="s">
        <v>651</v>
      </c>
      <c r="C203" s="391" t="s">
        <v>652</v>
      </c>
      <c r="D203" s="323"/>
      <c r="E203" s="259"/>
      <c r="F203" s="304"/>
      <c r="G203" s="246"/>
      <c r="H203" s="304"/>
      <c r="I203" s="246"/>
      <c r="J203" s="304"/>
      <c r="K203" s="246"/>
      <c r="L203" s="261"/>
      <c r="M203" s="250"/>
      <c r="N203" s="246"/>
      <c r="O203" s="304"/>
      <c r="P203" s="246"/>
      <c r="Q203" s="304"/>
      <c r="R203" s="246"/>
      <c r="S203" s="261"/>
      <c r="T203" s="250"/>
      <c r="U203" s="246"/>
      <c r="V203" s="304"/>
      <c r="W203" s="246"/>
      <c r="X203" s="304"/>
      <c r="Y203" s="246"/>
      <c r="Z203" s="261"/>
      <c r="AA203" s="250"/>
      <c r="AB203" s="246"/>
      <c r="AC203" s="304"/>
      <c r="AD203" s="246"/>
      <c r="AE203" s="304"/>
      <c r="AF203" s="246"/>
      <c r="AG203" s="261"/>
      <c r="AH203" s="304"/>
      <c r="AI203" s="246"/>
      <c r="AJ203" s="304"/>
      <c r="AK203" s="246"/>
      <c r="AL203" s="304"/>
      <c r="AM203" s="246"/>
      <c r="AN203" s="261"/>
      <c r="AO203" s="479"/>
      <c r="AP203" s="246"/>
      <c r="AQ203" s="304"/>
      <c r="AR203" s="246"/>
      <c r="AS203" s="304"/>
      <c r="AT203" s="254" t="str">
        <f t="shared" si="38"/>
        <v/>
      </c>
      <c r="AU203" s="269"/>
      <c r="AV203" s="269"/>
    </row>
    <row r="204">
      <c r="A204" s="94"/>
      <c r="B204" s="392" t="s">
        <v>691</v>
      </c>
      <c r="C204" s="393" t="s">
        <v>652</v>
      </c>
      <c r="D204" s="330"/>
      <c r="E204" s="259"/>
      <c r="F204" s="307"/>
      <c r="G204" s="246"/>
      <c r="H204" s="307"/>
      <c r="I204" s="246"/>
      <c r="J204" s="307"/>
      <c r="K204" s="246"/>
      <c r="L204" s="261"/>
      <c r="M204" s="250"/>
      <c r="N204" s="246"/>
      <c r="O204" s="647" t="s">
        <v>397</v>
      </c>
      <c r="P204" s="246"/>
      <c r="Q204" s="307"/>
      <c r="R204" s="246"/>
      <c r="S204" s="261"/>
      <c r="T204" s="250"/>
      <c r="U204" s="246"/>
      <c r="V204" s="647" t="s">
        <v>397</v>
      </c>
      <c r="W204" s="246"/>
      <c r="X204" s="307"/>
      <c r="Y204" s="246"/>
      <c r="Z204" s="261"/>
      <c r="AA204" s="250"/>
      <c r="AB204" s="246"/>
      <c r="AC204" s="307"/>
      <c r="AD204" s="246"/>
      <c r="AE204" s="307"/>
      <c r="AF204" s="246"/>
      <c r="AG204" s="261"/>
      <c r="AH204" s="307"/>
      <c r="AI204" s="246"/>
      <c r="AJ204" s="307"/>
      <c r="AK204" s="246"/>
      <c r="AL204" s="307"/>
      <c r="AM204" s="246"/>
      <c r="AN204" s="261"/>
      <c r="AO204" s="479"/>
      <c r="AP204" s="246"/>
      <c r="AQ204" s="307"/>
      <c r="AR204" s="246"/>
      <c r="AS204" s="307"/>
      <c r="AT204" s="254" t="str">
        <f t="shared" si="38"/>
        <v/>
      </c>
      <c r="AU204" s="269"/>
      <c r="AV204" s="269"/>
    </row>
    <row r="205">
      <c r="A205" s="94"/>
      <c r="B205" s="328" t="s">
        <v>692</v>
      </c>
      <c r="C205" s="329" t="s">
        <v>652</v>
      </c>
      <c r="D205" s="369"/>
      <c r="E205" s="259"/>
      <c r="F205" s="371"/>
      <c r="G205" s="246"/>
      <c r="H205" s="371"/>
      <c r="I205" s="246"/>
      <c r="J205" s="282"/>
      <c r="K205" s="246"/>
      <c r="L205" s="261"/>
      <c r="M205" s="250"/>
      <c r="N205" s="246"/>
      <c r="O205" s="371"/>
      <c r="P205" s="246"/>
      <c r="Q205" s="371"/>
      <c r="R205" s="246"/>
      <c r="S205" s="261"/>
      <c r="T205" s="250"/>
      <c r="U205" s="246"/>
      <c r="W205" s="246"/>
      <c r="Y205" s="246"/>
      <c r="Z205" s="261"/>
      <c r="AA205" s="250"/>
      <c r="AB205" s="246"/>
      <c r="AC205" s="371"/>
      <c r="AD205" s="246"/>
      <c r="AE205" s="371"/>
      <c r="AF205" s="246"/>
      <c r="AG205" s="261"/>
      <c r="AH205" s="371"/>
      <c r="AI205" s="246"/>
      <c r="AK205" s="246"/>
      <c r="AL205" s="371"/>
      <c r="AM205" s="246"/>
      <c r="AN205" s="261"/>
      <c r="AO205" s="479"/>
      <c r="AP205" s="246"/>
      <c r="AQ205" s="399"/>
      <c r="AR205" s="246"/>
      <c r="AT205" s="254" t="str">
        <f t="shared" ref="AT205:AT208" si="39">IF(COUNTIF($AO$80:$AT$82, AS206) &gt; 0, "X", "")</f>
        <v/>
      </c>
      <c r="AU205" s="269"/>
      <c r="AV205" s="269"/>
    </row>
    <row r="206">
      <c r="A206" s="94"/>
      <c r="B206" s="397" t="s">
        <v>692</v>
      </c>
      <c r="C206" s="398" t="s">
        <v>687</v>
      </c>
      <c r="D206" s="389"/>
      <c r="E206" s="259"/>
      <c r="F206" s="399"/>
      <c r="G206" s="246"/>
      <c r="H206" s="399"/>
      <c r="I206" s="246"/>
      <c r="J206" s="399"/>
      <c r="K206" s="246"/>
      <c r="L206" s="261"/>
      <c r="M206" s="250"/>
      <c r="N206" s="246"/>
      <c r="O206" s="282"/>
      <c r="P206" s="246"/>
      <c r="Q206" s="282"/>
      <c r="R206" s="246"/>
      <c r="S206" s="261"/>
      <c r="T206" s="250"/>
      <c r="U206" s="246"/>
      <c r="V206" s="282"/>
      <c r="W206" s="246"/>
      <c r="X206" s="399"/>
      <c r="Y206" s="246"/>
      <c r="Z206" s="261"/>
      <c r="AA206" s="250"/>
      <c r="AB206" s="246"/>
      <c r="AC206" s="399"/>
      <c r="AD206" s="246"/>
      <c r="AE206" s="399"/>
      <c r="AF206" s="246"/>
      <c r="AG206" s="261"/>
      <c r="AH206" s="399"/>
      <c r="AI206" s="246"/>
      <c r="AJ206" s="399"/>
      <c r="AK206" s="246"/>
      <c r="AL206" s="399"/>
      <c r="AM206" s="246"/>
      <c r="AN206" s="261"/>
      <c r="AO206" s="479"/>
      <c r="AP206" s="246"/>
      <c r="AQ206" s="399"/>
      <c r="AR206" s="246"/>
      <c r="AT206" s="254" t="str">
        <f t="shared" si="39"/>
        <v/>
      </c>
      <c r="AU206" s="269"/>
      <c r="AV206" s="269"/>
    </row>
    <row r="207">
      <c r="A207" s="94"/>
      <c r="B207" s="387" t="s">
        <v>694</v>
      </c>
      <c r="C207" s="388" t="s">
        <v>649</v>
      </c>
      <c r="D207" s="323"/>
      <c r="E207" s="259"/>
      <c r="F207" s="390"/>
      <c r="G207" s="246"/>
      <c r="H207" s="390"/>
      <c r="I207" s="246"/>
      <c r="J207" s="390"/>
      <c r="K207" s="246"/>
      <c r="L207" s="261"/>
      <c r="M207" s="250"/>
      <c r="N207" s="246"/>
      <c r="O207" s="390"/>
      <c r="P207" s="246"/>
      <c r="Q207" s="357" t="s">
        <v>425</v>
      </c>
      <c r="R207" s="246"/>
      <c r="S207" s="261"/>
      <c r="T207" s="250"/>
      <c r="U207" s="246"/>
      <c r="V207" s="390"/>
      <c r="W207" s="246"/>
      <c r="X207" s="357" t="s">
        <v>425</v>
      </c>
      <c r="Y207" s="246"/>
      <c r="Z207" s="261"/>
      <c r="AA207" s="250"/>
      <c r="AB207" s="246"/>
      <c r="AC207" s="390"/>
      <c r="AD207" s="246"/>
      <c r="AE207" s="357" t="s">
        <v>425</v>
      </c>
      <c r="AF207" s="246"/>
      <c r="AG207" s="261"/>
      <c r="AH207" s="390"/>
      <c r="AI207" s="246"/>
      <c r="AJ207" s="390"/>
      <c r="AK207" s="246"/>
      <c r="AL207" s="357" t="s">
        <v>425</v>
      </c>
      <c r="AM207" s="246"/>
      <c r="AN207" s="261"/>
      <c r="AO207" s="479"/>
      <c r="AP207" s="246"/>
      <c r="AQ207" s="390"/>
      <c r="AR207" s="246"/>
      <c r="AS207" s="357" t="s">
        <v>425</v>
      </c>
      <c r="AT207" s="254" t="str">
        <f t="shared" si="39"/>
        <v/>
      </c>
      <c r="AU207" s="269"/>
      <c r="AV207" s="269"/>
    </row>
    <row r="208">
      <c r="A208" s="94"/>
      <c r="B208" s="296" t="s">
        <v>650</v>
      </c>
      <c r="C208" s="297" t="s">
        <v>649</v>
      </c>
      <c r="D208" s="323"/>
      <c r="E208" s="261"/>
      <c r="F208" s="300"/>
      <c r="G208" s="298"/>
      <c r="H208" s="300"/>
      <c r="I208" s="298"/>
      <c r="J208" s="300"/>
      <c r="K208" s="298"/>
      <c r="L208" s="261"/>
      <c r="M208" s="250"/>
      <c r="N208" s="298"/>
      <c r="O208" s="300"/>
      <c r="P208" s="298"/>
      <c r="Q208" s="319"/>
      <c r="R208" s="298"/>
      <c r="S208" s="261"/>
      <c r="T208" s="250"/>
      <c r="U208" s="298"/>
      <c r="V208" s="300"/>
      <c r="W208" s="298"/>
      <c r="X208" s="684" t="s">
        <v>967</v>
      </c>
      <c r="Y208" s="298"/>
      <c r="Z208" s="261"/>
      <c r="AA208" s="250"/>
      <c r="AB208" s="298"/>
      <c r="AC208" s="300"/>
      <c r="AD208" s="298"/>
      <c r="AE208" s="684" t="s">
        <v>967</v>
      </c>
      <c r="AF208" s="298"/>
      <c r="AG208" s="261"/>
      <c r="AH208" s="300"/>
      <c r="AI208" s="298"/>
      <c r="AJ208" s="300"/>
      <c r="AK208" s="298"/>
      <c r="AL208" s="684" t="s">
        <v>967</v>
      </c>
      <c r="AM208" s="298"/>
      <c r="AN208" s="261"/>
      <c r="AO208" s="479"/>
      <c r="AP208" s="298"/>
      <c r="AQ208" s="300"/>
      <c r="AR208" s="298"/>
      <c r="AS208" s="300"/>
      <c r="AT208" s="254" t="str">
        <f t="shared" si="39"/>
        <v/>
      </c>
      <c r="AU208" s="269"/>
      <c r="AV208" s="269"/>
    </row>
    <row r="209">
      <c r="A209" s="94"/>
      <c r="B209" s="301" t="s">
        <v>651</v>
      </c>
      <c r="C209" s="391" t="s">
        <v>652</v>
      </c>
      <c r="D209" s="323"/>
      <c r="E209" s="259"/>
      <c r="F209" s="304"/>
      <c r="G209" s="298"/>
      <c r="H209" s="304"/>
      <c r="I209" s="298"/>
      <c r="J209" s="304"/>
      <c r="K209" s="298"/>
      <c r="L209" s="261"/>
      <c r="M209" s="250"/>
      <c r="N209" s="298"/>
      <c r="O209" s="304"/>
      <c r="P209" s="298"/>
      <c r="Q209" s="304"/>
      <c r="R209" s="298"/>
      <c r="S209" s="261"/>
      <c r="T209" s="250"/>
      <c r="U209" s="298"/>
      <c r="V209" s="304"/>
      <c r="W209" s="298"/>
      <c r="X209" s="360" t="s">
        <v>968</v>
      </c>
      <c r="Y209" s="298"/>
      <c r="Z209" s="261"/>
      <c r="AA209" s="250"/>
      <c r="AB209" s="298"/>
      <c r="AC209" s="304"/>
      <c r="AD209" s="298"/>
      <c r="AE209" s="360" t="s">
        <v>968</v>
      </c>
      <c r="AF209" s="298"/>
      <c r="AG209" s="261"/>
      <c r="AH209" s="304"/>
      <c r="AI209" s="298"/>
      <c r="AJ209" s="304"/>
      <c r="AK209" s="298"/>
      <c r="AL209" s="360" t="s">
        <v>968</v>
      </c>
      <c r="AM209" s="298"/>
      <c r="AN209" s="261"/>
      <c r="AO209" s="479"/>
      <c r="AP209" s="298"/>
      <c r="AQ209" s="304"/>
      <c r="AR209" s="298"/>
      <c r="AS209" s="304"/>
      <c r="AT209" s="254" t="str">
        <f t="shared" ref="AT209:AT210" si="40">IF(COUNTIF($AO$80:$AT$82, #REF!) &gt; 0, "X", "")</f>
        <v/>
      </c>
      <c r="AU209" s="269"/>
      <c r="AV209" s="269"/>
    </row>
    <row r="210">
      <c r="A210" s="94"/>
      <c r="B210" s="392" t="s">
        <v>691</v>
      </c>
      <c r="C210" s="393" t="s">
        <v>652</v>
      </c>
      <c r="D210" s="330"/>
      <c r="E210" s="259"/>
      <c r="F210" s="307"/>
      <c r="G210" s="298"/>
      <c r="H210" s="307"/>
      <c r="I210" s="298"/>
      <c r="J210" s="307"/>
      <c r="K210" s="298"/>
      <c r="L210" s="261"/>
      <c r="M210" s="250"/>
      <c r="N210" s="298"/>
      <c r="O210" s="307"/>
      <c r="P210" s="298"/>
      <c r="Q210" s="307"/>
      <c r="R210" s="298"/>
      <c r="S210" s="261"/>
      <c r="T210" s="250"/>
      <c r="U210" s="298"/>
      <c r="V210" s="307"/>
      <c r="W210" s="298"/>
      <c r="X210" s="395" t="s">
        <v>430</v>
      </c>
      <c r="Y210" s="298"/>
      <c r="Z210" s="261"/>
      <c r="AA210" s="250"/>
      <c r="AB210" s="298"/>
      <c r="AC210" s="307"/>
      <c r="AD210" s="298"/>
      <c r="AE210" s="395" t="s">
        <v>430</v>
      </c>
      <c r="AF210" s="298"/>
      <c r="AG210" s="261"/>
      <c r="AH210" s="307"/>
      <c r="AI210" s="298"/>
      <c r="AJ210" s="307"/>
      <c r="AK210" s="298"/>
      <c r="AL210" s="308" t="s">
        <v>445</v>
      </c>
      <c r="AM210" s="298"/>
      <c r="AN210" s="261"/>
      <c r="AO210" s="479"/>
      <c r="AP210" s="298"/>
      <c r="AQ210" s="307"/>
      <c r="AR210" s="298"/>
      <c r="AS210" s="308" t="s">
        <v>445</v>
      </c>
      <c r="AT210" s="254" t="str">
        <f t="shared" si="40"/>
        <v/>
      </c>
      <c r="AU210" s="269"/>
      <c r="AV210" s="269"/>
    </row>
    <row r="211">
      <c r="A211" s="94"/>
      <c r="B211" s="328" t="s">
        <v>692</v>
      </c>
      <c r="C211" s="329" t="s">
        <v>652</v>
      </c>
      <c r="D211" s="369"/>
      <c r="E211" s="259"/>
      <c r="F211" s="371"/>
      <c r="G211" s="246"/>
      <c r="H211" s="371"/>
      <c r="I211" s="246"/>
      <c r="J211" s="371"/>
      <c r="K211" s="246"/>
      <c r="L211" s="261"/>
      <c r="M211" s="250"/>
      <c r="N211" s="246"/>
      <c r="O211" s="371"/>
      <c r="P211" s="246"/>
      <c r="Q211" s="371"/>
      <c r="R211" s="246"/>
      <c r="S211" s="261"/>
      <c r="T211" s="250"/>
      <c r="U211" s="246"/>
      <c r="V211" s="371"/>
      <c r="W211" s="246"/>
      <c r="X211" s="282"/>
      <c r="Y211" s="246"/>
      <c r="Z211" s="261"/>
      <c r="AA211" s="250"/>
      <c r="AB211" s="246"/>
      <c r="AC211" s="282"/>
      <c r="AD211" s="246"/>
      <c r="AE211" s="584"/>
      <c r="AF211" s="246"/>
      <c r="AG211" s="261"/>
      <c r="AH211" s="371"/>
      <c r="AI211" s="246"/>
      <c r="AK211" s="246"/>
      <c r="AL211" s="282"/>
      <c r="AM211" s="246"/>
      <c r="AN211" s="261"/>
      <c r="AO211" s="479"/>
      <c r="AP211" s="246"/>
      <c r="AQ211" s="371"/>
      <c r="AR211" s="246"/>
      <c r="AS211" s="282"/>
      <c r="AT211" s="254" t="str">
        <f t="shared" ref="AT211:AT214" si="41">IF(COUNTIF($AO$80:$AT$82, AS212) &gt; 0, "X", "")</f>
        <v/>
      </c>
      <c r="AU211" s="269"/>
      <c r="AV211" s="269"/>
    </row>
    <row r="212">
      <c r="A212" s="94"/>
      <c r="B212" s="397" t="s">
        <v>692</v>
      </c>
      <c r="C212" s="398" t="s">
        <v>687</v>
      </c>
      <c r="D212" s="404"/>
      <c r="E212" s="259"/>
      <c r="F212" s="399"/>
      <c r="G212" s="246"/>
      <c r="H212" s="399"/>
      <c r="I212" s="246"/>
      <c r="J212" s="399"/>
      <c r="K212" s="246"/>
      <c r="L212" s="261"/>
      <c r="M212" s="250"/>
      <c r="N212" s="246"/>
      <c r="O212" s="399"/>
      <c r="P212" s="246"/>
      <c r="Q212" s="282"/>
      <c r="R212" s="246"/>
      <c r="S212" s="261"/>
      <c r="T212" s="250"/>
      <c r="U212" s="246"/>
      <c r="V212" s="399"/>
      <c r="W212" s="246"/>
      <c r="X212" s="399"/>
      <c r="Y212" s="246"/>
      <c r="Z212" s="261"/>
      <c r="AA212" s="250"/>
      <c r="AB212" s="246"/>
      <c r="AC212" s="282"/>
      <c r="AD212" s="246"/>
      <c r="AE212" s="399"/>
      <c r="AF212" s="246"/>
      <c r="AG212" s="261"/>
      <c r="AH212" s="399"/>
      <c r="AI212" s="246"/>
      <c r="AJ212" s="399"/>
      <c r="AK212" s="246"/>
      <c r="AL212" s="399"/>
      <c r="AM212" s="246"/>
      <c r="AN212" s="261"/>
      <c r="AO212" s="479"/>
      <c r="AP212" s="246"/>
      <c r="AQ212" s="399"/>
      <c r="AR212" s="246"/>
      <c r="AS212" s="399"/>
      <c r="AT212" s="254" t="str">
        <f t="shared" si="41"/>
        <v/>
      </c>
      <c r="AU212" s="269"/>
      <c r="AV212" s="269"/>
    </row>
    <row r="213">
      <c r="A213" s="270"/>
      <c r="B213" s="402" t="s">
        <v>699</v>
      </c>
      <c r="C213" s="403" t="s">
        <v>649</v>
      </c>
      <c r="D213" s="330"/>
      <c r="E213" s="259"/>
      <c r="F213" s="294"/>
      <c r="G213" s="246"/>
      <c r="H213" s="294"/>
      <c r="I213" s="246"/>
      <c r="J213" s="294"/>
      <c r="K213" s="246"/>
      <c r="L213" s="261"/>
      <c r="M213" s="250"/>
      <c r="N213" s="246"/>
      <c r="O213" s="294"/>
      <c r="P213" s="246"/>
      <c r="Q213" s="293" t="s">
        <v>422</v>
      </c>
      <c r="R213" s="246"/>
      <c r="S213" s="261"/>
      <c r="T213" s="250"/>
      <c r="U213" s="246"/>
      <c r="V213" s="294"/>
      <c r="W213" s="246"/>
      <c r="X213" s="294"/>
      <c r="Y213" s="246"/>
      <c r="Z213" s="261"/>
      <c r="AA213" s="250"/>
      <c r="AB213" s="246"/>
      <c r="AC213" s="294"/>
      <c r="AD213" s="246"/>
      <c r="AE213" s="353" t="s">
        <v>426</v>
      </c>
      <c r="AF213" s="246"/>
      <c r="AG213" s="261"/>
      <c r="AH213" s="294"/>
      <c r="AI213" s="246"/>
      <c r="AJ213" s="294"/>
      <c r="AK213" s="246"/>
      <c r="AL213" s="294"/>
      <c r="AM213" s="246"/>
      <c r="AN213" s="261"/>
      <c r="AO213" s="479"/>
      <c r="AP213" s="246"/>
      <c r="AQ213" s="294"/>
      <c r="AR213" s="246"/>
      <c r="AS213" s="294"/>
      <c r="AT213" s="254" t="str">
        <f t="shared" si="41"/>
        <v/>
      </c>
      <c r="AU213" s="269"/>
      <c r="AV213" s="269"/>
    </row>
    <row r="214">
      <c r="A214" s="94"/>
      <c r="B214" s="328" t="s">
        <v>700</v>
      </c>
      <c r="C214" s="329" t="s">
        <v>657</v>
      </c>
      <c r="D214" s="330"/>
      <c r="E214" s="259"/>
      <c r="F214" s="371"/>
      <c r="G214" s="246"/>
      <c r="H214" s="282"/>
      <c r="I214" s="246"/>
      <c r="J214" s="371"/>
      <c r="K214" s="246"/>
      <c r="L214" s="261"/>
      <c r="M214" s="250"/>
      <c r="N214" s="246"/>
      <c r="O214" s="371"/>
      <c r="P214" s="246"/>
      <c r="Q214" s="274" t="s">
        <v>437</v>
      </c>
      <c r="R214" s="246"/>
      <c r="S214" s="261"/>
      <c r="T214" s="250"/>
      <c r="U214" s="246"/>
      <c r="V214" s="371"/>
      <c r="W214" s="246"/>
      <c r="X214" s="371"/>
      <c r="Y214" s="246"/>
      <c r="Z214" s="261"/>
      <c r="AA214" s="250"/>
      <c r="AB214" s="246"/>
      <c r="AC214" s="371"/>
      <c r="AD214" s="246"/>
      <c r="AE214" s="347" t="s">
        <v>437</v>
      </c>
      <c r="AF214" s="246"/>
      <c r="AG214" s="261"/>
      <c r="AH214" s="371"/>
      <c r="AI214" s="246"/>
      <c r="AJ214" s="371"/>
      <c r="AK214" s="246"/>
      <c r="AL214" s="371"/>
      <c r="AM214" s="246"/>
      <c r="AN214" s="261"/>
      <c r="AO214" s="479"/>
      <c r="AP214" s="246"/>
      <c r="AQ214" s="282"/>
      <c r="AR214" s="246"/>
      <c r="AS214" s="371"/>
      <c r="AT214" s="254" t="str">
        <f t="shared" si="41"/>
        <v/>
      </c>
      <c r="AU214" s="269"/>
      <c r="AV214" s="269"/>
    </row>
    <row r="215">
      <c r="A215" s="94"/>
      <c r="B215" s="328" t="s">
        <v>700</v>
      </c>
      <c r="C215" s="329" t="s">
        <v>657</v>
      </c>
      <c r="D215" s="330"/>
      <c r="E215" s="259"/>
      <c r="F215" s="264"/>
      <c r="G215" s="246"/>
      <c r="I215" s="246"/>
      <c r="K215" s="246"/>
      <c r="L215" s="261"/>
      <c r="M215" s="262"/>
      <c r="N215" s="246"/>
      <c r="O215" s="265"/>
      <c r="P215" s="246"/>
      <c r="Q215" s="405" t="s">
        <v>462</v>
      </c>
      <c r="R215" s="246"/>
      <c r="S215" s="261"/>
      <c r="T215" s="262"/>
      <c r="U215" s="246"/>
      <c r="V215" s="264"/>
      <c r="W215" s="246"/>
      <c r="X215" s="371"/>
      <c r="Y215" s="246"/>
      <c r="Z215" s="261"/>
      <c r="AA215" s="262"/>
      <c r="AB215" s="246"/>
      <c r="AC215" s="264"/>
      <c r="AD215" s="246"/>
      <c r="AE215" s="405" t="s">
        <v>462</v>
      </c>
      <c r="AF215" s="246"/>
      <c r="AG215" s="261"/>
      <c r="AH215" s="264"/>
      <c r="AI215" s="246"/>
      <c r="AJ215" s="264"/>
      <c r="AK215" s="246"/>
      <c r="AL215" s="264"/>
      <c r="AM215" s="246"/>
      <c r="AN215" s="261"/>
      <c r="AO215" s="479"/>
      <c r="AP215" s="246"/>
      <c r="AQ215" s="264"/>
      <c r="AR215" s="246"/>
      <c r="AS215" s="264"/>
      <c r="AT215" s="254" t="str">
        <f>IF(COUNTIF($AO$80:$AT$82, #REF!) &gt; 0, "X", "")</f>
        <v/>
      </c>
      <c r="AU215" s="269"/>
      <c r="AV215" s="269"/>
    </row>
    <row r="216">
      <c r="A216" s="94"/>
      <c r="B216" s="328" t="s">
        <v>700</v>
      </c>
      <c r="C216" s="329" t="s">
        <v>657</v>
      </c>
      <c r="D216" s="351"/>
      <c r="E216" s="259"/>
      <c r="F216" s="282"/>
      <c r="G216" s="246"/>
      <c r="H216" s="282"/>
      <c r="I216" s="246"/>
      <c r="K216" s="246"/>
      <c r="L216" s="261"/>
      <c r="M216" s="250"/>
      <c r="N216" s="246"/>
      <c r="O216" s="282"/>
      <c r="P216" s="246"/>
      <c r="Q216" s="282"/>
      <c r="R216" s="246"/>
      <c r="S216" s="261"/>
      <c r="T216" s="250"/>
      <c r="U216" s="246"/>
      <c r="V216" s="282"/>
      <c r="W216" s="246"/>
      <c r="Y216" s="246"/>
      <c r="Z216" s="261"/>
      <c r="AA216" s="250"/>
      <c r="AB216" s="246"/>
      <c r="AD216" s="246"/>
      <c r="AE216" s="282"/>
      <c r="AF216" s="246"/>
      <c r="AG216" s="261"/>
      <c r="AH216" s="371"/>
      <c r="AI216" s="246"/>
      <c r="AJ216" s="282"/>
      <c r="AK216" s="246"/>
      <c r="AM216" s="246"/>
      <c r="AN216" s="261"/>
      <c r="AO216" s="479"/>
      <c r="AP216" s="246"/>
      <c r="AQ216" s="371"/>
      <c r="AR216" s="246"/>
      <c r="AS216" s="282"/>
      <c r="AT216" s="254" t="str">
        <f t="shared" ref="AT216:AT217" si="42">IF(COUNTIF($AO$80:$AT$82, AS217) &gt; 0, "X", "")</f>
        <v/>
      </c>
      <c r="AU216" s="269"/>
      <c r="AV216" s="269"/>
    </row>
    <row r="217">
      <c r="A217" s="94"/>
      <c r="B217" s="408" t="s">
        <v>702</v>
      </c>
      <c r="C217" s="409" t="s">
        <v>652</v>
      </c>
      <c r="D217" s="323"/>
      <c r="E217" s="259"/>
      <c r="F217" s="411"/>
      <c r="G217" s="246"/>
      <c r="H217" s="411"/>
      <c r="I217" s="246"/>
      <c r="J217" s="411"/>
      <c r="K217" s="246"/>
      <c r="L217" s="261"/>
      <c r="M217" s="262"/>
      <c r="N217" s="246"/>
      <c r="O217" s="411"/>
      <c r="P217" s="246"/>
      <c r="Q217" s="411"/>
      <c r="R217" s="246"/>
      <c r="S217" s="261"/>
      <c r="T217" s="262"/>
      <c r="U217" s="246"/>
      <c r="V217" s="411"/>
      <c r="W217" s="246"/>
      <c r="X217" s="411"/>
      <c r="Y217" s="246"/>
      <c r="Z217" s="261"/>
      <c r="AA217" s="262"/>
      <c r="AB217" s="246"/>
      <c r="AC217" s="411"/>
      <c r="AD217" s="246"/>
      <c r="AE217" s="411"/>
      <c r="AF217" s="246"/>
      <c r="AG217" s="261"/>
      <c r="AH217" s="411"/>
      <c r="AI217" s="246"/>
      <c r="AJ217" s="411"/>
      <c r="AK217" s="246"/>
      <c r="AL217" s="411"/>
      <c r="AM217" s="246"/>
      <c r="AN217" s="261"/>
      <c r="AO217" s="411"/>
      <c r="AP217" s="246"/>
      <c r="AQ217" s="411"/>
      <c r="AR217" s="246"/>
      <c r="AS217" s="411"/>
      <c r="AT217" s="254" t="str">
        <f t="shared" si="42"/>
        <v/>
      </c>
      <c r="AU217" s="269"/>
      <c r="AV217" s="269"/>
    </row>
    <row r="218">
      <c r="A218" s="234"/>
      <c r="B218" s="401" t="s">
        <v>703</v>
      </c>
      <c r="C218" s="412" t="s">
        <v>704</v>
      </c>
      <c r="D218" s="330"/>
      <c r="E218" s="259"/>
      <c r="F218" s="413"/>
      <c r="G218" s="246"/>
      <c r="H218" s="413"/>
      <c r="I218" s="246"/>
      <c r="J218" s="413"/>
      <c r="K218" s="246"/>
      <c r="L218" s="261"/>
      <c r="M218" s="262"/>
      <c r="N218" s="246"/>
      <c r="O218" s="413"/>
      <c r="P218" s="246"/>
      <c r="Q218" s="413"/>
      <c r="R218" s="246"/>
      <c r="S218" s="261"/>
      <c r="T218" s="262"/>
      <c r="U218" s="246"/>
      <c r="V218" s="413"/>
      <c r="W218" s="246"/>
      <c r="X218" s="413"/>
      <c r="Y218" s="246"/>
      <c r="Z218" s="261"/>
      <c r="AA218" s="262"/>
      <c r="AB218" s="246"/>
      <c r="AC218" s="413"/>
      <c r="AD218" s="246"/>
      <c r="AE218" s="413"/>
      <c r="AF218" s="246"/>
      <c r="AG218" s="261"/>
      <c r="AH218" s="413"/>
      <c r="AI218" s="246"/>
      <c r="AJ218" s="413"/>
      <c r="AK218" s="246"/>
      <c r="AL218" s="413"/>
      <c r="AM218" s="246"/>
      <c r="AN218" s="261"/>
      <c r="AO218" s="413"/>
      <c r="AP218" s="246"/>
      <c r="AQ218" s="413"/>
      <c r="AR218" s="246"/>
      <c r="AS218" s="413"/>
      <c r="AT218" s="254" t="str">
        <f t="shared" ref="AT218:AT222" si="43">IF(COUNTIF($AO$80:$AT$82, #REF!) &gt; 0, "X", "")</f>
        <v/>
      </c>
      <c r="AU218" s="269"/>
      <c r="AV218" s="269"/>
    </row>
    <row r="219">
      <c r="A219" s="234"/>
      <c r="B219" s="414" t="s">
        <v>705</v>
      </c>
      <c r="C219" s="415" t="s">
        <v>704</v>
      </c>
      <c r="D219" s="330"/>
      <c r="E219" s="259"/>
      <c r="F219" s="311" t="s">
        <v>470</v>
      </c>
      <c r="G219" s="246"/>
      <c r="H219" s="311" t="s">
        <v>438</v>
      </c>
      <c r="I219" s="246"/>
      <c r="J219" s="251" t="s">
        <v>410</v>
      </c>
      <c r="K219" s="246"/>
      <c r="L219" s="261"/>
      <c r="M219" s="341"/>
      <c r="N219" s="246"/>
      <c r="O219" s="311" t="s">
        <v>438</v>
      </c>
      <c r="P219" s="246"/>
      <c r="Q219" s="311" t="s">
        <v>410</v>
      </c>
      <c r="R219" s="246"/>
      <c r="S219" s="261"/>
      <c r="T219" s="341"/>
      <c r="U219" s="246"/>
      <c r="V219" s="251" t="s">
        <v>407</v>
      </c>
      <c r="W219" s="246"/>
      <c r="X219" s="311" t="s">
        <v>467</v>
      </c>
      <c r="Y219" s="246"/>
      <c r="Z219" s="261"/>
      <c r="AA219" s="341"/>
      <c r="AB219" s="246"/>
      <c r="AC219" s="251" t="s">
        <v>407</v>
      </c>
      <c r="AD219" s="246"/>
      <c r="AE219" s="311" t="s">
        <v>432</v>
      </c>
      <c r="AF219" s="246"/>
      <c r="AG219" s="261"/>
      <c r="AH219" s="282"/>
      <c r="AI219" s="246"/>
      <c r="AJ219" s="311" t="s">
        <v>432</v>
      </c>
      <c r="AK219" s="246"/>
      <c r="AL219" s="586" t="s">
        <v>452</v>
      </c>
      <c r="AM219" s="246"/>
      <c r="AN219" s="261"/>
      <c r="AP219" s="246"/>
      <c r="AQ219" s="311" t="s">
        <v>394</v>
      </c>
      <c r="AR219" s="246"/>
      <c r="AS219" s="251" t="s">
        <v>410</v>
      </c>
      <c r="AT219" s="254" t="str">
        <f t="shared" si="43"/>
        <v/>
      </c>
      <c r="AU219" s="269"/>
      <c r="AV219" s="269"/>
    </row>
    <row r="220">
      <c r="A220" s="94"/>
      <c r="B220" s="328" t="s">
        <v>705</v>
      </c>
      <c r="C220" s="257" t="s">
        <v>657</v>
      </c>
      <c r="D220" s="330"/>
      <c r="E220" s="259"/>
      <c r="F220" s="339" t="s">
        <v>404</v>
      </c>
      <c r="G220" s="246"/>
      <c r="H220" s="251" t="s">
        <v>440</v>
      </c>
      <c r="I220" s="246"/>
      <c r="J220" s="384" t="s">
        <v>900</v>
      </c>
      <c r="K220" s="246"/>
      <c r="L220" s="261"/>
      <c r="M220" s="341"/>
      <c r="N220" s="246"/>
      <c r="O220" s="339" t="s">
        <v>404</v>
      </c>
      <c r="P220" s="246"/>
      <c r="Q220" s="384" t="s">
        <v>900</v>
      </c>
      <c r="R220" s="246"/>
      <c r="S220" s="261"/>
      <c r="T220" s="341"/>
      <c r="U220" s="246"/>
      <c r="V220" s="339" t="s">
        <v>404</v>
      </c>
      <c r="W220" s="246"/>
      <c r="X220" s="384" t="s">
        <v>900</v>
      </c>
      <c r="Y220" s="246"/>
      <c r="Z220" s="261"/>
      <c r="AA220" s="341"/>
      <c r="AB220" s="246"/>
      <c r="AC220" s="251" t="s">
        <v>440</v>
      </c>
      <c r="AD220" s="246"/>
      <c r="AE220" s="311" t="s">
        <v>467</v>
      </c>
      <c r="AF220" s="246"/>
      <c r="AG220" s="261"/>
      <c r="AH220" s="311" t="s">
        <v>470</v>
      </c>
      <c r="AI220" s="246"/>
      <c r="AJ220" s="311" t="s">
        <v>438</v>
      </c>
      <c r="AK220" s="246"/>
      <c r="AL220" s="339" t="s">
        <v>404</v>
      </c>
      <c r="AM220" s="246"/>
      <c r="AN220" s="261"/>
      <c r="AP220" s="246"/>
      <c r="AQ220" s="339" t="s">
        <v>404</v>
      </c>
      <c r="AR220" s="246"/>
      <c r="AS220" s="251" t="s">
        <v>432</v>
      </c>
      <c r="AT220" s="254" t="str">
        <f t="shared" si="43"/>
        <v/>
      </c>
      <c r="AU220" s="269"/>
      <c r="AV220" s="269"/>
    </row>
    <row r="221">
      <c r="A221" s="94"/>
      <c r="B221" s="277" t="s">
        <v>705</v>
      </c>
      <c r="C221" s="329" t="s">
        <v>685</v>
      </c>
      <c r="D221" s="369"/>
      <c r="E221" s="259"/>
      <c r="F221" s="311" t="s">
        <v>467</v>
      </c>
      <c r="G221" s="246"/>
      <c r="H221" s="251" t="s">
        <v>407</v>
      </c>
      <c r="I221" s="246"/>
      <c r="J221" s="311" t="s">
        <v>432</v>
      </c>
      <c r="K221" s="246"/>
      <c r="L221" s="261"/>
      <c r="M221" s="341"/>
      <c r="N221" s="246"/>
      <c r="O221" s="251" t="s">
        <v>407</v>
      </c>
      <c r="P221" s="246"/>
      <c r="Q221" s="311" t="s">
        <v>470</v>
      </c>
      <c r="R221" s="246"/>
      <c r="S221" s="261"/>
      <c r="T221" s="341"/>
      <c r="U221" s="246"/>
      <c r="V221" s="251" t="s">
        <v>440</v>
      </c>
      <c r="W221" s="246"/>
      <c r="X221" s="586" t="s">
        <v>452</v>
      </c>
      <c r="Y221" s="246"/>
      <c r="Z221" s="261"/>
      <c r="AA221" s="341"/>
      <c r="AB221" s="246"/>
      <c r="AC221" s="311" t="s">
        <v>470</v>
      </c>
      <c r="AD221" s="246"/>
      <c r="AE221" s="384" t="s">
        <v>900</v>
      </c>
      <c r="AF221" s="246"/>
      <c r="AG221" s="261"/>
      <c r="AH221" s="311" t="s">
        <v>467</v>
      </c>
      <c r="AI221" s="246"/>
      <c r="AJ221" s="251" t="s">
        <v>440</v>
      </c>
      <c r="AK221" s="246"/>
      <c r="AL221" s="251" t="s">
        <v>405</v>
      </c>
      <c r="AM221" s="246"/>
      <c r="AN221" s="261"/>
      <c r="AP221" s="246"/>
      <c r="AQ221" s="311" t="s">
        <v>438</v>
      </c>
      <c r="AR221" s="246"/>
      <c r="AS221" s="586" t="s">
        <v>452</v>
      </c>
      <c r="AT221" s="254" t="str">
        <f t="shared" si="43"/>
        <v/>
      </c>
      <c r="AU221" s="269"/>
      <c r="AV221" s="269"/>
    </row>
    <row r="222">
      <c r="A222" s="94"/>
      <c r="B222" s="271" t="s">
        <v>705</v>
      </c>
      <c r="C222" s="272" t="s">
        <v>687</v>
      </c>
      <c r="D222" s="330"/>
      <c r="E222" s="259"/>
      <c r="F222" s="282"/>
      <c r="G222" s="246"/>
      <c r="I222" s="246"/>
      <c r="K222" s="246"/>
      <c r="L222" s="261"/>
      <c r="M222" s="341"/>
      <c r="N222" s="246"/>
      <c r="P222" s="246"/>
      <c r="R222" s="246"/>
      <c r="S222" s="261"/>
      <c r="T222" s="341"/>
      <c r="U222" s="246"/>
      <c r="V222" s="282"/>
      <c r="W222" s="246"/>
      <c r="X222" s="282"/>
      <c r="Y222" s="246"/>
      <c r="Z222" s="261"/>
      <c r="AA222" s="341"/>
      <c r="AB222" s="246"/>
      <c r="AD222" s="246"/>
      <c r="AF222" s="246"/>
      <c r="AG222" s="261"/>
      <c r="AH222" s="282"/>
      <c r="AI222" s="246"/>
      <c r="AJ222" s="276"/>
      <c r="AK222" s="246"/>
      <c r="AL222" s="282"/>
      <c r="AM222" s="246"/>
      <c r="AN222" s="261"/>
      <c r="AP222" s="246"/>
      <c r="AR222" s="246"/>
      <c r="AS222" s="282"/>
      <c r="AT222" s="254" t="str">
        <f t="shared" si="43"/>
        <v/>
      </c>
      <c r="AU222" s="269"/>
      <c r="AV222" s="269"/>
    </row>
    <row r="223">
      <c r="A223" s="270"/>
      <c r="B223" s="397" t="s">
        <v>708</v>
      </c>
      <c r="C223" s="398" t="s">
        <v>654</v>
      </c>
      <c r="D223" s="330"/>
      <c r="E223" s="259"/>
      <c r="F223" s="275"/>
      <c r="G223" s="246"/>
      <c r="H223" s="311" t="s">
        <v>441</v>
      </c>
      <c r="I223" s="246"/>
      <c r="J223" s="374" t="s">
        <v>446</v>
      </c>
      <c r="K223" s="246"/>
      <c r="L223" s="261"/>
      <c r="M223" s="341"/>
      <c r="N223" s="246"/>
      <c r="O223" s="311" t="s">
        <v>441</v>
      </c>
      <c r="P223" s="246"/>
      <c r="Q223" s="374" t="s">
        <v>446</v>
      </c>
      <c r="R223" s="246"/>
      <c r="S223" s="261"/>
      <c r="T223" s="341"/>
      <c r="U223" s="246"/>
      <c r="V223" s="365" t="s">
        <v>469</v>
      </c>
      <c r="W223" s="246"/>
      <c r="X223" s="311" t="s">
        <v>441</v>
      </c>
      <c r="Y223" s="246"/>
      <c r="Z223" s="261"/>
      <c r="AA223" s="341"/>
      <c r="AB223" s="246"/>
      <c r="AC223" s="311" t="s">
        <v>441</v>
      </c>
      <c r="AD223" s="246"/>
      <c r="AE223" s="311" t="s">
        <v>446</v>
      </c>
      <c r="AF223" s="246"/>
      <c r="AG223" s="261"/>
      <c r="AH223" s="275"/>
      <c r="AI223" s="246"/>
      <c r="AJ223" s="311" t="s">
        <v>441</v>
      </c>
      <c r="AK223" s="246"/>
      <c r="AL223" s="374" t="s">
        <v>446</v>
      </c>
      <c r="AM223" s="246"/>
      <c r="AN223" s="261"/>
      <c r="AO223" s="281"/>
      <c r="AP223" s="246"/>
      <c r="AQ223" s="365" t="s">
        <v>469</v>
      </c>
      <c r="AR223" s="246"/>
      <c r="AS223" s="374" t="s">
        <v>446</v>
      </c>
      <c r="AT223" s="254" t="str">
        <f t="shared" ref="AT223:AT224" si="44">IF(COUNTIF($AO$80:$AT$82, AS224) &gt; 0, "X", "")</f>
        <v/>
      </c>
      <c r="AU223" s="269"/>
      <c r="AV223" s="269"/>
    </row>
    <row r="224">
      <c r="A224" s="94"/>
      <c r="B224" s="277" t="s">
        <v>709</v>
      </c>
      <c r="C224" s="278" t="s">
        <v>710</v>
      </c>
      <c r="D224" s="323"/>
      <c r="E224" s="259"/>
      <c r="F224" s="281"/>
      <c r="G224" s="246"/>
      <c r="H224" s="282"/>
      <c r="I224" s="246"/>
      <c r="K224" s="246"/>
      <c r="L224" s="261"/>
      <c r="M224" s="286"/>
      <c r="N224" s="246"/>
      <c r="O224" s="281"/>
      <c r="P224" s="246"/>
      <c r="Q224" s="311" t="s">
        <v>440</v>
      </c>
      <c r="R224" s="246"/>
      <c r="S224" s="261"/>
      <c r="T224" s="286"/>
      <c r="U224" s="246"/>
      <c r="V224" s="282"/>
      <c r="W224" s="246"/>
      <c r="X224" s="282"/>
      <c r="Y224" s="246"/>
      <c r="Z224" s="261"/>
      <c r="AA224" s="286"/>
      <c r="AB224" s="246"/>
      <c r="AC224" s="282"/>
      <c r="AD224" s="246"/>
      <c r="AE224" s="282"/>
      <c r="AF224" s="246"/>
      <c r="AG224" s="261"/>
      <c r="AH224" s="281"/>
      <c r="AI224" s="246"/>
      <c r="AJ224" s="276"/>
      <c r="AK224" s="246"/>
      <c r="AL224" s="282"/>
      <c r="AM224" s="246"/>
      <c r="AN224" s="261"/>
      <c r="AO224" s="281"/>
      <c r="AP224" s="246"/>
      <c r="AQ224" s="281"/>
      <c r="AR224" s="246"/>
      <c r="AS224" s="281"/>
      <c r="AT224" s="254" t="str">
        <f t="shared" si="44"/>
        <v/>
      </c>
      <c r="AU224" s="269"/>
      <c r="AV224" s="269"/>
    </row>
    <row r="225">
      <c r="A225" s="94"/>
      <c r="B225" s="673" t="s">
        <v>944</v>
      </c>
      <c r="C225" s="272" t="s">
        <v>639</v>
      </c>
      <c r="D225" s="431"/>
      <c r="E225" s="259"/>
      <c r="F225" s="282"/>
      <c r="G225" s="246"/>
      <c r="H225" s="282"/>
      <c r="I225" s="246"/>
      <c r="J225" s="282"/>
      <c r="K225" s="246"/>
      <c r="L225" s="261"/>
      <c r="M225" s="341"/>
      <c r="N225" s="246"/>
      <c r="O225" s="282"/>
      <c r="P225" s="246"/>
      <c r="Q225" s="282"/>
      <c r="R225" s="246"/>
      <c r="S225" s="261"/>
      <c r="T225" s="341"/>
      <c r="U225" s="246"/>
      <c r="V225" s="311" t="s">
        <v>432</v>
      </c>
      <c r="W225" s="246"/>
      <c r="X225" s="282"/>
      <c r="Y225" s="246"/>
      <c r="Z225" s="261"/>
      <c r="AA225" s="341"/>
      <c r="AB225" s="246"/>
      <c r="AD225" s="246"/>
      <c r="AE225" s="282"/>
      <c r="AF225" s="246"/>
      <c r="AG225" s="261"/>
      <c r="AH225" s="282"/>
      <c r="AI225" s="246"/>
      <c r="AJ225" s="282"/>
      <c r="AK225" s="246"/>
      <c r="AL225" s="282"/>
      <c r="AM225" s="246"/>
      <c r="AN225" s="261"/>
      <c r="AO225" s="281"/>
      <c r="AP225" s="246"/>
      <c r="AQ225" s="282"/>
      <c r="AR225" s="246"/>
      <c r="AS225" s="282"/>
      <c r="AT225" s="430"/>
      <c r="AU225" s="269"/>
      <c r="AV225" s="269"/>
    </row>
    <row r="226">
      <c r="A226" s="94"/>
      <c r="B226" s="429" t="s">
        <v>714</v>
      </c>
      <c r="C226" s="430"/>
      <c r="D226" s="323"/>
      <c r="E226" s="259"/>
      <c r="F226" s="432"/>
      <c r="G226" s="432"/>
      <c r="H226" s="432"/>
      <c r="I226" s="432"/>
      <c r="J226" s="432"/>
      <c r="K226" s="432"/>
      <c r="L226" s="261"/>
      <c r="M226" s="432"/>
      <c r="N226" s="433"/>
      <c r="O226" s="432"/>
      <c r="P226" s="432"/>
      <c r="Q226" s="432"/>
      <c r="R226" s="432"/>
      <c r="S226" s="261"/>
      <c r="T226" s="432"/>
      <c r="U226" s="433"/>
      <c r="V226" s="432"/>
      <c r="W226" s="432"/>
      <c r="X226" s="432"/>
      <c r="Y226" s="432"/>
      <c r="Z226" s="261"/>
      <c r="AA226" s="432"/>
      <c r="AB226" s="433"/>
      <c r="AC226" s="432"/>
      <c r="AD226" s="432"/>
      <c r="AE226" s="432"/>
      <c r="AF226" s="432"/>
      <c r="AG226" s="261"/>
      <c r="AH226" s="432"/>
      <c r="AI226" s="433"/>
      <c r="AJ226" s="432"/>
      <c r="AK226" s="432"/>
      <c r="AL226" s="432"/>
      <c r="AM226" s="432"/>
      <c r="AN226" s="261"/>
      <c r="AO226" s="432"/>
      <c r="AP226" s="433"/>
      <c r="AQ226" s="432"/>
      <c r="AR226" s="432"/>
      <c r="AS226" s="432"/>
      <c r="AT226" s="254" t="str">
        <f t="shared" ref="AT226:AT231" si="45">IF(COUNTIF($AO$80:$AT$82, AS227) &gt; 0, "X", "")</f>
        <v/>
      </c>
      <c r="AU226" s="269"/>
      <c r="AV226" s="269"/>
    </row>
    <row r="227">
      <c r="A227" s="94"/>
      <c r="B227" s="401" t="s">
        <v>715</v>
      </c>
      <c r="C227" s="412" t="s">
        <v>716</v>
      </c>
      <c r="D227" s="323"/>
      <c r="E227" s="259"/>
      <c r="F227" s="434" t="s">
        <v>465</v>
      </c>
      <c r="G227" s="246"/>
      <c r="H227" s="434" t="s">
        <v>403</v>
      </c>
      <c r="I227" s="246"/>
      <c r="J227" s="434"/>
      <c r="K227" s="246"/>
      <c r="L227" s="261"/>
      <c r="M227" s="434" t="s">
        <v>465</v>
      </c>
      <c r="N227" s="246"/>
      <c r="O227" s="434" t="s">
        <v>403</v>
      </c>
      <c r="P227" s="246"/>
      <c r="Q227" s="434"/>
      <c r="R227" s="246"/>
      <c r="S227" s="261"/>
      <c r="T227" s="434"/>
      <c r="U227" s="246"/>
      <c r="V227" s="434" t="s">
        <v>403</v>
      </c>
      <c r="W227" s="246"/>
      <c r="X227" s="434"/>
      <c r="Y227" s="246"/>
      <c r="Z227" s="261"/>
      <c r="AA227" s="434" t="s">
        <v>465</v>
      </c>
      <c r="AB227" s="246"/>
      <c r="AC227" s="434" t="s">
        <v>403</v>
      </c>
      <c r="AD227" s="246"/>
      <c r="AE227" s="434"/>
      <c r="AF227" s="246"/>
      <c r="AG227" s="261"/>
      <c r="AH227" s="434" t="s">
        <v>465</v>
      </c>
      <c r="AI227" s="246"/>
      <c r="AJ227" s="434"/>
      <c r="AK227" s="246"/>
      <c r="AL227" s="434"/>
      <c r="AM227" s="246"/>
      <c r="AN227" s="261"/>
      <c r="AO227" s="434" t="s">
        <v>465</v>
      </c>
      <c r="AP227" s="246"/>
      <c r="AQ227" s="434" t="s">
        <v>403</v>
      </c>
      <c r="AR227" s="246"/>
      <c r="AS227" s="434"/>
      <c r="AT227" s="254" t="str">
        <f t="shared" si="45"/>
        <v/>
      </c>
      <c r="AU227" s="269"/>
      <c r="AV227" s="269"/>
    </row>
    <row r="228">
      <c r="A228" s="94"/>
      <c r="B228" s="435" t="s">
        <v>717</v>
      </c>
      <c r="C228" s="415" t="s">
        <v>718</v>
      </c>
      <c r="D228" s="363"/>
      <c r="E228" s="259"/>
      <c r="F228" s="434"/>
      <c r="G228" s="246"/>
      <c r="H228" s="406" t="s">
        <v>463</v>
      </c>
      <c r="I228" s="246"/>
      <c r="J228" s="434"/>
      <c r="K228" s="246"/>
      <c r="L228" s="261"/>
      <c r="M228" s="434"/>
      <c r="N228" s="246"/>
      <c r="O228" s="406" t="s">
        <v>442</v>
      </c>
      <c r="P228" s="246"/>
      <c r="Q228" s="434"/>
      <c r="R228" s="246"/>
      <c r="S228" s="261"/>
      <c r="T228" s="434"/>
      <c r="U228" s="246"/>
      <c r="V228" s="406" t="s">
        <v>442</v>
      </c>
      <c r="W228" s="246"/>
      <c r="X228" s="434"/>
      <c r="Y228" s="246"/>
      <c r="Z228" s="261"/>
      <c r="AA228" s="434"/>
      <c r="AB228" s="246"/>
      <c r="AC228" s="406" t="s">
        <v>442</v>
      </c>
      <c r="AD228" s="246"/>
      <c r="AE228" s="434"/>
      <c r="AF228" s="246"/>
      <c r="AG228" s="261"/>
      <c r="AH228" s="434"/>
      <c r="AI228" s="246"/>
      <c r="AJ228" s="406" t="s">
        <v>442</v>
      </c>
      <c r="AK228" s="246"/>
      <c r="AL228" s="434"/>
      <c r="AM228" s="246"/>
      <c r="AN228" s="261"/>
      <c r="AO228" s="434"/>
      <c r="AP228" s="246"/>
      <c r="AQ228" s="406" t="s">
        <v>442</v>
      </c>
      <c r="AR228" s="246"/>
      <c r="AS228" s="434"/>
      <c r="AT228" s="254" t="str">
        <f t="shared" si="45"/>
        <v/>
      </c>
      <c r="AU228" s="269"/>
      <c r="AV228" s="269"/>
    </row>
    <row r="229">
      <c r="A229" s="94"/>
      <c r="B229" s="436" t="s">
        <v>719</v>
      </c>
      <c r="C229" s="437" t="s">
        <v>720</v>
      </c>
      <c r="D229" s="330"/>
      <c r="E229" s="259"/>
      <c r="F229" s="406"/>
      <c r="G229" s="246"/>
      <c r="H229" s="406" t="s">
        <v>460</v>
      </c>
      <c r="I229" s="246"/>
      <c r="J229" s="406"/>
      <c r="K229" s="246"/>
      <c r="L229" s="261"/>
      <c r="M229" s="406"/>
      <c r="N229" s="246"/>
      <c r="O229" s="406" t="s">
        <v>463</v>
      </c>
      <c r="P229" s="246"/>
      <c r="Q229" s="406"/>
      <c r="R229" s="246"/>
      <c r="S229" s="261"/>
      <c r="T229" s="406"/>
      <c r="U229" s="246"/>
      <c r="V229" s="620" t="s">
        <v>877</v>
      </c>
      <c r="W229" s="246"/>
      <c r="X229" s="406"/>
      <c r="Y229" s="246"/>
      <c r="Z229" s="261"/>
      <c r="AA229" s="406"/>
      <c r="AB229" s="246"/>
      <c r="AC229" s="406" t="s">
        <v>957</v>
      </c>
      <c r="AD229" s="246"/>
      <c r="AE229" s="406" t="s">
        <v>970</v>
      </c>
      <c r="AF229" s="246"/>
      <c r="AG229" s="261"/>
      <c r="AH229" s="406"/>
      <c r="AI229" s="246"/>
      <c r="AJ229" s="406"/>
      <c r="AK229" s="246"/>
      <c r="AL229" s="406"/>
      <c r="AM229" s="246"/>
      <c r="AN229" s="261"/>
      <c r="AO229" s="406"/>
      <c r="AP229" s="246"/>
      <c r="AQ229" s="406" t="s">
        <v>957</v>
      </c>
      <c r="AR229" s="246"/>
      <c r="AS229" s="406" t="s">
        <v>970</v>
      </c>
      <c r="AT229" s="254" t="str">
        <f t="shared" si="45"/>
        <v/>
      </c>
      <c r="AU229" s="269"/>
      <c r="AV229" s="269"/>
    </row>
    <row r="230">
      <c r="A230" s="94"/>
      <c r="B230" s="439" t="s">
        <v>721</v>
      </c>
      <c r="C230" s="440" t="s">
        <v>722</v>
      </c>
      <c r="D230" s="330"/>
      <c r="E230" s="259"/>
      <c r="F230" s="406"/>
      <c r="G230" s="246"/>
      <c r="H230" s="406" t="s">
        <v>454</v>
      </c>
      <c r="I230" s="246"/>
      <c r="J230" s="406"/>
      <c r="K230" s="246"/>
      <c r="L230" s="261"/>
      <c r="M230" s="406"/>
      <c r="N230" s="246"/>
      <c r="O230" s="406" t="s">
        <v>454</v>
      </c>
      <c r="P230" s="246"/>
      <c r="Q230" s="406"/>
      <c r="R230" s="246"/>
      <c r="S230" s="261"/>
      <c r="T230" s="406"/>
      <c r="U230" s="246"/>
      <c r="V230" s="406" t="s">
        <v>454</v>
      </c>
      <c r="W230" s="246"/>
      <c r="X230" s="406"/>
      <c r="Y230" s="246"/>
      <c r="Z230" s="261"/>
      <c r="AA230" s="406"/>
      <c r="AB230" s="246"/>
      <c r="AC230" s="406" t="s">
        <v>847</v>
      </c>
      <c r="AD230" s="246"/>
      <c r="AE230" s="406"/>
      <c r="AF230" s="246"/>
      <c r="AG230" s="261"/>
      <c r="AH230" s="406"/>
      <c r="AI230" s="246"/>
      <c r="AJ230" s="406" t="s">
        <v>847</v>
      </c>
      <c r="AK230" s="246"/>
      <c r="AL230" s="406"/>
      <c r="AM230" s="246"/>
      <c r="AN230" s="261"/>
      <c r="AO230" s="406"/>
      <c r="AP230" s="246"/>
      <c r="AQ230" s="406"/>
      <c r="AR230" s="246"/>
      <c r="AS230" s="406"/>
      <c r="AT230" s="254" t="str">
        <f t="shared" si="45"/>
        <v/>
      </c>
      <c r="AU230" s="269"/>
      <c r="AV230" s="269"/>
    </row>
    <row r="231">
      <c r="A231" s="94"/>
      <c r="B231" s="439" t="s">
        <v>723</v>
      </c>
      <c r="C231" s="440" t="s">
        <v>724</v>
      </c>
      <c r="D231" s="330"/>
      <c r="E231" s="259"/>
      <c r="F231" s="406"/>
      <c r="G231" s="246"/>
      <c r="H231" s="406" t="s">
        <v>946</v>
      </c>
      <c r="I231" s="246"/>
      <c r="J231" s="406"/>
      <c r="K231" s="246"/>
      <c r="L231" s="261"/>
      <c r="M231" s="406"/>
      <c r="N231" s="246"/>
      <c r="O231" s="406" t="s">
        <v>946</v>
      </c>
      <c r="P231" s="246"/>
      <c r="Q231" s="406"/>
      <c r="R231" s="246"/>
      <c r="S231" s="261"/>
      <c r="T231" s="406"/>
      <c r="U231" s="246"/>
      <c r="V231" s="406" t="s">
        <v>957</v>
      </c>
      <c r="W231" s="246"/>
      <c r="X231" s="406" t="s">
        <v>970</v>
      </c>
      <c r="Y231" s="246"/>
      <c r="Z231" s="261"/>
      <c r="AA231" s="406"/>
      <c r="AB231" s="246"/>
      <c r="AC231" s="406" t="s">
        <v>946</v>
      </c>
      <c r="AD231" s="246"/>
      <c r="AE231" s="406"/>
      <c r="AF231" s="246"/>
      <c r="AG231" s="261"/>
      <c r="AH231" s="406"/>
      <c r="AI231" s="246"/>
      <c r="AJ231" s="620" t="s">
        <v>877</v>
      </c>
      <c r="AK231" s="246"/>
      <c r="AL231" s="406"/>
      <c r="AM231" s="246"/>
      <c r="AN231" s="261"/>
      <c r="AO231" s="406"/>
      <c r="AP231" s="246"/>
      <c r="AQ231" s="406"/>
      <c r="AR231" s="246"/>
      <c r="AS231" s="406"/>
      <c r="AT231" s="254" t="str">
        <f t="shared" si="45"/>
        <v/>
      </c>
      <c r="AU231" s="269"/>
      <c r="AV231" s="269"/>
    </row>
    <row r="232">
      <c r="A232" s="94"/>
      <c r="B232" s="439" t="s">
        <v>725</v>
      </c>
      <c r="C232" s="442" t="s">
        <v>726</v>
      </c>
      <c r="D232" s="330"/>
      <c r="E232" s="259"/>
      <c r="F232" s="441"/>
      <c r="G232" s="246"/>
      <c r="H232" s="406" t="s">
        <v>957</v>
      </c>
      <c r="I232" s="246"/>
      <c r="J232" s="406" t="s">
        <v>970</v>
      </c>
      <c r="K232" s="246"/>
      <c r="L232" s="261"/>
      <c r="M232" s="441"/>
      <c r="N232" s="246"/>
      <c r="O232" s="406" t="s">
        <v>460</v>
      </c>
      <c r="P232" s="246"/>
      <c r="Q232" s="441"/>
      <c r="R232" s="246"/>
      <c r="S232" s="261"/>
      <c r="T232" s="441"/>
      <c r="U232" s="246"/>
      <c r="V232" s="592" t="s">
        <v>980</v>
      </c>
      <c r="W232" s="246"/>
      <c r="X232" s="441"/>
      <c r="Y232" s="246"/>
      <c r="Z232" s="261"/>
      <c r="AA232" s="441"/>
      <c r="AB232" s="246"/>
      <c r="AC232" s="406" t="s">
        <v>981</v>
      </c>
      <c r="AD232" s="246"/>
      <c r="AE232" s="441"/>
      <c r="AF232" s="246"/>
      <c r="AG232" s="261"/>
      <c r="AH232" s="441"/>
      <c r="AI232" s="246"/>
      <c r="AJ232" s="674" t="s">
        <v>463</v>
      </c>
      <c r="AK232" s="246"/>
      <c r="AL232" s="441"/>
      <c r="AM232" s="246"/>
      <c r="AN232" s="261"/>
      <c r="AO232" s="441"/>
      <c r="AP232" s="246"/>
      <c r="AQ232" s="406" t="s">
        <v>463</v>
      </c>
      <c r="AR232" s="246"/>
      <c r="AS232" s="441"/>
      <c r="AT232" s="254" t="str">
        <f>IF(COUNTIF($AO$80:$AT$82, #REF!) &gt; 0, "X", "")</f>
        <v/>
      </c>
      <c r="AU232" s="269"/>
      <c r="AV232" s="269"/>
    </row>
    <row r="233">
      <c r="A233" s="94"/>
      <c r="B233" s="447" t="s">
        <v>729</v>
      </c>
      <c r="C233" s="448" t="s">
        <v>730</v>
      </c>
      <c r="D233" s="330"/>
      <c r="E233" s="259"/>
      <c r="F233" s="441"/>
      <c r="G233" s="246"/>
      <c r="H233" s="441"/>
      <c r="I233" s="246"/>
      <c r="J233" s="441"/>
      <c r="K233" s="246"/>
      <c r="L233" s="261"/>
      <c r="M233" s="441"/>
      <c r="N233" s="246"/>
      <c r="O233" s="406"/>
      <c r="P233" s="246"/>
      <c r="Q233" s="441"/>
      <c r="R233" s="246"/>
      <c r="S233" s="261"/>
      <c r="T233" s="441"/>
      <c r="U233" s="246"/>
      <c r="V233" s="441"/>
      <c r="W233" s="246"/>
      <c r="X233" s="441"/>
      <c r="Y233" s="246"/>
      <c r="Z233" s="261"/>
      <c r="AA233" s="441"/>
      <c r="AB233" s="246"/>
      <c r="AC233" s="441"/>
      <c r="AD233" s="246"/>
      <c r="AE233" s="441"/>
      <c r="AF233" s="246"/>
      <c r="AG233" s="261"/>
      <c r="AH233" s="441"/>
      <c r="AI233" s="246"/>
      <c r="AJ233" s="441"/>
      <c r="AK233" s="246"/>
      <c r="AL233" s="441"/>
      <c r="AM233" s="246"/>
      <c r="AN233" s="261"/>
      <c r="AO233" s="441"/>
      <c r="AP233" s="246"/>
      <c r="AQ233" s="441"/>
      <c r="AR233" s="246"/>
      <c r="AS233" s="441"/>
      <c r="AT233" s="254" t="str">
        <f t="shared" ref="AT233:AT235" si="46">IF(COUNTIF($AO$80:$AT$82, AS233) &gt; 0, "X", "")</f>
        <v/>
      </c>
      <c r="AU233" s="269"/>
      <c r="AV233" s="269"/>
    </row>
    <row r="234">
      <c r="A234" s="94"/>
      <c r="B234" s="450" t="s">
        <v>731</v>
      </c>
      <c r="C234" s="451" t="s">
        <v>732</v>
      </c>
      <c r="D234" s="363"/>
      <c r="E234" s="259"/>
      <c r="F234" s="206"/>
      <c r="G234" s="246"/>
      <c r="H234" s="406" t="s">
        <v>847</v>
      </c>
      <c r="I234" s="246"/>
      <c r="J234" s="206"/>
      <c r="K234" s="246"/>
      <c r="L234" s="261"/>
      <c r="M234" s="406" t="s">
        <v>982</v>
      </c>
      <c r="N234" s="246"/>
      <c r="O234" s="620" t="s">
        <v>862</v>
      </c>
      <c r="P234" s="246"/>
      <c r="Q234" s="206" t="s">
        <v>970</v>
      </c>
      <c r="R234" s="246"/>
      <c r="S234" s="261"/>
      <c r="T234" s="206"/>
      <c r="U234" s="246"/>
      <c r="V234" s="206" t="s">
        <v>946</v>
      </c>
      <c r="W234" s="246"/>
      <c r="X234" s="206"/>
      <c r="Y234" s="246"/>
      <c r="Z234" s="261"/>
      <c r="AA234" s="206"/>
      <c r="AB234" s="246"/>
      <c r="AC234" s="406" t="s">
        <v>460</v>
      </c>
      <c r="AD234" s="246"/>
      <c r="AE234" s="206"/>
      <c r="AF234" s="246"/>
      <c r="AG234" s="261"/>
      <c r="AH234" s="206"/>
      <c r="AI234" s="246"/>
      <c r="AJ234" s="406" t="s">
        <v>460</v>
      </c>
      <c r="AK234" s="246"/>
      <c r="AL234" s="206"/>
      <c r="AM234" s="246"/>
      <c r="AN234" s="261"/>
      <c r="AO234" s="206"/>
      <c r="AP234" s="246"/>
      <c r="AQ234" s="206"/>
      <c r="AR234" s="246"/>
      <c r="AS234" s="206"/>
      <c r="AT234" s="254" t="str">
        <f t="shared" si="46"/>
        <v/>
      </c>
      <c r="AU234" s="269"/>
      <c r="AV234" s="269"/>
    </row>
    <row r="235">
      <c r="A235" s="94"/>
      <c r="B235" s="452" t="s">
        <v>733</v>
      </c>
      <c r="C235" s="453" t="s">
        <v>734</v>
      </c>
      <c r="D235" s="363"/>
      <c r="E235" s="259"/>
      <c r="F235" s="74"/>
      <c r="G235" s="246"/>
      <c r="H235" s="594" t="s">
        <v>395</v>
      </c>
      <c r="I235" s="246"/>
      <c r="J235" s="74"/>
      <c r="K235" s="246"/>
      <c r="L235" s="261"/>
      <c r="M235" s="74"/>
      <c r="N235" s="246"/>
      <c r="O235" s="594" t="s">
        <v>395</v>
      </c>
      <c r="P235" s="246"/>
      <c r="Q235" s="74"/>
      <c r="R235" s="246"/>
      <c r="S235" s="261"/>
      <c r="T235" s="74"/>
      <c r="U235" s="246"/>
      <c r="V235" s="594" t="s">
        <v>395</v>
      </c>
      <c r="W235" s="246"/>
      <c r="X235" s="74"/>
      <c r="Y235" s="246"/>
      <c r="Z235" s="261"/>
      <c r="AA235" s="74"/>
      <c r="AB235" s="246"/>
      <c r="AC235" s="594" t="s">
        <v>395</v>
      </c>
      <c r="AD235" s="246"/>
      <c r="AE235" s="74"/>
      <c r="AF235" s="246"/>
      <c r="AG235" s="261"/>
      <c r="AH235" s="74"/>
      <c r="AI235" s="246"/>
      <c r="AJ235" s="594" t="s">
        <v>395</v>
      </c>
      <c r="AK235" s="246"/>
      <c r="AL235" s="74"/>
      <c r="AM235" s="246"/>
      <c r="AN235" s="261"/>
      <c r="AO235" s="74"/>
      <c r="AP235" s="246"/>
      <c r="AQ235" s="406" t="s">
        <v>946</v>
      </c>
      <c r="AR235" s="246"/>
      <c r="AS235" s="654"/>
      <c r="AT235" s="254" t="str">
        <f t="shared" si="46"/>
        <v/>
      </c>
      <c r="AU235" s="269"/>
      <c r="AV235" s="269"/>
    </row>
    <row r="236">
      <c r="A236" s="94"/>
      <c r="B236" s="636"/>
      <c r="C236" s="637"/>
      <c r="D236" s="269"/>
      <c r="E236" s="638"/>
      <c r="F236" s="446"/>
      <c r="G236" s="246"/>
      <c r="H236" s="446"/>
      <c r="I236" s="246"/>
      <c r="J236" s="446"/>
      <c r="K236" s="246"/>
      <c r="L236" s="462"/>
      <c r="M236" s="446"/>
      <c r="N236" s="246"/>
      <c r="O236" s="446"/>
      <c r="P236" s="246"/>
      <c r="Q236" s="446"/>
      <c r="R236" s="246"/>
      <c r="S236" s="462"/>
      <c r="T236" s="446"/>
      <c r="U236" s="246"/>
      <c r="V236" s="446"/>
      <c r="W236" s="246"/>
      <c r="X236" s="446"/>
      <c r="Y236" s="246"/>
      <c r="Z236" s="462"/>
      <c r="AA236" s="446"/>
      <c r="AB236" s="246"/>
      <c r="AC236" s="446"/>
      <c r="AD236" s="246"/>
      <c r="AE236" s="446"/>
      <c r="AF236" s="246"/>
      <c r="AG236" s="462"/>
      <c r="AH236" s="446"/>
      <c r="AI236" s="246"/>
      <c r="AJ236" s="446"/>
      <c r="AK236" s="246"/>
      <c r="AL236" s="446"/>
      <c r="AM236" s="246"/>
      <c r="AN236" s="462"/>
      <c r="AO236" s="446"/>
      <c r="AP236" s="246"/>
      <c r="AQ236" s="446"/>
      <c r="AR236" s="246"/>
      <c r="AS236" s="446"/>
      <c r="AT236" s="254"/>
      <c r="AU236" s="269"/>
      <c r="AV236" s="269"/>
    </row>
    <row r="237">
      <c r="A237" s="94"/>
      <c r="B237" s="454" t="s">
        <v>735</v>
      </c>
      <c r="C237" s="455" t="s">
        <v>736</v>
      </c>
      <c r="D237" s="363"/>
      <c r="E237" s="259"/>
      <c r="F237" s="441"/>
      <c r="G237" s="246"/>
      <c r="H237" s="441"/>
      <c r="I237" s="246"/>
      <c r="J237" s="405" t="s">
        <v>462</v>
      </c>
      <c r="K237" s="246"/>
      <c r="L237" s="261"/>
      <c r="M237" s="441"/>
      <c r="N237" s="246"/>
      <c r="O237" s="441"/>
      <c r="P237" s="246"/>
      <c r="Q237" s="441"/>
      <c r="R237" s="246"/>
      <c r="S237" s="261"/>
      <c r="T237" s="441"/>
      <c r="U237" s="246"/>
      <c r="V237" s="441"/>
      <c r="W237" s="246"/>
      <c r="X237" s="405" t="s">
        <v>462</v>
      </c>
      <c r="Y237" s="246"/>
      <c r="Z237" s="261"/>
      <c r="AA237" s="441"/>
      <c r="AB237" s="246"/>
      <c r="AC237" s="441"/>
      <c r="AD237" s="246"/>
      <c r="AE237" s="441"/>
      <c r="AF237" s="246"/>
      <c r="AG237" s="261"/>
      <c r="AH237" s="441"/>
      <c r="AI237" s="246"/>
      <c r="AJ237" s="441"/>
      <c r="AK237" s="246"/>
      <c r="AL237" s="405" t="s">
        <v>462</v>
      </c>
      <c r="AM237" s="246"/>
      <c r="AN237" s="261"/>
      <c r="AO237" s="441"/>
      <c r="AP237" s="246"/>
      <c r="AQ237" s="441"/>
      <c r="AR237" s="246"/>
      <c r="AS237" s="441"/>
      <c r="AT237" s="254" t="str">
        <f t="shared" ref="AT237:AT239" si="47">IF(COUNTIF($AO$80:$AT$82, AS237) &gt; 0, "X", "")</f>
        <v/>
      </c>
      <c r="AU237" s="269"/>
      <c r="AV237" s="269"/>
    </row>
    <row r="238">
      <c r="A238" s="94"/>
      <c r="B238" s="454" t="s">
        <v>735</v>
      </c>
      <c r="C238" s="442" t="s">
        <v>736</v>
      </c>
      <c r="D238" s="363"/>
      <c r="E238" s="259"/>
      <c r="F238" s="456"/>
      <c r="G238" s="246"/>
      <c r="H238" s="456"/>
      <c r="I238" s="246"/>
      <c r="J238" s="456"/>
      <c r="K238" s="246"/>
      <c r="L238" s="261"/>
      <c r="M238" s="456"/>
      <c r="N238" s="246"/>
      <c r="O238" s="456"/>
      <c r="P238" s="246"/>
      <c r="Q238" s="456"/>
      <c r="R238" s="246"/>
      <c r="S238" s="261"/>
      <c r="T238" s="456"/>
      <c r="U238" s="246"/>
      <c r="V238" s="456"/>
      <c r="W238" s="246"/>
      <c r="X238" s="456"/>
      <c r="Y238" s="246"/>
      <c r="Z238" s="261"/>
      <c r="AA238" s="456"/>
      <c r="AB238" s="246"/>
      <c r="AC238" s="456"/>
      <c r="AD238" s="246"/>
      <c r="AE238" s="456"/>
      <c r="AF238" s="246"/>
      <c r="AG238" s="261"/>
      <c r="AH238" s="456"/>
      <c r="AI238" s="246"/>
      <c r="AJ238" s="456"/>
      <c r="AK238" s="246"/>
      <c r="AL238" s="456"/>
      <c r="AM238" s="246"/>
      <c r="AN238" s="261"/>
      <c r="AO238" s="456"/>
      <c r="AP238" s="246"/>
      <c r="AQ238" s="456"/>
      <c r="AR238" s="246"/>
      <c r="AS238" s="456"/>
      <c r="AT238" s="254" t="str">
        <f t="shared" si="47"/>
        <v/>
      </c>
      <c r="AU238" s="269"/>
      <c r="AV238" s="269"/>
    </row>
    <row r="239">
      <c r="A239" s="94"/>
      <c r="B239" s="457" t="s">
        <v>735</v>
      </c>
      <c r="C239" s="458" t="s">
        <v>737</v>
      </c>
      <c r="D239" s="363"/>
      <c r="E239" s="259"/>
      <c r="F239" s="406"/>
      <c r="G239" s="246"/>
      <c r="H239" s="406"/>
      <c r="I239" s="246"/>
      <c r="J239" s="406"/>
      <c r="K239" s="246"/>
      <c r="L239" s="261"/>
      <c r="M239" s="406"/>
      <c r="N239" s="246"/>
      <c r="O239" s="406"/>
      <c r="P239" s="246"/>
      <c r="Q239" s="406"/>
      <c r="R239" s="246"/>
      <c r="S239" s="261"/>
      <c r="T239" s="406"/>
      <c r="U239" s="246"/>
      <c r="V239" s="406"/>
      <c r="W239" s="246"/>
      <c r="X239" s="406"/>
      <c r="Y239" s="246"/>
      <c r="Z239" s="261"/>
      <c r="AA239" s="406"/>
      <c r="AB239" s="246"/>
      <c r="AC239" s="406"/>
      <c r="AD239" s="246"/>
      <c r="AE239" s="406"/>
      <c r="AF239" s="246"/>
      <c r="AG239" s="261"/>
      <c r="AH239" s="406"/>
      <c r="AI239" s="246"/>
      <c r="AJ239" s="406"/>
      <c r="AK239" s="246"/>
      <c r="AL239" s="406"/>
      <c r="AM239" s="246"/>
      <c r="AN239" s="261"/>
      <c r="AO239" s="406"/>
      <c r="AP239" s="246"/>
      <c r="AQ239" s="406"/>
      <c r="AR239" s="246"/>
      <c r="AS239" s="406"/>
      <c r="AT239" s="254" t="str">
        <f t="shared" si="47"/>
        <v/>
      </c>
      <c r="AU239" s="269"/>
      <c r="AV239" s="269"/>
    </row>
    <row r="240">
      <c r="A240" s="94"/>
      <c r="B240" s="459"/>
      <c r="C240" s="460" t="s">
        <v>738</v>
      </c>
      <c r="D240" s="363"/>
      <c r="E240" s="259"/>
      <c r="F240" s="461" t="s">
        <v>983</v>
      </c>
      <c r="G240" s="246"/>
      <c r="H240" s="132"/>
      <c r="I240" s="246"/>
      <c r="J240" s="132"/>
      <c r="K240" s="246"/>
      <c r="L240" s="462"/>
      <c r="M240" s="461" t="s">
        <v>984</v>
      </c>
      <c r="N240" s="246"/>
      <c r="O240" s="132"/>
      <c r="P240" s="246"/>
      <c r="Q240" s="132"/>
      <c r="R240" s="246"/>
      <c r="S240" s="462"/>
      <c r="T240" s="461"/>
      <c r="U240" s="246"/>
      <c r="V240" s="132"/>
      <c r="W240" s="246"/>
      <c r="X240" s="132"/>
      <c r="Y240" s="246"/>
      <c r="Z240" s="462"/>
      <c r="AA240" s="461" t="s">
        <v>985</v>
      </c>
      <c r="AB240" s="246"/>
      <c r="AC240" s="132"/>
      <c r="AD240" s="246"/>
      <c r="AE240" s="132"/>
      <c r="AF240" s="246"/>
      <c r="AG240" s="462"/>
      <c r="AH240" s="461" t="s">
        <v>986</v>
      </c>
      <c r="AI240" s="246"/>
      <c r="AJ240" s="132"/>
      <c r="AK240" s="246"/>
      <c r="AL240" s="132"/>
      <c r="AM240" s="246"/>
      <c r="AN240" s="462"/>
      <c r="AO240" s="461" t="s">
        <v>987</v>
      </c>
      <c r="AP240" s="246"/>
      <c r="AQ240" s="132"/>
      <c r="AR240" s="246"/>
      <c r="AS240" s="132"/>
      <c r="AT240" s="460"/>
      <c r="AU240" s="269"/>
      <c r="AV240" s="269"/>
    </row>
    <row r="241">
      <c r="A241" s="270"/>
      <c r="B241" s="459"/>
      <c r="C241" s="460" t="s">
        <v>738</v>
      </c>
      <c r="D241" s="363"/>
      <c r="E241" s="259"/>
      <c r="F241" s="461" t="s">
        <v>514</v>
      </c>
      <c r="G241" s="246"/>
      <c r="H241" s="132"/>
      <c r="I241" s="246"/>
      <c r="J241" s="132"/>
      <c r="K241" s="246"/>
      <c r="L241" s="462"/>
      <c r="M241" s="461" t="s">
        <v>514</v>
      </c>
      <c r="N241" s="246"/>
      <c r="O241" s="132"/>
      <c r="P241" s="246"/>
      <c r="Q241" s="132"/>
      <c r="R241" s="246"/>
      <c r="S241" s="462"/>
      <c r="T241" s="461" t="s">
        <v>514</v>
      </c>
      <c r="U241" s="246"/>
      <c r="V241" s="132"/>
      <c r="W241" s="246"/>
      <c r="X241" s="132"/>
      <c r="Y241" s="246"/>
      <c r="Z241" s="462"/>
      <c r="AA241" s="461" t="s">
        <v>514</v>
      </c>
      <c r="AB241" s="246"/>
      <c r="AC241" s="132"/>
      <c r="AD241" s="246"/>
      <c r="AE241" s="132"/>
      <c r="AF241" s="246"/>
      <c r="AG241" s="462"/>
      <c r="AH241" s="461" t="s">
        <v>514</v>
      </c>
      <c r="AI241" s="246"/>
      <c r="AJ241" s="132"/>
      <c r="AK241" s="246"/>
      <c r="AL241" s="132"/>
      <c r="AM241" s="246"/>
      <c r="AN241" s="462"/>
      <c r="AO241" s="461" t="s">
        <v>536</v>
      </c>
      <c r="AP241" s="246"/>
      <c r="AQ241" s="132"/>
      <c r="AR241" s="246"/>
      <c r="AS241" s="132"/>
      <c r="AT241" s="460"/>
      <c r="AU241" s="236"/>
      <c r="AV241" s="236"/>
    </row>
    <row r="242">
      <c r="A242" s="236"/>
      <c r="B242" s="459"/>
      <c r="C242" s="460" t="s">
        <v>738</v>
      </c>
      <c r="D242" s="363"/>
      <c r="E242" s="259"/>
      <c r="F242" s="461"/>
      <c r="G242" s="246"/>
      <c r="H242" s="132"/>
      <c r="I242" s="246"/>
      <c r="J242" s="132"/>
      <c r="K242" s="246"/>
      <c r="L242" s="462"/>
      <c r="M242" s="132"/>
      <c r="N242" s="246"/>
      <c r="O242" s="132"/>
      <c r="P242" s="246"/>
      <c r="Q242" s="132"/>
      <c r="R242" s="246"/>
      <c r="S242" s="462"/>
      <c r="T242" s="132"/>
      <c r="U242" s="246"/>
      <c r="V242" s="132"/>
      <c r="W242" s="246"/>
      <c r="X242" s="132"/>
      <c r="Y242" s="246"/>
      <c r="Z242" s="462"/>
      <c r="AA242" s="461" t="s">
        <v>544</v>
      </c>
      <c r="AB242" s="246"/>
      <c r="AC242" s="132"/>
      <c r="AD242" s="246"/>
      <c r="AE242" s="132"/>
      <c r="AF242" s="246"/>
      <c r="AG242" s="462"/>
      <c r="AH242" s="461" t="s">
        <v>544</v>
      </c>
      <c r="AI242" s="246"/>
      <c r="AJ242" s="132"/>
      <c r="AK242" s="246"/>
      <c r="AL242" s="132"/>
      <c r="AM242" s="246"/>
      <c r="AN242" s="462"/>
      <c r="AO242" s="461" t="s">
        <v>544</v>
      </c>
      <c r="AP242" s="246"/>
      <c r="AQ242" s="132"/>
      <c r="AR242" s="246"/>
      <c r="AS242" s="132"/>
      <c r="AT242" s="460"/>
      <c r="AU242" s="236"/>
      <c r="AV242" s="236"/>
    </row>
    <row r="243">
      <c r="A243" s="182"/>
      <c r="B243" s="183" t="s">
        <v>791</v>
      </c>
      <c r="C243" s="184" t="s">
        <v>605</v>
      </c>
      <c r="D243" s="185" t="s">
        <v>486</v>
      </c>
      <c r="E243" s="186"/>
      <c r="F243" s="185" t="s">
        <v>487</v>
      </c>
      <c r="M243" s="185" t="s">
        <v>488</v>
      </c>
      <c r="T243" s="185" t="s">
        <v>489</v>
      </c>
      <c r="AA243" s="185" t="s">
        <v>490</v>
      </c>
      <c r="AH243" s="185" t="s">
        <v>491</v>
      </c>
      <c r="AO243" s="185" t="s">
        <v>492</v>
      </c>
      <c r="AU243" s="182"/>
      <c r="AV243" s="182"/>
    </row>
    <row r="244">
      <c r="A244" s="182"/>
      <c r="B244" s="187"/>
      <c r="C244" s="187"/>
      <c r="D244" s="188">
        <f>AO164+1</f>
        <v>19</v>
      </c>
      <c r="E244" s="189"/>
      <c r="F244" s="188">
        <f>D244+1</f>
        <v>20</v>
      </c>
      <c r="M244" s="188">
        <f>F244+1</f>
        <v>21</v>
      </c>
      <c r="T244" s="188">
        <f>M244+1</f>
        <v>22</v>
      </c>
      <c r="AA244" s="188">
        <f>T244+1</f>
        <v>23</v>
      </c>
      <c r="AH244" s="188">
        <f>AA244+1</f>
        <v>24</v>
      </c>
      <c r="AO244" s="188">
        <f>AH244+1</f>
        <v>25</v>
      </c>
      <c r="AU244" s="182"/>
      <c r="AV244" s="182"/>
    </row>
    <row r="245">
      <c r="A245" s="182"/>
      <c r="B245" s="193" t="s">
        <v>608</v>
      </c>
      <c r="C245" s="193" t="s">
        <v>609</v>
      </c>
      <c r="D245" s="187"/>
      <c r="E245" s="189"/>
      <c r="F245" s="194" t="s">
        <v>610</v>
      </c>
      <c r="G245" s="195"/>
      <c r="H245" s="193" t="s">
        <v>611</v>
      </c>
      <c r="J245" s="194" t="s">
        <v>612</v>
      </c>
      <c r="M245" s="194" t="s">
        <v>610</v>
      </c>
      <c r="N245" s="195"/>
      <c r="O245" s="193" t="s">
        <v>611</v>
      </c>
      <c r="P245" s="195"/>
      <c r="Q245" s="194" t="s">
        <v>612</v>
      </c>
      <c r="S245" s="193"/>
      <c r="T245" s="194" t="s">
        <v>610</v>
      </c>
      <c r="U245" s="195"/>
      <c r="V245" s="193" t="s">
        <v>611</v>
      </c>
      <c r="W245" s="195"/>
      <c r="X245" s="194" t="s">
        <v>612</v>
      </c>
      <c r="Z245" s="193"/>
      <c r="AA245" s="194" t="s">
        <v>610</v>
      </c>
      <c r="AB245" s="195"/>
      <c r="AC245" s="193" t="s">
        <v>611</v>
      </c>
      <c r="AD245" s="195"/>
      <c r="AE245" s="194" t="s">
        <v>612</v>
      </c>
      <c r="AG245" s="193"/>
      <c r="AH245" s="194" t="s">
        <v>610</v>
      </c>
      <c r="AI245" s="195"/>
      <c r="AJ245" s="193" t="s">
        <v>611</v>
      </c>
      <c r="AK245" s="195"/>
      <c r="AL245" s="194" t="s">
        <v>612</v>
      </c>
      <c r="AN245" s="193"/>
      <c r="AO245" s="194" t="s">
        <v>610</v>
      </c>
      <c r="AP245" s="195"/>
      <c r="AQ245" s="193" t="s">
        <v>611</v>
      </c>
      <c r="AR245" s="195"/>
      <c r="AS245" s="194" t="s">
        <v>612</v>
      </c>
      <c r="AU245" s="182"/>
      <c r="AV245" s="182"/>
    </row>
    <row r="246">
      <c r="A246" s="199"/>
      <c r="B246" s="200" t="s">
        <v>620</v>
      </c>
      <c r="C246" s="201"/>
      <c r="D246" s="201"/>
      <c r="E246" s="202"/>
      <c r="F246" s="203"/>
      <c r="G246" s="204"/>
      <c r="H246" s="203"/>
      <c r="I246" s="204"/>
      <c r="J246" s="203"/>
      <c r="K246" s="204"/>
      <c r="L246" s="205"/>
      <c r="M246" s="203"/>
      <c r="N246" s="204"/>
      <c r="O246" s="203"/>
      <c r="P246" s="204"/>
      <c r="Q246" s="203" t="s">
        <v>779</v>
      </c>
      <c r="R246" s="204"/>
      <c r="S246" s="205"/>
      <c r="T246" s="203"/>
      <c r="U246" s="204"/>
      <c r="V246" s="203"/>
      <c r="W246" s="204"/>
      <c r="X246" s="203"/>
      <c r="Y246" s="204"/>
      <c r="Z246" s="205"/>
      <c r="AA246" s="203" t="s">
        <v>988</v>
      </c>
      <c r="AB246" s="204"/>
      <c r="AC246" s="203"/>
      <c r="AD246" s="204"/>
      <c r="AE246" s="203" t="s">
        <v>779</v>
      </c>
      <c r="AF246" s="204"/>
      <c r="AG246" s="205"/>
      <c r="AH246" s="203"/>
      <c r="AI246" s="204"/>
      <c r="AJ246" s="203"/>
      <c r="AK246" s="204"/>
      <c r="AL246" s="203" t="s">
        <v>749</v>
      </c>
      <c r="AM246" s="204"/>
      <c r="AN246" s="205"/>
      <c r="AO246" s="203"/>
      <c r="AP246" s="204"/>
      <c r="AQ246" s="203"/>
      <c r="AR246" s="204"/>
      <c r="AS246" s="203"/>
      <c r="AT246" s="204"/>
      <c r="AU246" s="199"/>
      <c r="AV246" s="199"/>
    </row>
    <row r="247">
      <c r="A247" s="234"/>
      <c r="B247" s="235" t="s">
        <v>608</v>
      </c>
      <c r="C247" s="195" t="s">
        <v>609</v>
      </c>
      <c r="D247" s="236"/>
      <c r="E247" s="237"/>
      <c r="F247" s="238"/>
      <c r="G247" s="182"/>
      <c r="H247" s="238"/>
      <c r="I247" s="239"/>
      <c r="J247" s="238"/>
      <c r="K247" s="239"/>
      <c r="L247" s="237"/>
      <c r="M247" s="238"/>
      <c r="N247" s="182"/>
      <c r="O247" s="238"/>
      <c r="P247" s="239"/>
      <c r="Q247" s="238"/>
      <c r="R247" s="239"/>
      <c r="S247" s="237"/>
      <c r="T247" s="238"/>
      <c r="U247" s="182"/>
      <c r="V247" s="238"/>
      <c r="W247" s="239"/>
      <c r="X247" s="238"/>
      <c r="Y247" s="239"/>
      <c r="Z247" s="237"/>
      <c r="AA247" s="238"/>
      <c r="AB247" s="182"/>
      <c r="AC247" s="238"/>
      <c r="AD247" s="239"/>
      <c r="AE247" s="238"/>
      <c r="AF247" s="239"/>
      <c r="AG247" s="237"/>
      <c r="AH247" s="238"/>
      <c r="AI247" s="182"/>
      <c r="AJ247" s="238"/>
      <c r="AK247" s="239"/>
      <c r="AL247" s="238"/>
      <c r="AM247" s="239"/>
      <c r="AN247" s="237"/>
      <c r="AO247" s="238"/>
      <c r="AP247" s="182"/>
      <c r="AQ247" s="238"/>
      <c r="AR247" s="239"/>
      <c r="AS247" s="238"/>
      <c r="AT247" s="239"/>
      <c r="AU247" s="236"/>
      <c r="AV247" s="236"/>
    </row>
    <row r="248">
      <c r="A248" s="240"/>
      <c r="B248" s="241" t="s">
        <v>638</v>
      </c>
      <c r="C248" s="242" t="s">
        <v>639</v>
      </c>
      <c r="D248" s="243"/>
      <c r="E248" s="244"/>
      <c r="F248" s="371"/>
      <c r="G248" s="246"/>
      <c r="H248" s="274"/>
      <c r="I248" s="246"/>
      <c r="J248" s="281"/>
      <c r="K248" s="246"/>
      <c r="L248" s="249"/>
      <c r="M248" s="250"/>
      <c r="N248" s="246"/>
      <c r="O248" s="282"/>
      <c r="P248" s="246"/>
      <c r="Q248" s="474" t="s">
        <v>421</v>
      </c>
      <c r="R248" s="246"/>
      <c r="S248" s="249"/>
      <c r="T248" s="250"/>
      <c r="U248" s="246"/>
      <c r="V248" s="282"/>
      <c r="W248" s="246"/>
      <c r="X248" s="251" t="s">
        <v>405</v>
      </c>
      <c r="Y248" s="246"/>
      <c r="Z248" s="249"/>
      <c r="AA248" s="250"/>
      <c r="AB248" s="246"/>
      <c r="AC248" s="282"/>
      <c r="AD248" s="246"/>
      <c r="AF248" s="246"/>
      <c r="AG248" s="249"/>
      <c r="AH248" s="371"/>
      <c r="AI248" s="246"/>
      <c r="AJ248" s="282"/>
      <c r="AK248" s="246"/>
      <c r="AM248" s="246"/>
      <c r="AN248" s="249"/>
      <c r="AO248" s="250"/>
      <c r="AP248" s="246"/>
      <c r="AQ248" s="276"/>
      <c r="AR248" s="246"/>
      <c r="AS248" s="252"/>
      <c r="AT248" s="254" t="str">
        <f>IF(COUNTIF($AO$80:$AT$82, #REF!) &gt; 0, "X", "")</f>
        <v/>
      </c>
      <c r="AU248" s="255"/>
      <c r="AV248" s="255"/>
    </row>
    <row r="249">
      <c r="A249" s="94"/>
      <c r="B249" s="256" t="s">
        <v>638</v>
      </c>
      <c r="C249" s="257" t="s">
        <v>639</v>
      </c>
      <c r="D249" s="243"/>
      <c r="E249" s="259"/>
      <c r="F249" s="371"/>
      <c r="G249" s="246"/>
      <c r="H249" s="274"/>
      <c r="I249" s="246"/>
      <c r="K249" s="246"/>
      <c r="L249" s="249"/>
      <c r="M249" s="250"/>
      <c r="N249" s="246"/>
      <c r="O249" s="282"/>
      <c r="P249" s="246"/>
      <c r="Q249" s="661" t="s">
        <v>409</v>
      </c>
      <c r="R249" s="246"/>
      <c r="S249" s="249"/>
      <c r="T249" s="250"/>
      <c r="U249" s="246"/>
      <c r="V249" s="282"/>
      <c r="W249" s="246"/>
      <c r="X249" s="274" t="s">
        <v>409</v>
      </c>
      <c r="Y249" s="246"/>
      <c r="Z249" s="249"/>
      <c r="AA249" s="250"/>
      <c r="AB249" s="246"/>
      <c r="AD249" s="246"/>
      <c r="AF249" s="246"/>
      <c r="AG249" s="249"/>
      <c r="AH249" s="371"/>
      <c r="AI249" s="246"/>
      <c r="AJ249" s="282"/>
      <c r="AK249" s="246"/>
      <c r="AM249" s="246"/>
      <c r="AN249" s="249"/>
      <c r="AO249" s="250"/>
      <c r="AP249" s="246"/>
      <c r="AQ249" s="276"/>
      <c r="AR249" s="246"/>
      <c r="AS249" s="252"/>
      <c r="AT249" s="254" t="str">
        <f>IF(COUNTIF($AO$80:$AT$82, AS255) &gt; 0, "X", "")</f>
        <v/>
      </c>
      <c r="AU249" s="269"/>
      <c r="AV249" s="269"/>
    </row>
    <row r="250">
      <c r="A250" s="270"/>
      <c r="B250" s="271" t="s">
        <v>642</v>
      </c>
      <c r="C250" s="272" t="s">
        <v>639</v>
      </c>
      <c r="D250" s="243"/>
      <c r="E250" s="259"/>
      <c r="F250" s="426"/>
      <c r="G250" s="246"/>
      <c r="H250" s="426"/>
      <c r="I250" s="246"/>
      <c r="J250" s="265"/>
      <c r="K250" s="246"/>
      <c r="L250" s="261"/>
      <c r="M250" s="262"/>
      <c r="N250" s="246"/>
      <c r="O250" s="265"/>
      <c r="P250" s="246"/>
      <c r="Q250" s="692" t="s">
        <v>419</v>
      </c>
      <c r="R250" s="246"/>
      <c r="S250" s="261"/>
      <c r="T250" s="262"/>
      <c r="U250" s="246"/>
      <c r="V250" s="274" t="s">
        <v>406</v>
      </c>
      <c r="W250" s="246"/>
      <c r="X250" s="474" t="s">
        <v>421</v>
      </c>
      <c r="Y250" s="246"/>
      <c r="Z250" s="261"/>
      <c r="AA250" s="262"/>
      <c r="AB250" s="246"/>
      <c r="AD250" s="246"/>
      <c r="AF250" s="246"/>
      <c r="AG250" s="261"/>
      <c r="AH250" s="426"/>
      <c r="AI250" s="246"/>
      <c r="AK250" s="246"/>
      <c r="AL250" s="289"/>
      <c r="AM250" s="246"/>
      <c r="AN250" s="261"/>
      <c r="AO250" s="262"/>
      <c r="AP250" s="246"/>
      <c r="AQ250" s="598"/>
      <c r="AR250" s="246"/>
      <c r="AS250" s="598"/>
      <c r="AT250" s="254" t="str">
        <f>IF(COUNTIF($AO$80:$AT$82, #REF!) &gt; 0, "X", "")</f>
        <v/>
      </c>
      <c r="AU250" s="269"/>
      <c r="AV250" s="269"/>
    </row>
    <row r="251">
      <c r="A251" s="234"/>
      <c r="B251" s="277" t="s">
        <v>644</v>
      </c>
      <c r="C251" s="278" t="s">
        <v>645</v>
      </c>
      <c r="D251" s="243"/>
      <c r="E251" s="259"/>
      <c r="F251" s="281"/>
      <c r="G251" s="246"/>
      <c r="H251" s="280" t="s">
        <v>400</v>
      </c>
      <c r="I251" s="246"/>
      <c r="J251" s="282"/>
      <c r="K251" s="246"/>
      <c r="L251" s="261"/>
      <c r="M251" s="250"/>
      <c r="N251" s="246"/>
      <c r="O251" s="281"/>
      <c r="P251" s="246"/>
      <c r="R251" s="246"/>
      <c r="S251" s="261"/>
      <c r="T251" s="250"/>
      <c r="U251" s="246"/>
      <c r="W251" s="246"/>
      <c r="X251" s="280" t="s">
        <v>400</v>
      </c>
      <c r="Y251" s="246"/>
      <c r="Z251" s="261"/>
      <c r="AA251" s="250"/>
      <c r="AB251" s="246"/>
      <c r="AC251" s="281"/>
      <c r="AD251" s="246"/>
      <c r="AE251" s="280" t="s">
        <v>400</v>
      </c>
      <c r="AF251" s="246"/>
      <c r="AG251" s="261"/>
      <c r="AH251" s="282"/>
      <c r="AI251" s="246"/>
      <c r="AJ251" s="280" t="s">
        <v>400</v>
      </c>
      <c r="AK251" s="246"/>
      <c r="AL251" s="281"/>
      <c r="AM251" s="246"/>
      <c r="AN251" s="261"/>
      <c r="AO251" s="250"/>
      <c r="AP251" s="246"/>
      <c r="AQ251" s="276"/>
      <c r="AR251" s="246"/>
      <c r="AS251" s="276"/>
      <c r="AT251" s="254" t="str">
        <f t="shared" ref="AT251:AT253" si="48">IF(COUNTIF($AO$80:$AT$82, AS252) &gt; 0, "X", "")</f>
        <v/>
      </c>
      <c r="AU251" s="269"/>
      <c r="AV251" s="269"/>
    </row>
    <row r="252">
      <c r="A252" s="94"/>
      <c r="B252" s="256" t="s">
        <v>757</v>
      </c>
      <c r="C252" s="257" t="s">
        <v>645</v>
      </c>
      <c r="D252" s="243"/>
      <c r="E252" s="259"/>
      <c r="F252" s="371"/>
      <c r="G252" s="246"/>
      <c r="H252" s="371"/>
      <c r="I252" s="246"/>
      <c r="J252" s="371"/>
      <c r="K252" s="246"/>
      <c r="L252" s="261"/>
      <c r="M252" s="250"/>
      <c r="N252" s="246"/>
      <c r="O252" s="280" t="s">
        <v>400</v>
      </c>
      <c r="P252" s="246"/>
      <c r="R252" s="246"/>
      <c r="S252" s="261"/>
      <c r="T252" s="250"/>
      <c r="U252" s="246"/>
      <c r="V252" s="371"/>
      <c r="W252" s="246"/>
      <c r="X252" s="371"/>
      <c r="Y252" s="246"/>
      <c r="Z252" s="261"/>
      <c r="AA252" s="250"/>
      <c r="AB252" s="246"/>
      <c r="AC252" s="282"/>
      <c r="AD252" s="246"/>
      <c r="AE252" s="282"/>
      <c r="AF252" s="246"/>
      <c r="AG252" s="261"/>
      <c r="AH252" s="371"/>
      <c r="AI252" s="246"/>
      <c r="AJ252" s="371"/>
      <c r="AK252" s="246"/>
      <c r="AL252" s="371"/>
      <c r="AM252" s="246"/>
      <c r="AN252" s="261"/>
      <c r="AO252" s="250"/>
      <c r="AP252" s="246"/>
      <c r="AQ252" s="252"/>
      <c r="AR252" s="246"/>
      <c r="AS252" s="252"/>
      <c r="AT252" s="254" t="str">
        <f t="shared" si="48"/>
        <v/>
      </c>
      <c r="AU252" s="269"/>
      <c r="AV252" s="269"/>
    </row>
    <row r="253">
      <c r="A253" s="94"/>
      <c r="B253" s="284" t="s">
        <v>646</v>
      </c>
      <c r="C253" s="285" t="s">
        <v>647</v>
      </c>
      <c r="D253" s="243"/>
      <c r="E253" s="259"/>
      <c r="F253" s="251" t="s">
        <v>427</v>
      </c>
      <c r="G253" s="246"/>
      <c r="H253" s="399"/>
      <c r="I253" s="246"/>
      <c r="J253" s="399"/>
      <c r="K253" s="246"/>
      <c r="L253" s="261"/>
      <c r="M253" s="324"/>
      <c r="N253" s="246"/>
      <c r="O253" s="399"/>
      <c r="P253" s="246"/>
      <c r="Q253" s="251" t="s">
        <v>427</v>
      </c>
      <c r="R253" s="246"/>
      <c r="S253" s="261"/>
      <c r="T253" s="324"/>
      <c r="U253" s="246"/>
      <c r="W253" s="246"/>
      <c r="X253" s="251" t="s">
        <v>427</v>
      </c>
      <c r="Y253" s="246"/>
      <c r="Z253" s="261"/>
      <c r="AA253" s="324"/>
      <c r="AB253" s="246"/>
      <c r="AC253" s="282"/>
      <c r="AD253" s="246"/>
      <c r="AE253" s="251" t="s">
        <v>427</v>
      </c>
      <c r="AF253" s="246"/>
      <c r="AG253" s="261"/>
      <c r="AH253" s="251" t="s">
        <v>427</v>
      </c>
      <c r="AI253" s="246"/>
      <c r="AJ253" s="282"/>
      <c r="AK253" s="246"/>
      <c r="AL253" s="282"/>
      <c r="AM253" s="246"/>
      <c r="AN253" s="261"/>
      <c r="AO253" s="324"/>
      <c r="AP253" s="246"/>
      <c r="AQ253" s="252"/>
      <c r="AR253" s="246"/>
      <c r="AS253" s="252"/>
      <c r="AT253" s="254" t="str">
        <f t="shared" si="48"/>
        <v/>
      </c>
      <c r="AU253" s="269"/>
      <c r="AV253" s="269"/>
    </row>
    <row r="254">
      <c r="A254" s="270"/>
      <c r="B254" s="291" t="s">
        <v>648</v>
      </c>
      <c r="C254" s="292" t="s">
        <v>649</v>
      </c>
      <c r="D254" s="243"/>
      <c r="E254" s="259"/>
      <c r="F254" s="294"/>
      <c r="G254" s="246"/>
      <c r="H254" s="293" t="s">
        <v>418</v>
      </c>
      <c r="I254" s="246"/>
      <c r="J254" s="294"/>
      <c r="K254" s="246"/>
      <c r="L254" s="261"/>
      <c r="M254" s="250"/>
      <c r="N254" s="246"/>
      <c r="O254" s="293" t="s">
        <v>418</v>
      </c>
      <c r="P254" s="246"/>
      <c r="Q254" s="294"/>
      <c r="R254" s="246"/>
      <c r="S254" s="261"/>
      <c r="T254" s="250"/>
      <c r="U254" s="246"/>
      <c r="V254" s="294"/>
      <c r="W254" s="246"/>
      <c r="X254" s="293" t="s">
        <v>418</v>
      </c>
      <c r="Y254" s="246"/>
      <c r="Z254" s="261"/>
      <c r="AA254" s="250"/>
      <c r="AB254" s="246"/>
      <c r="AC254" s="294"/>
      <c r="AD254" s="246"/>
      <c r="AE254" s="293" t="s">
        <v>418</v>
      </c>
      <c r="AF254" s="246"/>
      <c r="AG254" s="261"/>
      <c r="AH254" s="294"/>
      <c r="AI254" s="246"/>
      <c r="AJ254" s="293" t="s">
        <v>418</v>
      </c>
      <c r="AK254" s="246"/>
      <c r="AL254" s="294"/>
      <c r="AM254" s="246"/>
      <c r="AN254" s="261"/>
      <c r="AO254" s="250"/>
      <c r="AP254" s="246"/>
      <c r="AQ254" s="294"/>
      <c r="AR254" s="246"/>
      <c r="AS254" s="294"/>
      <c r="AT254" s="254" t="str">
        <f t="shared" ref="AT254:AT255" si="49">IF(COUNTIF($AO$80:$AT$82, #REF!) &gt; 0, "X", "")</f>
        <v/>
      </c>
      <c r="AU254" s="269"/>
      <c r="AV254" s="269"/>
    </row>
    <row r="255">
      <c r="A255" s="94"/>
      <c r="B255" s="296" t="s">
        <v>650</v>
      </c>
      <c r="C255" s="297" t="s">
        <v>649</v>
      </c>
      <c r="D255" s="243"/>
      <c r="E255" s="259"/>
      <c r="F255" s="299"/>
      <c r="G255" s="298"/>
      <c r="H255" s="299"/>
      <c r="I255" s="298"/>
      <c r="J255" s="299"/>
      <c r="K255" s="298"/>
      <c r="L255" s="261"/>
      <c r="M255" s="250"/>
      <c r="N255" s="298"/>
      <c r="O255" s="293" t="s">
        <v>426</v>
      </c>
      <c r="P255" s="298"/>
      <c r="Q255" s="299"/>
      <c r="R255" s="298"/>
      <c r="S255" s="261"/>
      <c r="T255" s="250"/>
      <c r="U255" s="298"/>
      <c r="V255" s="299"/>
      <c r="W255" s="298"/>
      <c r="X255" s="299"/>
      <c r="Y255" s="298"/>
      <c r="Z255" s="261"/>
      <c r="AA255" s="250"/>
      <c r="AB255" s="298"/>
      <c r="AC255" s="299"/>
      <c r="AD255" s="298"/>
      <c r="AE255" s="299"/>
      <c r="AF255" s="298"/>
      <c r="AG255" s="261"/>
      <c r="AH255" s="299"/>
      <c r="AI255" s="298"/>
      <c r="AJ255" s="299"/>
      <c r="AK255" s="298"/>
      <c r="AL255" s="299"/>
      <c r="AM255" s="298"/>
      <c r="AN255" s="261"/>
      <c r="AO255" s="250"/>
      <c r="AP255" s="298"/>
      <c r="AQ255" s="300"/>
      <c r="AR255" s="298"/>
      <c r="AS255" s="300"/>
      <c r="AT255" s="254" t="str">
        <f t="shared" si="49"/>
        <v/>
      </c>
      <c r="AU255" s="269"/>
      <c r="AV255" s="269"/>
    </row>
    <row r="256">
      <c r="A256" s="94"/>
      <c r="B256" s="301" t="s">
        <v>651</v>
      </c>
      <c r="C256" s="302" t="s">
        <v>652</v>
      </c>
      <c r="D256" s="243"/>
      <c r="E256" s="259"/>
      <c r="F256" s="303"/>
      <c r="G256" s="298"/>
      <c r="H256" s="303"/>
      <c r="I256" s="298"/>
      <c r="J256" s="303"/>
      <c r="K256" s="298"/>
      <c r="L256" s="261"/>
      <c r="M256" s="250"/>
      <c r="N256" s="298"/>
      <c r="O256" s="303"/>
      <c r="P256" s="298"/>
      <c r="Q256" s="303"/>
      <c r="R256" s="298"/>
      <c r="S256" s="261"/>
      <c r="T256" s="250"/>
      <c r="U256" s="298"/>
      <c r="V256" s="303"/>
      <c r="W256" s="298"/>
      <c r="X256" s="303"/>
      <c r="Y256" s="298"/>
      <c r="Z256" s="261"/>
      <c r="AA256" s="250"/>
      <c r="AB256" s="298"/>
      <c r="AC256" s="303"/>
      <c r="AD256" s="298"/>
      <c r="AE256" s="303"/>
      <c r="AF256" s="298"/>
      <c r="AG256" s="261"/>
      <c r="AH256" s="303"/>
      <c r="AI256" s="298"/>
      <c r="AJ256" s="303"/>
      <c r="AK256" s="298"/>
      <c r="AL256" s="303"/>
      <c r="AM256" s="298"/>
      <c r="AN256" s="261"/>
      <c r="AO256" s="250"/>
      <c r="AP256" s="298"/>
      <c r="AQ256" s="304"/>
      <c r="AR256" s="298"/>
      <c r="AS256" s="304"/>
      <c r="AT256" s="254" t="str">
        <f t="shared" ref="AT256:AT257" si="50">IF(COUNTIF($AO$80:$AT$82, AS257) &gt; 0, "X", "")</f>
        <v/>
      </c>
      <c r="AU256" s="269"/>
      <c r="AV256" s="269"/>
    </row>
    <row r="257">
      <c r="A257" s="94"/>
      <c r="B257" s="305" t="s">
        <v>653</v>
      </c>
      <c r="C257" s="306" t="s">
        <v>654</v>
      </c>
      <c r="D257" s="243"/>
      <c r="E257" s="259"/>
      <c r="F257" s="307"/>
      <c r="G257" s="298"/>
      <c r="H257" s="307"/>
      <c r="I257" s="298"/>
      <c r="J257" s="307"/>
      <c r="K257" s="298"/>
      <c r="L257" s="261"/>
      <c r="M257" s="250"/>
      <c r="N257" s="298"/>
      <c r="O257" s="307"/>
      <c r="P257" s="298"/>
      <c r="Q257" s="307"/>
      <c r="R257" s="298"/>
      <c r="S257" s="261"/>
      <c r="T257" s="250"/>
      <c r="U257" s="298"/>
      <c r="V257" s="307"/>
      <c r="W257" s="298"/>
      <c r="X257" s="307"/>
      <c r="Y257" s="298"/>
      <c r="Z257" s="261"/>
      <c r="AA257" s="250"/>
      <c r="AB257" s="298"/>
      <c r="AC257" s="307"/>
      <c r="AD257" s="298"/>
      <c r="AE257" s="308" t="s">
        <v>434</v>
      </c>
      <c r="AF257" s="298"/>
      <c r="AG257" s="261"/>
      <c r="AH257" s="307"/>
      <c r="AI257" s="298"/>
      <c r="AJ257" s="307"/>
      <c r="AK257" s="298"/>
      <c r="AL257" s="307"/>
      <c r="AM257" s="298"/>
      <c r="AN257" s="261"/>
      <c r="AO257" s="250"/>
      <c r="AP257" s="298"/>
      <c r="AQ257" s="307"/>
      <c r="AR257" s="298"/>
      <c r="AS257" s="307"/>
      <c r="AT257" s="254" t="str">
        <f t="shared" si="50"/>
        <v/>
      </c>
      <c r="AU257" s="269"/>
      <c r="AV257" s="269"/>
    </row>
    <row r="258">
      <c r="A258" s="94"/>
      <c r="B258" s="310" t="s">
        <v>656</v>
      </c>
      <c r="C258" s="278" t="s">
        <v>657</v>
      </c>
      <c r="D258" s="243"/>
      <c r="E258" s="259"/>
      <c r="F258" s="281"/>
      <c r="G258" s="246"/>
      <c r="H258" s="282"/>
      <c r="I258" s="246"/>
      <c r="J258" s="282"/>
      <c r="K258" s="246"/>
      <c r="L258" s="261"/>
      <c r="M258" s="250"/>
      <c r="N258" s="246"/>
      <c r="O258" s="274" t="s">
        <v>458</v>
      </c>
      <c r="P258" s="246"/>
      <c r="R258" s="246"/>
      <c r="S258" s="261"/>
      <c r="T258" s="250"/>
      <c r="U258" s="246"/>
      <c r="V258" s="282"/>
      <c r="W258" s="246"/>
      <c r="X258" s="282"/>
      <c r="Y258" s="246"/>
      <c r="Z258" s="261"/>
      <c r="AA258" s="250"/>
      <c r="AB258" s="246"/>
      <c r="AC258" s="282"/>
      <c r="AD258" s="246"/>
      <c r="AE258" s="274" t="s">
        <v>449</v>
      </c>
      <c r="AF258" s="246"/>
      <c r="AG258" s="261"/>
      <c r="AH258" s="282"/>
      <c r="AI258" s="246"/>
      <c r="AJ258" s="282"/>
      <c r="AK258" s="246"/>
      <c r="AL258" s="282"/>
      <c r="AM258" s="246"/>
      <c r="AN258" s="261"/>
      <c r="AO258" s="250"/>
      <c r="AP258" s="246"/>
      <c r="AQ258" s="276"/>
      <c r="AR258" s="246"/>
      <c r="AS258" s="276"/>
      <c r="AT258" s="254" t="str">
        <f t="shared" ref="AT258:AT260" si="51">IF(COUNTIF($AO$80:$AT$82, #REF!) &gt; 0, "X", "")</f>
        <v/>
      </c>
      <c r="AU258" s="269"/>
      <c r="AV258" s="269"/>
    </row>
    <row r="259">
      <c r="A259" s="94"/>
      <c r="B259" s="277" t="s">
        <v>658</v>
      </c>
      <c r="C259" s="278" t="s">
        <v>657</v>
      </c>
      <c r="D259" s="243"/>
      <c r="E259" s="259"/>
      <c r="F259" s="282"/>
      <c r="G259" s="246"/>
      <c r="H259" s="282"/>
      <c r="I259" s="246"/>
      <c r="J259" s="282"/>
      <c r="K259" s="246"/>
      <c r="L259" s="261"/>
      <c r="M259" s="250"/>
      <c r="N259" s="246"/>
      <c r="O259" s="311" t="s">
        <v>434</v>
      </c>
      <c r="P259" s="246"/>
      <c r="R259" s="246"/>
      <c r="S259" s="261"/>
      <c r="T259" s="250"/>
      <c r="U259" s="246"/>
      <c r="V259" s="282"/>
      <c r="W259" s="246"/>
      <c r="X259" s="282"/>
      <c r="Y259" s="246"/>
      <c r="Z259" s="261"/>
      <c r="AA259" s="250"/>
      <c r="AB259" s="246"/>
      <c r="AD259" s="246"/>
      <c r="AF259" s="246"/>
      <c r="AG259" s="261"/>
      <c r="AH259" s="282"/>
      <c r="AI259" s="246"/>
      <c r="AK259" s="246"/>
      <c r="AL259" s="471" t="s">
        <v>419</v>
      </c>
      <c r="AM259" s="246"/>
      <c r="AN259" s="261"/>
      <c r="AO259" s="250"/>
      <c r="AP259" s="246"/>
      <c r="AQ259" s="276"/>
      <c r="AR259" s="246"/>
      <c r="AS259" s="282"/>
      <c r="AT259" s="254" t="str">
        <f t="shared" si="51"/>
        <v/>
      </c>
      <c r="AU259" s="269"/>
      <c r="AV259" s="269"/>
    </row>
    <row r="260">
      <c r="A260" s="94"/>
      <c r="B260" s="314" t="s">
        <v>660</v>
      </c>
      <c r="C260" s="315" t="s">
        <v>649</v>
      </c>
      <c r="D260" s="243"/>
      <c r="E260" s="259"/>
      <c r="F260" s="479"/>
      <c r="G260" s="246"/>
      <c r="H260" s="293" t="s">
        <v>416</v>
      </c>
      <c r="I260" s="246"/>
      <c r="J260" s="293" t="s">
        <v>424</v>
      </c>
      <c r="K260" s="246"/>
      <c r="L260" s="261"/>
      <c r="M260" s="316"/>
      <c r="N260" s="246"/>
      <c r="O260" s="253" t="s">
        <v>417</v>
      </c>
      <c r="P260" s="246"/>
      <c r="Q260" s="353" t="s">
        <v>424</v>
      </c>
      <c r="R260" s="246"/>
      <c r="S260" s="261"/>
      <c r="T260" s="316"/>
      <c r="U260" s="246"/>
      <c r="V260" s="293" t="s">
        <v>416</v>
      </c>
      <c r="W260" s="246"/>
      <c r="X260" s="293" t="s">
        <v>424</v>
      </c>
      <c r="Y260" s="246"/>
      <c r="Z260" s="261"/>
      <c r="AA260" s="356" t="s">
        <v>423</v>
      </c>
      <c r="AB260" s="246"/>
      <c r="AC260" s="293" t="s">
        <v>416</v>
      </c>
      <c r="AD260" s="246"/>
      <c r="AE260" s="317"/>
      <c r="AF260" s="246"/>
      <c r="AG260" s="261"/>
      <c r="AH260" s="317"/>
      <c r="AI260" s="246"/>
      <c r="AJ260" s="293" t="s">
        <v>416</v>
      </c>
      <c r="AK260" s="246"/>
      <c r="AL260" s="353" t="s">
        <v>421</v>
      </c>
      <c r="AM260" s="246"/>
      <c r="AN260" s="261"/>
      <c r="AO260" s="316"/>
      <c r="AP260" s="246"/>
      <c r="AQ260" s="293" t="s">
        <v>416</v>
      </c>
      <c r="AR260" s="246"/>
      <c r="AS260" s="353" t="s">
        <v>421</v>
      </c>
      <c r="AT260" s="254" t="str">
        <f t="shared" si="51"/>
        <v/>
      </c>
      <c r="AU260" s="269"/>
      <c r="AV260" s="269"/>
    </row>
    <row r="261">
      <c r="A261" s="94"/>
      <c r="B261" s="296" t="s">
        <v>650</v>
      </c>
      <c r="C261" s="297" t="s">
        <v>649</v>
      </c>
      <c r="D261" s="243"/>
      <c r="E261" s="259"/>
      <c r="F261" s="317"/>
      <c r="G261" s="298"/>
      <c r="H261" s="300"/>
      <c r="I261" s="298"/>
      <c r="J261" s="632" t="s">
        <v>423</v>
      </c>
      <c r="K261" s="298"/>
      <c r="L261" s="261"/>
      <c r="M261" s="250"/>
      <c r="N261" s="298"/>
      <c r="O261" s="300"/>
      <c r="P261" s="298"/>
      <c r="Q261" s="300"/>
      <c r="R261" s="298"/>
      <c r="S261" s="261"/>
      <c r="T261" s="250"/>
      <c r="U261" s="298"/>
      <c r="V261" s="300"/>
      <c r="W261" s="298"/>
      <c r="X261" s="632" t="s">
        <v>423</v>
      </c>
      <c r="Y261" s="298"/>
      <c r="Z261" s="261"/>
      <c r="AA261" s="319"/>
      <c r="AB261" s="298"/>
      <c r="AC261" s="319"/>
      <c r="AD261" s="298"/>
      <c r="AE261" s="474" t="s">
        <v>421</v>
      </c>
      <c r="AF261" s="298"/>
      <c r="AG261" s="261"/>
      <c r="AH261" s="317"/>
      <c r="AI261" s="298"/>
      <c r="AJ261" s="300"/>
      <c r="AK261" s="298"/>
      <c r="AL261" s="300"/>
      <c r="AM261" s="298"/>
      <c r="AN261" s="261"/>
      <c r="AO261" s="250"/>
      <c r="AP261" s="298"/>
      <c r="AQ261" s="300"/>
      <c r="AR261" s="298"/>
      <c r="AS261" s="299"/>
      <c r="AT261" s="254" t="str">
        <f>IF(COUNTIF($AO$80:$AT$82, AS262) &gt; 0, "X", "")</f>
        <v/>
      </c>
      <c r="AU261" s="269"/>
      <c r="AV261" s="269"/>
    </row>
    <row r="262">
      <c r="A262" s="94"/>
      <c r="B262" s="301" t="s">
        <v>651</v>
      </c>
      <c r="C262" s="302" t="s">
        <v>652</v>
      </c>
      <c r="D262" s="323"/>
      <c r="E262" s="259"/>
      <c r="F262" s="320"/>
      <c r="G262" s="298"/>
      <c r="H262" s="303"/>
      <c r="I262" s="298"/>
      <c r="J262" s="483" t="s">
        <v>977</v>
      </c>
      <c r="K262" s="298"/>
      <c r="L262" s="261"/>
      <c r="M262" s="250"/>
      <c r="N262" s="298"/>
      <c r="O262" s="303"/>
      <c r="P262" s="298"/>
      <c r="Q262" s="303"/>
      <c r="R262" s="298"/>
      <c r="S262" s="261"/>
      <c r="T262" s="250"/>
      <c r="U262" s="298"/>
      <c r="V262" s="303"/>
      <c r="W262" s="298"/>
      <c r="X262" s="321" t="s">
        <v>979</v>
      </c>
      <c r="Y262" s="298"/>
      <c r="Z262" s="261"/>
      <c r="AA262" s="303"/>
      <c r="AB262" s="298"/>
      <c r="AC262" s="303"/>
      <c r="AD262" s="298"/>
      <c r="AE262" s="661" t="s">
        <v>409</v>
      </c>
      <c r="AF262" s="298"/>
      <c r="AG262" s="261"/>
      <c r="AH262" s="320"/>
      <c r="AI262" s="298"/>
      <c r="AJ262" s="303"/>
      <c r="AK262" s="298"/>
      <c r="AL262" s="303"/>
      <c r="AM262" s="298"/>
      <c r="AN262" s="261"/>
      <c r="AO262" s="250"/>
      <c r="AP262" s="298"/>
      <c r="AQ262" s="303"/>
      <c r="AR262" s="298"/>
      <c r="AS262" s="303"/>
      <c r="AT262" s="254" t="str">
        <f t="shared" ref="AT262:AT263" si="52">IF(COUNTIF($AO$80:$AT$82, #REF!) &gt; 0, "X", "")</f>
        <v/>
      </c>
      <c r="AU262" s="269"/>
      <c r="AV262" s="269"/>
    </row>
    <row r="263">
      <c r="A263" s="94"/>
      <c r="B263" s="322" t="s">
        <v>662</v>
      </c>
      <c r="C263" s="306" t="s">
        <v>663</v>
      </c>
      <c r="D263" s="330"/>
      <c r="E263" s="259"/>
      <c r="F263" s="317"/>
      <c r="G263" s="298"/>
      <c r="H263" s="307"/>
      <c r="I263" s="298"/>
      <c r="J263" s="309" t="s">
        <v>415</v>
      </c>
      <c r="K263" s="298"/>
      <c r="L263" s="261"/>
      <c r="M263" s="324"/>
      <c r="N263" s="298"/>
      <c r="O263" s="307"/>
      <c r="P263" s="298"/>
      <c r="Q263" s="307"/>
      <c r="R263" s="298"/>
      <c r="S263" s="261"/>
      <c r="T263" s="324"/>
      <c r="U263" s="298"/>
      <c r="V263" s="307"/>
      <c r="W263" s="298"/>
      <c r="X263" s="693" t="s">
        <v>414</v>
      </c>
      <c r="Y263" s="298"/>
      <c r="Z263" s="261"/>
      <c r="AA263" s="307"/>
      <c r="AB263" s="298"/>
      <c r="AC263" s="307"/>
      <c r="AD263" s="298"/>
      <c r="AE263" s="686" t="s">
        <v>419</v>
      </c>
      <c r="AF263" s="298"/>
      <c r="AG263" s="261"/>
      <c r="AH263" s="317"/>
      <c r="AI263" s="298"/>
      <c r="AJ263" s="307"/>
      <c r="AK263" s="298"/>
      <c r="AL263" s="307"/>
      <c r="AM263" s="298"/>
      <c r="AN263" s="261"/>
      <c r="AO263" s="324"/>
      <c r="AP263" s="298"/>
      <c r="AQ263" s="307"/>
      <c r="AR263" s="298"/>
      <c r="AS263" s="307"/>
      <c r="AT263" s="254" t="str">
        <f t="shared" si="52"/>
        <v/>
      </c>
      <c r="AU263" s="269"/>
      <c r="AV263" s="269"/>
    </row>
    <row r="264">
      <c r="A264" s="94"/>
      <c r="B264" s="328" t="s">
        <v>665</v>
      </c>
      <c r="C264" s="329" t="s">
        <v>654</v>
      </c>
      <c r="D264" s="330"/>
      <c r="E264" s="259"/>
      <c r="F264" s="479"/>
      <c r="G264" s="246"/>
      <c r="H264" s="274" t="s">
        <v>458</v>
      </c>
      <c r="I264" s="246"/>
      <c r="J264" s="311" t="s">
        <v>434</v>
      </c>
      <c r="K264" s="246"/>
      <c r="L264" s="261"/>
      <c r="M264" s="333"/>
      <c r="N264" s="246"/>
      <c r="O264" s="311" t="s">
        <v>439</v>
      </c>
      <c r="P264" s="246"/>
      <c r="Q264" s="274" t="s">
        <v>449</v>
      </c>
      <c r="R264" s="246"/>
      <c r="S264" s="261"/>
      <c r="T264" s="333"/>
      <c r="U264" s="246"/>
      <c r="V264" s="348" t="s">
        <v>855</v>
      </c>
      <c r="W264" s="246"/>
      <c r="X264" s="311" t="s">
        <v>434</v>
      </c>
      <c r="Y264" s="246"/>
      <c r="Z264" s="261"/>
      <c r="AA264" s="311" t="s">
        <v>439</v>
      </c>
      <c r="AB264" s="246"/>
      <c r="AC264" s="311" t="s">
        <v>459</v>
      </c>
      <c r="AD264" s="246"/>
      <c r="AE264" s="661" t="s">
        <v>414</v>
      </c>
      <c r="AF264" s="246"/>
      <c r="AG264" s="261"/>
      <c r="AH264" s="320"/>
      <c r="AI264" s="246"/>
      <c r="AJ264" s="348" t="s">
        <v>664</v>
      </c>
      <c r="AK264" s="246"/>
      <c r="AL264" s="311" t="s">
        <v>434</v>
      </c>
      <c r="AM264" s="246"/>
      <c r="AN264" s="261"/>
      <c r="AO264" s="333"/>
      <c r="AP264" s="246"/>
      <c r="AQ264" s="274" t="s">
        <v>458</v>
      </c>
      <c r="AR264" s="246"/>
      <c r="AS264" s="274" t="s">
        <v>449</v>
      </c>
      <c r="AT264" s="254" t="str">
        <f>IF(COUNTIF($AO$80:$AT$82, AH272) &gt; 0, "X", "")</f>
        <v/>
      </c>
      <c r="AU264" s="269"/>
      <c r="AV264" s="269"/>
    </row>
    <row r="265">
      <c r="A265" s="94"/>
      <c r="B265" s="337" t="s">
        <v>665</v>
      </c>
      <c r="C265" s="338" t="s">
        <v>657</v>
      </c>
      <c r="D265" s="330"/>
      <c r="E265" s="259"/>
      <c r="F265" s="479"/>
      <c r="G265" s="246"/>
      <c r="H265" s="311" t="s">
        <v>459</v>
      </c>
      <c r="I265" s="246"/>
      <c r="J265" s="339" t="s">
        <v>447</v>
      </c>
      <c r="K265" s="246"/>
      <c r="L265" s="261"/>
      <c r="M265" s="324"/>
      <c r="N265" s="246"/>
      <c r="O265" s="336" t="s">
        <v>450</v>
      </c>
      <c r="P265" s="246"/>
      <c r="R265" s="246"/>
      <c r="S265" s="261"/>
      <c r="T265" s="324"/>
      <c r="U265" s="246"/>
      <c r="V265" s="311" t="s">
        <v>459</v>
      </c>
      <c r="W265" s="246"/>
      <c r="X265" s="339" t="s">
        <v>468</v>
      </c>
      <c r="Y265" s="246"/>
      <c r="Z265" s="261"/>
      <c r="AA265" s="274" t="s">
        <v>448</v>
      </c>
      <c r="AB265" s="246"/>
      <c r="AD265" s="246"/>
      <c r="AE265" s="320"/>
      <c r="AF265" s="246"/>
      <c r="AG265" s="261"/>
      <c r="AH265" s="320"/>
      <c r="AI265" s="246"/>
      <c r="AJ265" s="311" t="s">
        <v>459</v>
      </c>
      <c r="AK265" s="246"/>
      <c r="AL265" s="339" t="s">
        <v>468</v>
      </c>
      <c r="AM265" s="246"/>
      <c r="AN265" s="261"/>
      <c r="AO265" s="324"/>
      <c r="AP265" s="246"/>
      <c r="AQ265" s="311" t="s">
        <v>459</v>
      </c>
      <c r="AR265" s="246"/>
      <c r="AS265" s="274" t="s">
        <v>443</v>
      </c>
      <c r="AT265" s="254" t="str">
        <f t="shared" ref="AT265:AT269" si="53">IF(COUNTIF($AO$80:$AT$82, #REF!) &gt; 0, "X", "")</f>
        <v/>
      </c>
      <c r="AU265" s="269"/>
      <c r="AV265" s="269"/>
    </row>
    <row r="266">
      <c r="A266" s="94"/>
      <c r="B266" s="256" t="s">
        <v>665</v>
      </c>
      <c r="C266" s="257" t="s">
        <v>663</v>
      </c>
      <c r="D266" s="330"/>
      <c r="E266" s="259"/>
      <c r="F266" s="479"/>
      <c r="G266" s="246"/>
      <c r="H266" s="348" t="s">
        <v>989</v>
      </c>
      <c r="I266" s="246"/>
      <c r="J266" s="661" t="s">
        <v>409</v>
      </c>
      <c r="K266" s="246"/>
      <c r="L266" s="261"/>
      <c r="M266" s="341"/>
      <c r="N266" s="246"/>
      <c r="O266" s="339" t="s">
        <v>468</v>
      </c>
      <c r="P266" s="246"/>
      <c r="R266" s="246"/>
      <c r="S266" s="261"/>
      <c r="T266" s="341"/>
      <c r="U266" s="246"/>
      <c r="V266" s="336" t="s">
        <v>450</v>
      </c>
      <c r="W266" s="246"/>
      <c r="X266" s="274" t="s">
        <v>448</v>
      </c>
      <c r="Y266" s="246"/>
      <c r="Z266" s="261"/>
      <c r="AA266" s="339" t="s">
        <v>468</v>
      </c>
      <c r="AB266" s="246"/>
      <c r="AD266" s="246"/>
      <c r="AE266" s="320"/>
      <c r="AF266" s="246"/>
      <c r="AG266" s="261"/>
      <c r="AH266" s="320"/>
      <c r="AI266" s="246"/>
      <c r="AJ266" s="336" t="s">
        <v>398</v>
      </c>
      <c r="AK266" s="246"/>
      <c r="AL266" s="274" t="s">
        <v>448</v>
      </c>
      <c r="AM266" s="246"/>
      <c r="AN266" s="261"/>
      <c r="AO266" s="341"/>
      <c r="AP266" s="246"/>
      <c r="AR266" s="246"/>
      <c r="AT266" s="254" t="str">
        <f t="shared" si="53"/>
        <v/>
      </c>
      <c r="AU266" s="269"/>
      <c r="AV266" s="269"/>
    </row>
    <row r="267">
      <c r="A267" s="94"/>
      <c r="B267" s="328" t="s">
        <v>665</v>
      </c>
      <c r="C267" s="329" t="s">
        <v>645</v>
      </c>
      <c r="D267" s="323"/>
      <c r="E267" s="261"/>
      <c r="F267" s="479"/>
      <c r="G267" s="246"/>
      <c r="H267" s="336" t="s">
        <v>450</v>
      </c>
      <c r="I267" s="246"/>
      <c r="J267" s="339" t="s">
        <v>468</v>
      </c>
      <c r="K267" s="246"/>
      <c r="L267" s="261"/>
      <c r="M267" s="341"/>
      <c r="N267" s="246"/>
      <c r="O267" s="274" t="s">
        <v>415</v>
      </c>
      <c r="P267" s="246"/>
      <c r="Q267" s="274" t="s">
        <v>448</v>
      </c>
      <c r="R267" s="246"/>
      <c r="S267" s="261"/>
      <c r="T267" s="341"/>
      <c r="U267" s="246"/>
      <c r="V267" s="311" t="s">
        <v>439</v>
      </c>
      <c r="W267" s="246"/>
      <c r="X267" s="336" t="s">
        <v>398</v>
      </c>
      <c r="Y267" s="246"/>
      <c r="Z267" s="261"/>
      <c r="AA267" s="274" t="s">
        <v>415</v>
      </c>
      <c r="AB267" s="246"/>
      <c r="AC267" s="336" t="s">
        <v>450</v>
      </c>
      <c r="AD267" s="246"/>
      <c r="AE267" s="320"/>
      <c r="AF267" s="246"/>
      <c r="AG267" s="261"/>
      <c r="AH267" s="320"/>
      <c r="AI267" s="246"/>
      <c r="AJ267" s="336" t="s">
        <v>450</v>
      </c>
      <c r="AK267" s="246"/>
      <c r="AL267" s="274" t="s">
        <v>415</v>
      </c>
      <c r="AM267" s="246"/>
      <c r="AN267" s="261"/>
      <c r="AO267" s="341"/>
      <c r="AP267" s="246"/>
      <c r="AQ267" s="274" t="s">
        <v>409</v>
      </c>
      <c r="AR267" s="246"/>
      <c r="AS267" s="274" t="s">
        <v>415</v>
      </c>
      <c r="AT267" s="254" t="str">
        <f t="shared" si="53"/>
        <v/>
      </c>
      <c r="AU267" s="269"/>
      <c r="AV267" s="269"/>
    </row>
    <row r="268">
      <c r="A268" s="94"/>
      <c r="B268" s="342" t="s">
        <v>667</v>
      </c>
      <c r="C268" s="343" t="s">
        <v>657</v>
      </c>
      <c r="D268" s="351"/>
      <c r="E268" s="259"/>
      <c r="F268" s="345" t="s">
        <v>401</v>
      </c>
      <c r="G268" s="246"/>
      <c r="I268" s="246"/>
      <c r="K268" s="246"/>
      <c r="L268" s="261"/>
      <c r="M268" s="346"/>
      <c r="N268" s="246"/>
      <c r="O268" s="345" t="s">
        <v>401</v>
      </c>
      <c r="P268" s="246"/>
      <c r="R268" s="246"/>
      <c r="S268" s="261"/>
      <c r="T268" s="347" t="s">
        <v>401</v>
      </c>
      <c r="U268" s="246"/>
      <c r="W268" s="246"/>
      <c r="Y268" s="246"/>
      <c r="Z268" s="261"/>
      <c r="AA268" s="346"/>
      <c r="AB268" s="246"/>
      <c r="AC268" s="347" t="s">
        <v>401</v>
      </c>
      <c r="AD268" s="246"/>
      <c r="AE268" s="282"/>
      <c r="AF268" s="246"/>
      <c r="AG268" s="261"/>
      <c r="AH268" s="345" t="s">
        <v>401</v>
      </c>
      <c r="AI268" s="246"/>
      <c r="AK268" s="246"/>
      <c r="AL268" s="282"/>
      <c r="AM268" s="246"/>
      <c r="AN268" s="261"/>
      <c r="AO268" s="346"/>
      <c r="AP268" s="246"/>
      <c r="AQ268" s="345" t="s">
        <v>401</v>
      </c>
      <c r="AR268" s="246"/>
      <c r="AS268" s="282"/>
      <c r="AT268" s="254" t="str">
        <f t="shared" si="53"/>
        <v/>
      </c>
      <c r="AU268" s="269"/>
      <c r="AV268" s="269"/>
    </row>
    <row r="269">
      <c r="A269" s="94"/>
      <c r="B269" s="349" t="s">
        <v>669</v>
      </c>
      <c r="C269" s="350" t="s">
        <v>649</v>
      </c>
      <c r="D269" s="323"/>
      <c r="E269" s="259"/>
      <c r="F269" s="293" t="s">
        <v>426</v>
      </c>
      <c r="G269" s="246"/>
      <c r="H269" s="633" t="s">
        <v>420</v>
      </c>
      <c r="I269" s="246"/>
      <c r="J269" s="353" t="s">
        <v>422</v>
      </c>
      <c r="K269" s="246"/>
      <c r="L269" s="261"/>
      <c r="M269" s="354"/>
      <c r="N269" s="246"/>
      <c r="O269" s="633" t="s">
        <v>420</v>
      </c>
      <c r="P269" s="246"/>
      <c r="Q269" s="632" t="s">
        <v>423</v>
      </c>
      <c r="R269" s="246"/>
      <c r="S269" s="261"/>
      <c r="T269" s="354"/>
      <c r="U269" s="246"/>
      <c r="V269" s="253" t="s">
        <v>417</v>
      </c>
      <c r="W269" s="246"/>
      <c r="X269" s="633" t="s">
        <v>420</v>
      </c>
      <c r="Y269" s="246"/>
      <c r="Z269" s="261"/>
      <c r="AA269" s="354"/>
      <c r="AB269" s="246"/>
      <c r="AC269" s="633" t="s">
        <v>420</v>
      </c>
      <c r="AD269" s="246"/>
      <c r="AE269" s="253" t="s">
        <v>417</v>
      </c>
      <c r="AF269" s="246"/>
      <c r="AG269" s="261"/>
      <c r="AH269" s="353" t="s">
        <v>426</v>
      </c>
      <c r="AI269" s="246"/>
      <c r="AJ269" s="253" t="s">
        <v>417</v>
      </c>
      <c r="AK269" s="246"/>
      <c r="AL269" s="633" t="s">
        <v>420</v>
      </c>
      <c r="AM269" s="246"/>
      <c r="AN269" s="261"/>
      <c r="AO269" s="354"/>
      <c r="AP269" s="246"/>
      <c r="AQ269" s="253" t="s">
        <v>417</v>
      </c>
      <c r="AR269" s="246"/>
      <c r="AS269" s="353" t="s">
        <v>426</v>
      </c>
      <c r="AT269" s="254" t="str">
        <f t="shared" si="53"/>
        <v/>
      </c>
      <c r="AU269" s="269"/>
      <c r="AV269" s="269"/>
    </row>
    <row r="270">
      <c r="A270" s="234"/>
      <c r="B270" s="296" t="s">
        <v>650</v>
      </c>
      <c r="C270" s="297" t="s">
        <v>649</v>
      </c>
      <c r="D270" s="330"/>
      <c r="E270" s="259"/>
      <c r="F270" s="358"/>
      <c r="G270" s="298"/>
      <c r="H270" s="617" t="s">
        <v>397</v>
      </c>
      <c r="I270" s="298"/>
      <c r="J270" s="299"/>
      <c r="K270" s="298"/>
      <c r="L270" s="261"/>
      <c r="M270" s="324"/>
      <c r="N270" s="298"/>
      <c r="O270" s="617" t="s">
        <v>397</v>
      </c>
      <c r="P270" s="298"/>
      <c r="Q270" s="300"/>
      <c r="R270" s="298"/>
      <c r="S270" s="261"/>
      <c r="T270" s="324"/>
      <c r="U270" s="298"/>
      <c r="V270" s="300"/>
      <c r="W270" s="298"/>
      <c r="X270" s="617" t="s">
        <v>397</v>
      </c>
      <c r="Y270" s="298"/>
      <c r="Z270" s="261"/>
      <c r="AA270" s="324"/>
      <c r="AB270" s="298"/>
      <c r="AC270" s="617" t="s">
        <v>397</v>
      </c>
      <c r="AD270" s="298"/>
      <c r="AE270" s="358"/>
      <c r="AF270" s="298"/>
      <c r="AG270" s="261"/>
      <c r="AH270" s="319"/>
      <c r="AI270" s="298"/>
      <c r="AJ270" s="319"/>
      <c r="AK270" s="298"/>
      <c r="AL270" s="483" t="s">
        <v>977</v>
      </c>
      <c r="AM270" s="298"/>
      <c r="AN270" s="261"/>
      <c r="AO270" s="324"/>
      <c r="AP270" s="298"/>
      <c r="AQ270" s="359"/>
      <c r="AR270" s="298"/>
      <c r="AS270" s="359"/>
      <c r="AT270" s="254" t="str">
        <f>IF(COUNTIF($AO$80:$AT$82, AS271) &gt; 0, "X", "")</f>
        <v/>
      </c>
      <c r="AU270" s="269"/>
      <c r="AV270" s="269"/>
    </row>
    <row r="271">
      <c r="A271" s="94"/>
      <c r="B271" s="301" t="s">
        <v>651</v>
      </c>
      <c r="C271" s="302" t="s">
        <v>652</v>
      </c>
      <c r="D271" s="363"/>
      <c r="E271" s="259"/>
      <c r="F271" s="303"/>
      <c r="G271" s="298"/>
      <c r="H271" s="304"/>
      <c r="I271" s="298"/>
      <c r="J271" s="321" t="s">
        <v>979</v>
      </c>
      <c r="K271" s="298"/>
      <c r="L271" s="261"/>
      <c r="M271" s="250"/>
      <c r="N271" s="298"/>
      <c r="O271" s="304"/>
      <c r="P271" s="298"/>
      <c r="Q271" s="364" t="s">
        <v>941</v>
      </c>
      <c r="R271" s="298"/>
      <c r="S271" s="261"/>
      <c r="T271" s="250"/>
      <c r="U271" s="298"/>
      <c r="V271" s="303"/>
      <c r="W271" s="298"/>
      <c r="X271" s="483" t="s">
        <v>977</v>
      </c>
      <c r="Y271" s="298"/>
      <c r="Z271" s="261"/>
      <c r="AA271" s="250"/>
      <c r="AB271" s="298"/>
      <c r="AC271" s="304"/>
      <c r="AD271" s="298"/>
      <c r="AE271" s="304"/>
      <c r="AF271" s="298"/>
      <c r="AG271" s="261"/>
      <c r="AH271" s="304"/>
      <c r="AI271" s="298"/>
      <c r="AJ271" s="304"/>
      <c r="AK271" s="298"/>
      <c r="AL271" s="321" t="s">
        <v>979</v>
      </c>
      <c r="AM271" s="298"/>
      <c r="AN271" s="261"/>
      <c r="AO271" s="250"/>
      <c r="AP271" s="298"/>
      <c r="AQ271" s="303"/>
      <c r="AR271" s="298"/>
      <c r="AS271" s="303"/>
      <c r="AT271" s="254" t="str">
        <f t="shared" ref="AT271:AT278" si="54">IF(COUNTIF($AO$80:$AT$82, #REF!) &gt; 0, "X", "")</f>
        <v/>
      </c>
      <c r="AU271" s="269"/>
      <c r="AV271" s="269"/>
    </row>
    <row r="272">
      <c r="A272" s="94"/>
      <c r="B272" s="361" t="s">
        <v>673</v>
      </c>
      <c r="C272" s="362" t="s">
        <v>674</v>
      </c>
      <c r="D272" s="369"/>
      <c r="E272" s="259"/>
      <c r="F272" s="274" t="s">
        <v>443</v>
      </c>
      <c r="G272" s="298"/>
      <c r="H272" s="336" t="s">
        <v>412</v>
      </c>
      <c r="I272" s="298"/>
      <c r="J272" s="336" t="s">
        <v>398</v>
      </c>
      <c r="K272" s="298"/>
      <c r="L272" s="261"/>
      <c r="M272" s="324"/>
      <c r="N272" s="298"/>
      <c r="O272" s="336" t="s">
        <v>412</v>
      </c>
      <c r="P272" s="298"/>
      <c r="Q272" s="274" t="s">
        <v>443</v>
      </c>
      <c r="R272" s="298"/>
      <c r="S272" s="261"/>
      <c r="T272" s="324"/>
      <c r="U272" s="298"/>
      <c r="V272" s="336" t="s">
        <v>412</v>
      </c>
      <c r="W272" s="298"/>
      <c r="X272" s="365" t="s">
        <v>433</v>
      </c>
      <c r="Y272" s="298"/>
      <c r="Z272" s="261"/>
      <c r="AA272" s="324"/>
      <c r="AB272" s="298"/>
      <c r="AC272" s="336" t="s">
        <v>412</v>
      </c>
      <c r="AD272" s="298"/>
      <c r="AE272" s="251" t="s">
        <v>457</v>
      </c>
      <c r="AF272" s="298"/>
      <c r="AG272" s="261"/>
      <c r="AH272" s="274" t="s">
        <v>443</v>
      </c>
      <c r="AI272" s="298"/>
      <c r="AJ272" s="336" t="s">
        <v>412</v>
      </c>
      <c r="AK272" s="298"/>
      <c r="AL272" s="365" t="s">
        <v>433</v>
      </c>
      <c r="AM272" s="298"/>
      <c r="AN272" s="261"/>
      <c r="AO272" s="324"/>
      <c r="AP272" s="298"/>
      <c r="AQ272" s="311" t="s">
        <v>394</v>
      </c>
      <c r="AR272" s="298"/>
      <c r="AS272" s="365" t="s">
        <v>433</v>
      </c>
      <c r="AT272" s="254" t="str">
        <f t="shared" si="54"/>
        <v/>
      </c>
      <c r="AU272" s="269"/>
      <c r="AV272" s="269"/>
    </row>
    <row r="273">
      <c r="A273" s="94"/>
      <c r="B273" s="367" t="s">
        <v>677</v>
      </c>
      <c r="C273" s="368" t="s">
        <v>674</v>
      </c>
      <c r="D273" s="330"/>
      <c r="E273" s="259"/>
      <c r="F273" s="364" t="s">
        <v>941</v>
      </c>
      <c r="G273" s="246"/>
      <c r="H273" s="282"/>
      <c r="I273" s="246"/>
      <c r="J273" s="282"/>
      <c r="K273" s="246"/>
      <c r="L273" s="261"/>
      <c r="M273" s="250"/>
      <c r="N273" s="246"/>
      <c r="O273" s="311" t="s">
        <v>438</v>
      </c>
      <c r="P273" s="246"/>
      <c r="Q273" s="311" t="s">
        <v>394</v>
      </c>
      <c r="R273" s="246"/>
      <c r="S273" s="261"/>
      <c r="T273" s="250"/>
      <c r="U273" s="246"/>
      <c r="V273" s="282"/>
      <c r="W273" s="246"/>
      <c r="Y273" s="246"/>
      <c r="Z273" s="261"/>
      <c r="AA273" s="250"/>
      <c r="AB273" s="246"/>
      <c r="AD273" s="246"/>
      <c r="AE273" s="516"/>
      <c r="AF273" s="246"/>
      <c r="AG273" s="261"/>
      <c r="AI273" s="246"/>
      <c r="AJ273" s="282"/>
      <c r="AK273" s="246"/>
      <c r="AM273" s="246"/>
      <c r="AN273" s="261"/>
      <c r="AO273" s="250"/>
      <c r="AP273" s="246"/>
      <c r="AQ273" s="282"/>
      <c r="AR273" s="246"/>
      <c r="AT273" s="254" t="str">
        <f t="shared" si="54"/>
        <v/>
      </c>
      <c r="AU273" s="269"/>
      <c r="AV273" s="269"/>
    </row>
    <row r="274">
      <c r="A274" s="94"/>
      <c r="B274" s="256" t="s">
        <v>679</v>
      </c>
      <c r="C274" s="257" t="s">
        <v>680</v>
      </c>
      <c r="D274" s="330"/>
      <c r="E274" s="259"/>
      <c r="F274" s="311" t="s">
        <v>393</v>
      </c>
      <c r="G274" s="246"/>
      <c r="H274" s="374" t="s">
        <v>436</v>
      </c>
      <c r="I274" s="246"/>
      <c r="J274" s="274" t="s">
        <v>437</v>
      </c>
      <c r="K274" s="246"/>
      <c r="L274" s="261"/>
      <c r="M274" s="333"/>
      <c r="N274" s="246"/>
      <c r="O274" s="374" t="s">
        <v>436</v>
      </c>
      <c r="P274" s="246"/>
      <c r="Q274" s="376" t="s">
        <v>453</v>
      </c>
      <c r="R274" s="246"/>
      <c r="S274" s="261"/>
      <c r="T274" s="333"/>
      <c r="U274" s="246"/>
      <c r="V274" s="311" t="s">
        <v>436</v>
      </c>
      <c r="W274" s="246"/>
      <c r="X274" s="274" t="s">
        <v>443</v>
      </c>
      <c r="Y274" s="246"/>
      <c r="Z274" s="261"/>
      <c r="AA274" s="333"/>
      <c r="AB274" s="246"/>
      <c r="AC274" s="274" t="s">
        <v>406</v>
      </c>
      <c r="AD274" s="246"/>
      <c r="AE274" s="274" t="s">
        <v>443</v>
      </c>
      <c r="AF274" s="246"/>
      <c r="AG274" s="261"/>
      <c r="AH274" s="311" t="s">
        <v>393</v>
      </c>
      <c r="AI274" s="246"/>
      <c r="AJ274" s="274" t="s">
        <v>406</v>
      </c>
      <c r="AK274" s="246"/>
      <c r="AL274" s="274" t="s">
        <v>437</v>
      </c>
      <c r="AM274" s="246"/>
      <c r="AN274" s="261"/>
      <c r="AO274" s="333"/>
      <c r="AP274" s="246"/>
      <c r="AQ274" s="251" t="s">
        <v>407</v>
      </c>
      <c r="AR274" s="246"/>
      <c r="AS274" s="274" t="s">
        <v>437</v>
      </c>
      <c r="AT274" s="254" t="str">
        <f t="shared" si="54"/>
        <v/>
      </c>
      <c r="AU274" s="269"/>
      <c r="AV274" s="269"/>
    </row>
    <row r="275">
      <c r="A275" s="372"/>
      <c r="B275" s="328" t="s">
        <v>679</v>
      </c>
      <c r="C275" s="329" t="s">
        <v>652</v>
      </c>
      <c r="D275" s="330"/>
      <c r="E275" s="259"/>
      <c r="F275" s="282"/>
      <c r="G275" s="246"/>
      <c r="H275" s="311" t="s">
        <v>394</v>
      </c>
      <c r="I275" s="246"/>
      <c r="J275" s="282"/>
      <c r="K275" s="246"/>
      <c r="L275" s="261"/>
      <c r="M275" s="346"/>
      <c r="N275" s="246"/>
      <c r="P275" s="246"/>
      <c r="Q275" s="282"/>
      <c r="R275" s="246"/>
      <c r="S275" s="261"/>
      <c r="T275" s="346"/>
      <c r="U275" s="246"/>
      <c r="W275" s="246"/>
      <c r="Y275" s="246"/>
      <c r="Z275" s="261"/>
      <c r="AA275" s="346"/>
      <c r="AB275" s="246"/>
      <c r="AD275" s="246"/>
      <c r="AE275" s="516"/>
      <c r="AF275" s="246"/>
      <c r="AG275" s="261"/>
      <c r="AH275" s="282"/>
      <c r="AI275" s="246"/>
      <c r="AK275" s="246"/>
      <c r="AL275" s="586" t="s">
        <v>397</v>
      </c>
      <c r="AM275" s="246"/>
      <c r="AN275" s="261"/>
      <c r="AO275" s="346"/>
      <c r="AP275" s="246"/>
      <c r="AQ275" s="586" t="s">
        <v>397</v>
      </c>
      <c r="AR275" s="246"/>
      <c r="AT275" s="254" t="str">
        <f t="shared" si="54"/>
        <v/>
      </c>
      <c r="AU275" s="269"/>
      <c r="AV275" s="269"/>
    </row>
    <row r="276">
      <c r="A276" s="94"/>
      <c r="B276" s="328" t="s">
        <v>679</v>
      </c>
      <c r="C276" s="329" t="s">
        <v>683</v>
      </c>
      <c r="D276" s="379"/>
      <c r="E276" s="380"/>
      <c r="F276" s="311" t="s">
        <v>439</v>
      </c>
      <c r="G276" s="246"/>
      <c r="I276" s="246"/>
      <c r="J276" s="376" t="s">
        <v>466</v>
      </c>
      <c r="K276" s="246"/>
      <c r="L276" s="261"/>
      <c r="M276" s="341"/>
      <c r="N276" s="246"/>
      <c r="P276" s="246"/>
      <c r="Q276" s="311" t="s">
        <v>455</v>
      </c>
      <c r="R276" s="246"/>
      <c r="S276" s="261"/>
      <c r="T276" s="341"/>
      <c r="U276" s="246"/>
      <c r="V276" s="251" t="s">
        <v>407</v>
      </c>
      <c r="W276" s="246"/>
      <c r="X276" s="579" t="s">
        <v>837</v>
      </c>
      <c r="Y276" s="246"/>
      <c r="Z276" s="261"/>
      <c r="AA276" s="341"/>
      <c r="AB276" s="246"/>
      <c r="AC276" s="311" t="s">
        <v>436</v>
      </c>
      <c r="AD276" s="246"/>
      <c r="AE276" s="311" t="s">
        <v>455</v>
      </c>
      <c r="AF276" s="246"/>
      <c r="AG276" s="261"/>
      <c r="AH276" s="282"/>
      <c r="AI276" s="246"/>
      <c r="AJ276" s="251" t="s">
        <v>457</v>
      </c>
      <c r="AK276" s="246"/>
      <c r="AL276" s="274" t="s">
        <v>414</v>
      </c>
      <c r="AM276" s="246"/>
      <c r="AN276" s="261"/>
      <c r="AO276" s="341"/>
      <c r="AP276" s="246"/>
      <c r="AR276" s="246"/>
      <c r="AS276" s="251" t="s">
        <v>457</v>
      </c>
      <c r="AT276" s="254" t="str">
        <f t="shared" si="54"/>
        <v/>
      </c>
      <c r="AU276" s="269"/>
      <c r="AV276" s="269"/>
    </row>
    <row r="277">
      <c r="A277" s="94"/>
      <c r="B277" s="377" t="s">
        <v>684</v>
      </c>
      <c r="C277" s="378" t="s">
        <v>685</v>
      </c>
      <c r="D277" s="363"/>
      <c r="E277" s="259"/>
      <c r="F277" s="282"/>
      <c r="G277" s="246"/>
      <c r="H277" s="274" t="s">
        <v>406</v>
      </c>
      <c r="I277" s="246"/>
      <c r="K277" s="246"/>
      <c r="L277" s="381"/>
      <c r="M277" s="341"/>
      <c r="N277" s="246"/>
      <c r="O277" s="274" t="s">
        <v>406</v>
      </c>
      <c r="P277" s="246"/>
      <c r="Q277" s="251" t="s">
        <v>405</v>
      </c>
      <c r="R277" s="246"/>
      <c r="S277" s="381"/>
      <c r="T277" s="341"/>
      <c r="U277" s="246"/>
      <c r="W277" s="246"/>
      <c r="Y277" s="246"/>
      <c r="Z277" s="381"/>
      <c r="AA277" s="341"/>
      <c r="AB277" s="246"/>
      <c r="AD277" s="246"/>
      <c r="AE277" s="251" t="s">
        <v>405</v>
      </c>
      <c r="AF277" s="246"/>
      <c r="AG277" s="381"/>
      <c r="AH277" s="311" t="s">
        <v>455</v>
      </c>
      <c r="AI277" s="246"/>
      <c r="AJ277" s="516"/>
      <c r="AK277" s="246"/>
      <c r="AM277" s="246"/>
      <c r="AN277" s="381"/>
      <c r="AO277" s="341"/>
      <c r="AP277" s="246"/>
      <c r="AQ277" s="274" t="s">
        <v>406</v>
      </c>
      <c r="AR277" s="246"/>
      <c r="AS277" s="516"/>
      <c r="AT277" s="254" t="str">
        <f t="shared" si="54"/>
        <v/>
      </c>
      <c r="AU277" s="269"/>
      <c r="AV277" s="269"/>
    </row>
    <row r="278">
      <c r="A278" s="270"/>
      <c r="B278" s="382" t="s">
        <v>686</v>
      </c>
      <c r="C278" s="242" t="s">
        <v>652</v>
      </c>
      <c r="D278" s="330"/>
      <c r="E278" s="259"/>
      <c r="F278" s="311" t="s">
        <v>455</v>
      </c>
      <c r="G278" s="246"/>
      <c r="H278" s="251" t="s">
        <v>435</v>
      </c>
      <c r="I278" s="246"/>
      <c r="J278" s="251" t="s">
        <v>429</v>
      </c>
      <c r="K278" s="246"/>
      <c r="L278" s="261"/>
      <c r="M278" s="341"/>
      <c r="N278" s="246"/>
      <c r="O278" s="385" t="s">
        <v>428</v>
      </c>
      <c r="P278" s="246"/>
      <c r="Q278" s="376" t="s">
        <v>466</v>
      </c>
      <c r="R278" s="246"/>
      <c r="S278" s="261"/>
      <c r="T278" s="341"/>
      <c r="U278" s="246"/>
      <c r="V278" s="383" t="s">
        <v>428</v>
      </c>
      <c r="W278" s="246"/>
      <c r="X278" s="376" t="s">
        <v>453</v>
      </c>
      <c r="Y278" s="246"/>
      <c r="Z278" s="261"/>
      <c r="AA278" s="341"/>
      <c r="AB278" s="246"/>
      <c r="AC278" s="251" t="s">
        <v>435</v>
      </c>
      <c r="AD278" s="246"/>
      <c r="AE278" s="251" t="s">
        <v>429</v>
      </c>
      <c r="AF278" s="246"/>
      <c r="AG278" s="261"/>
      <c r="AH278" s="376" t="s">
        <v>453</v>
      </c>
      <c r="AI278" s="246"/>
      <c r="AJ278" s="274" t="s">
        <v>435</v>
      </c>
      <c r="AK278" s="246"/>
      <c r="AL278" s="251" t="s">
        <v>429</v>
      </c>
      <c r="AM278" s="246"/>
      <c r="AN278" s="261"/>
      <c r="AO278" s="341"/>
      <c r="AP278" s="246"/>
      <c r="AQ278" s="385" t="s">
        <v>428</v>
      </c>
      <c r="AR278" s="246"/>
      <c r="AS278" s="251" t="s">
        <v>429</v>
      </c>
      <c r="AT278" s="254" t="str">
        <f t="shared" si="54"/>
        <v/>
      </c>
      <c r="AU278" s="269"/>
      <c r="AV278" s="269"/>
    </row>
    <row r="279">
      <c r="A279" s="234"/>
      <c r="B279" s="337" t="s">
        <v>686</v>
      </c>
      <c r="C279" s="338" t="s">
        <v>687</v>
      </c>
      <c r="D279" s="330"/>
      <c r="E279" s="259"/>
      <c r="G279" s="246"/>
      <c r="H279" s="385" t="s">
        <v>428</v>
      </c>
      <c r="I279" s="246"/>
      <c r="K279" s="246"/>
      <c r="L279" s="261"/>
      <c r="M279" s="250"/>
      <c r="N279" s="246"/>
      <c r="O279" s="251" t="s">
        <v>435</v>
      </c>
      <c r="P279" s="246"/>
      <c r="Q279" s="251" t="s">
        <v>429</v>
      </c>
      <c r="R279" s="246"/>
      <c r="S279" s="261"/>
      <c r="T279" s="250"/>
      <c r="U279" s="246"/>
      <c r="V279" s="311" t="s">
        <v>455</v>
      </c>
      <c r="W279" s="246"/>
      <c r="X279" s="251" t="s">
        <v>429</v>
      </c>
      <c r="Y279" s="246"/>
      <c r="Z279" s="261"/>
      <c r="AA279" s="250"/>
      <c r="AB279" s="246"/>
      <c r="AC279" s="376" t="s">
        <v>453</v>
      </c>
      <c r="AD279" s="246"/>
      <c r="AF279" s="246"/>
      <c r="AG279" s="261"/>
      <c r="AH279" s="282"/>
      <c r="AI279" s="246"/>
      <c r="AJ279" s="385" t="s">
        <v>428</v>
      </c>
      <c r="AK279" s="246"/>
      <c r="AL279" s="282"/>
      <c r="AM279" s="246"/>
      <c r="AN279" s="261"/>
      <c r="AO279" s="250"/>
      <c r="AP279" s="246"/>
      <c r="AQ279" s="251" t="s">
        <v>435</v>
      </c>
      <c r="AR279" s="246"/>
      <c r="AS279" s="376" t="s">
        <v>453</v>
      </c>
      <c r="AT279" s="254" t="str">
        <f>IF(COUNTIF($AO$80:$AT$82, AS278) &gt; 0, "X", "")</f>
        <v/>
      </c>
      <c r="AU279" s="269"/>
      <c r="AV279" s="269"/>
    </row>
    <row r="280">
      <c r="A280" s="94"/>
      <c r="B280" s="337" t="s">
        <v>688</v>
      </c>
      <c r="C280" s="285" t="s">
        <v>687</v>
      </c>
      <c r="D280" s="389"/>
      <c r="E280" s="259"/>
      <c r="F280" s="265"/>
      <c r="G280" s="246"/>
      <c r="H280" s="265"/>
      <c r="I280" s="246"/>
      <c r="J280" s="265"/>
      <c r="K280" s="246"/>
      <c r="L280" s="261"/>
      <c r="M280" s="262"/>
      <c r="N280" s="246"/>
      <c r="O280" s="265"/>
      <c r="P280" s="246"/>
      <c r="Q280" s="265"/>
      <c r="R280" s="246"/>
      <c r="S280" s="261"/>
      <c r="T280" s="262"/>
      <c r="U280" s="246"/>
      <c r="W280" s="246"/>
      <c r="Y280" s="246"/>
      <c r="Z280" s="261"/>
      <c r="AA280" s="262"/>
      <c r="AB280" s="246"/>
      <c r="AC280" s="265"/>
      <c r="AD280" s="246"/>
      <c r="AE280" s="265"/>
      <c r="AF280" s="246"/>
      <c r="AG280" s="261"/>
      <c r="AH280" s="265"/>
      <c r="AI280" s="246"/>
      <c r="AJ280" s="265"/>
      <c r="AK280" s="246"/>
      <c r="AL280" s="265"/>
      <c r="AM280" s="246"/>
      <c r="AN280" s="261"/>
      <c r="AO280" s="262"/>
      <c r="AP280" s="246"/>
      <c r="AQ280" s="265"/>
      <c r="AR280" s="246"/>
      <c r="AS280" s="425"/>
      <c r="AT280" s="254" t="str">
        <f>IF(COUNTIF($AO$80:$AT$82, #REF!) &gt; 0, "X", "")</f>
        <v/>
      </c>
      <c r="AU280" s="269"/>
      <c r="AV280" s="269"/>
    </row>
    <row r="281">
      <c r="A281" s="94"/>
      <c r="B281" s="387" t="s">
        <v>690</v>
      </c>
      <c r="C281" s="388" t="s">
        <v>649</v>
      </c>
      <c r="D281" s="323"/>
      <c r="E281" s="259"/>
      <c r="F281" s="390"/>
      <c r="G281" s="246"/>
      <c r="H281" s="390"/>
      <c r="I281" s="246"/>
      <c r="J281" s="390"/>
      <c r="K281" s="246"/>
      <c r="L281" s="261"/>
      <c r="M281" s="250"/>
      <c r="N281" s="246"/>
      <c r="O281" s="357" t="s">
        <v>670</v>
      </c>
      <c r="P281" s="246"/>
      <c r="Q281" s="390"/>
      <c r="R281" s="246"/>
      <c r="S281" s="261"/>
      <c r="T281" s="250"/>
      <c r="U281" s="246"/>
      <c r="V281" s="357"/>
      <c r="W281" s="246"/>
      <c r="X281" s="357"/>
      <c r="Y281" s="246"/>
      <c r="Z281" s="261"/>
      <c r="AA281" s="250"/>
      <c r="AB281" s="246"/>
      <c r="AC281" s="355" t="s">
        <v>670</v>
      </c>
      <c r="AD281" s="246"/>
      <c r="AE281" s="390"/>
      <c r="AF281" s="246"/>
      <c r="AG281" s="261"/>
      <c r="AH281" s="390"/>
      <c r="AI281" s="246"/>
      <c r="AJ281" s="390"/>
      <c r="AK281" s="246"/>
      <c r="AL281" s="390"/>
      <c r="AM281" s="246"/>
      <c r="AN281" s="261"/>
      <c r="AO281" s="250"/>
      <c r="AP281" s="246"/>
      <c r="AQ281" s="390"/>
      <c r="AR281" s="246"/>
      <c r="AS281" s="390"/>
      <c r="AT281" s="254" t="str">
        <f t="shared" ref="AT281:AT288" si="55">IF(COUNTIF($AO$80:$AT$82, AS282) &gt; 0, "X", "")</f>
        <v/>
      </c>
      <c r="AU281" s="269"/>
      <c r="AV281" s="269"/>
    </row>
    <row r="282">
      <c r="A282" s="94"/>
      <c r="B282" s="296" t="s">
        <v>650</v>
      </c>
      <c r="C282" s="297" t="s">
        <v>649</v>
      </c>
      <c r="D282" s="323"/>
      <c r="E282" s="261"/>
      <c r="F282" s="300"/>
      <c r="G282" s="246"/>
      <c r="H282" s="319"/>
      <c r="I282" s="246"/>
      <c r="J282" s="300"/>
      <c r="K282" s="246"/>
      <c r="L282" s="261"/>
      <c r="M282" s="250"/>
      <c r="N282" s="246"/>
      <c r="O282" s="300"/>
      <c r="P282" s="246"/>
      <c r="Q282" s="300"/>
      <c r="R282" s="246"/>
      <c r="S282" s="261"/>
      <c r="T282" s="250"/>
      <c r="U282" s="246"/>
      <c r="V282" s="300"/>
      <c r="W282" s="246"/>
      <c r="X282" s="300"/>
      <c r="Y282" s="246"/>
      <c r="Z282" s="261"/>
      <c r="AA282" s="250"/>
      <c r="AB282" s="246"/>
      <c r="AC282" s="300"/>
      <c r="AD282" s="246"/>
      <c r="AE282" s="300"/>
      <c r="AF282" s="246"/>
      <c r="AG282" s="261"/>
      <c r="AH282" s="300"/>
      <c r="AI282" s="246"/>
      <c r="AJ282" s="300"/>
      <c r="AK282" s="246"/>
      <c r="AL282" s="300"/>
      <c r="AM282" s="246"/>
      <c r="AN282" s="261"/>
      <c r="AO282" s="250"/>
      <c r="AP282" s="246"/>
      <c r="AQ282" s="300"/>
      <c r="AR282" s="246"/>
      <c r="AS282" s="300"/>
      <c r="AT282" s="254" t="str">
        <f t="shared" si="55"/>
        <v/>
      </c>
      <c r="AU282" s="269"/>
      <c r="AV282" s="269"/>
    </row>
    <row r="283">
      <c r="A283" s="94"/>
      <c r="B283" s="301" t="s">
        <v>651</v>
      </c>
      <c r="C283" s="391" t="s">
        <v>652</v>
      </c>
      <c r="D283" s="323"/>
      <c r="E283" s="259"/>
      <c r="F283" s="304"/>
      <c r="G283" s="246"/>
      <c r="H283" s="304"/>
      <c r="I283" s="246"/>
      <c r="J283" s="304"/>
      <c r="K283" s="246"/>
      <c r="L283" s="261"/>
      <c r="M283" s="250"/>
      <c r="N283" s="246"/>
      <c r="O283" s="304"/>
      <c r="P283" s="246"/>
      <c r="Q283" s="304"/>
      <c r="R283" s="246"/>
      <c r="S283" s="261"/>
      <c r="T283" s="250"/>
      <c r="U283" s="246"/>
      <c r="V283" s="304"/>
      <c r="W283" s="246"/>
      <c r="X283" s="304"/>
      <c r="Y283" s="246"/>
      <c r="Z283" s="261"/>
      <c r="AA283" s="250"/>
      <c r="AB283" s="246"/>
      <c r="AC283" s="304"/>
      <c r="AD283" s="246"/>
      <c r="AE283" s="304"/>
      <c r="AF283" s="246"/>
      <c r="AG283" s="261"/>
      <c r="AH283" s="304"/>
      <c r="AI283" s="246"/>
      <c r="AJ283" s="304"/>
      <c r="AK283" s="246"/>
      <c r="AL283" s="304"/>
      <c r="AM283" s="246"/>
      <c r="AN283" s="261"/>
      <c r="AO283" s="250"/>
      <c r="AP283" s="246"/>
      <c r="AQ283" s="304"/>
      <c r="AR283" s="246"/>
      <c r="AS283" s="304"/>
      <c r="AT283" s="254" t="str">
        <f t="shared" si="55"/>
        <v/>
      </c>
      <c r="AU283" s="269"/>
      <c r="AV283" s="269"/>
    </row>
    <row r="284">
      <c r="A284" s="94"/>
      <c r="B284" s="392" t="s">
        <v>691</v>
      </c>
      <c r="C284" s="393" t="s">
        <v>652</v>
      </c>
      <c r="D284" s="330"/>
      <c r="E284" s="259"/>
      <c r="F284" s="307"/>
      <c r="G284" s="246"/>
      <c r="H284" s="307"/>
      <c r="I284" s="246"/>
      <c r="J284" s="307"/>
      <c r="K284" s="246"/>
      <c r="L284" s="261"/>
      <c r="M284" s="250"/>
      <c r="N284" s="246"/>
      <c r="O284" s="395" t="s">
        <v>398</v>
      </c>
      <c r="P284" s="246"/>
      <c r="Q284" s="307"/>
      <c r="R284" s="246"/>
      <c r="S284" s="261"/>
      <c r="T284" s="250"/>
      <c r="U284" s="246"/>
      <c r="V284" s="307"/>
      <c r="W284" s="246"/>
      <c r="X284" s="307"/>
      <c r="Y284" s="246"/>
      <c r="Z284" s="261"/>
      <c r="AA284" s="250"/>
      <c r="AB284" s="246"/>
      <c r="AC284" s="395" t="s">
        <v>398</v>
      </c>
      <c r="AD284" s="246"/>
      <c r="AE284" s="307"/>
      <c r="AF284" s="246"/>
      <c r="AG284" s="261"/>
      <c r="AH284" s="307"/>
      <c r="AI284" s="246"/>
      <c r="AJ284" s="307"/>
      <c r="AK284" s="246"/>
      <c r="AL284" s="307"/>
      <c r="AM284" s="246"/>
      <c r="AN284" s="261"/>
      <c r="AO284" s="250"/>
      <c r="AP284" s="246"/>
      <c r="AQ284" s="307"/>
      <c r="AR284" s="246"/>
      <c r="AS284" s="307"/>
      <c r="AT284" s="254" t="str">
        <f t="shared" si="55"/>
        <v/>
      </c>
      <c r="AU284" s="269"/>
      <c r="AV284" s="269"/>
    </row>
    <row r="285">
      <c r="A285" s="94"/>
      <c r="B285" s="328" t="s">
        <v>692</v>
      </c>
      <c r="C285" s="329" t="s">
        <v>652</v>
      </c>
      <c r="D285" s="369"/>
      <c r="E285" s="259"/>
      <c r="F285" s="371"/>
      <c r="G285" s="246"/>
      <c r="H285" s="371"/>
      <c r="I285" s="246"/>
      <c r="J285" s="282"/>
      <c r="K285" s="246"/>
      <c r="L285" s="261"/>
      <c r="M285" s="250"/>
      <c r="N285" s="246"/>
      <c r="O285" s="371"/>
      <c r="P285" s="246"/>
      <c r="R285" s="246"/>
      <c r="S285" s="261"/>
      <c r="T285" s="250"/>
      <c r="U285" s="246"/>
      <c r="V285" s="282"/>
      <c r="W285" s="246"/>
      <c r="X285" s="371"/>
      <c r="Y285" s="246"/>
      <c r="Z285" s="261"/>
      <c r="AA285" s="250"/>
      <c r="AB285" s="246"/>
      <c r="AC285" s="371"/>
      <c r="AD285" s="246"/>
      <c r="AE285" s="371"/>
      <c r="AF285" s="246"/>
      <c r="AG285" s="261"/>
      <c r="AH285" s="371"/>
      <c r="AI285" s="246"/>
      <c r="AJ285" s="371"/>
      <c r="AK285" s="246"/>
      <c r="AL285" s="371"/>
      <c r="AM285" s="246"/>
      <c r="AN285" s="261"/>
      <c r="AO285" s="250"/>
      <c r="AP285" s="246"/>
      <c r="AQ285" s="371"/>
      <c r="AR285" s="246"/>
      <c r="AS285" s="282"/>
      <c r="AT285" s="254" t="str">
        <f t="shared" si="55"/>
        <v/>
      </c>
      <c r="AU285" s="269"/>
      <c r="AV285" s="269"/>
    </row>
    <row r="286">
      <c r="A286" s="94"/>
      <c r="B286" s="397" t="s">
        <v>692</v>
      </c>
      <c r="C286" s="398" t="s">
        <v>687</v>
      </c>
      <c r="D286" s="389"/>
      <c r="E286" s="259"/>
      <c r="F286" s="399"/>
      <c r="G286" s="246"/>
      <c r="H286" s="399"/>
      <c r="I286" s="246"/>
      <c r="J286" s="399"/>
      <c r="K286" s="246"/>
      <c r="L286" s="261"/>
      <c r="M286" s="250"/>
      <c r="N286" s="246"/>
      <c r="O286" s="282"/>
      <c r="P286" s="246"/>
      <c r="R286" s="246"/>
      <c r="S286" s="261"/>
      <c r="T286" s="250"/>
      <c r="U286" s="246"/>
      <c r="V286" s="282"/>
      <c r="W286" s="246"/>
      <c r="X286" s="399"/>
      <c r="Y286" s="246"/>
      <c r="Z286" s="261"/>
      <c r="AA286" s="250"/>
      <c r="AB286" s="246"/>
      <c r="AC286" s="399"/>
      <c r="AD286" s="246"/>
      <c r="AE286" s="399"/>
      <c r="AF286" s="246"/>
      <c r="AG286" s="261"/>
      <c r="AH286" s="399"/>
      <c r="AI286" s="246"/>
      <c r="AJ286" s="399"/>
      <c r="AK286" s="246"/>
      <c r="AL286" s="399"/>
      <c r="AM286" s="246"/>
      <c r="AN286" s="261"/>
      <c r="AO286" s="250"/>
      <c r="AP286" s="246"/>
      <c r="AQ286" s="399"/>
      <c r="AR286" s="246"/>
      <c r="AS286" s="399"/>
      <c r="AT286" s="254" t="str">
        <f t="shared" si="55"/>
        <v/>
      </c>
      <c r="AU286" s="269"/>
      <c r="AV286" s="269"/>
    </row>
    <row r="287">
      <c r="A287" s="94"/>
      <c r="B287" s="387" t="s">
        <v>694</v>
      </c>
      <c r="C287" s="388" t="s">
        <v>649</v>
      </c>
      <c r="D287" s="323"/>
      <c r="E287" s="259"/>
      <c r="F287" s="390"/>
      <c r="G287" s="246"/>
      <c r="H287" s="390"/>
      <c r="I287" s="246"/>
      <c r="J287" s="390"/>
      <c r="K287" s="246"/>
      <c r="L287" s="261"/>
      <c r="M287" s="250"/>
      <c r="N287" s="246"/>
      <c r="O287" s="390"/>
      <c r="P287" s="246"/>
      <c r="Q287" s="357" t="s">
        <v>425</v>
      </c>
      <c r="R287" s="246"/>
      <c r="S287" s="261"/>
      <c r="T287" s="250"/>
      <c r="U287" s="246"/>
      <c r="V287" s="390"/>
      <c r="W287" s="246"/>
      <c r="X287" s="357" t="s">
        <v>425</v>
      </c>
      <c r="Y287" s="246"/>
      <c r="Z287" s="261"/>
      <c r="AA287" s="250"/>
      <c r="AB287" s="246"/>
      <c r="AC287" s="390"/>
      <c r="AD287" s="246"/>
      <c r="AE287" s="357" t="s">
        <v>425</v>
      </c>
      <c r="AF287" s="246"/>
      <c r="AG287" s="261"/>
      <c r="AH287" s="390"/>
      <c r="AI287" s="246"/>
      <c r="AJ287" s="390"/>
      <c r="AK287" s="246"/>
      <c r="AL287" s="357" t="s">
        <v>425</v>
      </c>
      <c r="AM287" s="246"/>
      <c r="AN287" s="261"/>
      <c r="AO287" s="250"/>
      <c r="AP287" s="246"/>
      <c r="AQ287" s="390"/>
      <c r="AR287" s="246"/>
      <c r="AS287" s="357" t="s">
        <v>425</v>
      </c>
      <c r="AT287" s="254" t="str">
        <f t="shared" si="55"/>
        <v/>
      </c>
      <c r="AU287" s="269"/>
      <c r="AV287" s="269"/>
    </row>
    <row r="288">
      <c r="A288" s="94"/>
      <c r="B288" s="296" t="s">
        <v>650</v>
      </c>
      <c r="C288" s="297" t="s">
        <v>649</v>
      </c>
      <c r="D288" s="323"/>
      <c r="E288" s="261"/>
      <c r="F288" s="300"/>
      <c r="G288" s="298"/>
      <c r="H288" s="300"/>
      <c r="I288" s="298"/>
      <c r="J288" s="300"/>
      <c r="K288" s="298"/>
      <c r="L288" s="261"/>
      <c r="M288" s="250"/>
      <c r="N288" s="298"/>
      <c r="O288" s="300"/>
      <c r="P288" s="298"/>
      <c r="Q288" s="319"/>
      <c r="R288" s="298"/>
      <c r="S288" s="261"/>
      <c r="T288" s="250"/>
      <c r="U288" s="298"/>
      <c r="V288" s="300"/>
      <c r="W288" s="298"/>
      <c r="X288" s="300"/>
      <c r="Y288" s="298"/>
      <c r="Z288" s="261"/>
      <c r="AA288" s="250"/>
      <c r="AB288" s="298"/>
      <c r="AC288" s="300"/>
      <c r="AD288" s="298"/>
      <c r="AE288" s="300"/>
      <c r="AF288" s="298"/>
      <c r="AG288" s="261"/>
      <c r="AH288" s="300"/>
      <c r="AI288" s="298"/>
      <c r="AJ288" s="300"/>
      <c r="AK288" s="298"/>
      <c r="AL288" s="300"/>
      <c r="AM288" s="298"/>
      <c r="AN288" s="261"/>
      <c r="AO288" s="250"/>
      <c r="AP288" s="298"/>
      <c r="AQ288" s="300"/>
      <c r="AR288" s="298"/>
      <c r="AS288" s="300"/>
      <c r="AT288" s="254" t="str">
        <f t="shared" si="55"/>
        <v/>
      </c>
      <c r="AU288" s="269"/>
      <c r="AV288" s="269"/>
    </row>
    <row r="289">
      <c r="A289" s="94"/>
      <c r="B289" s="301" t="s">
        <v>651</v>
      </c>
      <c r="C289" s="391" t="s">
        <v>652</v>
      </c>
      <c r="D289" s="323"/>
      <c r="E289" s="259"/>
      <c r="F289" s="304"/>
      <c r="G289" s="298"/>
      <c r="H289" s="304"/>
      <c r="I289" s="298"/>
      <c r="J289" s="304"/>
      <c r="K289" s="298"/>
      <c r="L289" s="261"/>
      <c r="M289" s="250"/>
      <c r="N289" s="298"/>
      <c r="O289" s="304"/>
      <c r="P289" s="298"/>
      <c r="Q289" s="304"/>
      <c r="R289" s="298"/>
      <c r="S289" s="261"/>
      <c r="T289" s="250"/>
      <c r="U289" s="298"/>
      <c r="V289" s="304"/>
      <c r="W289" s="298"/>
      <c r="X289" s="304"/>
      <c r="Y289" s="298"/>
      <c r="Z289" s="261"/>
      <c r="AA289" s="250"/>
      <c r="AB289" s="298"/>
      <c r="AC289" s="304"/>
      <c r="AD289" s="298"/>
      <c r="AE289" s="304"/>
      <c r="AF289" s="298"/>
      <c r="AG289" s="261"/>
      <c r="AH289" s="304"/>
      <c r="AI289" s="298"/>
      <c r="AJ289" s="304"/>
      <c r="AK289" s="298"/>
      <c r="AL289" s="304"/>
      <c r="AM289" s="298"/>
      <c r="AN289" s="261"/>
      <c r="AO289" s="250"/>
      <c r="AP289" s="298"/>
      <c r="AQ289" s="304"/>
      <c r="AR289" s="298"/>
      <c r="AS289" s="304"/>
      <c r="AT289" s="254" t="str">
        <f t="shared" ref="AT289:AT290" si="56">IF(COUNTIF($AO$80:$AT$82, #REF!) &gt; 0, "X", "")</f>
        <v/>
      </c>
      <c r="AU289" s="269"/>
      <c r="AV289" s="269"/>
    </row>
    <row r="290">
      <c r="A290" s="94"/>
      <c r="B290" s="392" t="s">
        <v>691</v>
      </c>
      <c r="C290" s="393" t="s">
        <v>652</v>
      </c>
      <c r="D290" s="330"/>
      <c r="E290" s="259"/>
      <c r="F290" s="307"/>
      <c r="G290" s="298"/>
      <c r="H290" s="307"/>
      <c r="I290" s="298"/>
      <c r="J290" s="307"/>
      <c r="K290" s="298"/>
      <c r="L290" s="261"/>
      <c r="M290" s="250"/>
      <c r="N290" s="298"/>
      <c r="O290" s="307"/>
      <c r="P290" s="298"/>
      <c r="Q290" s="693" t="s">
        <v>414</v>
      </c>
      <c r="R290" s="298"/>
      <c r="S290" s="261"/>
      <c r="T290" s="250"/>
      <c r="U290" s="298"/>
      <c r="V290" s="307"/>
      <c r="W290" s="298"/>
      <c r="X290" s="395" t="s">
        <v>430</v>
      </c>
      <c r="Y290" s="298"/>
      <c r="Z290" s="261"/>
      <c r="AA290" s="250"/>
      <c r="AB290" s="298"/>
      <c r="AC290" s="307"/>
      <c r="AD290" s="298"/>
      <c r="AE290" s="395" t="s">
        <v>430</v>
      </c>
      <c r="AF290" s="298"/>
      <c r="AG290" s="261"/>
      <c r="AH290" s="307"/>
      <c r="AI290" s="298"/>
      <c r="AJ290" s="307"/>
      <c r="AK290" s="298"/>
      <c r="AL290" s="308" t="s">
        <v>445</v>
      </c>
      <c r="AM290" s="298"/>
      <c r="AN290" s="261"/>
      <c r="AO290" s="250"/>
      <c r="AP290" s="298"/>
      <c r="AQ290" s="307"/>
      <c r="AR290" s="298"/>
      <c r="AS290" s="308" t="s">
        <v>445</v>
      </c>
      <c r="AT290" s="254" t="str">
        <f t="shared" si="56"/>
        <v/>
      </c>
      <c r="AU290" s="269"/>
      <c r="AV290" s="269"/>
    </row>
    <row r="291">
      <c r="A291" s="94"/>
      <c r="B291" s="328" t="s">
        <v>692</v>
      </c>
      <c r="C291" s="329" t="s">
        <v>652</v>
      </c>
      <c r="D291" s="369"/>
      <c r="E291" s="259"/>
      <c r="F291" s="371"/>
      <c r="G291" s="246"/>
      <c r="H291" s="371"/>
      <c r="I291" s="246"/>
      <c r="J291" s="371"/>
      <c r="K291" s="246"/>
      <c r="L291" s="261"/>
      <c r="M291" s="250"/>
      <c r="N291" s="246"/>
      <c r="O291" s="371"/>
      <c r="P291" s="246"/>
      <c r="Q291" s="371"/>
      <c r="R291" s="246"/>
      <c r="S291" s="261"/>
      <c r="T291" s="250"/>
      <c r="U291" s="246"/>
      <c r="V291" s="371"/>
      <c r="W291" s="246"/>
      <c r="X291" s="282"/>
      <c r="Y291" s="246"/>
      <c r="Z291" s="261"/>
      <c r="AA291" s="250"/>
      <c r="AB291" s="246"/>
      <c r="AC291" s="282"/>
      <c r="AD291" s="246"/>
      <c r="AE291" s="584"/>
      <c r="AF291" s="246"/>
      <c r="AG291" s="261"/>
      <c r="AH291" s="371"/>
      <c r="AI291" s="246"/>
      <c r="AJ291" s="371"/>
      <c r="AK291" s="246"/>
      <c r="AL291" s="282"/>
      <c r="AM291" s="246"/>
      <c r="AN291" s="261"/>
      <c r="AO291" s="250"/>
      <c r="AP291" s="246"/>
      <c r="AQ291" s="371"/>
      <c r="AR291" s="246"/>
      <c r="AS291" s="282"/>
      <c r="AT291" s="254" t="str">
        <f t="shared" ref="AT291:AT294" si="57">IF(COUNTIF($AO$80:$AT$82, AS292) &gt; 0, "X", "")</f>
        <v/>
      </c>
      <c r="AU291" s="269"/>
      <c r="AV291" s="269"/>
    </row>
    <row r="292">
      <c r="A292" s="94"/>
      <c r="B292" s="397" t="s">
        <v>692</v>
      </c>
      <c r="C292" s="398" t="s">
        <v>687</v>
      </c>
      <c r="D292" s="404"/>
      <c r="E292" s="259"/>
      <c r="F292" s="399"/>
      <c r="G292" s="246"/>
      <c r="H292" s="399"/>
      <c r="I292" s="246"/>
      <c r="J292" s="399"/>
      <c r="K292" s="246"/>
      <c r="L292" s="261"/>
      <c r="M292" s="250"/>
      <c r="N292" s="246"/>
      <c r="O292" s="399"/>
      <c r="P292" s="246"/>
      <c r="Q292" s="282"/>
      <c r="R292" s="246"/>
      <c r="S292" s="261"/>
      <c r="T292" s="250"/>
      <c r="U292" s="246"/>
      <c r="V292" s="399"/>
      <c r="W292" s="246"/>
      <c r="X292" s="399"/>
      <c r="Y292" s="246"/>
      <c r="Z292" s="261"/>
      <c r="AA292" s="250"/>
      <c r="AB292" s="246"/>
      <c r="AC292" s="282"/>
      <c r="AD292" s="246"/>
      <c r="AE292" s="399"/>
      <c r="AF292" s="246"/>
      <c r="AG292" s="261"/>
      <c r="AH292" s="399"/>
      <c r="AI292" s="246"/>
      <c r="AJ292" s="399"/>
      <c r="AK292" s="246"/>
      <c r="AL292" s="399"/>
      <c r="AM292" s="246"/>
      <c r="AN292" s="261"/>
      <c r="AO292" s="250"/>
      <c r="AP292" s="246"/>
      <c r="AQ292" s="399"/>
      <c r="AR292" s="246"/>
      <c r="AS292" s="399"/>
      <c r="AT292" s="254" t="str">
        <f t="shared" si="57"/>
        <v/>
      </c>
      <c r="AU292" s="269"/>
      <c r="AV292" s="269"/>
    </row>
    <row r="293">
      <c r="A293" s="270"/>
      <c r="B293" s="402" t="s">
        <v>699</v>
      </c>
      <c r="C293" s="403" t="s">
        <v>649</v>
      </c>
      <c r="D293" s="330"/>
      <c r="E293" s="259"/>
      <c r="F293" s="294"/>
      <c r="G293" s="246"/>
      <c r="H293" s="294"/>
      <c r="I293" s="246"/>
      <c r="J293" s="294"/>
      <c r="K293" s="246"/>
      <c r="L293" s="261"/>
      <c r="M293" s="250"/>
      <c r="N293" s="246"/>
      <c r="O293" s="294"/>
      <c r="P293" s="246"/>
      <c r="Q293" s="353" t="s">
        <v>422</v>
      </c>
      <c r="R293" s="246"/>
      <c r="S293" s="261"/>
      <c r="T293" s="250"/>
      <c r="U293" s="246"/>
      <c r="V293" s="294"/>
      <c r="W293" s="246"/>
      <c r="X293" s="294"/>
      <c r="Y293" s="246"/>
      <c r="Z293" s="261"/>
      <c r="AA293" s="250"/>
      <c r="AB293" s="246"/>
      <c r="AC293" s="294"/>
      <c r="AD293" s="246"/>
      <c r="AE293" s="293" t="s">
        <v>426</v>
      </c>
      <c r="AF293" s="246"/>
      <c r="AG293" s="261"/>
      <c r="AH293" s="294"/>
      <c r="AI293" s="246"/>
      <c r="AJ293" s="294"/>
      <c r="AK293" s="246"/>
      <c r="AL293" s="294"/>
      <c r="AM293" s="246"/>
      <c r="AN293" s="261"/>
      <c r="AO293" s="250"/>
      <c r="AP293" s="246"/>
      <c r="AQ293" s="294"/>
      <c r="AR293" s="246"/>
      <c r="AS293" s="294"/>
      <c r="AT293" s="254" t="str">
        <f t="shared" si="57"/>
        <v/>
      </c>
      <c r="AU293" s="269"/>
      <c r="AV293" s="269"/>
    </row>
    <row r="294">
      <c r="A294" s="94"/>
      <c r="B294" s="328" t="s">
        <v>700</v>
      </c>
      <c r="C294" s="329" t="s">
        <v>657</v>
      </c>
      <c r="D294" s="330"/>
      <c r="E294" s="259"/>
      <c r="F294" s="371"/>
      <c r="G294" s="246"/>
      <c r="H294" s="282"/>
      <c r="I294" s="246"/>
      <c r="J294" s="371"/>
      <c r="K294" s="246"/>
      <c r="L294" s="261"/>
      <c r="M294" s="250"/>
      <c r="N294" s="246"/>
      <c r="O294" s="371"/>
      <c r="P294" s="246"/>
      <c r="Q294" s="274" t="s">
        <v>437</v>
      </c>
      <c r="R294" s="246"/>
      <c r="S294" s="261"/>
      <c r="T294" s="250"/>
      <c r="U294" s="246"/>
      <c r="V294" s="371"/>
      <c r="W294" s="246"/>
      <c r="X294" s="371"/>
      <c r="Y294" s="246"/>
      <c r="Z294" s="261"/>
      <c r="AA294" s="250"/>
      <c r="AB294" s="246"/>
      <c r="AC294" s="371"/>
      <c r="AD294" s="246"/>
      <c r="AE294" s="274" t="s">
        <v>437</v>
      </c>
      <c r="AF294" s="246"/>
      <c r="AG294" s="261"/>
      <c r="AH294" s="371"/>
      <c r="AI294" s="246"/>
      <c r="AJ294" s="371"/>
      <c r="AK294" s="246"/>
      <c r="AL294" s="371"/>
      <c r="AM294" s="246"/>
      <c r="AN294" s="261"/>
      <c r="AO294" s="250"/>
      <c r="AP294" s="246"/>
      <c r="AQ294" s="282"/>
      <c r="AR294" s="246"/>
      <c r="AS294" s="371"/>
      <c r="AT294" s="254" t="str">
        <f t="shared" si="57"/>
        <v/>
      </c>
      <c r="AU294" s="269"/>
      <c r="AV294" s="269"/>
    </row>
    <row r="295">
      <c r="A295" s="94"/>
      <c r="B295" s="328" t="s">
        <v>700</v>
      </c>
      <c r="C295" s="329" t="s">
        <v>657</v>
      </c>
      <c r="D295" s="330"/>
      <c r="E295" s="259"/>
      <c r="F295" s="264"/>
      <c r="G295" s="246"/>
      <c r="H295" s="265"/>
      <c r="I295" s="246"/>
      <c r="J295" s="371"/>
      <c r="K295" s="246"/>
      <c r="L295" s="261"/>
      <c r="M295" s="262"/>
      <c r="N295" s="246"/>
      <c r="P295" s="246"/>
      <c r="Q295" s="405" t="s">
        <v>462</v>
      </c>
      <c r="R295" s="246"/>
      <c r="S295" s="261"/>
      <c r="T295" s="262"/>
      <c r="U295" s="246"/>
      <c r="V295" s="264"/>
      <c r="W295" s="246"/>
      <c r="Y295" s="246"/>
      <c r="Z295" s="261"/>
      <c r="AA295" s="262"/>
      <c r="AB295" s="246"/>
      <c r="AC295" s="264"/>
      <c r="AD295" s="246"/>
      <c r="AE295" s="405" t="s">
        <v>462</v>
      </c>
      <c r="AF295" s="246"/>
      <c r="AG295" s="261"/>
      <c r="AH295" s="264"/>
      <c r="AI295" s="246"/>
      <c r="AJ295" s="264"/>
      <c r="AK295" s="246"/>
      <c r="AM295" s="246"/>
      <c r="AN295" s="261"/>
      <c r="AO295" s="262"/>
      <c r="AP295" s="246"/>
      <c r="AQ295" s="264"/>
      <c r="AR295" s="246"/>
      <c r="AS295" s="264"/>
      <c r="AT295" s="254" t="str">
        <f>IF(COUNTIF($AO$80:$AT$82, #REF!) &gt; 0, "X", "")</f>
        <v/>
      </c>
      <c r="AU295" s="269"/>
      <c r="AV295" s="269"/>
    </row>
    <row r="296">
      <c r="A296" s="94"/>
      <c r="B296" s="328" t="s">
        <v>700</v>
      </c>
      <c r="C296" s="329" t="s">
        <v>657</v>
      </c>
      <c r="D296" s="351"/>
      <c r="E296" s="259"/>
      <c r="F296" s="282"/>
      <c r="G296" s="246"/>
      <c r="H296" s="282"/>
      <c r="I296" s="246"/>
      <c r="K296" s="246"/>
      <c r="L296" s="261"/>
      <c r="M296" s="250"/>
      <c r="N296" s="246"/>
      <c r="O296" s="282"/>
      <c r="P296" s="246"/>
      <c r="Q296" s="282"/>
      <c r="R296" s="246"/>
      <c r="S296" s="261"/>
      <c r="T296" s="250"/>
      <c r="U296" s="246"/>
      <c r="V296" s="282"/>
      <c r="W296" s="246"/>
      <c r="Y296" s="246"/>
      <c r="Z296" s="261"/>
      <c r="AA296" s="250"/>
      <c r="AB296" s="246"/>
      <c r="AC296" s="282"/>
      <c r="AD296" s="246"/>
      <c r="AF296" s="246"/>
      <c r="AG296" s="261"/>
      <c r="AH296" s="371"/>
      <c r="AI296" s="246"/>
      <c r="AJ296" s="282"/>
      <c r="AK296" s="246"/>
      <c r="AM296" s="246"/>
      <c r="AN296" s="261"/>
      <c r="AO296" s="250"/>
      <c r="AP296" s="246"/>
      <c r="AQ296" s="371"/>
      <c r="AR296" s="246"/>
      <c r="AS296" s="282"/>
      <c r="AT296" s="254" t="str">
        <f t="shared" ref="AT296:AT297" si="58">IF(COUNTIF($AO$80:$AT$82, AS297) &gt; 0, "X", "")</f>
        <v/>
      </c>
      <c r="AU296" s="269"/>
      <c r="AV296" s="269"/>
    </row>
    <row r="297">
      <c r="A297" s="94"/>
      <c r="B297" s="408" t="s">
        <v>702</v>
      </c>
      <c r="C297" s="409" t="s">
        <v>652</v>
      </c>
      <c r="D297" s="323"/>
      <c r="E297" s="259"/>
      <c r="F297" s="411"/>
      <c r="G297" s="246"/>
      <c r="H297" s="411"/>
      <c r="I297" s="246"/>
      <c r="J297" s="411"/>
      <c r="K297" s="246"/>
      <c r="L297" s="261"/>
      <c r="M297" s="262"/>
      <c r="N297" s="246"/>
      <c r="O297" s="411"/>
      <c r="P297" s="246"/>
      <c r="Q297" s="411"/>
      <c r="R297" s="246"/>
      <c r="S297" s="261"/>
      <c r="T297" s="262"/>
      <c r="U297" s="246"/>
      <c r="V297" s="411"/>
      <c r="W297" s="246"/>
      <c r="X297" s="411"/>
      <c r="Y297" s="246"/>
      <c r="Z297" s="261"/>
      <c r="AA297" s="262"/>
      <c r="AB297" s="246"/>
      <c r="AC297" s="411"/>
      <c r="AD297" s="246"/>
      <c r="AE297" s="411"/>
      <c r="AF297" s="246"/>
      <c r="AG297" s="261"/>
      <c r="AH297" s="411"/>
      <c r="AI297" s="246"/>
      <c r="AJ297" s="411"/>
      <c r="AK297" s="246"/>
      <c r="AL297" s="411"/>
      <c r="AM297" s="246"/>
      <c r="AN297" s="261"/>
      <c r="AO297" s="262"/>
      <c r="AP297" s="246"/>
      <c r="AQ297" s="411"/>
      <c r="AR297" s="246"/>
      <c r="AS297" s="411"/>
      <c r="AT297" s="254" t="str">
        <f t="shared" si="58"/>
        <v/>
      </c>
      <c r="AU297" s="269"/>
      <c r="AV297" s="269"/>
    </row>
    <row r="298">
      <c r="A298" s="234"/>
      <c r="B298" s="401" t="s">
        <v>703</v>
      </c>
      <c r="C298" s="412" t="s">
        <v>704</v>
      </c>
      <c r="D298" s="330"/>
      <c r="E298" s="259"/>
      <c r="F298" s="413"/>
      <c r="G298" s="246"/>
      <c r="H298" s="413"/>
      <c r="I298" s="246"/>
      <c r="J298" s="413"/>
      <c r="K298" s="246"/>
      <c r="L298" s="261"/>
      <c r="M298" s="262"/>
      <c r="N298" s="246"/>
      <c r="O298" s="413"/>
      <c r="P298" s="246"/>
      <c r="Q298" s="413"/>
      <c r="R298" s="246"/>
      <c r="S298" s="261"/>
      <c r="T298" s="262"/>
      <c r="U298" s="246"/>
      <c r="V298" s="413"/>
      <c r="W298" s="246"/>
      <c r="X298" s="413"/>
      <c r="Y298" s="246"/>
      <c r="Z298" s="261"/>
      <c r="AA298" s="262"/>
      <c r="AB298" s="246"/>
      <c r="AC298" s="413"/>
      <c r="AD298" s="246"/>
      <c r="AE298" s="413"/>
      <c r="AF298" s="246"/>
      <c r="AG298" s="261"/>
      <c r="AH298" s="413"/>
      <c r="AI298" s="246"/>
      <c r="AJ298" s="413"/>
      <c r="AK298" s="246"/>
      <c r="AL298" s="413"/>
      <c r="AM298" s="246"/>
      <c r="AN298" s="261"/>
      <c r="AO298" s="262"/>
      <c r="AP298" s="246"/>
      <c r="AQ298" s="413"/>
      <c r="AR298" s="246"/>
      <c r="AS298" s="413"/>
      <c r="AT298" s="254" t="str">
        <f t="shared" ref="AT298:AT300" si="59">IF(COUNTIF($AO$80:$AT$82, #REF!) &gt; 0, "X", "")</f>
        <v/>
      </c>
      <c r="AU298" s="269"/>
      <c r="AV298" s="269"/>
    </row>
    <row r="299">
      <c r="A299" s="234"/>
      <c r="B299" s="414" t="s">
        <v>705</v>
      </c>
      <c r="C299" s="415" t="s">
        <v>704</v>
      </c>
      <c r="D299" s="330"/>
      <c r="E299" s="259"/>
      <c r="F299" s="282"/>
      <c r="G299" s="246"/>
      <c r="H299" s="311" t="s">
        <v>438</v>
      </c>
      <c r="I299" s="246"/>
      <c r="J299" s="251" t="s">
        <v>432</v>
      </c>
      <c r="K299" s="246"/>
      <c r="L299" s="261"/>
      <c r="M299" s="341"/>
      <c r="N299" s="246"/>
      <c r="O299" s="251" t="s">
        <v>407</v>
      </c>
      <c r="P299" s="246"/>
      <c r="Q299" s="311" t="s">
        <v>410</v>
      </c>
      <c r="R299" s="246"/>
      <c r="S299" s="261"/>
      <c r="T299" s="341"/>
      <c r="U299" s="246"/>
      <c r="V299" s="311" t="s">
        <v>438</v>
      </c>
      <c r="W299" s="246"/>
      <c r="X299" s="586" t="s">
        <v>452</v>
      </c>
      <c r="Y299" s="246"/>
      <c r="Z299" s="261"/>
      <c r="AA299" s="251" t="s">
        <v>410</v>
      </c>
      <c r="AB299" s="246"/>
      <c r="AC299" s="311" t="s">
        <v>394</v>
      </c>
      <c r="AD299" s="246"/>
      <c r="AE299" s="290" t="s">
        <v>432</v>
      </c>
      <c r="AF299" s="246"/>
      <c r="AG299" s="261"/>
      <c r="AH299" s="282"/>
      <c r="AI299" s="246"/>
      <c r="AJ299" s="311" t="s">
        <v>394</v>
      </c>
      <c r="AK299" s="246"/>
      <c r="AL299" s="586" t="s">
        <v>452</v>
      </c>
      <c r="AM299" s="246"/>
      <c r="AN299" s="261"/>
      <c r="AO299" s="341"/>
      <c r="AP299" s="246"/>
      <c r="AQ299" s="311" t="s">
        <v>438</v>
      </c>
      <c r="AR299" s="246"/>
      <c r="AS299" s="374" t="s">
        <v>410</v>
      </c>
      <c r="AT299" s="254" t="str">
        <f t="shared" si="59"/>
        <v/>
      </c>
      <c r="AU299" s="269"/>
      <c r="AV299" s="269"/>
    </row>
    <row r="300">
      <c r="A300" s="94"/>
      <c r="B300" s="328" t="s">
        <v>705</v>
      </c>
      <c r="C300" s="257" t="s">
        <v>657</v>
      </c>
      <c r="D300" s="330"/>
      <c r="E300" s="259"/>
      <c r="F300" s="586" t="s">
        <v>452</v>
      </c>
      <c r="G300" s="246"/>
      <c r="I300" s="246"/>
      <c r="J300" s="664" t="s">
        <v>969</v>
      </c>
      <c r="K300" s="246"/>
      <c r="L300" s="261"/>
      <c r="M300" s="341"/>
      <c r="N300" s="246"/>
      <c r="O300" s="339" t="s">
        <v>404</v>
      </c>
      <c r="P300" s="246"/>
      <c r="Q300" s="325" t="s">
        <v>900</v>
      </c>
      <c r="R300" s="246"/>
      <c r="S300" s="261"/>
      <c r="T300" s="341"/>
      <c r="U300" s="246"/>
      <c r="V300" s="339" t="s">
        <v>404</v>
      </c>
      <c r="W300" s="246"/>
      <c r="X300" s="311" t="s">
        <v>467</v>
      </c>
      <c r="Y300" s="246"/>
      <c r="Z300" s="261"/>
      <c r="AA300" s="341"/>
      <c r="AB300" s="246"/>
      <c r="AC300" s="311" t="s">
        <v>438</v>
      </c>
      <c r="AD300" s="246"/>
      <c r="AE300" s="311" t="s">
        <v>470</v>
      </c>
      <c r="AF300" s="246"/>
      <c r="AG300" s="261"/>
      <c r="AH300" s="311" t="s">
        <v>470</v>
      </c>
      <c r="AI300" s="246"/>
      <c r="AJ300" s="251" t="s">
        <v>407</v>
      </c>
      <c r="AK300" s="246"/>
      <c r="AL300" s="339" t="s">
        <v>404</v>
      </c>
      <c r="AM300" s="246"/>
      <c r="AN300" s="261"/>
      <c r="AO300" s="341"/>
      <c r="AP300" s="246"/>
      <c r="AQ300" s="339" t="s">
        <v>404</v>
      </c>
      <c r="AR300" s="246"/>
      <c r="AS300" s="586" t="s">
        <v>452</v>
      </c>
      <c r="AT300" s="254" t="str">
        <f t="shared" si="59"/>
        <v/>
      </c>
      <c r="AU300" s="269"/>
      <c r="AV300" s="269"/>
    </row>
    <row r="301">
      <c r="A301" s="94"/>
      <c r="B301" s="277" t="s">
        <v>705</v>
      </c>
      <c r="C301" s="329" t="s">
        <v>685</v>
      </c>
      <c r="D301" s="369"/>
      <c r="E301" s="259"/>
      <c r="F301" s="311" t="s">
        <v>467</v>
      </c>
      <c r="G301" s="246"/>
      <c r="H301" s="251" t="s">
        <v>440</v>
      </c>
      <c r="I301" s="246"/>
      <c r="K301" s="246"/>
      <c r="L301" s="261"/>
      <c r="M301" s="341"/>
      <c r="N301" s="246"/>
      <c r="O301" s="251" t="s">
        <v>440</v>
      </c>
      <c r="P301" s="246"/>
      <c r="Q301" s="290" t="s">
        <v>432</v>
      </c>
      <c r="R301" s="246"/>
      <c r="S301" s="261"/>
      <c r="T301" s="341"/>
      <c r="U301" s="246"/>
      <c r="V301" s="251" t="s">
        <v>440</v>
      </c>
      <c r="W301" s="246"/>
      <c r="X301" s="311" t="s">
        <v>410</v>
      </c>
      <c r="Y301" s="246"/>
      <c r="Z301" s="261"/>
      <c r="AA301" s="341"/>
      <c r="AB301" s="246"/>
      <c r="AC301" s="251" t="s">
        <v>440</v>
      </c>
      <c r="AD301" s="246"/>
      <c r="AE301" s="311" t="s">
        <v>467</v>
      </c>
      <c r="AF301" s="246"/>
      <c r="AG301" s="261"/>
      <c r="AH301" s="311" t="s">
        <v>467</v>
      </c>
      <c r="AI301" s="246"/>
      <c r="AJ301" s="251" t="s">
        <v>440</v>
      </c>
      <c r="AK301" s="246"/>
      <c r="AL301" s="251" t="s">
        <v>405</v>
      </c>
      <c r="AM301" s="246"/>
      <c r="AN301" s="261"/>
      <c r="AO301" s="341"/>
      <c r="AP301" s="246"/>
      <c r="AQ301" s="311" t="s">
        <v>470</v>
      </c>
      <c r="AR301" s="246"/>
      <c r="AS301" s="251" t="s">
        <v>405</v>
      </c>
      <c r="AT301" s="254" t="str">
        <f>IF(COUNTIF($AO$80:$AT$82, AO301) &gt; 0, "X", "")</f>
        <v/>
      </c>
      <c r="AU301" s="269"/>
      <c r="AV301" s="269"/>
    </row>
    <row r="302">
      <c r="A302" s="94"/>
      <c r="B302" s="271" t="s">
        <v>705</v>
      </c>
      <c r="C302" s="272" t="s">
        <v>687</v>
      </c>
      <c r="D302" s="330"/>
      <c r="E302" s="259"/>
      <c r="F302" s="282"/>
      <c r="G302" s="246"/>
      <c r="H302" s="364" t="s">
        <v>836</v>
      </c>
      <c r="I302" s="246"/>
      <c r="J302" s="311" t="s">
        <v>410</v>
      </c>
      <c r="K302" s="246"/>
      <c r="L302" s="261"/>
      <c r="M302" s="341"/>
      <c r="N302" s="246"/>
      <c r="O302" s="282"/>
      <c r="P302" s="246"/>
      <c r="R302" s="246"/>
      <c r="S302" s="261"/>
      <c r="T302" s="341"/>
      <c r="U302" s="246"/>
      <c r="V302" s="311"/>
      <c r="W302" s="246"/>
      <c r="X302" s="282"/>
      <c r="Y302" s="246"/>
      <c r="Z302" s="261"/>
      <c r="AA302" s="341"/>
      <c r="AB302" s="246"/>
      <c r="AD302" s="246"/>
      <c r="AE302" s="584"/>
      <c r="AF302" s="246"/>
      <c r="AG302" s="261"/>
      <c r="AI302" s="246"/>
      <c r="AJ302" s="325" t="s">
        <v>707</v>
      </c>
      <c r="AK302" s="246"/>
      <c r="AM302" s="246"/>
      <c r="AN302" s="261"/>
      <c r="AO302" s="341"/>
      <c r="AP302" s="246"/>
      <c r="AQ302" s="281"/>
      <c r="AR302" s="246"/>
      <c r="AT302" s="254" t="str">
        <f t="shared" ref="AT302:AT303" si="60">IF(COUNTIF($AO$80:$AT$82, #REF!) &gt; 0, "X", "")</f>
        <v/>
      </c>
      <c r="AU302" s="269"/>
      <c r="AV302" s="269"/>
    </row>
    <row r="303">
      <c r="A303" s="270"/>
      <c r="B303" s="397" t="s">
        <v>708</v>
      </c>
      <c r="C303" s="398" t="s">
        <v>654</v>
      </c>
      <c r="D303" s="330"/>
      <c r="E303" s="259"/>
      <c r="F303" s="275"/>
      <c r="G303" s="246"/>
      <c r="H303" s="311" t="s">
        <v>441</v>
      </c>
      <c r="I303" s="246"/>
      <c r="J303" s="374" t="s">
        <v>446</v>
      </c>
      <c r="K303" s="246"/>
      <c r="L303" s="261"/>
      <c r="M303" s="341"/>
      <c r="N303" s="246"/>
      <c r="O303" s="311" t="s">
        <v>441</v>
      </c>
      <c r="P303" s="246"/>
      <c r="Q303" s="374" t="s">
        <v>446</v>
      </c>
      <c r="R303" s="246"/>
      <c r="S303" s="261"/>
      <c r="T303" s="341"/>
      <c r="U303" s="246"/>
      <c r="V303" s="365" t="s">
        <v>469</v>
      </c>
      <c r="W303" s="246"/>
      <c r="X303" s="311" t="s">
        <v>441</v>
      </c>
      <c r="Y303" s="246"/>
      <c r="Z303" s="261"/>
      <c r="AA303" s="341"/>
      <c r="AB303" s="246"/>
      <c r="AC303" s="311" t="s">
        <v>441</v>
      </c>
      <c r="AD303" s="246"/>
      <c r="AE303" s="311" t="s">
        <v>446</v>
      </c>
      <c r="AF303" s="246"/>
      <c r="AG303" s="261"/>
      <c r="AH303" s="275"/>
      <c r="AI303" s="246"/>
      <c r="AJ303" s="311" t="s">
        <v>441</v>
      </c>
      <c r="AK303" s="246"/>
      <c r="AL303" s="374" t="s">
        <v>446</v>
      </c>
      <c r="AM303" s="246"/>
      <c r="AN303" s="261"/>
      <c r="AO303" s="341"/>
      <c r="AP303" s="246"/>
      <c r="AQ303" s="365" t="s">
        <v>469</v>
      </c>
      <c r="AR303" s="246"/>
      <c r="AS303" s="374" t="s">
        <v>446</v>
      </c>
      <c r="AT303" s="254" t="str">
        <f t="shared" si="60"/>
        <v/>
      </c>
      <c r="AU303" s="269"/>
      <c r="AV303" s="269"/>
    </row>
    <row r="304">
      <c r="A304" s="94"/>
      <c r="B304" s="277" t="s">
        <v>709</v>
      </c>
      <c r="C304" s="278" t="s">
        <v>710</v>
      </c>
      <c r="D304" s="323"/>
      <c r="E304" s="259"/>
      <c r="F304" s="281"/>
      <c r="G304" s="246"/>
      <c r="H304" s="282"/>
      <c r="I304" s="246"/>
      <c r="J304" s="281"/>
      <c r="K304" s="246"/>
      <c r="L304" s="261"/>
      <c r="M304" s="286"/>
      <c r="N304" s="246"/>
      <c r="O304" s="281"/>
      <c r="P304" s="246"/>
      <c r="Q304" s="282"/>
      <c r="R304" s="246"/>
      <c r="S304" s="261"/>
      <c r="T304" s="286"/>
      <c r="U304" s="246"/>
      <c r="V304" s="282"/>
      <c r="W304" s="246"/>
      <c r="X304" s="282"/>
      <c r="Y304" s="246"/>
      <c r="Z304" s="261"/>
      <c r="AA304" s="286"/>
      <c r="AB304" s="246"/>
      <c r="AC304" s="282"/>
      <c r="AD304" s="246"/>
      <c r="AE304" s="282"/>
      <c r="AF304" s="246"/>
      <c r="AG304" s="261"/>
      <c r="AH304" s="281"/>
      <c r="AI304" s="246"/>
      <c r="AJ304" s="281"/>
      <c r="AK304" s="246"/>
      <c r="AL304" s="282"/>
      <c r="AM304" s="246"/>
      <c r="AN304" s="261"/>
      <c r="AO304" s="286"/>
      <c r="AP304" s="246"/>
      <c r="AQ304" s="281"/>
      <c r="AR304" s="246"/>
      <c r="AT304" s="254" t="str">
        <f>IF(COUNTIF($AO$80:$AT$82, AS305) &gt; 0, "X", "")</f>
        <v/>
      </c>
      <c r="AU304" s="269"/>
      <c r="AV304" s="269"/>
    </row>
    <row r="305">
      <c r="A305" s="94"/>
      <c r="B305" s="673" t="s">
        <v>944</v>
      </c>
      <c r="C305" s="272" t="s">
        <v>639</v>
      </c>
      <c r="D305" s="431"/>
      <c r="E305" s="259"/>
      <c r="F305" s="282"/>
      <c r="G305" s="246"/>
      <c r="H305" s="282"/>
      <c r="I305" s="246"/>
      <c r="J305" s="282"/>
      <c r="K305" s="246"/>
      <c r="L305" s="261"/>
      <c r="M305" s="341"/>
      <c r="N305" s="246"/>
      <c r="O305" s="282"/>
      <c r="P305" s="246"/>
      <c r="Q305" s="282"/>
      <c r="R305" s="246"/>
      <c r="S305" s="261"/>
      <c r="T305" s="341"/>
      <c r="U305" s="246"/>
      <c r="V305" s="290" t="s">
        <v>432</v>
      </c>
      <c r="W305" s="246"/>
      <c r="X305" s="282"/>
      <c r="Y305" s="246"/>
      <c r="Z305" s="261"/>
      <c r="AA305" s="341"/>
      <c r="AB305" s="246"/>
      <c r="AC305" s="282"/>
      <c r="AD305" s="246"/>
      <c r="AE305" s="282"/>
      <c r="AF305" s="246"/>
      <c r="AG305" s="261"/>
      <c r="AH305" s="282"/>
      <c r="AI305" s="246"/>
      <c r="AJ305" s="282"/>
      <c r="AK305" s="246"/>
      <c r="AL305" s="282"/>
      <c r="AM305" s="246"/>
      <c r="AN305" s="261"/>
      <c r="AO305" s="341"/>
      <c r="AP305" s="246"/>
      <c r="AQ305" s="282"/>
      <c r="AR305" s="246"/>
      <c r="AS305" s="282"/>
      <c r="AT305" s="430"/>
      <c r="AU305" s="269"/>
      <c r="AV305" s="269"/>
    </row>
    <row r="306">
      <c r="A306" s="94"/>
      <c r="B306" s="429" t="s">
        <v>714</v>
      </c>
      <c r="C306" s="430"/>
      <c r="D306" s="323"/>
      <c r="E306" s="259"/>
      <c r="F306" s="432"/>
      <c r="G306" s="432"/>
      <c r="H306" s="432"/>
      <c r="I306" s="432"/>
      <c r="J306" s="432"/>
      <c r="K306" s="432"/>
      <c r="L306" s="261"/>
      <c r="M306" s="432"/>
      <c r="N306" s="433"/>
      <c r="O306" s="432"/>
      <c r="P306" s="432"/>
      <c r="Q306" s="432"/>
      <c r="R306" s="432"/>
      <c r="S306" s="261"/>
      <c r="T306" s="432"/>
      <c r="U306" s="433"/>
      <c r="V306" s="432"/>
      <c r="W306" s="432"/>
      <c r="X306" s="432"/>
      <c r="Y306" s="432"/>
      <c r="Z306" s="261"/>
      <c r="AA306" s="432"/>
      <c r="AB306" s="433"/>
      <c r="AC306" s="432"/>
      <c r="AD306" s="432"/>
      <c r="AE306" s="432"/>
      <c r="AF306" s="432"/>
      <c r="AG306" s="261"/>
      <c r="AH306" s="432"/>
      <c r="AI306" s="433"/>
      <c r="AJ306" s="432"/>
      <c r="AK306" s="432"/>
      <c r="AL306" s="432"/>
      <c r="AM306" s="432"/>
      <c r="AN306" s="261"/>
      <c r="AO306" s="432"/>
      <c r="AP306" s="433"/>
      <c r="AQ306" s="432"/>
      <c r="AR306" s="432"/>
      <c r="AS306" s="432"/>
      <c r="AT306" s="254" t="str">
        <f t="shared" ref="AT306:AT311" si="61">IF(COUNTIF($AO$80:$AT$82, AS307) &gt; 0, "X", "")</f>
        <v/>
      </c>
      <c r="AU306" s="269"/>
      <c r="AV306" s="269"/>
    </row>
    <row r="307">
      <c r="A307" s="94"/>
      <c r="B307" s="401" t="s">
        <v>715</v>
      </c>
      <c r="C307" s="412" t="s">
        <v>716</v>
      </c>
      <c r="D307" s="323"/>
      <c r="E307" s="259"/>
      <c r="F307" s="206" t="str">
        <f>#REF!</f>
        <v>#REF!</v>
      </c>
      <c r="G307" s="246"/>
      <c r="H307" s="434" t="s">
        <v>403</v>
      </c>
      <c r="I307" s="246"/>
      <c r="J307" s="434"/>
      <c r="K307" s="246"/>
      <c r="L307" s="261"/>
      <c r="M307" s="434" t="str">
        <f>#REF!</f>
        <v>#REF!</v>
      </c>
      <c r="N307" s="246"/>
      <c r="O307" s="434" t="s">
        <v>403</v>
      </c>
      <c r="P307" s="246"/>
      <c r="Q307" s="434"/>
      <c r="R307" s="246"/>
      <c r="S307" s="261"/>
      <c r="T307" s="434"/>
      <c r="U307" s="246"/>
      <c r="V307" s="434" t="s">
        <v>403</v>
      </c>
      <c r="W307" s="246"/>
      <c r="X307" s="434"/>
      <c r="Y307" s="246"/>
      <c r="Z307" s="261"/>
      <c r="AA307" s="434" t="str">
        <f>#REF!</f>
        <v>#REF!</v>
      </c>
      <c r="AB307" s="246"/>
      <c r="AC307" s="434" t="s">
        <v>403</v>
      </c>
      <c r="AD307" s="246"/>
      <c r="AE307" s="434"/>
      <c r="AF307" s="246"/>
      <c r="AG307" s="261"/>
      <c r="AH307" s="434"/>
      <c r="AI307" s="246"/>
      <c r="AJ307" s="434" t="str">
        <f>#REF!</f>
        <v>#REF!</v>
      </c>
      <c r="AK307" s="246"/>
      <c r="AL307" s="434"/>
      <c r="AM307" s="246"/>
      <c r="AN307" s="261"/>
      <c r="AO307" s="434"/>
      <c r="AP307" s="246"/>
      <c r="AQ307" s="434" t="str">
        <f>#REF!</f>
        <v>#REF!</v>
      </c>
      <c r="AR307" s="246"/>
      <c r="AS307" s="434"/>
      <c r="AT307" s="254" t="str">
        <f t="shared" si="61"/>
        <v/>
      </c>
      <c r="AU307" s="269"/>
      <c r="AV307" s="269"/>
    </row>
    <row r="308">
      <c r="A308" s="94"/>
      <c r="B308" s="435" t="s">
        <v>717</v>
      </c>
      <c r="C308" s="415" t="s">
        <v>718</v>
      </c>
      <c r="D308" s="363"/>
      <c r="E308" s="259"/>
      <c r="F308" s="434"/>
      <c r="G308" s="246"/>
      <c r="H308" s="406" t="s">
        <v>442</v>
      </c>
      <c r="I308" s="246"/>
      <c r="J308" s="434"/>
      <c r="K308" s="246"/>
      <c r="L308" s="261"/>
      <c r="M308" s="434"/>
      <c r="N308" s="246"/>
      <c r="O308" s="406" t="s">
        <v>442</v>
      </c>
      <c r="P308" s="246"/>
      <c r="Q308" s="434"/>
      <c r="R308" s="246"/>
      <c r="S308" s="261"/>
      <c r="T308" s="434"/>
      <c r="U308" s="246"/>
      <c r="V308" s="406" t="s">
        <v>442</v>
      </c>
      <c r="W308" s="246"/>
      <c r="X308" s="434"/>
      <c r="Y308" s="246"/>
      <c r="Z308" s="261"/>
      <c r="AA308" s="434"/>
      <c r="AB308" s="246"/>
      <c r="AC308" s="406" t="s">
        <v>442</v>
      </c>
      <c r="AD308" s="246"/>
      <c r="AE308" s="434"/>
      <c r="AF308" s="246"/>
      <c r="AG308" s="261"/>
      <c r="AH308" s="434"/>
      <c r="AI308" s="246"/>
      <c r="AJ308" s="406" t="s">
        <v>442</v>
      </c>
      <c r="AK308" s="246"/>
      <c r="AL308" s="434"/>
      <c r="AM308" s="246"/>
      <c r="AN308" s="261"/>
      <c r="AO308" s="434"/>
      <c r="AP308" s="246"/>
      <c r="AQ308" s="406" t="s">
        <v>463</v>
      </c>
      <c r="AR308" s="246"/>
      <c r="AS308" s="434"/>
      <c r="AT308" s="254" t="str">
        <f t="shared" si="61"/>
        <v/>
      </c>
      <c r="AU308" s="269"/>
      <c r="AV308" s="269"/>
    </row>
    <row r="309">
      <c r="A309" s="94"/>
      <c r="B309" s="436" t="s">
        <v>719</v>
      </c>
      <c r="C309" s="437" t="s">
        <v>720</v>
      </c>
      <c r="D309" s="330"/>
      <c r="E309" s="259"/>
      <c r="F309" s="406"/>
      <c r="G309" s="246"/>
      <c r="H309" s="406" t="s">
        <v>463</v>
      </c>
      <c r="I309" s="246"/>
      <c r="J309" s="406"/>
      <c r="K309" s="246"/>
      <c r="L309" s="261"/>
      <c r="M309" s="406"/>
      <c r="N309" s="246"/>
      <c r="O309" s="406" t="s">
        <v>463</v>
      </c>
      <c r="P309" s="246"/>
      <c r="Q309" s="406"/>
      <c r="R309" s="246"/>
      <c r="S309" s="261"/>
      <c r="T309" s="406" t="s">
        <v>957</v>
      </c>
      <c r="U309" s="246"/>
      <c r="V309" s="620" t="s">
        <v>877</v>
      </c>
      <c r="W309" s="246"/>
      <c r="X309" s="406" t="s">
        <v>456</v>
      </c>
      <c r="Y309" s="246"/>
      <c r="Z309" s="261"/>
      <c r="AA309" s="406" t="s">
        <v>957</v>
      </c>
      <c r="AB309" s="246"/>
      <c r="AC309" s="406" t="s">
        <v>456</v>
      </c>
      <c r="AD309" s="246"/>
      <c r="AE309" s="406"/>
      <c r="AF309" s="246"/>
      <c r="AG309" s="261"/>
      <c r="AH309" s="406"/>
      <c r="AI309" s="246"/>
      <c r="AJ309" s="406" t="s">
        <v>847</v>
      </c>
      <c r="AK309" s="246"/>
      <c r="AL309" s="406"/>
      <c r="AM309" s="246"/>
      <c r="AN309" s="261"/>
      <c r="AO309" s="406"/>
      <c r="AP309" s="246"/>
      <c r="AQ309" s="406"/>
      <c r="AR309" s="246"/>
      <c r="AS309" s="406"/>
      <c r="AT309" s="254" t="str">
        <f t="shared" si="61"/>
        <v/>
      </c>
      <c r="AU309" s="269"/>
      <c r="AV309" s="269"/>
    </row>
    <row r="310">
      <c r="A310" s="94"/>
      <c r="B310" s="439" t="s">
        <v>721</v>
      </c>
      <c r="C310" s="440" t="s">
        <v>722</v>
      </c>
      <c r="D310" s="330"/>
      <c r="E310" s="259"/>
      <c r="F310" s="406"/>
      <c r="G310" s="246"/>
      <c r="H310" s="406" t="s">
        <v>454</v>
      </c>
      <c r="I310" s="246"/>
      <c r="J310" s="406"/>
      <c r="K310" s="246"/>
      <c r="L310" s="261"/>
      <c r="M310" s="406"/>
      <c r="N310" s="246"/>
      <c r="O310" s="406" t="s">
        <v>454</v>
      </c>
      <c r="P310" s="246"/>
      <c r="Q310" s="406"/>
      <c r="R310" s="246"/>
      <c r="S310" s="261"/>
      <c r="T310" s="406"/>
      <c r="U310" s="246"/>
      <c r="V310" s="406" t="s">
        <v>847</v>
      </c>
      <c r="W310" s="246"/>
      <c r="X310" s="406"/>
      <c r="Y310" s="246"/>
      <c r="Z310" s="261"/>
      <c r="AA310" s="406"/>
      <c r="AB310" s="246"/>
      <c r="AC310" s="406" t="s">
        <v>454</v>
      </c>
      <c r="AD310" s="246"/>
      <c r="AE310" s="406"/>
      <c r="AF310" s="246"/>
      <c r="AG310" s="261"/>
      <c r="AH310" s="406"/>
      <c r="AI310" s="246"/>
      <c r="AJ310" s="406" t="s">
        <v>454</v>
      </c>
      <c r="AK310" s="246"/>
      <c r="AL310" s="406"/>
      <c r="AM310" s="246"/>
      <c r="AN310" s="261"/>
      <c r="AO310" s="406"/>
      <c r="AP310" s="246"/>
      <c r="AQ310" s="406"/>
      <c r="AR310" s="246"/>
      <c r="AS310" s="406"/>
      <c r="AT310" s="254" t="str">
        <f t="shared" si="61"/>
        <v/>
      </c>
      <c r="AU310" s="269"/>
      <c r="AV310" s="269"/>
    </row>
    <row r="311">
      <c r="A311" s="94"/>
      <c r="B311" s="439" t="s">
        <v>723</v>
      </c>
      <c r="C311" s="440" t="s">
        <v>724</v>
      </c>
      <c r="D311" s="330"/>
      <c r="E311" s="259"/>
      <c r="F311" s="406"/>
      <c r="G311" s="246"/>
      <c r="H311" s="406" t="s">
        <v>460</v>
      </c>
      <c r="I311" s="246"/>
      <c r="J311" s="406"/>
      <c r="K311" s="246"/>
      <c r="L311" s="261"/>
      <c r="M311" s="406"/>
      <c r="N311" s="246"/>
      <c r="O311" s="406" t="s">
        <v>946</v>
      </c>
      <c r="P311" s="246"/>
      <c r="Q311" s="406"/>
      <c r="R311" s="246"/>
      <c r="S311" s="261"/>
      <c r="T311" s="406"/>
      <c r="U311" s="246"/>
      <c r="V311" s="406" t="s">
        <v>463</v>
      </c>
      <c r="W311" s="246"/>
      <c r="X311" s="406"/>
      <c r="Y311" s="246"/>
      <c r="Z311" s="261"/>
      <c r="AA311" s="406"/>
      <c r="AB311" s="246"/>
      <c r="AC311" s="406" t="s">
        <v>946</v>
      </c>
      <c r="AD311" s="246"/>
      <c r="AE311" s="406"/>
      <c r="AF311" s="246"/>
      <c r="AG311" s="261"/>
      <c r="AH311" s="406"/>
      <c r="AI311" s="246"/>
      <c r="AJ311" s="406" t="s">
        <v>463</v>
      </c>
      <c r="AK311" s="246"/>
      <c r="AL311" s="406"/>
      <c r="AM311" s="246"/>
      <c r="AN311" s="261"/>
      <c r="AO311" s="406"/>
      <c r="AP311" s="246"/>
      <c r="AQ311" s="406" t="s">
        <v>454</v>
      </c>
      <c r="AR311" s="246"/>
      <c r="AS311" s="406"/>
      <c r="AT311" s="254" t="str">
        <f t="shared" si="61"/>
        <v/>
      </c>
      <c r="AU311" s="269"/>
      <c r="AV311" s="269"/>
    </row>
    <row r="312">
      <c r="A312" s="94"/>
      <c r="B312" s="439" t="s">
        <v>725</v>
      </c>
      <c r="C312" s="442" t="s">
        <v>726</v>
      </c>
      <c r="D312" s="330"/>
      <c r="E312" s="259"/>
      <c r="F312" s="441"/>
      <c r="G312" s="246"/>
      <c r="H312" s="406" t="s">
        <v>946</v>
      </c>
      <c r="I312" s="246"/>
      <c r="J312" s="441"/>
      <c r="K312" s="246"/>
      <c r="L312" s="261"/>
      <c r="M312" s="441"/>
      <c r="N312" s="246"/>
      <c r="O312" s="406" t="s">
        <v>460</v>
      </c>
      <c r="P312" s="246"/>
      <c r="Q312" s="441"/>
      <c r="R312" s="246"/>
      <c r="S312" s="261"/>
      <c r="T312" s="441"/>
      <c r="U312" s="246"/>
      <c r="V312" s="406" t="s">
        <v>970</v>
      </c>
      <c r="W312" s="246"/>
      <c r="X312" s="441"/>
      <c r="Y312" s="246"/>
      <c r="Z312" s="261"/>
      <c r="AA312" s="441"/>
      <c r="AB312" s="246"/>
      <c r="AC312" s="406" t="s">
        <v>970</v>
      </c>
      <c r="AD312" s="246"/>
      <c r="AE312" s="441"/>
      <c r="AF312" s="246"/>
      <c r="AG312" s="261"/>
      <c r="AH312" s="441"/>
      <c r="AI312" s="246"/>
      <c r="AJ312" s="406" t="s">
        <v>970</v>
      </c>
      <c r="AK312" s="246"/>
      <c r="AL312" s="441"/>
      <c r="AM312" s="246"/>
      <c r="AN312" s="261"/>
      <c r="AO312" s="441"/>
      <c r="AP312" s="246"/>
      <c r="AQ312" s="406" t="s">
        <v>460</v>
      </c>
      <c r="AR312" s="246"/>
      <c r="AS312" s="441"/>
      <c r="AT312" s="254" t="str">
        <f>IF(COUNTIF($AO$80:$AT$82, #REF!) &gt; 0, "X", "")</f>
        <v/>
      </c>
      <c r="AU312" s="269"/>
      <c r="AV312" s="269"/>
    </row>
    <row r="313">
      <c r="A313" s="94"/>
      <c r="B313" s="447" t="s">
        <v>729</v>
      </c>
      <c r="C313" s="448" t="s">
        <v>730</v>
      </c>
      <c r="D313" s="330"/>
      <c r="E313" s="259"/>
      <c r="F313" s="406" t="s">
        <v>957</v>
      </c>
      <c r="G313" s="246"/>
      <c r="H313" s="406" t="s">
        <v>970</v>
      </c>
      <c r="I313" s="246"/>
      <c r="J313" s="406" t="s">
        <v>456</v>
      </c>
      <c r="K313" s="246"/>
      <c r="L313" s="261"/>
      <c r="M313" s="406" t="s">
        <v>957</v>
      </c>
      <c r="N313" s="246"/>
      <c r="O313" s="406" t="s">
        <v>970</v>
      </c>
      <c r="P313" s="246"/>
      <c r="Q313" s="406" t="s">
        <v>456</v>
      </c>
      <c r="R313" s="246"/>
      <c r="S313" s="261"/>
      <c r="T313" s="441"/>
      <c r="U313" s="246"/>
      <c r="V313" s="406"/>
      <c r="W313" s="246"/>
      <c r="X313" s="441"/>
      <c r="Y313" s="246"/>
      <c r="Z313" s="261"/>
      <c r="AA313" s="441"/>
      <c r="AB313" s="246"/>
      <c r="AC313" s="441"/>
      <c r="AD313" s="246"/>
      <c r="AE313" s="441"/>
      <c r="AF313" s="246"/>
      <c r="AG313" s="261"/>
      <c r="AH313" s="441"/>
      <c r="AI313" s="246"/>
      <c r="AJ313" s="406"/>
      <c r="AK313" s="246"/>
      <c r="AL313" s="441"/>
      <c r="AM313" s="246"/>
      <c r="AN313" s="261"/>
      <c r="AO313" s="441"/>
      <c r="AP313" s="246"/>
      <c r="AQ313" s="441"/>
      <c r="AR313" s="246"/>
      <c r="AS313" s="441"/>
      <c r="AT313" s="254" t="str">
        <f t="shared" ref="AT313:AT315" si="62">IF(COUNTIF($AO$80:$AT$82, AS313) &gt; 0, "X", "")</f>
        <v/>
      </c>
      <c r="AU313" s="269"/>
      <c r="AV313" s="269"/>
    </row>
    <row r="314">
      <c r="A314" s="94"/>
      <c r="B314" s="450" t="s">
        <v>731</v>
      </c>
      <c r="C314" s="451" t="s">
        <v>732</v>
      </c>
      <c r="D314" s="363"/>
      <c r="E314" s="259"/>
      <c r="F314" s="206"/>
      <c r="G314" s="246"/>
      <c r="H314" s="406" t="s">
        <v>847</v>
      </c>
      <c r="I314" s="246"/>
      <c r="J314" s="206"/>
      <c r="K314" s="246"/>
      <c r="L314" s="261"/>
      <c r="M314" s="206"/>
      <c r="N314" s="246"/>
      <c r="O314" s="406" t="s">
        <v>847</v>
      </c>
      <c r="P314" s="246"/>
      <c r="Q314" s="206"/>
      <c r="R314" s="246"/>
      <c r="S314" s="261"/>
      <c r="T314" s="206"/>
      <c r="U314" s="246"/>
      <c r="V314" s="406" t="s">
        <v>946</v>
      </c>
      <c r="W314" s="246"/>
      <c r="X314" s="206"/>
      <c r="Y314" s="246"/>
      <c r="Z314" s="261"/>
      <c r="AA314" s="206"/>
      <c r="AB314" s="246"/>
      <c r="AC314" s="206" t="s">
        <v>460</v>
      </c>
      <c r="AD314" s="246"/>
      <c r="AE314" s="206"/>
      <c r="AF314" s="246"/>
      <c r="AG314" s="261"/>
      <c r="AH314" s="206"/>
      <c r="AI314" s="246"/>
      <c r="AJ314" s="406" t="s">
        <v>946</v>
      </c>
      <c r="AK314" s="246"/>
      <c r="AL314" s="206"/>
      <c r="AM314" s="246"/>
      <c r="AN314" s="261"/>
      <c r="AO314" s="206"/>
      <c r="AP314" s="246"/>
      <c r="AQ314" s="206"/>
      <c r="AR314" s="246"/>
      <c r="AS314" s="206"/>
      <c r="AT314" s="254" t="str">
        <f t="shared" si="62"/>
        <v/>
      </c>
      <c r="AU314" s="269"/>
      <c r="AV314" s="269"/>
    </row>
    <row r="315">
      <c r="A315" s="94"/>
      <c r="B315" s="452" t="s">
        <v>733</v>
      </c>
      <c r="C315" s="453" t="s">
        <v>734</v>
      </c>
      <c r="D315" s="363"/>
      <c r="E315" s="259"/>
      <c r="F315" s="74"/>
      <c r="G315" s="246"/>
      <c r="H315" s="594" t="s">
        <v>395</v>
      </c>
      <c r="I315" s="246"/>
      <c r="J315" s="74"/>
      <c r="K315" s="246"/>
      <c r="L315" s="261"/>
      <c r="M315" s="74"/>
      <c r="N315" s="246"/>
      <c r="O315" s="594" t="s">
        <v>395</v>
      </c>
      <c r="P315" s="246"/>
      <c r="Q315" s="74"/>
      <c r="R315" s="246"/>
      <c r="S315" s="261"/>
      <c r="T315" s="74"/>
      <c r="U315" s="246"/>
      <c r="V315" s="594" t="s">
        <v>395</v>
      </c>
      <c r="W315" s="246"/>
      <c r="X315" s="74"/>
      <c r="Y315" s="246"/>
      <c r="Z315" s="261"/>
      <c r="AA315" s="74"/>
      <c r="AB315" s="246"/>
      <c r="AC315" s="594" t="s">
        <v>395</v>
      </c>
      <c r="AD315" s="246"/>
      <c r="AE315" s="74"/>
      <c r="AF315" s="246"/>
      <c r="AG315" s="261"/>
      <c r="AH315" s="74"/>
      <c r="AI315" s="246"/>
      <c r="AJ315" s="594" t="s">
        <v>395</v>
      </c>
      <c r="AK315" s="246"/>
      <c r="AL315" s="74"/>
      <c r="AM315" s="246"/>
      <c r="AN315" s="261"/>
      <c r="AO315" s="74"/>
      <c r="AP315" s="246"/>
      <c r="AQ315" s="434" t="s">
        <v>403</v>
      </c>
      <c r="AR315" s="246"/>
      <c r="AS315" s="406" t="s">
        <v>456</v>
      </c>
      <c r="AT315" s="254" t="str">
        <f t="shared" si="62"/>
        <v/>
      </c>
      <c r="AU315" s="269"/>
      <c r="AV315" s="269"/>
    </row>
    <row r="316">
      <c r="A316" s="94"/>
      <c r="B316" s="636"/>
      <c r="C316" s="637"/>
      <c r="D316" s="269"/>
      <c r="E316" s="638"/>
      <c r="F316" s="446"/>
      <c r="G316" s="246"/>
      <c r="H316" s="446"/>
      <c r="I316" s="246"/>
      <c r="J316" s="446"/>
      <c r="K316" s="246"/>
      <c r="L316" s="462"/>
      <c r="M316" s="446"/>
      <c r="N316" s="246"/>
      <c r="O316" s="446"/>
      <c r="P316" s="246"/>
      <c r="Q316" s="446"/>
      <c r="R316" s="246"/>
      <c r="S316" s="462"/>
      <c r="T316" s="446"/>
      <c r="U316" s="246"/>
      <c r="V316" s="446"/>
      <c r="W316" s="246"/>
      <c r="X316" s="446"/>
      <c r="Y316" s="246"/>
      <c r="Z316" s="462"/>
      <c r="AA316" s="446"/>
      <c r="AB316" s="246"/>
      <c r="AC316" s="446"/>
      <c r="AD316" s="246"/>
      <c r="AE316" s="446"/>
      <c r="AF316" s="246"/>
      <c r="AG316" s="462"/>
      <c r="AH316" s="446"/>
      <c r="AI316" s="246"/>
      <c r="AJ316" s="446"/>
      <c r="AK316" s="246"/>
      <c r="AL316" s="446"/>
      <c r="AM316" s="246"/>
      <c r="AN316" s="462"/>
      <c r="AO316" s="446"/>
      <c r="AP316" s="246"/>
      <c r="AQ316" s="446"/>
      <c r="AR316" s="246"/>
      <c r="AS316" s="446"/>
      <c r="AT316" s="254"/>
      <c r="AU316" s="269"/>
      <c r="AV316" s="269"/>
    </row>
    <row r="317">
      <c r="A317" s="94"/>
      <c r="B317" s="454" t="s">
        <v>735</v>
      </c>
      <c r="C317" s="455" t="s">
        <v>736</v>
      </c>
      <c r="D317" s="363"/>
      <c r="E317" s="259"/>
      <c r="F317" s="441"/>
      <c r="G317" s="246"/>
      <c r="H317" s="441"/>
      <c r="I317" s="246"/>
      <c r="J317" s="405" t="s">
        <v>462</v>
      </c>
      <c r="K317" s="246"/>
      <c r="L317" s="261"/>
      <c r="M317" s="441"/>
      <c r="N317" s="246"/>
      <c r="O317" s="441"/>
      <c r="P317" s="246"/>
      <c r="Q317" s="441"/>
      <c r="R317" s="246"/>
      <c r="S317" s="261"/>
      <c r="T317" s="441"/>
      <c r="U317" s="246"/>
      <c r="V317" s="441"/>
      <c r="W317" s="246"/>
      <c r="X317" s="405" t="s">
        <v>462</v>
      </c>
      <c r="Y317" s="246"/>
      <c r="Z317" s="261"/>
      <c r="AA317" s="441"/>
      <c r="AB317" s="246"/>
      <c r="AC317" s="441"/>
      <c r="AD317" s="246"/>
      <c r="AE317" s="441"/>
      <c r="AF317" s="246"/>
      <c r="AG317" s="261"/>
      <c r="AH317" s="441"/>
      <c r="AI317" s="246"/>
      <c r="AJ317" s="441"/>
      <c r="AK317" s="246"/>
      <c r="AL317" s="405" t="s">
        <v>462</v>
      </c>
      <c r="AM317" s="246"/>
      <c r="AN317" s="261"/>
      <c r="AO317" s="441"/>
      <c r="AP317" s="246"/>
      <c r="AQ317" s="441"/>
      <c r="AR317" s="246"/>
      <c r="AS317" s="441"/>
      <c r="AT317" s="254" t="str">
        <f t="shared" ref="AT317:AT319" si="63">IF(COUNTIF($AO$80:$AT$82, AS317) &gt; 0, "X", "")</f>
        <v/>
      </c>
      <c r="AU317" s="269"/>
      <c r="AV317" s="269"/>
    </row>
    <row r="318">
      <c r="A318" s="94"/>
      <c r="B318" s="454" t="s">
        <v>735</v>
      </c>
      <c r="C318" s="442" t="s">
        <v>736</v>
      </c>
      <c r="D318" s="363"/>
      <c r="E318" s="259"/>
      <c r="F318" s="456"/>
      <c r="G318" s="246"/>
      <c r="H318" s="456"/>
      <c r="I318" s="246"/>
      <c r="J318" s="456"/>
      <c r="K318" s="246"/>
      <c r="L318" s="261"/>
      <c r="M318" s="456"/>
      <c r="N318" s="246"/>
      <c r="O318" s="456"/>
      <c r="P318" s="246"/>
      <c r="Q318" s="456"/>
      <c r="R318" s="246"/>
      <c r="S318" s="261"/>
      <c r="T318" s="456"/>
      <c r="U318" s="246"/>
      <c r="V318" s="456"/>
      <c r="W318" s="246"/>
      <c r="X318" s="456"/>
      <c r="Y318" s="246"/>
      <c r="Z318" s="261"/>
      <c r="AA318" s="456"/>
      <c r="AB318" s="246"/>
      <c r="AC318" s="456"/>
      <c r="AD318" s="246"/>
      <c r="AE318" s="456"/>
      <c r="AF318" s="246"/>
      <c r="AG318" s="261"/>
      <c r="AH318" s="456"/>
      <c r="AI318" s="246"/>
      <c r="AJ318" s="456"/>
      <c r="AK318" s="246"/>
      <c r="AL318" s="456"/>
      <c r="AM318" s="246"/>
      <c r="AN318" s="261"/>
      <c r="AO318" s="456"/>
      <c r="AP318" s="246"/>
      <c r="AQ318" s="456"/>
      <c r="AR318" s="246"/>
      <c r="AS318" s="456"/>
      <c r="AT318" s="254" t="str">
        <f t="shared" si="63"/>
        <v/>
      </c>
      <c r="AU318" s="269"/>
      <c r="AV318" s="269"/>
    </row>
    <row r="319">
      <c r="A319" s="94"/>
      <c r="B319" s="457" t="s">
        <v>735</v>
      </c>
      <c r="C319" s="458" t="s">
        <v>737</v>
      </c>
      <c r="D319" s="363"/>
      <c r="E319" s="259"/>
      <c r="F319" s="406"/>
      <c r="G319" s="246"/>
      <c r="H319" s="406"/>
      <c r="I319" s="246"/>
      <c r="J319" s="406"/>
      <c r="K319" s="246"/>
      <c r="L319" s="261"/>
      <c r="M319" s="406"/>
      <c r="N319" s="246"/>
      <c r="O319" s="406"/>
      <c r="P319" s="246"/>
      <c r="Q319" s="406"/>
      <c r="R319" s="246"/>
      <c r="S319" s="261"/>
      <c r="T319" s="406"/>
      <c r="U319" s="246"/>
      <c r="V319" s="406"/>
      <c r="W319" s="246"/>
      <c r="X319" s="406"/>
      <c r="Y319" s="246"/>
      <c r="Z319" s="261"/>
      <c r="AA319" s="406"/>
      <c r="AB319" s="246"/>
      <c r="AC319" s="406"/>
      <c r="AD319" s="246"/>
      <c r="AE319" s="406"/>
      <c r="AF319" s="246"/>
      <c r="AG319" s="261"/>
      <c r="AH319" s="406"/>
      <c r="AI319" s="246"/>
      <c r="AJ319" s="406"/>
      <c r="AK319" s="246"/>
      <c r="AL319" s="406"/>
      <c r="AM319" s="246"/>
      <c r="AN319" s="261"/>
      <c r="AO319" s="406"/>
      <c r="AP319" s="246"/>
      <c r="AQ319" s="406"/>
      <c r="AR319" s="246"/>
      <c r="AS319" s="406"/>
      <c r="AT319" s="254" t="str">
        <f t="shared" si="63"/>
        <v/>
      </c>
      <c r="AU319" s="269"/>
      <c r="AV319" s="269"/>
    </row>
    <row r="320">
      <c r="A320" s="94"/>
      <c r="B320" s="459"/>
      <c r="C320" s="460" t="s">
        <v>738</v>
      </c>
      <c r="D320" s="363"/>
      <c r="E320" s="259"/>
      <c r="F320" s="461" t="s">
        <v>990</v>
      </c>
      <c r="G320" s="246"/>
      <c r="H320" s="132"/>
      <c r="I320" s="246"/>
      <c r="J320" s="132"/>
      <c r="K320" s="246"/>
      <c r="L320" s="462"/>
      <c r="M320" s="461" t="s">
        <v>524</v>
      </c>
      <c r="N320" s="246"/>
      <c r="O320" s="132"/>
      <c r="P320" s="246"/>
      <c r="Q320" s="132"/>
      <c r="R320" s="246"/>
      <c r="S320" s="462"/>
      <c r="T320" s="461" t="s">
        <v>991</v>
      </c>
      <c r="U320" s="246"/>
      <c r="V320" s="132"/>
      <c r="W320" s="246"/>
      <c r="X320" s="132"/>
      <c r="Y320" s="246"/>
      <c r="Z320" s="462"/>
      <c r="AA320" s="461" t="s">
        <v>992</v>
      </c>
      <c r="AB320" s="246"/>
      <c r="AC320" s="132"/>
      <c r="AD320" s="246"/>
      <c r="AE320" s="132"/>
      <c r="AF320" s="246"/>
      <c r="AG320" s="462"/>
      <c r="AH320" s="461" t="s">
        <v>993</v>
      </c>
      <c r="AI320" s="246"/>
      <c r="AJ320" s="132"/>
      <c r="AK320" s="246"/>
      <c r="AL320" s="132"/>
      <c r="AM320" s="246"/>
      <c r="AN320" s="462"/>
      <c r="AO320" s="461" t="s">
        <v>994</v>
      </c>
      <c r="AP320" s="246"/>
      <c r="AQ320" s="132"/>
      <c r="AR320" s="246"/>
      <c r="AS320" s="132"/>
      <c r="AT320" s="460"/>
      <c r="AU320" s="269"/>
      <c r="AV320" s="269"/>
    </row>
    <row r="321">
      <c r="A321" s="270"/>
      <c r="B321" s="459"/>
      <c r="C321" s="460" t="s">
        <v>738</v>
      </c>
      <c r="D321" s="363"/>
      <c r="E321" s="259"/>
      <c r="F321" s="132"/>
      <c r="G321" s="246"/>
      <c r="H321" s="132"/>
      <c r="I321" s="246"/>
      <c r="J321" s="132"/>
      <c r="K321" s="246"/>
      <c r="L321" s="462"/>
      <c r="M321" s="132"/>
      <c r="N321" s="246"/>
      <c r="O321" s="132"/>
      <c r="P321" s="246"/>
      <c r="Q321" s="132"/>
      <c r="R321" s="246"/>
      <c r="S321" s="462"/>
      <c r="T321" s="132"/>
      <c r="U321" s="246"/>
      <c r="V321" s="132"/>
      <c r="W321" s="246"/>
      <c r="X321" s="132"/>
      <c r="Y321" s="246"/>
      <c r="Z321" s="462"/>
      <c r="AA321" s="132"/>
      <c r="AB321" s="246"/>
      <c r="AC321" s="132"/>
      <c r="AD321" s="246"/>
      <c r="AE321" s="132"/>
      <c r="AF321" s="246"/>
      <c r="AG321" s="462"/>
      <c r="AH321" s="132"/>
      <c r="AI321" s="246"/>
      <c r="AJ321" s="132"/>
      <c r="AK321" s="246"/>
      <c r="AL321" s="132"/>
      <c r="AM321" s="246"/>
      <c r="AN321" s="462"/>
      <c r="AO321" s="461"/>
      <c r="AP321" s="246"/>
      <c r="AQ321" s="132"/>
      <c r="AR321" s="246"/>
      <c r="AS321" s="132"/>
      <c r="AT321" s="460"/>
      <c r="AU321" s="236"/>
      <c r="AV321" s="236"/>
    </row>
    <row r="322">
      <c r="A322" s="236"/>
      <c r="B322" s="459"/>
      <c r="C322" s="460" t="s">
        <v>738</v>
      </c>
      <c r="D322" s="363"/>
      <c r="E322" s="259"/>
      <c r="F322" s="132"/>
      <c r="G322" s="246"/>
      <c r="H322" s="132"/>
      <c r="I322" s="246"/>
      <c r="J322" s="132"/>
      <c r="K322" s="246"/>
      <c r="L322" s="462"/>
      <c r="M322" s="132"/>
      <c r="N322" s="246"/>
      <c r="O322" s="132"/>
      <c r="P322" s="246"/>
      <c r="Q322" s="132"/>
      <c r="R322" s="246"/>
      <c r="S322" s="462"/>
      <c r="T322" s="461" t="s">
        <v>544</v>
      </c>
      <c r="U322" s="246"/>
      <c r="V322" s="132"/>
      <c r="W322" s="246"/>
      <c r="X322" s="132"/>
      <c r="Y322" s="246"/>
      <c r="Z322" s="462"/>
      <c r="AA322" s="461"/>
      <c r="AB322" s="246"/>
      <c r="AC322" s="132"/>
      <c r="AD322" s="246"/>
      <c r="AE322" s="132"/>
      <c r="AF322" s="246"/>
      <c r="AG322" s="462"/>
      <c r="AH322" s="461"/>
      <c r="AI322" s="246"/>
      <c r="AJ322" s="132"/>
      <c r="AK322" s="246"/>
      <c r="AL322" s="132"/>
      <c r="AM322" s="246"/>
      <c r="AN322" s="462"/>
      <c r="AO322" s="461" t="s">
        <v>552</v>
      </c>
      <c r="AP322" s="246"/>
      <c r="AQ322" s="132"/>
      <c r="AR322" s="246"/>
      <c r="AS322" s="132"/>
      <c r="AT322" s="460"/>
      <c r="AU322" s="236"/>
      <c r="AV322" s="236"/>
    </row>
    <row r="323">
      <c r="A323" s="182"/>
      <c r="B323" s="183" t="s">
        <v>808</v>
      </c>
      <c r="C323" s="184" t="s">
        <v>605</v>
      </c>
      <c r="D323" s="185" t="s">
        <v>486</v>
      </c>
      <c r="E323" s="186"/>
      <c r="F323" s="185" t="s">
        <v>487</v>
      </c>
      <c r="M323" s="185" t="s">
        <v>488</v>
      </c>
      <c r="T323" s="185" t="s">
        <v>489</v>
      </c>
      <c r="AA323" s="185" t="s">
        <v>490</v>
      </c>
      <c r="AH323" s="185" t="s">
        <v>491</v>
      </c>
      <c r="AO323" s="185" t="s">
        <v>492</v>
      </c>
      <c r="AU323" s="182"/>
      <c r="AV323" s="182"/>
    </row>
    <row r="324">
      <c r="A324" s="182"/>
      <c r="B324" s="187"/>
      <c r="C324" s="187"/>
      <c r="D324" s="188">
        <v>26.0</v>
      </c>
      <c r="E324" s="189"/>
      <c r="F324" s="188">
        <f>D324+1</f>
        <v>27</v>
      </c>
      <c r="M324" s="188">
        <f>F324+1</f>
        <v>28</v>
      </c>
      <c r="T324" s="188">
        <f>M324+1</f>
        <v>29</v>
      </c>
      <c r="AA324" s="188">
        <f>T324+1</f>
        <v>30</v>
      </c>
      <c r="AH324" s="188">
        <v>1.0</v>
      </c>
      <c r="AO324" s="188">
        <f>AH324+1</f>
        <v>2</v>
      </c>
      <c r="AU324" s="182"/>
      <c r="AV324" s="182"/>
    </row>
    <row r="325">
      <c r="A325" s="182"/>
      <c r="B325" s="193" t="s">
        <v>608</v>
      </c>
      <c r="C325" s="193" t="s">
        <v>609</v>
      </c>
      <c r="D325" s="187"/>
      <c r="E325" s="189"/>
      <c r="F325" s="194" t="s">
        <v>610</v>
      </c>
      <c r="G325" s="195"/>
      <c r="H325" s="193" t="s">
        <v>611</v>
      </c>
      <c r="J325" s="194" t="s">
        <v>612</v>
      </c>
      <c r="M325" s="194" t="s">
        <v>610</v>
      </c>
      <c r="N325" s="195"/>
      <c r="O325" s="193" t="s">
        <v>611</v>
      </c>
      <c r="P325" s="195"/>
      <c r="Q325" s="194" t="s">
        <v>612</v>
      </c>
      <c r="S325" s="193"/>
      <c r="T325" s="194" t="s">
        <v>610</v>
      </c>
      <c r="U325" s="195"/>
      <c r="V325" s="193" t="s">
        <v>611</v>
      </c>
      <c r="W325" s="195"/>
      <c r="X325" s="194" t="s">
        <v>612</v>
      </c>
      <c r="Z325" s="193"/>
      <c r="AA325" s="194" t="s">
        <v>610</v>
      </c>
      <c r="AB325" s="195"/>
      <c r="AC325" s="193" t="s">
        <v>611</v>
      </c>
      <c r="AD325" s="195"/>
      <c r="AE325" s="194" t="s">
        <v>612</v>
      </c>
      <c r="AG325" s="193"/>
      <c r="AH325" s="194" t="s">
        <v>610</v>
      </c>
      <c r="AI325" s="195"/>
      <c r="AJ325" s="193" t="s">
        <v>611</v>
      </c>
      <c r="AK325" s="195"/>
      <c r="AL325" s="194" t="s">
        <v>612</v>
      </c>
      <c r="AN325" s="193"/>
      <c r="AO325" s="194" t="s">
        <v>610</v>
      </c>
      <c r="AP325" s="195"/>
      <c r="AQ325" s="193" t="s">
        <v>611</v>
      </c>
      <c r="AR325" s="195"/>
      <c r="AS325" s="194" t="s">
        <v>612</v>
      </c>
      <c r="AU325" s="182"/>
      <c r="AV325" s="182"/>
    </row>
    <row r="326">
      <c r="A326" s="199"/>
      <c r="B326" s="200" t="s">
        <v>620</v>
      </c>
      <c r="C326" s="201"/>
      <c r="D326" s="201"/>
      <c r="E326" s="202"/>
      <c r="F326" s="203"/>
      <c r="G326" s="204"/>
      <c r="H326" s="203"/>
      <c r="I326" s="204"/>
      <c r="J326" s="203"/>
      <c r="K326" s="204"/>
      <c r="L326" s="205"/>
      <c r="M326" s="203"/>
      <c r="N326" s="204"/>
      <c r="O326" s="203"/>
      <c r="P326" s="204"/>
      <c r="Q326" s="203"/>
      <c r="R326" s="204"/>
      <c r="S326" s="205"/>
      <c r="T326" s="203"/>
      <c r="U326" s="204"/>
      <c r="V326" s="203"/>
      <c r="W326" s="204"/>
      <c r="X326" s="203"/>
      <c r="Y326" s="204"/>
      <c r="Z326" s="205"/>
      <c r="AA326" s="203"/>
      <c r="AB326" s="204"/>
      <c r="AC326" s="203"/>
      <c r="AD326" s="204"/>
      <c r="AE326" s="203"/>
      <c r="AF326" s="204"/>
      <c r="AG326" s="205"/>
      <c r="AH326" s="203"/>
      <c r="AI326" s="204"/>
      <c r="AJ326" s="203"/>
      <c r="AK326" s="204"/>
      <c r="AL326" s="682" t="s">
        <v>827</v>
      </c>
      <c r="AM326" s="204"/>
      <c r="AN326" s="205"/>
      <c r="AO326" s="203"/>
      <c r="AP326" s="204"/>
      <c r="AQ326" s="203"/>
      <c r="AR326" s="204"/>
      <c r="AS326" s="203"/>
      <c r="AT326" s="204"/>
      <c r="AU326" s="199"/>
      <c r="AV326" s="199"/>
    </row>
    <row r="327">
      <c r="A327" s="234"/>
      <c r="B327" s="235" t="s">
        <v>608</v>
      </c>
      <c r="C327" s="195" t="s">
        <v>609</v>
      </c>
      <c r="D327" s="236"/>
      <c r="E327" s="237"/>
      <c r="F327" s="238"/>
      <c r="G327" s="182"/>
      <c r="H327" s="238"/>
      <c r="I327" s="239"/>
      <c r="J327" s="238"/>
      <c r="K327" s="239"/>
      <c r="L327" s="237"/>
      <c r="M327" s="238"/>
      <c r="N327" s="182"/>
      <c r="O327" s="238"/>
      <c r="P327" s="239"/>
      <c r="Q327" s="238"/>
      <c r="R327" s="239"/>
      <c r="S327" s="237"/>
      <c r="T327" s="238"/>
      <c r="U327" s="182"/>
      <c r="V327" s="238"/>
      <c r="W327" s="239"/>
      <c r="X327" s="238"/>
      <c r="Y327" s="239"/>
      <c r="Z327" s="237"/>
      <c r="AA327" s="238"/>
      <c r="AB327" s="182"/>
      <c r="AC327" s="238"/>
      <c r="AD327" s="239"/>
      <c r="AE327" s="238"/>
      <c r="AF327" s="239"/>
      <c r="AG327" s="237"/>
      <c r="AH327" s="238"/>
      <c r="AI327" s="182"/>
      <c r="AJ327" s="238"/>
      <c r="AK327" s="239"/>
      <c r="AL327" s="238"/>
      <c r="AM327" s="239"/>
      <c r="AN327" s="237"/>
      <c r="AO327" s="238"/>
      <c r="AP327" s="182"/>
      <c r="AQ327" s="238"/>
      <c r="AR327" s="239"/>
      <c r="AS327" s="238"/>
      <c r="AT327" s="239"/>
      <c r="AU327" s="236"/>
      <c r="AV327" s="236"/>
    </row>
    <row r="328">
      <c r="A328" s="240"/>
      <c r="B328" s="241" t="s">
        <v>638</v>
      </c>
      <c r="C328" s="242" t="s">
        <v>639</v>
      </c>
      <c r="D328" s="243"/>
      <c r="E328" s="244"/>
      <c r="F328" s="371"/>
      <c r="G328" s="246"/>
      <c r="H328" s="274"/>
      <c r="I328" s="246"/>
      <c r="J328" s="281"/>
      <c r="K328" s="246"/>
      <c r="L328" s="249"/>
      <c r="M328" s="250"/>
      <c r="N328" s="246"/>
      <c r="O328" s="282"/>
      <c r="P328" s="246"/>
      <c r="R328" s="246"/>
      <c r="S328" s="249"/>
      <c r="T328" s="250"/>
      <c r="U328" s="246"/>
      <c r="V328" s="274" t="s">
        <v>414</v>
      </c>
      <c r="W328" s="246"/>
      <c r="Y328" s="246"/>
      <c r="Z328" s="249"/>
      <c r="AA328" s="250"/>
      <c r="AB328" s="246"/>
      <c r="AC328" s="282"/>
      <c r="AD328" s="246"/>
      <c r="AF328" s="246"/>
      <c r="AG328" s="249"/>
      <c r="AH328" s="371"/>
      <c r="AI328" s="246"/>
      <c r="AJ328" s="282"/>
      <c r="AK328" s="246"/>
      <c r="AM328" s="246"/>
      <c r="AN328" s="249"/>
      <c r="AO328" s="250"/>
      <c r="AP328" s="246"/>
      <c r="AQ328" s="276"/>
      <c r="AR328" s="246"/>
      <c r="AS328" s="252"/>
      <c r="AT328" s="254" t="str">
        <f>IF(COUNTIF($AO$80:$AT$82, #REF!) &gt; 0, "X", "")</f>
        <v/>
      </c>
      <c r="AU328" s="255"/>
      <c r="AV328" s="255"/>
    </row>
    <row r="329">
      <c r="A329" s="94"/>
      <c r="B329" s="256" t="s">
        <v>638</v>
      </c>
      <c r="C329" s="257" t="s">
        <v>639</v>
      </c>
      <c r="D329" s="258"/>
      <c r="E329" s="259"/>
      <c r="F329" s="371"/>
      <c r="G329" s="246"/>
      <c r="I329" s="246"/>
      <c r="J329" s="274" t="s">
        <v>414</v>
      </c>
      <c r="K329" s="246"/>
      <c r="L329" s="249"/>
      <c r="M329" s="250"/>
      <c r="N329" s="246"/>
      <c r="O329" s="282"/>
      <c r="P329" s="246"/>
      <c r="Q329" s="274" t="s">
        <v>414</v>
      </c>
      <c r="R329" s="246"/>
      <c r="S329" s="249"/>
      <c r="T329" s="250"/>
      <c r="U329" s="246"/>
      <c r="V329" s="282"/>
      <c r="W329" s="246"/>
      <c r="Y329" s="246"/>
      <c r="Z329" s="249"/>
      <c r="AA329" s="250"/>
      <c r="AB329" s="246"/>
      <c r="AD329" s="246"/>
      <c r="AE329" s="274" t="s">
        <v>414</v>
      </c>
      <c r="AF329" s="246"/>
      <c r="AG329" s="249"/>
      <c r="AH329" s="371"/>
      <c r="AI329" s="246"/>
      <c r="AJ329" s="282"/>
      <c r="AK329" s="246"/>
      <c r="AM329" s="246"/>
      <c r="AN329" s="249"/>
      <c r="AO329" s="250"/>
      <c r="AP329" s="246"/>
      <c r="AQ329" s="276"/>
      <c r="AR329" s="246"/>
      <c r="AS329" s="252"/>
      <c r="AT329" s="254" t="str">
        <f>IF(COUNTIF($AO$80:$AT$82, AS335) &gt; 0, "X", "")</f>
        <v/>
      </c>
      <c r="AU329" s="269"/>
      <c r="AV329" s="269"/>
    </row>
    <row r="330">
      <c r="A330" s="270"/>
      <c r="B330" s="271" t="s">
        <v>642</v>
      </c>
      <c r="C330" s="272" t="s">
        <v>639</v>
      </c>
      <c r="D330" s="258"/>
      <c r="E330" s="259"/>
      <c r="F330" s="426"/>
      <c r="G330" s="246"/>
      <c r="H330" s="426"/>
      <c r="I330" s="246"/>
      <c r="J330" s="265"/>
      <c r="K330" s="246"/>
      <c r="L330" s="261"/>
      <c r="M330" s="262"/>
      <c r="N330" s="246"/>
      <c r="P330" s="246"/>
      <c r="R330" s="246"/>
      <c r="S330" s="261"/>
      <c r="T330" s="262"/>
      <c r="U330" s="246"/>
      <c r="W330" s="246"/>
      <c r="X330" s="265"/>
      <c r="Y330" s="246"/>
      <c r="Z330" s="261"/>
      <c r="AA330" s="262"/>
      <c r="AB330" s="246"/>
      <c r="AC330" s="265"/>
      <c r="AD330" s="246"/>
      <c r="AE330" s="282"/>
      <c r="AF330" s="246"/>
      <c r="AG330" s="261"/>
      <c r="AH330" s="426"/>
      <c r="AI330" s="246"/>
      <c r="AK330" s="246"/>
      <c r="AL330" s="289"/>
      <c r="AM330" s="246"/>
      <c r="AN330" s="261"/>
      <c r="AO330" s="262"/>
      <c r="AP330" s="246"/>
      <c r="AR330" s="246"/>
      <c r="AS330" s="598"/>
      <c r="AT330" s="254" t="str">
        <f>IF(COUNTIF($AO$80:$AT$82, #REF!) &gt; 0, "X", "")</f>
        <v/>
      </c>
      <c r="AU330" s="269"/>
      <c r="AV330" s="269"/>
    </row>
    <row r="331">
      <c r="A331" s="234"/>
      <c r="B331" s="277" t="s">
        <v>644</v>
      </c>
      <c r="C331" s="278" t="s">
        <v>645</v>
      </c>
      <c r="D331" s="243"/>
      <c r="E331" s="259"/>
      <c r="F331" s="281"/>
      <c r="G331" s="246"/>
      <c r="I331" s="246"/>
      <c r="J331" s="280" t="s">
        <v>400</v>
      </c>
      <c r="K331" s="246"/>
      <c r="L331" s="261"/>
      <c r="M331" s="250"/>
      <c r="N331" s="246"/>
      <c r="P331" s="246"/>
      <c r="Q331" s="282"/>
      <c r="R331" s="246"/>
      <c r="S331" s="261"/>
      <c r="T331" s="250"/>
      <c r="U331" s="246"/>
      <c r="V331" s="281"/>
      <c r="W331" s="246"/>
      <c r="X331" s="280" t="s">
        <v>400</v>
      </c>
      <c r="Y331" s="246"/>
      <c r="Z331" s="261"/>
      <c r="AA331" s="250"/>
      <c r="AB331" s="246"/>
      <c r="AD331" s="246"/>
      <c r="AE331" s="280" t="s">
        <v>400</v>
      </c>
      <c r="AF331" s="246"/>
      <c r="AG331" s="261"/>
      <c r="AH331" s="282"/>
      <c r="AI331" s="246"/>
      <c r="AJ331" s="280" t="s">
        <v>400</v>
      </c>
      <c r="AK331" s="246"/>
      <c r="AL331" s="281"/>
      <c r="AM331" s="246"/>
      <c r="AN331" s="261"/>
      <c r="AO331" s="250"/>
      <c r="AP331" s="246"/>
      <c r="AQ331" s="276"/>
      <c r="AR331" s="246"/>
      <c r="AS331" s="276"/>
      <c r="AT331" s="254" t="str">
        <f t="shared" ref="AT331:AT333" si="64">IF(COUNTIF($AO$80:$AT$82, AS332) &gt; 0, "X", "")</f>
        <v/>
      </c>
      <c r="AU331" s="269"/>
      <c r="AV331" s="269"/>
    </row>
    <row r="332">
      <c r="A332" s="94"/>
      <c r="B332" s="256" t="s">
        <v>757</v>
      </c>
      <c r="C332" s="257" t="s">
        <v>645</v>
      </c>
      <c r="D332" s="243"/>
      <c r="E332" s="259"/>
      <c r="F332" s="371"/>
      <c r="G332" s="246"/>
      <c r="H332" s="371"/>
      <c r="I332" s="246"/>
      <c r="J332" s="371"/>
      <c r="K332" s="246"/>
      <c r="L332" s="261"/>
      <c r="M332" s="250"/>
      <c r="N332" s="246"/>
      <c r="O332" s="281"/>
      <c r="P332" s="246"/>
      <c r="Q332" s="280" t="s">
        <v>400</v>
      </c>
      <c r="R332" s="246"/>
      <c r="S332" s="261"/>
      <c r="T332" s="250"/>
      <c r="U332" s="246"/>
      <c r="V332" s="371"/>
      <c r="W332" s="246"/>
      <c r="X332" s="371"/>
      <c r="Y332" s="246"/>
      <c r="Z332" s="261"/>
      <c r="AA332" s="250"/>
      <c r="AB332" s="246"/>
      <c r="AC332" s="282"/>
      <c r="AD332" s="246"/>
      <c r="AE332" s="282"/>
      <c r="AF332" s="246"/>
      <c r="AG332" s="261"/>
      <c r="AH332" s="371"/>
      <c r="AI332" s="246"/>
      <c r="AJ332" s="371"/>
      <c r="AK332" s="246"/>
      <c r="AL332" s="371"/>
      <c r="AM332" s="246"/>
      <c r="AN332" s="261"/>
      <c r="AO332" s="250"/>
      <c r="AP332" s="246"/>
      <c r="AQ332" s="252"/>
      <c r="AR332" s="246"/>
      <c r="AS332" s="252"/>
      <c r="AT332" s="254" t="str">
        <f t="shared" si="64"/>
        <v/>
      </c>
      <c r="AU332" s="269"/>
      <c r="AV332" s="269"/>
    </row>
    <row r="333">
      <c r="A333" s="94"/>
      <c r="B333" s="284" t="s">
        <v>646</v>
      </c>
      <c r="C333" s="285" t="s">
        <v>647</v>
      </c>
      <c r="D333" s="243"/>
      <c r="E333" s="259"/>
      <c r="F333" s="251" t="s">
        <v>427</v>
      </c>
      <c r="G333" s="246"/>
      <c r="H333" s="399"/>
      <c r="I333" s="246"/>
      <c r="J333" s="399"/>
      <c r="K333" s="246"/>
      <c r="L333" s="261"/>
      <c r="M333" s="324"/>
      <c r="N333" s="246"/>
      <c r="P333" s="246"/>
      <c r="Q333" s="251" t="s">
        <v>427</v>
      </c>
      <c r="R333" s="246"/>
      <c r="S333" s="261"/>
      <c r="T333" s="324"/>
      <c r="U333" s="246"/>
      <c r="V333" s="251" t="s">
        <v>602</v>
      </c>
      <c r="W333" s="246"/>
      <c r="X333" s="251" t="s">
        <v>427</v>
      </c>
      <c r="Y333" s="246"/>
      <c r="Z333" s="261"/>
      <c r="AA333" s="324"/>
      <c r="AB333" s="246"/>
      <c r="AC333" s="282"/>
      <c r="AD333" s="246"/>
      <c r="AE333" s="251" t="s">
        <v>427</v>
      </c>
      <c r="AF333" s="246"/>
      <c r="AG333" s="261"/>
      <c r="AH333" s="251" t="s">
        <v>427</v>
      </c>
      <c r="AI333" s="246"/>
      <c r="AJ333" s="282"/>
      <c r="AK333" s="246"/>
      <c r="AL333" s="282"/>
      <c r="AM333" s="246"/>
      <c r="AN333" s="261"/>
      <c r="AO333" s="324"/>
      <c r="AP333" s="246"/>
      <c r="AQ333" s="252"/>
      <c r="AR333" s="246"/>
      <c r="AS333" s="252"/>
      <c r="AT333" s="254" t="str">
        <f t="shared" si="64"/>
        <v/>
      </c>
      <c r="AU333" s="269"/>
      <c r="AV333" s="269"/>
    </row>
    <row r="334">
      <c r="A334" s="270"/>
      <c r="B334" s="291" t="s">
        <v>648</v>
      </c>
      <c r="C334" s="292" t="s">
        <v>649</v>
      </c>
      <c r="D334" s="473" t="s">
        <v>758</v>
      </c>
      <c r="E334" s="259"/>
      <c r="F334" s="294"/>
      <c r="G334" s="246"/>
      <c r="H334" s="293" t="s">
        <v>418</v>
      </c>
      <c r="I334" s="246"/>
      <c r="J334" s="294"/>
      <c r="K334" s="246"/>
      <c r="L334" s="261"/>
      <c r="M334" s="250"/>
      <c r="N334" s="246"/>
      <c r="O334" s="293" t="s">
        <v>418</v>
      </c>
      <c r="P334" s="246"/>
      <c r="Q334" s="294"/>
      <c r="R334" s="246"/>
      <c r="S334" s="261"/>
      <c r="T334" s="250"/>
      <c r="U334" s="246"/>
      <c r="V334" s="294"/>
      <c r="W334" s="246"/>
      <c r="X334" s="293" t="s">
        <v>418</v>
      </c>
      <c r="Y334" s="246"/>
      <c r="Z334" s="261"/>
      <c r="AA334" s="250"/>
      <c r="AB334" s="246"/>
      <c r="AC334" s="294"/>
      <c r="AD334" s="246"/>
      <c r="AE334" s="293" t="s">
        <v>418</v>
      </c>
      <c r="AF334" s="246"/>
      <c r="AG334" s="261"/>
      <c r="AH334" s="294"/>
      <c r="AI334" s="246"/>
      <c r="AJ334" s="293" t="s">
        <v>418</v>
      </c>
      <c r="AK334" s="246"/>
      <c r="AL334" s="294"/>
      <c r="AM334" s="246"/>
      <c r="AN334" s="261"/>
      <c r="AO334" s="250"/>
      <c r="AP334" s="246"/>
      <c r="AQ334" s="294"/>
      <c r="AR334" s="246"/>
      <c r="AS334" s="294"/>
      <c r="AT334" s="254" t="str">
        <f t="shared" ref="AT334:AT335" si="65">IF(COUNTIF($AO$80:$AT$82, #REF!) &gt; 0, "X", "")</f>
        <v/>
      </c>
      <c r="AU334" s="269"/>
      <c r="AV334" s="269"/>
    </row>
    <row r="335">
      <c r="A335" s="94"/>
      <c r="B335" s="296" t="s">
        <v>650</v>
      </c>
      <c r="C335" s="297" t="s">
        <v>649</v>
      </c>
      <c r="D335" s="474" t="s">
        <v>426</v>
      </c>
      <c r="E335" s="259"/>
      <c r="F335" s="299"/>
      <c r="G335" s="298"/>
      <c r="H335" s="299"/>
      <c r="I335" s="298"/>
      <c r="J335" s="299"/>
      <c r="K335" s="298"/>
      <c r="L335" s="261"/>
      <c r="M335" s="250"/>
      <c r="N335" s="298"/>
      <c r="O335" s="299"/>
      <c r="P335" s="298"/>
      <c r="Q335" s="299"/>
      <c r="R335" s="298"/>
      <c r="S335" s="261"/>
      <c r="T335" s="250"/>
      <c r="U335" s="298"/>
      <c r="V335" s="299"/>
      <c r="W335" s="298"/>
      <c r="X335" s="299"/>
      <c r="Y335" s="298"/>
      <c r="Z335" s="261"/>
      <c r="AA335" s="250"/>
      <c r="AB335" s="298"/>
      <c r="AC335" s="299"/>
      <c r="AD335" s="298"/>
      <c r="AE335" s="299"/>
      <c r="AF335" s="298"/>
      <c r="AG335" s="261"/>
      <c r="AH335" s="299"/>
      <c r="AI335" s="298"/>
      <c r="AJ335" s="299"/>
      <c r="AK335" s="298"/>
      <c r="AL335" s="299"/>
      <c r="AM335" s="298"/>
      <c r="AN335" s="261"/>
      <c r="AO335" s="250"/>
      <c r="AP335" s="298"/>
      <c r="AQ335" s="300"/>
      <c r="AR335" s="298"/>
      <c r="AS335" s="300"/>
      <c r="AT335" s="254" t="str">
        <f t="shared" si="65"/>
        <v/>
      </c>
      <c r="AU335" s="269"/>
      <c r="AV335" s="269"/>
    </row>
    <row r="336">
      <c r="A336" s="94"/>
      <c r="B336" s="301" t="s">
        <v>651</v>
      </c>
      <c r="C336" s="302" t="s">
        <v>652</v>
      </c>
      <c r="D336" s="251" t="s">
        <v>432</v>
      </c>
      <c r="E336" s="259"/>
      <c r="F336" s="303"/>
      <c r="G336" s="298"/>
      <c r="H336" s="303"/>
      <c r="I336" s="298"/>
      <c r="J336" s="303"/>
      <c r="K336" s="298"/>
      <c r="L336" s="261"/>
      <c r="M336" s="250"/>
      <c r="N336" s="298"/>
      <c r="O336" s="303"/>
      <c r="P336" s="298"/>
      <c r="Q336" s="303"/>
      <c r="R336" s="298"/>
      <c r="S336" s="261"/>
      <c r="T336" s="250"/>
      <c r="U336" s="298"/>
      <c r="V336" s="303"/>
      <c r="W336" s="298"/>
      <c r="X336" s="303"/>
      <c r="Y336" s="298"/>
      <c r="Z336" s="261"/>
      <c r="AA336" s="250"/>
      <c r="AB336" s="298"/>
      <c r="AC336" s="303"/>
      <c r="AD336" s="298"/>
      <c r="AE336" s="303"/>
      <c r="AF336" s="298"/>
      <c r="AG336" s="261"/>
      <c r="AH336" s="303"/>
      <c r="AI336" s="298"/>
      <c r="AJ336" s="303"/>
      <c r="AK336" s="298"/>
      <c r="AL336" s="303"/>
      <c r="AM336" s="298"/>
      <c r="AN336" s="261"/>
      <c r="AO336" s="250"/>
      <c r="AP336" s="298"/>
      <c r="AQ336" s="304"/>
      <c r="AR336" s="298"/>
      <c r="AS336" s="304"/>
      <c r="AT336" s="254" t="str">
        <f t="shared" ref="AT336:AT337" si="66">IF(COUNTIF($AO$80:$AT$82, AS337) &gt; 0, "X", "")</f>
        <v/>
      </c>
      <c r="AU336" s="269"/>
      <c r="AV336" s="269"/>
    </row>
    <row r="337">
      <c r="A337" s="94"/>
      <c r="B337" s="305" t="s">
        <v>653</v>
      </c>
      <c r="C337" s="306" t="s">
        <v>654</v>
      </c>
      <c r="D337" s="336" t="s">
        <v>398</v>
      </c>
      <c r="E337" s="259"/>
      <c r="F337" s="307"/>
      <c r="G337" s="298"/>
      <c r="H337" s="307"/>
      <c r="I337" s="298"/>
      <c r="J337" s="307"/>
      <c r="K337" s="298"/>
      <c r="L337" s="261"/>
      <c r="M337" s="250"/>
      <c r="N337" s="298"/>
      <c r="O337" s="307"/>
      <c r="P337" s="298"/>
      <c r="Q337" s="307"/>
      <c r="R337" s="298"/>
      <c r="S337" s="261"/>
      <c r="T337" s="250"/>
      <c r="U337" s="298"/>
      <c r="V337" s="307"/>
      <c r="W337" s="298"/>
      <c r="X337" s="307"/>
      <c r="Y337" s="298"/>
      <c r="Z337" s="261"/>
      <c r="AA337" s="250"/>
      <c r="AB337" s="298"/>
      <c r="AC337" s="307"/>
      <c r="AD337" s="298"/>
      <c r="AE337" s="309" t="s">
        <v>449</v>
      </c>
      <c r="AF337" s="298"/>
      <c r="AG337" s="261"/>
      <c r="AH337" s="307"/>
      <c r="AI337" s="298"/>
      <c r="AJ337" s="307"/>
      <c r="AK337" s="298"/>
      <c r="AL337" s="307"/>
      <c r="AM337" s="298"/>
      <c r="AN337" s="261"/>
      <c r="AO337" s="250"/>
      <c r="AP337" s="298"/>
      <c r="AQ337" s="307"/>
      <c r="AR337" s="298"/>
      <c r="AS337" s="307"/>
      <c r="AT337" s="254" t="str">
        <f t="shared" si="66"/>
        <v/>
      </c>
      <c r="AU337" s="269"/>
      <c r="AV337" s="269"/>
    </row>
    <row r="338">
      <c r="A338" s="94"/>
      <c r="B338" s="310" t="s">
        <v>656</v>
      </c>
      <c r="C338" s="278" t="s">
        <v>657</v>
      </c>
      <c r="D338" s="243"/>
      <c r="E338" s="259"/>
      <c r="F338" s="281"/>
      <c r="G338" s="246"/>
      <c r="H338" s="282"/>
      <c r="I338" s="246"/>
      <c r="J338" s="282"/>
      <c r="K338" s="246"/>
      <c r="L338" s="261"/>
      <c r="M338" s="250"/>
      <c r="N338" s="246"/>
      <c r="O338" s="274" t="s">
        <v>458</v>
      </c>
      <c r="P338" s="246"/>
      <c r="Q338" s="282"/>
      <c r="R338" s="246"/>
      <c r="S338" s="261"/>
      <c r="T338" s="250"/>
      <c r="U338" s="246"/>
      <c r="V338" s="282"/>
      <c r="W338" s="246"/>
      <c r="X338" s="282"/>
      <c r="Y338" s="246"/>
      <c r="Z338" s="261"/>
      <c r="AA338" s="250"/>
      <c r="AB338" s="246"/>
      <c r="AC338" s="282"/>
      <c r="AD338" s="246"/>
      <c r="AE338" s="311" t="s">
        <v>434</v>
      </c>
      <c r="AF338" s="246"/>
      <c r="AG338" s="261"/>
      <c r="AH338" s="282"/>
      <c r="AI338" s="246"/>
      <c r="AJ338" s="282"/>
      <c r="AK338" s="246"/>
      <c r="AL338" s="282"/>
      <c r="AM338" s="246"/>
      <c r="AN338" s="261"/>
      <c r="AO338" s="250"/>
      <c r="AP338" s="246"/>
      <c r="AQ338" s="276"/>
      <c r="AR338" s="246"/>
      <c r="AS338" s="276"/>
      <c r="AT338" s="254" t="str">
        <f t="shared" ref="AT338:AT340" si="67">IF(COUNTIF($AO$80:$AT$82, #REF!) &gt; 0, "X", "")</f>
        <v/>
      </c>
      <c r="AU338" s="269"/>
      <c r="AV338" s="269"/>
    </row>
    <row r="339">
      <c r="A339" s="94"/>
      <c r="B339" s="277" t="s">
        <v>658</v>
      </c>
      <c r="C339" s="278" t="s">
        <v>657</v>
      </c>
      <c r="D339" s="243"/>
      <c r="E339" s="259"/>
      <c r="F339" s="282"/>
      <c r="G339" s="246"/>
      <c r="I339" s="246"/>
      <c r="K339" s="246"/>
      <c r="L339" s="261"/>
      <c r="M339" s="250"/>
      <c r="N339" s="246"/>
      <c r="O339" s="311" t="s">
        <v>434</v>
      </c>
      <c r="P339" s="246"/>
      <c r="R339" s="246"/>
      <c r="S339" s="261"/>
      <c r="T339" s="250"/>
      <c r="U339" s="246"/>
      <c r="W339" s="246"/>
      <c r="X339" s="282"/>
      <c r="Y339" s="246"/>
      <c r="Z339" s="261"/>
      <c r="AA339" s="250"/>
      <c r="AB339" s="246"/>
      <c r="AD339" s="246"/>
      <c r="AE339" s="282"/>
      <c r="AF339" s="246"/>
      <c r="AG339" s="261"/>
      <c r="AH339" s="282"/>
      <c r="AI339" s="246"/>
      <c r="AK339" s="246"/>
      <c r="AL339" s="282"/>
      <c r="AM339" s="246"/>
      <c r="AN339" s="261"/>
      <c r="AO339" s="250"/>
      <c r="AP339" s="246"/>
      <c r="AR339" s="246"/>
      <c r="AS339" s="282"/>
      <c r="AT339" s="254" t="str">
        <f t="shared" si="67"/>
        <v/>
      </c>
      <c r="AU339" s="269"/>
      <c r="AV339" s="269"/>
    </row>
    <row r="340">
      <c r="A340" s="94"/>
      <c r="B340" s="314" t="s">
        <v>660</v>
      </c>
      <c r="C340" s="315" t="s">
        <v>649</v>
      </c>
      <c r="D340" s="243"/>
      <c r="E340" s="259"/>
      <c r="F340" s="632" t="s">
        <v>423</v>
      </c>
      <c r="G340" s="246"/>
      <c r="H340" s="293" t="s">
        <v>416</v>
      </c>
      <c r="I340" s="246"/>
      <c r="J340" s="293" t="s">
        <v>424</v>
      </c>
      <c r="K340" s="246"/>
      <c r="L340" s="261"/>
      <c r="M340" s="316"/>
      <c r="N340" s="246"/>
      <c r="O340" s="293" t="s">
        <v>416</v>
      </c>
      <c r="P340" s="246"/>
      <c r="Q340" s="293" t="s">
        <v>424</v>
      </c>
      <c r="R340" s="246"/>
      <c r="S340" s="261"/>
      <c r="T340" s="316"/>
      <c r="U340" s="246"/>
      <c r="V340" s="293" t="s">
        <v>421</v>
      </c>
      <c r="W340" s="246"/>
      <c r="X340" s="293" t="s">
        <v>416</v>
      </c>
      <c r="Y340" s="246"/>
      <c r="Z340" s="261"/>
      <c r="AA340" s="250"/>
      <c r="AB340" s="246"/>
      <c r="AC340" s="253" t="s">
        <v>417</v>
      </c>
      <c r="AD340" s="246"/>
      <c r="AE340" s="293" t="s">
        <v>424</v>
      </c>
      <c r="AF340" s="246"/>
      <c r="AG340" s="261"/>
      <c r="AH340" s="317"/>
      <c r="AI340" s="246"/>
      <c r="AJ340" s="293" t="s">
        <v>416</v>
      </c>
      <c r="AK340" s="246"/>
      <c r="AL340" s="632" t="s">
        <v>423</v>
      </c>
      <c r="AM340" s="246"/>
      <c r="AN340" s="261"/>
      <c r="AO340" s="316"/>
      <c r="AP340" s="246"/>
      <c r="AQ340" s="353" t="s">
        <v>426</v>
      </c>
      <c r="AR340" s="246"/>
      <c r="AS340" s="293" t="s">
        <v>424</v>
      </c>
      <c r="AT340" s="254" t="str">
        <f t="shared" si="67"/>
        <v/>
      </c>
      <c r="AU340" s="269"/>
      <c r="AV340" s="269"/>
    </row>
    <row r="341">
      <c r="A341" s="94"/>
      <c r="B341" s="296" t="s">
        <v>650</v>
      </c>
      <c r="C341" s="297" t="s">
        <v>649</v>
      </c>
      <c r="D341" s="243"/>
      <c r="E341" s="259"/>
      <c r="F341" s="300"/>
      <c r="G341" s="298"/>
      <c r="H341" s="300"/>
      <c r="I341" s="298"/>
      <c r="J341" s="300"/>
      <c r="K341" s="298"/>
      <c r="L341" s="261"/>
      <c r="M341" s="250"/>
      <c r="N341" s="298"/>
      <c r="O341" s="300"/>
      <c r="P341" s="298"/>
      <c r="Q341" s="356" t="s">
        <v>423</v>
      </c>
      <c r="R341" s="298"/>
      <c r="S341" s="261"/>
      <c r="T341" s="250"/>
      <c r="U341" s="298"/>
      <c r="V341" s="353" t="s">
        <v>426</v>
      </c>
      <c r="W341" s="298"/>
      <c r="X341" s="319"/>
      <c r="Y341" s="298"/>
      <c r="Z341" s="261"/>
      <c r="AA341" s="250"/>
      <c r="AB341" s="298"/>
      <c r="AC341" s="319"/>
      <c r="AD341" s="298"/>
      <c r="AE341" s="356" t="s">
        <v>423</v>
      </c>
      <c r="AF341" s="298"/>
      <c r="AG341" s="261"/>
      <c r="AH341" s="317"/>
      <c r="AI341" s="298"/>
      <c r="AJ341" s="319"/>
      <c r="AK341" s="298"/>
      <c r="AL341" s="300"/>
      <c r="AM341" s="298"/>
      <c r="AN341" s="261"/>
      <c r="AO341" s="250"/>
      <c r="AP341" s="298"/>
      <c r="AQ341" s="300"/>
      <c r="AR341" s="298"/>
      <c r="AS341" s="299"/>
      <c r="AT341" s="254" t="str">
        <f>IF(COUNTIF($AO$80:$AT$82, AS342) &gt; 0, "X", "")</f>
        <v/>
      </c>
      <c r="AU341" s="269"/>
      <c r="AV341" s="269"/>
    </row>
    <row r="342">
      <c r="A342" s="94"/>
      <c r="B342" s="301" t="s">
        <v>651</v>
      </c>
      <c r="C342" s="302" t="s">
        <v>652</v>
      </c>
      <c r="D342" s="323"/>
      <c r="E342" s="259"/>
      <c r="F342" s="303"/>
      <c r="G342" s="298"/>
      <c r="H342" s="303"/>
      <c r="I342" s="298"/>
      <c r="J342" s="483" t="s">
        <v>977</v>
      </c>
      <c r="K342" s="298"/>
      <c r="L342" s="261"/>
      <c r="M342" s="250"/>
      <c r="N342" s="298"/>
      <c r="O342" s="303"/>
      <c r="P342" s="298"/>
      <c r="Q342" s="484"/>
      <c r="R342" s="298"/>
      <c r="S342" s="261"/>
      <c r="T342" s="250"/>
      <c r="U342" s="298"/>
      <c r="V342" s="303"/>
      <c r="W342" s="298"/>
      <c r="X342" s="484"/>
      <c r="Y342" s="298"/>
      <c r="Z342" s="261"/>
      <c r="AA342" s="250"/>
      <c r="AB342" s="298"/>
      <c r="AC342" s="303"/>
      <c r="AD342" s="298"/>
      <c r="AE342" s="303"/>
      <c r="AF342" s="298"/>
      <c r="AG342" s="261"/>
      <c r="AH342" s="320"/>
      <c r="AI342" s="298"/>
      <c r="AJ342" s="303"/>
      <c r="AK342" s="298"/>
      <c r="AL342" s="303"/>
      <c r="AM342" s="298"/>
      <c r="AN342" s="261"/>
      <c r="AO342" s="250"/>
      <c r="AP342" s="298"/>
      <c r="AQ342" s="303"/>
      <c r="AR342" s="298"/>
      <c r="AS342" s="303"/>
      <c r="AT342" s="254" t="str">
        <f t="shared" ref="AT342:AT343" si="68">IF(COUNTIF($AO$80:$AT$82, #REF!) &gt; 0, "X", "")</f>
        <v/>
      </c>
      <c r="AU342" s="269"/>
      <c r="AV342" s="269"/>
    </row>
    <row r="343">
      <c r="A343" s="94"/>
      <c r="B343" s="322" t="s">
        <v>662</v>
      </c>
      <c r="C343" s="306" t="s">
        <v>663</v>
      </c>
      <c r="D343" s="330"/>
      <c r="E343" s="259"/>
      <c r="F343" s="307"/>
      <c r="G343" s="298"/>
      <c r="H343" s="307"/>
      <c r="I343" s="298"/>
      <c r="J343" s="309" t="s">
        <v>409</v>
      </c>
      <c r="K343" s="298"/>
      <c r="L343" s="261"/>
      <c r="M343" s="324"/>
      <c r="N343" s="298"/>
      <c r="O343" s="307"/>
      <c r="P343" s="298"/>
      <c r="Q343" s="309" t="s">
        <v>409</v>
      </c>
      <c r="R343" s="298"/>
      <c r="S343" s="261"/>
      <c r="T343" s="324"/>
      <c r="U343" s="298"/>
      <c r="V343" s="307"/>
      <c r="W343" s="298"/>
      <c r="X343" s="307"/>
      <c r="Y343" s="298"/>
      <c r="Z343" s="261"/>
      <c r="AA343" s="250"/>
      <c r="AB343" s="298"/>
      <c r="AC343" s="307"/>
      <c r="AD343" s="298"/>
      <c r="AE343" s="309" t="s">
        <v>409</v>
      </c>
      <c r="AF343" s="298"/>
      <c r="AG343" s="261"/>
      <c r="AH343" s="317"/>
      <c r="AI343" s="298"/>
      <c r="AJ343" s="307"/>
      <c r="AK343" s="298"/>
      <c r="AL343" s="327"/>
      <c r="AM343" s="298"/>
      <c r="AN343" s="261"/>
      <c r="AO343" s="324"/>
      <c r="AP343" s="298"/>
      <c r="AQ343" s="307"/>
      <c r="AR343" s="298"/>
      <c r="AS343" s="307"/>
      <c r="AT343" s="254" t="str">
        <f t="shared" si="68"/>
        <v/>
      </c>
      <c r="AU343" s="269"/>
      <c r="AV343" s="269"/>
    </row>
    <row r="344">
      <c r="A344" s="94"/>
      <c r="B344" s="328" t="s">
        <v>665</v>
      </c>
      <c r="C344" s="329" t="s">
        <v>654</v>
      </c>
      <c r="D344" s="330"/>
      <c r="E344" s="259"/>
      <c r="F344" s="274" t="s">
        <v>443</v>
      </c>
      <c r="G344" s="246"/>
      <c r="H344" s="274" t="s">
        <v>458</v>
      </c>
      <c r="I344" s="246"/>
      <c r="J344" s="311" t="s">
        <v>434</v>
      </c>
      <c r="K344" s="246"/>
      <c r="L344" s="261"/>
      <c r="M344" s="333"/>
      <c r="N344" s="246"/>
      <c r="O344" s="311" t="s">
        <v>439</v>
      </c>
      <c r="P344" s="246"/>
      <c r="Q344" s="274" t="s">
        <v>449</v>
      </c>
      <c r="R344" s="246"/>
      <c r="S344" s="261"/>
      <c r="T344" s="333"/>
      <c r="U344" s="246"/>
      <c r="V344" s="274" t="s">
        <v>458</v>
      </c>
      <c r="W344" s="246"/>
      <c r="X344" s="311" t="s">
        <v>434</v>
      </c>
      <c r="Y344" s="246"/>
      <c r="Z344" s="261"/>
      <c r="AA344" s="250"/>
      <c r="AB344" s="246"/>
      <c r="AC344" s="274" t="s">
        <v>458</v>
      </c>
      <c r="AD344" s="246"/>
      <c r="AE344" s="339" t="s">
        <v>468</v>
      </c>
      <c r="AF344" s="246"/>
      <c r="AG344" s="261"/>
      <c r="AH344" s="320"/>
      <c r="AI344" s="246"/>
      <c r="AJ344" s="348" t="s">
        <v>664</v>
      </c>
      <c r="AK344" s="246"/>
      <c r="AL344" s="311" t="s">
        <v>434</v>
      </c>
      <c r="AM344" s="246"/>
      <c r="AN344" s="261"/>
      <c r="AO344" s="333"/>
      <c r="AP344" s="246"/>
      <c r="AQ344" s="274" t="s">
        <v>458</v>
      </c>
      <c r="AR344" s="246"/>
      <c r="AS344" s="274" t="s">
        <v>449</v>
      </c>
      <c r="AT344" s="254" t="str">
        <f>IF(COUNTIF($AO$80:$AT$82, AH352) &gt; 0, "X", "")</f>
        <v/>
      </c>
      <c r="AU344" s="269"/>
      <c r="AV344" s="269"/>
    </row>
    <row r="345">
      <c r="A345" s="94"/>
      <c r="B345" s="337" t="s">
        <v>665</v>
      </c>
      <c r="C345" s="338" t="s">
        <v>657</v>
      </c>
      <c r="D345" s="330"/>
      <c r="E345" s="259"/>
      <c r="F345" s="339" t="s">
        <v>468</v>
      </c>
      <c r="G345" s="246"/>
      <c r="H345" s="311" t="s">
        <v>459</v>
      </c>
      <c r="I345" s="246"/>
      <c r="J345" s="339" t="s">
        <v>447</v>
      </c>
      <c r="K345" s="246"/>
      <c r="L345" s="261"/>
      <c r="M345" s="324"/>
      <c r="N345" s="246"/>
      <c r="O345" s="311" t="s">
        <v>459</v>
      </c>
      <c r="P345" s="246"/>
      <c r="Q345" s="339" t="s">
        <v>468</v>
      </c>
      <c r="R345" s="246"/>
      <c r="S345" s="261"/>
      <c r="T345" s="324"/>
      <c r="U345" s="246"/>
      <c r="V345" s="311" t="s">
        <v>459</v>
      </c>
      <c r="W345" s="246"/>
      <c r="X345" s="274" t="s">
        <v>443</v>
      </c>
      <c r="Y345" s="246"/>
      <c r="Z345" s="261"/>
      <c r="AA345" s="250"/>
      <c r="AB345" s="246"/>
      <c r="AC345" s="311" t="s">
        <v>459</v>
      </c>
      <c r="AD345" s="246"/>
      <c r="AE345" s="274" t="s">
        <v>448</v>
      </c>
      <c r="AF345" s="246"/>
      <c r="AG345" s="261"/>
      <c r="AH345" s="320"/>
      <c r="AI345" s="246"/>
      <c r="AJ345" s="311" t="s">
        <v>459</v>
      </c>
      <c r="AK345" s="246"/>
      <c r="AL345" s="339" t="s">
        <v>468</v>
      </c>
      <c r="AM345" s="246"/>
      <c r="AN345" s="261"/>
      <c r="AO345" s="324"/>
      <c r="AP345" s="246"/>
      <c r="AQ345" s="348" t="s">
        <v>989</v>
      </c>
      <c r="AR345" s="246"/>
      <c r="AS345" s="339" t="s">
        <v>447</v>
      </c>
      <c r="AT345" s="254" t="str">
        <f t="shared" ref="AT345:AT349" si="69">IF(COUNTIF($AO$80:$AT$82, #REF!) &gt; 0, "X", "")</f>
        <v/>
      </c>
      <c r="AU345" s="269"/>
      <c r="AV345" s="269"/>
    </row>
    <row r="346">
      <c r="A346" s="94"/>
      <c r="B346" s="256" t="s">
        <v>665</v>
      </c>
      <c r="C346" s="257" t="s">
        <v>663</v>
      </c>
      <c r="D346" s="330"/>
      <c r="E346" s="259"/>
      <c r="G346" s="246"/>
      <c r="I346" s="246"/>
      <c r="J346" s="280" t="s">
        <v>448</v>
      </c>
      <c r="K346" s="246"/>
      <c r="L346" s="261"/>
      <c r="M346" s="341"/>
      <c r="N346" s="246"/>
      <c r="P346" s="246"/>
      <c r="Q346" s="274" t="s">
        <v>415</v>
      </c>
      <c r="R346" s="246"/>
      <c r="S346" s="261"/>
      <c r="T346" s="341"/>
      <c r="U346" s="246"/>
      <c r="W346" s="246"/>
      <c r="X346" s="274" t="s">
        <v>448</v>
      </c>
      <c r="Y346" s="246"/>
      <c r="Z346" s="261"/>
      <c r="AA346" s="250"/>
      <c r="AB346" s="246"/>
      <c r="AD346" s="246"/>
      <c r="AF346" s="246"/>
      <c r="AG346" s="261"/>
      <c r="AH346" s="320"/>
      <c r="AI346" s="246"/>
      <c r="AJ346" s="274" t="s">
        <v>409</v>
      </c>
      <c r="AK346" s="246"/>
      <c r="AM346" s="246"/>
      <c r="AN346" s="261"/>
      <c r="AO346" s="341"/>
      <c r="AP346" s="246"/>
      <c r="AQ346" s="282"/>
      <c r="AR346" s="246"/>
      <c r="AT346" s="254" t="str">
        <f t="shared" si="69"/>
        <v/>
      </c>
      <c r="AU346" s="269"/>
      <c r="AV346" s="269"/>
    </row>
    <row r="347">
      <c r="A347" s="94"/>
      <c r="B347" s="328" t="s">
        <v>665</v>
      </c>
      <c r="C347" s="329" t="s">
        <v>645</v>
      </c>
      <c r="D347" s="323"/>
      <c r="E347" s="261"/>
      <c r="F347" s="274" t="s">
        <v>415</v>
      </c>
      <c r="G347" s="246"/>
      <c r="H347" s="336" t="s">
        <v>450</v>
      </c>
      <c r="I347" s="246"/>
      <c r="J347" s="311" t="s">
        <v>439</v>
      </c>
      <c r="K347" s="246"/>
      <c r="L347" s="261"/>
      <c r="M347" s="341"/>
      <c r="N347" s="246"/>
      <c r="O347" s="336" t="s">
        <v>450</v>
      </c>
      <c r="P347" s="246"/>
      <c r="Q347" s="274" t="s">
        <v>448</v>
      </c>
      <c r="R347" s="246"/>
      <c r="S347" s="261"/>
      <c r="T347" s="341"/>
      <c r="U347" s="246"/>
      <c r="V347" s="336" t="s">
        <v>450</v>
      </c>
      <c r="W347" s="246"/>
      <c r="X347" s="339" t="s">
        <v>468</v>
      </c>
      <c r="Y347" s="246"/>
      <c r="Z347" s="261"/>
      <c r="AA347" s="250"/>
      <c r="AB347" s="246"/>
      <c r="AC347" s="336" t="s">
        <v>450</v>
      </c>
      <c r="AD347" s="246"/>
      <c r="AE347" s="274" t="s">
        <v>415</v>
      </c>
      <c r="AF347" s="246"/>
      <c r="AG347" s="261"/>
      <c r="AH347" s="320"/>
      <c r="AI347" s="246"/>
      <c r="AJ347" s="336" t="s">
        <v>450</v>
      </c>
      <c r="AK347" s="246"/>
      <c r="AL347" s="274" t="s">
        <v>415</v>
      </c>
      <c r="AM347" s="246"/>
      <c r="AN347" s="261"/>
      <c r="AO347" s="341"/>
      <c r="AP347" s="246"/>
      <c r="AQ347" s="274" t="s">
        <v>414</v>
      </c>
      <c r="AR347" s="246"/>
      <c r="AS347" s="274" t="s">
        <v>409</v>
      </c>
      <c r="AT347" s="254" t="str">
        <f t="shared" si="69"/>
        <v/>
      </c>
      <c r="AU347" s="269"/>
      <c r="AV347" s="269"/>
    </row>
    <row r="348">
      <c r="A348" s="94"/>
      <c r="B348" s="342" t="s">
        <v>667</v>
      </c>
      <c r="C348" s="343" t="s">
        <v>657</v>
      </c>
      <c r="D348" s="351"/>
      <c r="E348" s="259"/>
      <c r="F348" s="345" t="s">
        <v>401</v>
      </c>
      <c r="G348" s="246"/>
      <c r="I348" s="246"/>
      <c r="K348" s="246"/>
      <c r="L348" s="261"/>
      <c r="M348" s="346"/>
      <c r="N348" s="246"/>
      <c r="O348" s="345" t="s">
        <v>401</v>
      </c>
      <c r="P348" s="246"/>
      <c r="Q348" s="274" t="s">
        <v>443</v>
      </c>
      <c r="R348" s="246"/>
      <c r="S348" s="261"/>
      <c r="T348" s="347" t="s">
        <v>401</v>
      </c>
      <c r="U348" s="246"/>
      <c r="W348" s="246"/>
      <c r="Y348" s="246"/>
      <c r="Z348" s="261"/>
      <c r="AA348" s="250"/>
      <c r="AB348" s="246"/>
      <c r="AC348" s="347" t="s">
        <v>401</v>
      </c>
      <c r="AD348" s="246"/>
      <c r="AF348" s="246"/>
      <c r="AG348" s="261"/>
      <c r="AH348" s="345" t="s">
        <v>401</v>
      </c>
      <c r="AI348" s="246"/>
      <c r="AJ348" s="282"/>
      <c r="AK348" s="246"/>
      <c r="AM348" s="246"/>
      <c r="AN348" s="261"/>
      <c r="AO348" s="346"/>
      <c r="AP348" s="246"/>
      <c r="AQ348" s="345" t="s">
        <v>401</v>
      </c>
      <c r="AR348" s="246"/>
      <c r="AT348" s="254" t="str">
        <f t="shared" si="69"/>
        <v/>
      </c>
      <c r="AU348" s="269"/>
      <c r="AV348" s="269"/>
    </row>
    <row r="349">
      <c r="A349" s="94"/>
      <c r="B349" s="349" t="s">
        <v>669</v>
      </c>
      <c r="C349" s="350" t="s">
        <v>649</v>
      </c>
      <c r="D349" s="323"/>
      <c r="E349" s="259"/>
      <c r="F349" s="353" t="s">
        <v>421</v>
      </c>
      <c r="G349" s="246"/>
      <c r="H349" s="633" t="s">
        <v>420</v>
      </c>
      <c r="I349" s="246"/>
      <c r="J349" s="253" t="s">
        <v>417</v>
      </c>
      <c r="K349" s="246"/>
      <c r="L349" s="261"/>
      <c r="M349" s="354"/>
      <c r="N349" s="246"/>
      <c r="O349" s="633" t="s">
        <v>420</v>
      </c>
      <c r="P349" s="246"/>
      <c r="Q349" s="353" t="s">
        <v>421</v>
      </c>
      <c r="R349" s="246"/>
      <c r="S349" s="261"/>
      <c r="T349" s="354"/>
      <c r="U349" s="246"/>
      <c r="V349" s="633" t="s">
        <v>420</v>
      </c>
      <c r="W349" s="246"/>
      <c r="X349" s="293" t="s">
        <v>424</v>
      </c>
      <c r="Y349" s="246"/>
      <c r="Z349" s="261"/>
      <c r="AA349" s="354"/>
      <c r="AB349" s="246"/>
      <c r="AC349" s="633" t="s">
        <v>420</v>
      </c>
      <c r="AD349" s="246"/>
      <c r="AE349" s="353" t="s">
        <v>421</v>
      </c>
      <c r="AF349" s="246"/>
      <c r="AG349" s="261"/>
      <c r="AH349" s="353" t="s">
        <v>426</v>
      </c>
      <c r="AI349" s="246"/>
      <c r="AJ349" s="253" t="s">
        <v>417</v>
      </c>
      <c r="AK349" s="246"/>
      <c r="AL349" s="353" t="s">
        <v>421</v>
      </c>
      <c r="AM349" s="246"/>
      <c r="AN349" s="261"/>
      <c r="AO349" s="354"/>
      <c r="AP349" s="246"/>
      <c r="AQ349" s="633" t="s">
        <v>420</v>
      </c>
      <c r="AR349" s="246"/>
      <c r="AS349" s="356" t="s">
        <v>423</v>
      </c>
      <c r="AT349" s="254" t="str">
        <f t="shared" si="69"/>
        <v/>
      </c>
      <c r="AU349" s="269"/>
      <c r="AV349" s="269"/>
    </row>
    <row r="350">
      <c r="A350" s="234"/>
      <c r="B350" s="296" t="s">
        <v>650</v>
      </c>
      <c r="C350" s="297" t="s">
        <v>649</v>
      </c>
      <c r="D350" s="330"/>
      <c r="E350" s="259"/>
      <c r="F350" s="299"/>
      <c r="G350" s="298"/>
      <c r="H350" s="694" t="s">
        <v>397</v>
      </c>
      <c r="I350" s="298"/>
      <c r="J350" s="299"/>
      <c r="K350" s="298"/>
      <c r="L350" s="261"/>
      <c r="M350" s="324"/>
      <c r="N350" s="298"/>
      <c r="O350" s="253" t="s">
        <v>417</v>
      </c>
      <c r="P350" s="298"/>
      <c r="Q350" s="300"/>
      <c r="R350" s="298"/>
      <c r="S350" s="261"/>
      <c r="T350" s="324"/>
      <c r="U350" s="298"/>
      <c r="V350" s="253" t="s">
        <v>417</v>
      </c>
      <c r="W350" s="298"/>
      <c r="X350" s="483" t="s">
        <v>977</v>
      </c>
      <c r="Y350" s="298"/>
      <c r="Z350" s="261"/>
      <c r="AA350" s="324"/>
      <c r="AB350" s="298"/>
      <c r="AC350" s="694" t="s">
        <v>397</v>
      </c>
      <c r="AD350" s="298"/>
      <c r="AE350" s="319"/>
      <c r="AF350" s="298"/>
      <c r="AG350" s="261"/>
      <c r="AH350" s="319"/>
      <c r="AI350" s="298"/>
      <c r="AJ350" s="319"/>
      <c r="AK350" s="298"/>
      <c r="AL350" s="483" t="s">
        <v>977</v>
      </c>
      <c r="AM350" s="298"/>
      <c r="AN350" s="261"/>
      <c r="AO350" s="324"/>
      <c r="AP350" s="298"/>
      <c r="AQ350" s="359"/>
      <c r="AR350" s="298"/>
      <c r="AS350" s="359"/>
      <c r="AT350" s="254" t="str">
        <f>IF(COUNTIF($AO$80:$AT$82, AS351) &gt; 0, "X", "")</f>
        <v/>
      </c>
      <c r="AU350" s="269"/>
      <c r="AV350" s="269"/>
    </row>
    <row r="351">
      <c r="A351" s="94"/>
      <c r="B351" s="301" t="s">
        <v>651</v>
      </c>
      <c r="C351" s="302" t="s">
        <v>652</v>
      </c>
      <c r="D351" s="363"/>
      <c r="E351" s="259"/>
      <c r="F351" s="303"/>
      <c r="G351" s="298"/>
      <c r="H351" s="304"/>
      <c r="I351" s="298"/>
      <c r="J351" s="321" t="s">
        <v>979</v>
      </c>
      <c r="K351" s="298"/>
      <c r="L351" s="261"/>
      <c r="M351" s="250"/>
      <c r="N351" s="298"/>
      <c r="O351" s="304"/>
      <c r="P351" s="298"/>
      <c r="Q351" s="303"/>
      <c r="R351" s="298"/>
      <c r="S351" s="261"/>
      <c r="T351" s="250"/>
      <c r="U351" s="298"/>
      <c r="V351" s="303"/>
      <c r="W351" s="298"/>
      <c r="X351" s="321" t="s">
        <v>979</v>
      </c>
      <c r="Y351" s="298"/>
      <c r="Z351" s="261"/>
      <c r="AA351" s="250"/>
      <c r="AB351" s="298"/>
      <c r="AC351" s="304"/>
      <c r="AD351" s="298"/>
      <c r="AE351" s="303"/>
      <c r="AF351" s="298"/>
      <c r="AG351" s="261"/>
      <c r="AH351" s="303"/>
      <c r="AI351" s="298"/>
      <c r="AJ351" s="304"/>
      <c r="AK351" s="298"/>
      <c r="AL351" s="321" t="s">
        <v>979</v>
      </c>
      <c r="AM351" s="298"/>
      <c r="AN351" s="261"/>
      <c r="AO351" s="250"/>
      <c r="AP351" s="298"/>
      <c r="AQ351" s="303"/>
      <c r="AR351" s="298"/>
      <c r="AS351" s="303"/>
      <c r="AT351" s="254" t="str">
        <f t="shared" ref="AT351:AT352" si="70">IF(COUNTIF($AO$80:$AT$82, #REF!) &gt; 0, "X", "")</f>
        <v/>
      </c>
      <c r="AU351" s="269"/>
      <c r="AV351" s="269"/>
    </row>
    <row r="352">
      <c r="A352" s="94"/>
      <c r="B352" s="361" t="s">
        <v>673</v>
      </c>
      <c r="C352" s="362" t="s">
        <v>674</v>
      </c>
      <c r="D352" s="369"/>
      <c r="E352" s="259"/>
      <c r="F352" s="251" t="s">
        <v>433</v>
      </c>
      <c r="G352" s="298"/>
      <c r="H352" s="336" t="s">
        <v>412</v>
      </c>
      <c r="I352" s="298"/>
      <c r="J352" s="336" t="s">
        <v>398</v>
      </c>
      <c r="K352" s="298"/>
      <c r="L352" s="261"/>
      <c r="M352" s="324"/>
      <c r="N352" s="298"/>
      <c r="O352" s="336" t="s">
        <v>412</v>
      </c>
      <c r="P352" s="298"/>
      <c r="Q352" s="365" t="s">
        <v>433</v>
      </c>
      <c r="R352" s="298"/>
      <c r="S352" s="261"/>
      <c r="T352" s="324"/>
      <c r="U352" s="298"/>
      <c r="V352" s="336" t="s">
        <v>412</v>
      </c>
      <c r="W352" s="298"/>
      <c r="X352" s="365" t="s">
        <v>433</v>
      </c>
      <c r="Y352" s="298"/>
      <c r="Z352" s="261"/>
      <c r="AA352" s="324"/>
      <c r="AB352" s="298"/>
      <c r="AC352" s="336" t="s">
        <v>412</v>
      </c>
      <c r="AD352" s="298"/>
      <c r="AE352" s="311" t="s">
        <v>410</v>
      </c>
      <c r="AF352" s="298"/>
      <c r="AG352" s="261"/>
      <c r="AH352" s="274" t="s">
        <v>443</v>
      </c>
      <c r="AI352" s="298"/>
      <c r="AJ352" s="311" t="s">
        <v>394</v>
      </c>
      <c r="AK352" s="298"/>
      <c r="AL352" s="311" t="s">
        <v>410</v>
      </c>
      <c r="AM352" s="298"/>
      <c r="AN352" s="261"/>
      <c r="AO352" s="324"/>
      <c r="AP352" s="298"/>
      <c r="AQ352" s="311" t="s">
        <v>765</v>
      </c>
      <c r="AR352" s="298"/>
      <c r="AS352" s="365" t="s">
        <v>433</v>
      </c>
      <c r="AT352" s="254" t="str">
        <f t="shared" si="70"/>
        <v/>
      </c>
      <c r="AU352" s="269"/>
      <c r="AV352" s="269"/>
    </row>
    <row r="353">
      <c r="A353" s="94"/>
      <c r="B353" s="367" t="s">
        <v>677</v>
      </c>
      <c r="C353" s="368" t="s">
        <v>674</v>
      </c>
      <c r="D353" s="330"/>
      <c r="E353" s="259"/>
      <c r="F353" s="282"/>
      <c r="G353" s="246"/>
      <c r="H353" s="282"/>
      <c r="I353" s="246"/>
      <c r="K353" s="246"/>
      <c r="L353" s="261"/>
      <c r="M353" s="250"/>
      <c r="N353" s="246"/>
      <c r="O353" s="282"/>
      <c r="P353" s="246"/>
      <c r="Q353" s="311" t="s">
        <v>410</v>
      </c>
      <c r="R353" s="246"/>
      <c r="S353" s="261"/>
      <c r="T353" s="250"/>
      <c r="U353" s="246"/>
      <c r="V353" s="282"/>
      <c r="W353" s="246"/>
      <c r="X353" s="282"/>
      <c r="Y353" s="246"/>
      <c r="Z353" s="261"/>
      <c r="AA353" s="250"/>
      <c r="AB353" s="246"/>
      <c r="AC353" s="311" t="s">
        <v>438</v>
      </c>
      <c r="AD353" s="246"/>
      <c r="AE353" s="282"/>
      <c r="AF353" s="246"/>
      <c r="AG353" s="261"/>
      <c r="AH353" s="371"/>
      <c r="AI353" s="246"/>
      <c r="AJ353" s="532" t="s">
        <v>675</v>
      </c>
      <c r="AK353" s="246"/>
      <c r="AM353" s="246"/>
      <c r="AN353" s="261"/>
      <c r="AO353" s="250"/>
      <c r="AP353" s="246"/>
      <c r="AR353" s="246"/>
      <c r="AS353" s="282"/>
      <c r="AT353" s="254" t="str">
        <f>IF(COUNTIF($AO$80:$AT$82, AS353) &gt; 0, "X", "")</f>
        <v/>
      </c>
      <c r="AU353" s="269"/>
      <c r="AV353" s="269"/>
    </row>
    <row r="354">
      <c r="A354" s="94"/>
      <c r="B354" s="256" t="s">
        <v>679</v>
      </c>
      <c r="C354" s="257" t="s">
        <v>680</v>
      </c>
      <c r="D354" s="330"/>
      <c r="E354" s="259"/>
      <c r="F354" s="311" t="s">
        <v>393</v>
      </c>
      <c r="G354" s="246"/>
      <c r="H354" s="251" t="s">
        <v>407</v>
      </c>
      <c r="I354" s="246"/>
      <c r="J354" s="274" t="s">
        <v>437</v>
      </c>
      <c r="K354" s="246"/>
      <c r="L354" s="261"/>
      <c r="M354" s="333"/>
      <c r="N354" s="246"/>
      <c r="O354" s="336" t="s">
        <v>398</v>
      </c>
      <c r="P354" s="246"/>
      <c r="Q354" s="376" t="s">
        <v>453</v>
      </c>
      <c r="R354" s="246"/>
      <c r="S354" s="261"/>
      <c r="T354" s="333"/>
      <c r="U354" s="246"/>
      <c r="V354" s="336" t="s">
        <v>398</v>
      </c>
      <c r="W354" s="246"/>
      <c r="X354" s="274" t="s">
        <v>437</v>
      </c>
      <c r="Y354" s="246"/>
      <c r="Z354" s="261"/>
      <c r="AA354" s="333"/>
      <c r="AB354" s="246"/>
      <c r="AC354" s="274" t="s">
        <v>406</v>
      </c>
      <c r="AD354" s="246"/>
      <c r="AE354" s="274" t="s">
        <v>439</v>
      </c>
      <c r="AF354" s="246"/>
      <c r="AG354" s="261"/>
      <c r="AH354" s="311" t="s">
        <v>393</v>
      </c>
      <c r="AI354" s="246"/>
      <c r="AJ354" s="274" t="s">
        <v>406</v>
      </c>
      <c r="AK354" s="246"/>
      <c r="AL354" s="274" t="s">
        <v>437</v>
      </c>
      <c r="AM354" s="246"/>
      <c r="AN354" s="261"/>
      <c r="AO354" s="333"/>
      <c r="AP354" s="246"/>
      <c r="AR354" s="246"/>
      <c r="AS354" s="274" t="s">
        <v>443</v>
      </c>
      <c r="AT354" s="254" t="str">
        <f t="shared" ref="AT354:AT358" si="71">IF(COUNTIF($AO$80:$AT$82, #REF!) &gt; 0, "X", "")</f>
        <v/>
      </c>
      <c r="AU354" s="269"/>
      <c r="AV354" s="269"/>
    </row>
    <row r="355">
      <c r="A355" s="372"/>
      <c r="B355" s="328" t="s">
        <v>679</v>
      </c>
      <c r="C355" s="329" t="s">
        <v>652</v>
      </c>
      <c r="D355" s="330"/>
      <c r="E355" s="259"/>
      <c r="G355" s="246"/>
      <c r="H355" s="282"/>
      <c r="I355" s="246"/>
      <c r="K355" s="246"/>
      <c r="L355" s="261"/>
      <c r="M355" s="346"/>
      <c r="N355" s="246"/>
      <c r="O355" s="251" t="s">
        <v>407</v>
      </c>
      <c r="P355" s="246"/>
      <c r="R355" s="246"/>
      <c r="S355" s="261"/>
      <c r="T355" s="346"/>
      <c r="U355" s="246"/>
      <c r="V355" s="311" t="s">
        <v>439</v>
      </c>
      <c r="W355" s="246"/>
      <c r="Y355" s="246"/>
      <c r="Z355" s="261"/>
      <c r="AA355" s="346"/>
      <c r="AB355" s="246"/>
      <c r="AD355" s="246"/>
      <c r="AE355" s="282"/>
      <c r="AF355" s="246"/>
      <c r="AG355" s="261"/>
      <c r="AH355" s="282"/>
      <c r="AI355" s="246"/>
      <c r="AK355" s="246"/>
      <c r="AM355" s="246"/>
      <c r="AN355" s="261"/>
      <c r="AO355" s="346"/>
      <c r="AP355" s="246"/>
      <c r="AQ355" s="695" t="s">
        <v>397</v>
      </c>
      <c r="AR355" s="246"/>
      <c r="AT355" s="254" t="str">
        <f t="shared" si="71"/>
        <v/>
      </c>
      <c r="AU355" s="269"/>
      <c r="AV355" s="269"/>
    </row>
    <row r="356">
      <c r="A356" s="94"/>
      <c r="B356" s="328" t="s">
        <v>679</v>
      </c>
      <c r="C356" s="329" t="s">
        <v>683</v>
      </c>
      <c r="D356" s="379"/>
      <c r="E356" s="380"/>
      <c r="G356" s="246"/>
      <c r="H356" s="274" t="s">
        <v>406</v>
      </c>
      <c r="I356" s="246"/>
      <c r="J356" s="311" t="s">
        <v>394</v>
      </c>
      <c r="K356" s="246"/>
      <c r="L356" s="261"/>
      <c r="M356" s="341"/>
      <c r="N356" s="246"/>
      <c r="O356" s="311" t="s">
        <v>394</v>
      </c>
      <c r="P356" s="246"/>
      <c r="Q356" s="311" t="s">
        <v>455</v>
      </c>
      <c r="R356" s="246"/>
      <c r="S356" s="261"/>
      <c r="T356" s="341"/>
      <c r="U356" s="246"/>
      <c r="V356" s="695" t="s">
        <v>397</v>
      </c>
      <c r="W356" s="246"/>
      <c r="X356" s="311" t="s">
        <v>455</v>
      </c>
      <c r="Y356" s="246"/>
      <c r="Z356" s="261"/>
      <c r="AA356" s="341"/>
      <c r="AB356" s="246"/>
      <c r="AC356" s="251" t="s">
        <v>407</v>
      </c>
      <c r="AD356" s="246"/>
      <c r="AE356" s="311" t="s">
        <v>394</v>
      </c>
      <c r="AF356" s="246"/>
      <c r="AG356" s="261"/>
      <c r="AI356" s="246"/>
      <c r="AJ356" s="695" t="s">
        <v>397</v>
      </c>
      <c r="AK356" s="246"/>
      <c r="AL356" s="365" t="s">
        <v>433</v>
      </c>
      <c r="AM356" s="246"/>
      <c r="AN356" s="261"/>
      <c r="AO356" s="341"/>
      <c r="AP356" s="246"/>
      <c r="AQ356" s="274" t="s">
        <v>406</v>
      </c>
      <c r="AR356" s="246"/>
      <c r="AS356" s="311" t="s">
        <v>394</v>
      </c>
      <c r="AT356" s="254" t="str">
        <f t="shared" si="71"/>
        <v/>
      </c>
      <c r="AU356" s="269"/>
      <c r="AV356" s="269"/>
    </row>
    <row r="357">
      <c r="A357" s="94"/>
      <c r="B357" s="377" t="s">
        <v>684</v>
      </c>
      <c r="C357" s="378" t="s">
        <v>685</v>
      </c>
      <c r="D357" s="363"/>
      <c r="E357" s="259"/>
      <c r="F357" s="376" t="s">
        <v>453</v>
      </c>
      <c r="G357" s="246"/>
      <c r="I357" s="246"/>
      <c r="K357" s="246"/>
      <c r="L357" s="381"/>
      <c r="M357" s="341"/>
      <c r="N357" s="246"/>
      <c r="P357" s="246"/>
      <c r="R357" s="246"/>
      <c r="S357" s="381"/>
      <c r="T357" s="341"/>
      <c r="U357" s="246"/>
      <c r="W357" s="246"/>
      <c r="X357" s="251" t="s">
        <v>405</v>
      </c>
      <c r="Y357" s="246"/>
      <c r="Z357" s="381"/>
      <c r="AA357" s="341"/>
      <c r="AB357" s="246"/>
      <c r="AC357" s="282"/>
      <c r="AD357" s="246"/>
      <c r="AF357" s="246"/>
      <c r="AG357" s="381"/>
      <c r="AI357" s="246"/>
      <c r="AJ357" s="282"/>
      <c r="AK357" s="246"/>
      <c r="AM357" s="246"/>
      <c r="AN357" s="381"/>
      <c r="AO357" s="341"/>
      <c r="AP357" s="246"/>
      <c r="AR357" s="246"/>
      <c r="AS357" s="282"/>
      <c r="AT357" s="254" t="str">
        <f t="shared" si="71"/>
        <v/>
      </c>
      <c r="AU357" s="269"/>
      <c r="AV357" s="269"/>
    </row>
    <row r="358">
      <c r="A358" s="270"/>
      <c r="B358" s="382" t="s">
        <v>686</v>
      </c>
      <c r="C358" s="242" t="s">
        <v>652</v>
      </c>
      <c r="D358" s="330"/>
      <c r="E358" s="259"/>
      <c r="F358" s="251" t="s">
        <v>429</v>
      </c>
      <c r="G358" s="246"/>
      <c r="H358" s="251" t="s">
        <v>435</v>
      </c>
      <c r="I358" s="246"/>
      <c r="J358" s="311" t="s">
        <v>455</v>
      </c>
      <c r="K358" s="246"/>
      <c r="L358" s="261"/>
      <c r="M358" s="341"/>
      <c r="N358" s="246"/>
      <c r="O358" s="385" t="s">
        <v>428</v>
      </c>
      <c r="P358" s="246"/>
      <c r="Q358" s="251" t="s">
        <v>429</v>
      </c>
      <c r="R358" s="246"/>
      <c r="S358" s="261"/>
      <c r="T358" s="341"/>
      <c r="U358" s="246"/>
      <c r="V358" s="251" t="s">
        <v>435</v>
      </c>
      <c r="W358" s="246"/>
      <c r="X358" s="251" t="s">
        <v>429</v>
      </c>
      <c r="Y358" s="246"/>
      <c r="Z358" s="261"/>
      <c r="AA358" s="341"/>
      <c r="AB358" s="246"/>
      <c r="AC358" s="385" t="s">
        <v>428</v>
      </c>
      <c r="AD358" s="246"/>
      <c r="AE358" s="251" t="s">
        <v>429</v>
      </c>
      <c r="AF358" s="246"/>
      <c r="AG358" s="261"/>
      <c r="AH358" s="376" t="s">
        <v>453</v>
      </c>
      <c r="AI358" s="246"/>
      <c r="AJ358" s="385" t="s">
        <v>428</v>
      </c>
      <c r="AK358" s="246"/>
      <c r="AL358" s="311" t="s">
        <v>455</v>
      </c>
      <c r="AM358" s="246"/>
      <c r="AN358" s="261"/>
      <c r="AO358" s="341"/>
      <c r="AP358" s="246"/>
      <c r="AQ358" s="385" t="s">
        <v>428</v>
      </c>
      <c r="AR358" s="246"/>
      <c r="AS358" s="251" t="s">
        <v>429</v>
      </c>
      <c r="AT358" s="254" t="str">
        <f t="shared" si="71"/>
        <v/>
      </c>
      <c r="AU358" s="269"/>
      <c r="AV358" s="269"/>
    </row>
    <row r="359">
      <c r="A359" s="234"/>
      <c r="B359" s="337" t="s">
        <v>686</v>
      </c>
      <c r="C359" s="338" t="s">
        <v>687</v>
      </c>
      <c r="D359" s="330"/>
      <c r="E359" s="259"/>
      <c r="G359" s="246"/>
      <c r="H359" s="385" t="s">
        <v>428</v>
      </c>
      <c r="I359" s="246"/>
      <c r="K359" s="246"/>
      <c r="L359" s="261"/>
      <c r="M359" s="250"/>
      <c r="N359" s="246"/>
      <c r="O359" s="251" t="s">
        <v>435</v>
      </c>
      <c r="P359" s="246"/>
      <c r="R359" s="246"/>
      <c r="S359" s="261"/>
      <c r="T359" s="250"/>
      <c r="U359" s="246"/>
      <c r="V359" s="376"/>
      <c r="W359" s="246"/>
      <c r="Y359" s="246"/>
      <c r="Z359" s="261"/>
      <c r="AA359" s="250"/>
      <c r="AB359" s="246"/>
      <c r="AC359" s="376" t="s">
        <v>453</v>
      </c>
      <c r="AD359" s="246"/>
      <c r="AE359" s="311" t="s">
        <v>455</v>
      </c>
      <c r="AF359" s="246"/>
      <c r="AG359" s="261"/>
      <c r="AH359" s="251" t="s">
        <v>429</v>
      </c>
      <c r="AI359" s="246"/>
      <c r="AJ359" s="274" t="s">
        <v>435</v>
      </c>
      <c r="AK359" s="246"/>
      <c r="AL359" s="282"/>
      <c r="AM359" s="246"/>
      <c r="AN359" s="261"/>
      <c r="AO359" s="250"/>
      <c r="AP359" s="246"/>
      <c r="AQ359" s="251" t="s">
        <v>435</v>
      </c>
      <c r="AR359" s="246"/>
      <c r="AS359" s="376" t="s">
        <v>453</v>
      </c>
      <c r="AT359" s="254" t="str">
        <f>IF(COUNTIF($AO$80:$AT$82, AS358) &gt; 0, "X", "")</f>
        <v/>
      </c>
      <c r="AU359" s="269"/>
      <c r="AV359" s="269"/>
    </row>
    <row r="360">
      <c r="A360" s="94"/>
      <c r="B360" s="337" t="s">
        <v>688</v>
      </c>
      <c r="C360" s="285" t="s">
        <v>687</v>
      </c>
      <c r="D360" s="389"/>
      <c r="E360" s="259"/>
      <c r="F360" s="265"/>
      <c r="G360" s="246"/>
      <c r="H360" s="265"/>
      <c r="I360" s="246"/>
      <c r="J360" s="265"/>
      <c r="K360" s="246"/>
      <c r="L360" s="261"/>
      <c r="M360" s="262"/>
      <c r="N360" s="246"/>
      <c r="P360" s="246"/>
      <c r="Q360" s="265"/>
      <c r="R360" s="246"/>
      <c r="S360" s="261"/>
      <c r="T360" s="262"/>
      <c r="U360" s="246"/>
      <c r="V360" s="265"/>
      <c r="W360" s="246"/>
      <c r="X360" s="265"/>
      <c r="Y360" s="246"/>
      <c r="Z360" s="261"/>
      <c r="AA360" s="262"/>
      <c r="AB360" s="246"/>
      <c r="AC360" s="265"/>
      <c r="AD360" s="246"/>
      <c r="AE360" s="265"/>
      <c r="AF360" s="246"/>
      <c r="AG360" s="261"/>
      <c r="AH360" s="265"/>
      <c r="AI360" s="246"/>
      <c r="AJ360" s="265"/>
      <c r="AK360" s="246"/>
      <c r="AL360" s="265"/>
      <c r="AM360" s="246"/>
      <c r="AN360" s="261"/>
      <c r="AO360" s="262"/>
      <c r="AP360" s="246"/>
      <c r="AQ360" s="265"/>
      <c r="AR360" s="246"/>
      <c r="AS360" s="265"/>
      <c r="AT360" s="254" t="str">
        <f>IF(COUNTIF($AO$80:$AT$82, #REF!) &gt; 0, "X", "")</f>
        <v/>
      </c>
      <c r="AU360" s="269"/>
      <c r="AV360" s="269"/>
    </row>
    <row r="361">
      <c r="A361" s="94"/>
      <c r="B361" s="387" t="s">
        <v>690</v>
      </c>
      <c r="C361" s="388" t="s">
        <v>649</v>
      </c>
      <c r="D361" s="323"/>
      <c r="E361" s="259"/>
      <c r="F361" s="390"/>
      <c r="G361" s="246"/>
      <c r="H361" s="390"/>
      <c r="I361" s="246"/>
      <c r="J361" s="390"/>
      <c r="K361" s="246"/>
      <c r="L361" s="261"/>
      <c r="M361" s="250"/>
      <c r="N361" s="246"/>
      <c r="O361" s="357" t="s">
        <v>670</v>
      </c>
      <c r="P361" s="246"/>
      <c r="Q361" s="390"/>
      <c r="R361" s="246"/>
      <c r="S361" s="261"/>
      <c r="T361" s="250"/>
      <c r="U361" s="246"/>
      <c r="V361" s="357"/>
      <c r="W361" s="246"/>
      <c r="X361" s="390"/>
      <c r="Y361" s="246"/>
      <c r="Z361" s="261"/>
      <c r="AA361" s="250"/>
      <c r="AB361" s="246"/>
      <c r="AC361" s="355" t="s">
        <v>670</v>
      </c>
      <c r="AD361" s="246"/>
      <c r="AE361" s="390"/>
      <c r="AF361" s="246"/>
      <c r="AG361" s="261"/>
      <c r="AH361" s="390"/>
      <c r="AI361" s="246"/>
      <c r="AJ361" s="390"/>
      <c r="AK361" s="246"/>
      <c r="AL361" s="390"/>
      <c r="AM361" s="246"/>
      <c r="AN361" s="261"/>
      <c r="AO361" s="250"/>
      <c r="AP361" s="246"/>
      <c r="AQ361" s="390"/>
      <c r="AR361" s="246"/>
      <c r="AS361" s="390"/>
      <c r="AT361" s="254" t="str">
        <f t="shared" ref="AT361:AT368" si="72">IF(COUNTIF($AO$80:$AT$82, AS362) &gt; 0, "X", "")</f>
        <v/>
      </c>
      <c r="AU361" s="269"/>
      <c r="AV361" s="269"/>
    </row>
    <row r="362">
      <c r="A362" s="94"/>
      <c r="B362" s="296" t="s">
        <v>650</v>
      </c>
      <c r="C362" s="297" t="s">
        <v>649</v>
      </c>
      <c r="D362" s="323"/>
      <c r="E362" s="261"/>
      <c r="F362" s="300"/>
      <c r="G362" s="246"/>
      <c r="H362" s="319"/>
      <c r="I362" s="246"/>
      <c r="J362" s="300"/>
      <c r="K362" s="246"/>
      <c r="L362" s="261"/>
      <c r="M362" s="250"/>
      <c r="N362" s="246"/>
      <c r="O362" s="300"/>
      <c r="P362" s="246"/>
      <c r="Q362" s="300"/>
      <c r="R362" s="246"/>
      <c r="S362" s="261"/>
      <c r="T362" s="250"/>
      <c r="U362" s="246"/>
      <c r="V362" s="300"/>
      <c r="W362" s="246"/>
      <c r="X362" s="300"/>
      <c r="Y362" s="246"/>
      <c r="Z362" s="261"/>
      <c r="AA362" s="250"/>
      <c r="AB362" s="246"/>
      <c r="AC362" s="300"/>
      <c r="AD362" s="246"/>
      <c r="AE362" s="300"/>
      <c r="AF362" s="246"/>
      <c r="AG362" s="261"/>
      <c r="AH362" s="300"/>
      <c r="AI362" s="246"/>
      <c r="AJ362" s="300"/>
      <c r="AK362" s="246"/>
      <c r="AL362" s="300"/>
      <c r="AM362" s="246"/>
      <c r="AN362" s="261"/>
      <c r="AO362" s="250"/>
      <c r="AP362" s="246"/>
      <c r="AQ362" s="300"/>
      <c r="AR362" s="246"/>
      <c r="AS362" s="300"/>
      <c r="AT362" s="254" t="str">
        <f t="shared" si="72"/>
        <v/>
      </c>
      <c r="AU362" s="269"/>
      <c r="AV362" s="269"/>
    </row>
    <row r="363">
      <c r="A363" s="94"/>
      <c r="B363" s="301" t="s">
        <v>651</v>
      </c>
      <c r="C363" s="391" t="s">
        <v>652</v>
      </c>
      <c r="D363" s="323"/>
      <c r="E363" s="259"/>
      <c r="F363" s="304"/>
      <c r="G363" s="246"/>
      <c r="H363" s="304"/>
      <c r="I363" s="246"/>
      <c r="J363" s="304"/>
      <c r="K363" s="246"/>
      <c r="L363" s="261"/>
      <c r="M363" s="250"/>
      <c r="N363" s="246"/>
      <c r="O363" s="304"/>
      <c r="P363" s="246"/>
      <c r="Q363" s="304"/>
      <c r="R363" s="246"/>
      <c r="S363" s="261"/>
      <c r="T363" s="250"/>
      <c r="U363" s="246"/>
      <c r="V363" s="304"/>
      <c r="W363" s="246"/>
      <c r="X363" s="304"/>
      <c r="Y363" s="246"/>
      <c r="Z363" s="261"/>
      <c r="AA363" s="250"/>
      <c r="AB363" s="246"/>
      <c r="AC363" s="304"/>
      <c r="AD363" s="246"/>
      <c r="AE363" s="304"/>
      <c r="AF363" s="246"/>
      <c r="AG363" s="261"/>
      <c r="AH363" s="304"/>
      <c r="AI363" s="246"/>
      <c r="AJ363" s="304"/>
      <c r="AK363" s="246"/>
      <c r="AL363" s="304"/>
      <c r="AM363" s="246"/>
      <c r="AN363" s="261"/>
      <c r="AO363" s="250"/>
      <c r="AP363" s="246"/>
      <c r="AQ363" s="304"/>
      <c r="AR363" s="246"/>
      <c r="AS363" s="304"/>
      <c r="AT363" s="254" t="str">
        <f t="shared" si="72"/>
        <v/>
      </c>
      <c r="AU363" s="269"/>
      <c r="AV363" s="269"/>
    </row>
    <row r="364">
      <c r="A364" s="94"/>
      <c r="B364" s="392" t="s">
        <v>691</v>
      </c>
      <c r="C364" s="393" t="s">
        <v>652</v>
      </c>
      <c r="D364" s="330"/>
      <c r="E364" s="259"/>
      <c r="F364" s="307"/>
      <c r="G364" s="246"/>
      <c r="H364" s="307"/>
      <c r="I364" s="246"/>
      <c r="J364" s="307"/>
      <c r="K364" s="246"/>
      <c r="L364" s="261"/>
      <c r="M364" s="250"/>
      <c r="N364" s="246"/>
      <c r="O364" s="696" t="s">
        <v>397</v>
      </c>
      <c r="P364" s="246"/>
      <c r="Q364" s="307"/>
      <c r="R364" s="246"/>
      <c r="S364" s="261"/>
      <c r="T364" s="250"/>
      <c r="U364" s="246"/>
      <c r="V364" s="307"/>
      <c r="W364" s="246"/>
      <c r="X364" s="307"/>
      <c r="Y364" s="246"/>
      <c r="Z364" s="261"/>
      <c r="AA364" s="250"/>
      <c r="AB364" s="246"/>
      <c r="AC364" s="395" t="s">
        <v>398</v>
      </c>
      <c r="AD364" s="246"/>
      <c r="AE364" s="307"/>
      <c r="AF364" s="246"/>
      <c r="AG364" s="261"/>
      <c r="AH364" s="307"/>
      <c r="AI364" s="246"/>
      <c r="AJ364" s="307"/>
      <c r="AK364" s="246"/>
      <c r="AL364" s="307"/>
      <c r="AM364" s="246"/>
      <c r="AN364" s="261"/>
      <c r="AO364" s="250"/>
      <c r="AP364" s="246"/>
      <c r="AQ364" s="307"/>
      <c r="AR364" s="246"/>
      <c r="AS364" s="307"/>
      <c r="AT364" s="254" t="str">
        <f t="shared" si="72"/>
        <v/>
      </c>
      <c r="AU364" s="269"/>
      <c r="AV364" s="269"/>
    </row>
    <row r="365">
      <c r="A365" s="94"/>
      <c r="B365" s="328" t="s">
        <v>692</v>
      </c>
      <c r="C365" s="329" t="s">
        <v>652</v>
      </c>
      <c r="D365" s="369"/>
      <c r="E365" s="259"/>
      <c r="F365" s="371"/>
      <c r="G365" s="246"/>
      <c r="H365" s="371"/>
      <c r="I365" s="246"/>
      <c r="J365" s="282"/>
      <c r="K365" s="246"/>
      <c r="L365" s="261"/>
      <c r="M365" s="250"/>
      <c r="N365" s="246"/>
      <c r="O365" s="371"/>
      <c r="P365" s="246"/>
      <c r="Q365" s="371"/>
      <c r="R365" s="246"/>
      <c r="S365" s="261"/>
      <c r="T365" s="250"/>
      <c r="U365" s="246"/>
      <c r="V365" s="282"/>
      <c r="W365" s="246"/>
      <c r="X365" s="371"/>
      <c r="Y365" s="246"/>
      <c r="Z365" s="261"/>
      <c r="AA365" s="250"/>
      <c r="AB365" s="246"/>
      <c r="AC365" s="371"/>
      <c r="AD365" s="246"/>
      <c r="AE365" s="371"/>
      <c r="AF365" s="246"/>
      <c r="AG365" s="261"/>
      <c r="AH365" s="371"/>
      <c r="AI365" s="246"/>
      <c r="AK365" s="246"/>
      <c r="AL365" s="371"/>
      <c r="AM365" s="246"/>
      <c r="AN365" s="261"/>
      <c r="AO365" s="250"/>
      <c r="AP365" s="246"/>
      <c r="AQ365" s="371"/>
      <c r="AR365" s="246"/>
      <c r="AS365" s="282"/>
      <c r="AT365" s="254" t="str">
        <f t="shared" si="72"/>
        <v/>
      </c>
      <c r="AU365" s="269"/>
      <c r="AV365" s="269"/>
    </row>
    <row r="366">
      <c r="A366" s="94"/>
      <c r="B366" s="397" t="s">
        <v>692</v>
      </c>
      <c r="C366" s="398" t="s">
        <v>687</v>
      </c>
      <c r="D366" s="389"/>
      <c r="E366" s="259"/>
      <c r="F366" s="399"/>
      <c r="G366" s="246"/>
      <c r="H366" s="399"/>
      <c r="I366" s="246"/>
      <c r="J366" s="399"/>
      <c r="K366" s="246"/>
      <c r="L366" s="261"/>
      <c r="M366" s="250"/>
      <c r="N366" s="246"/>
      <c r="P366" s="246"/>
      <c r="Q366" s="282"/>
      <c r="R366" s="246"/>
      <c r="S366" s="261"/>
      <c r="T366" s="250"/>
      <c r="U366" s="246"/>
      <c r="V366" s="282"/>
      <c r="W366" s="246"/>
      <c r="X366" s="399"/>
      <c r="Y366" s="246"/>
      <c r="Z366" s="261"/>
      <c r="AA366" s="250"/>
      <c r="AB366" s="246"/>
      <c r="AC366" s="399"/>
      <c r="AD366" s="246"/>
      <c r="AE366" s="399"/>
      <c r="AF366" s="246"/>
      <c r="AG366" s="261"/>
      <c r="AH366" s="399"/>
      <c r="AI366" s="246"/>
      <c r="AJ366" s="399"/>
      <c r="AK366" s="246"/>
      <c r="AL366" s="399"/>
      <c r="AM366" s="246"/>
      <c r="AN366" s="261"/>
      <c r="AO366" s="250"/>
      <c r="AP366" s="246"/>
      <c r="AQ366" s="399"/>
      <c r="AR366" s="246"/>
      <c r="AS366" s="399"/>
      <c r="AT366" s="254" t="str">
        <f t="shared" si="72"/>
        <v/>
      </c>
      <c r="AU366" s="269"/>
      <c r="AV366" s="269"/>
    </row>
    <row r="367">
      <c r="A367" s="94"/>
      <c r="B367" s="387" t="s">
        <v>694</v>
      </c>
      <c r="C367" s="388" t="s">
        <v>649</v>
      </c>
      <c r="D367" s="323"/>
      <c r="E367" s="259"/>
      <c r="F367" s="390"/>
      <c r="G367" s="246"/>
      <c r="H367" s="390"/>
      <c r="I367" s="246"/>
      <c r="J367" s="390"/>
      <c r="K367" s="246"/>
      <c r="L367" s="261"/>
      <c r="M367" s="250"/>
      <c r="N367" s="246"/>
      <c r="O367" s="390"/>
      <c r="P367" s="246"/>
      <c r="Q367" s="357" t="s">
        <v>425</v>
      </c>
      <c r="R367" s="246"/>
      <c r="S367" s="261"/>
      <c r="T367" s="250"/>
      <c r="U367" s="246"/>
      <c r="V367" s="390"/>
      <c r="W367" s="246"/>
      <c r="X367" s="357" t="s">
        <v>425</v>
      </c>
      <c r="Y367" s="246"/>
      <c r="Z367" s="261"/>
      <c r="AA367" s="250"/>
      <c r="AB367" s="246"/>
      <c r="AC367" s="390"/>
      <c r="AD367" s="246"/>
      <c r="AE367" s="357" t="s">
        <v>425</v>
      </c>
      <c r="AF367" s="246"/>
      <c r="AG367" s="261"/>
      <c r="AH367" s="390"/>
      <c r="AI367" s="246"/>
      <c r="AJ367" s="390"/>
      <c r="AK367" s="246"/>
      <c r="AL367" s="357" t="s">
        <v>425</v>
      </c>
      <c r="AM367" s="246"/>
      <c r="AN367" s="261"/>
      <c r="AO367" s="250"/>
      <c r="AP367" s="246"/>
      <c r="AQ367" s="390"/>
      <c r="AR367" s="246"/>
      <c r="AS367" s="357" t="s">
        <v>425</v>
      </c>
      <c r="AT367" s="254" t="str">
        <f t="shared" si="72"/>
        <v/>
      </c>
      <c r="AU367" s="269"/>
      <c r="AV367" s="269"/>
    </row>
    <row r="368">
      <c r="A368" s="94"/>
      <c r="B368" s="296" t="s">
        <v>650</v>
      </c>
      <c r="C368" s="297" t="s">
        <v>649</v>
      </c>
      <c r="D368" s="323"/>
      <c r="E368" s="261"/>
      <c r="F368" s="300"/>
      <c r="G368" s="298"/>
      <c r="H368" s="300"/>
      <c r="I368" s="298"/>
      <c r="J368" s="300"/>
      <c r="K368" s="298"/>
      <c r="L368" s="261"/>
      <c r="M368" s="250"/>
      <c r="N368" s="298"/>
      <c r="O368" s="300"/>
      <c r="P368" s="298"/>
      <c r="Q368" s="319"/>
      <c r="R368" s="298"/>
      <c r="S368" s="261"/>
      <c r="T368" s="250"/>
      <c r="U368" s="298"/>
      <c r="V368" s="300"/>
      <c r="W368" s="298"/>
      <c r="X368" s="300"/>
      <c r="Y368" s="298"/>
      <c r="Z368" s="261"/>
      <c r="AA368" s="250"/>
      <c r="AB368" s="298"/>
      <c r="AC368" s="300"/>
      <c r="AD368" s="298"/>
      <c r="AE368" s="300"/>
      <c r="AF368" s="298"/>
      <c r="AG368" s="261"/>
      <c r="AH368" s="300"/>
      <c r="AI368" s="298"/>
      <c r="AJ368" s="300"/>
      <c r="AK368" s="298"/>
      <c r="AL368" s="300"/>
      <c r="AM368" s="298"/>
      <c r="AN368" s="261"/>
      <c r="AO368" s="250"/>
      <c r="AP368" s="298"/>
      <c r="AQ368" s="300"/>
      <c r="AR368" s="298"/>
      <c r="AS368" s="300"/>
      <c r="AT368" s="254" t="str">
        <f t="shared" si="72"/>
        <v/>
      </c>
      <c r="AU368" s="269"/>
      <c r="AV368" s="269"/>
    </row>
    <row r="369">
      <c r="A369" s="94"/>
      <c r="B369" s="301" t="s">
        <v>651</v>
      </c>
      <c r="C369" s="391" t="s">
        <v>652</v>
      </c>
      <c r="D369" s="323"/>
      <c r="E369" s="259"/>
      <c r="F369" s="304"/>
      <c r="G369" s="298"/>
      <c r="H369" s="304"/>
      <c r="I369" s="298"/>
      <c r="J369" s="304"/>
      <c r="K369" s="298"/>
      <c r="L369" s="261"/>
      <c r="M369" s="250"/>
      <c r="N369" s="298"/>
      <c r="O369" s="304"/>
      <c r="P369" s="298"/>
      <c r="Q369" s="304"/>
      <c r="R369" s="298"/>
      <c r="S369" s="261"/>
      <c r="T369" s="250"/>
      <c r="U369" s="298"/>
      <c r="V369" s="304"/>
      <c r="W369" s="298"/>
      <c r="X369" s="304"/>
      <c r="Y369" s="298"/>
      <c r="Z369" s="261"/>
      <c r="AA369" s="250"/>
      <c r="AB369" s="298"/>
      <c r="AC369" s="304"/>
      <c r="AD369" s="298"/>
      <c r="AE369" s="304"/>
      <c r="AF369" s="298"/>
      <c r="AG369" s="261"/>
      <c r="AH369" s="304"/>
      <c r="AI369" s="298"/>
      <c r="AJ369" s="304"/>
      <c r="AK369" s="298"/>
      <c r="AL369" s="304"/>
      <c r="AM369" s="298"/>
      <c r="AN369" s="261"/>
      <c r="AO369" s="250"/>
      <c r="AP369" s="298"/>
      <c r="AQ369" s="304"/>
      <c r="AR369" s="298"/>
      <c r="AS369" s="304"/>
      <c r="AT369" s="254" t="str">
        <f t="shared" ref="AT369:AT370" si="73">IF(COUNTIF($AO$80:$AT$82, #REF!) &gt; 0, "X", "")</f>
        <v/>
      </c>
      <c r="AU369" s="269"/>
      <c r="AV369" s="269"/>
    </row>
    <row r="370">
      <c r="A370" s="94"/>
      <c r="B370" s="392" t="s">
        <v>691</v>
      </c>
      <c r="C370" s="393" t="s">
        <v>652</v>
      </c>
      <c r="D370" s="330"/>
      <c r="E370" s="259"/>
      <c r="F370" s="307"/>
      <c r="G370" s="298"/>
      <c r="H370" s="307"/>
      <c r="I370" s="298"/>
      <c r="J370" s="307"/>
      <c r="K370" s="298"/>
      <c r="L370" s="261"/>
      <c r="M370" s="250"/>
      <c r="N370" s="298"/>
      <c r="O370" s="307"/>
      <c r="P370" s="298"/>
      <c r="Q370" s="309" t="s">
        <v>406</v>
      </c>
      <c r="R370" s="298"/>
      <c r="S370" s="261"/>
      <c r="T370" s="250"/>
      <c r="U370" s="298"/>
      <c r="V370" s="307"/>
      <c r="W370" s="298"/>
      <c r="X370" s="395" t="s">
        <v>430</v>
      </c>
      <c r="Y370" s="298"/>
      <c r="Z370" s="261"/>
      <c r="AA370" s="250"/>
      <c r="AB370" s="298"/>
      <c r="AC370" s="307"/>
      <c r="AD370" s="298"/>
      <c r="AE370" s="395" t="s">
        <v>430</v>
      </c>
      <c r="AF370" s="298"/>
      <c r="AG370" s="261"/>
      <c r="AH370" s="307"/>
      <c r="AI370" s="298"/>
      <c r="AJ370" s="307"/>
      <c r="AK370" s="298"/>
      <c r="AL370" s="308" t="s">
        <v>445</v>
      </c>
      <c r="AM370" s="298"/>
      <c r="AN370" s="261"/>
      <c r="AO370" s="250"/>
      <c r="AP370" s="298"/>
      <c r="AQ370" s="307"/>
      <c r="AR370" s="298"/>
      <c r="AS370" s="308" t="s">
        <v>445</v>
      </c>
      <c r="AT370" s="254" t="str">
        <f t="shared" si="73"/>
        <v/>
      </c>
      <c r="AU370" s="269"/>
      <c r="AV370" s="269"/>
    </row>
    <row r="371">
      <c r="A371" s="94"/>
      <c r="B371" s="328" t="s">
        <v>692</v>
      </c>
      <c r="C371" s="329" t="s">
        <v>652</v>
      </c>
      <c r="D371" s="369"/>
      <c r="E371" s="259"/>
      <c r="F371" s="371"/>
      <c r="G371" s="246"/>
      <c r="I371" s="246"/>
      <c r="J371" s="371"/>
      <c r="K371" s="246"/>
      <c r="L371" s="261"/>
      <c r="M371" s="250"/>
      <c r="N371" s="246"/>
      <c r="O371" s="371"/>
      <c r="P371" s="246"/>
      <c r="Q371" s="371"/>
      <c r="R371" s="246"/>
      <c r="S371" s="261"/>
      <c r="T371" s="250"/>
      <c r="U371" s="246"/>
      <c r="V371" s="371"/>
      <c r="W371" s="246"/>
      <c r="X371" s="282"/>
      <c r="Y371" s="246"/>
      <c r="Z371" s="261"/>
      <c r="AA371" s="250"/>
      <c r="AB371" s="246"/>
      <c r="AC371" s="282"/>
      <c r="AD371" s="246"/>
      <c r="AE371" s="584"/>
      <c r="AF371" s="246"/>
      <c r="AG371" s="261"/>
      <c r="AH371" s="371"/>
      <c r="AI371" s="246"/>
      <c r="AJ371" s="371"/>
      <c r="AK371" s="246"/>
      <c r="AL371" s="282"/>
      <c r="AM371" s="246"/>
      <c r="AN371" s="261"/>
      <c r="AO371" s="250"/>
      <c r="AP371" s="246"/>
      <c r="AQ371" s="371"/>
      <c r="AR371" s="246"/>
      <c r="AS371" s="282"/>
      <c r="AT371" s="254" t="str">
        <f t="shared" ref="AT371:AT374" si="74">IF(COUNTIF($AO$80:$AT$82, AS372) &gt; 0, "X", "")</f>
        <v/>
      </c>
      <c r="AU371" s="269"/>
      <c r="AV371" s="269"/>
    </row>
    <row r="372">
      <c r="A372" s="94"/>
      <c r="B372" s="397" t="s">
        <v>692</v>
      </c>
      <c r="C372" s="398" t="s">
        <v>687</v>
      </c>
      <c r="D372" s="404"/>
      <c r="E372" s="259"/>
      <c r="F372" s="399"/>
      <c r="G372" s="246"/>
      <c r="H372" s="399"/>
      <c r="I372" s="246"/>
      <c r="J372" s="399"/>
      <c r="K372" s="246"/>
      <c r="L372" s="261"/>
      <c r="M372" s="250"/>
      <c r="N372" s="246"/>
      <c r="O372" s="399"/>
      <c r="P372" s="246"/>
      <c r="Q372" s="282"/>
      <c r="R372" s="246"/>
      <c r="S372" s="261"/>
      <c r="T372" s="250"/>
      <c r="U372" s="246"/>
      <c r="V372" s="399"/>
      <c r="W372" s="246"/>
      <c r="X372" s="399"/>
      <c r="Y372" s="246"/>
      <c r="Z372" s="261"/>
      <c r="AA372" s="250"/>
      <c r="AB372" s="246"/>
      <c r="AC372" s="282"/>
      <c r="AD372" s="246"/>
      <c r="AE372" s="399"/>
      <c r="AF372" s="246"/>
      <c r="AG372" s="261"/>
      <c r="AH372" s="399"/>
      <c r="AI372" s="246"/>
      <c r="AJ372" s="399"/>
      <c r="AK372" s="246"/>
      <c r="AL372" s="399"/>
      <c r="AM372" s="246"/>
      <c r="AN372" s="261"/>
      <c r="AO372" s="250"/>
      <c r="AP372" s="246"/>
      <c r="AQ372" s="399"/>
      <c r="AR372" s="246"/>
      <c r="AS372" s="399"/>
      <c r="AT372" s="254" t="str">
        <f t="shared" si="74"/>
        <v/>
      </c>
      <c r="AU372" s="269"/>
      <c r="AV372" s="269"/>
    </row>
    <row r="373">
      <c r="A373" s="270"/>
      <c r="B373" s="402" t="s">
        <v>699</v>
      </c>
      <c r="C373" s="403" t="s">
        <v>649</v>
      </c>
      <c r="D373" s="330"/>
      <c r="E373" s="259"/>
      <c r="F373" s="294"/>
      <c r="G373" s="246"/>
      <c r="H373" s="294"/>
      <c r="I373" s="246"/>
      <c r="J373" s="294"/>
      <c r="K373" s="246"/>
      <c r="L373" s="261"/>
      <c r="M373" s="250"/>
      <c r="N373" s="246"/>
      <c r="O373" s="294"/>
      <c r="P373" s="246"/>
      <c r="Q373" s="293" t="s">
        <v>426</v>
      </c>
      <c r="R373" s="246"/>
      <c r="S373" s="261"/>
      <c r="T373" s="250"/>
      <c r="U373" s="246"/>
      <c r="V373" s="294"/>
      <c r="W373" s="246"/>
      <c r="X373" s="294"/>
      <c r="Y373" s="246"/>
      <c r="Z373" s="261"/>
      <c r="AA373" s="250"/>
      <c r="AB373" s="246"/>
      <c r="AC373" s="294"/>
      <c r="AD373" s="246"/>
      <c r="AE373" s="293" t="s">
        <v>416</v>
      </c>
      <c r="AF373" s="246"/>
      <c r="AG373" s="261"/>
      <c r="AH373" s="294"/>
      <c r="AI373" s="246"/>
      <c r="AJ373" s="294"/>
      <c r="AK373" s="246"/>
      <c r="AL373" s="294"/>
      <c r="AM373" s="246"/>
      <c r="AN373" s="261"/>
      <c r="AO373" s="250"/>
      <c r="AP373" s="246"/>
      <c r="AQ373" s="294"/>
      <c r="AR373" s="246"/>
      <c r="AS373" s="294"/>
      <c r="AT373" s="254" t="str">
        <f t="shared" si="74"/>
        <v/>
      </c>
      <c r="AU373" s="269"/>
      <c r="AV373" s="269"/>
    </row>
    <row r="374">
      <c r="A374" s="94"/>
      <c r="B374" s="328" t="s">
        <v>700</v>
      </c>
      <c r="C374" s="329" t="s">
        <v>657</v>
      </c>
      <c r="D374" s="330"/>
      <c r="E374" s="259"/>
      <c r="F374" s="371"/>
      <c r="G374" s="246"/>
      <c r="H374" s="282"/>
      <c r="I374" s="246"/>
      <c r="J374" s="371"/>
      <c r="K374" s="246"/>
      <c r="L374" s="261"/>
      <c r="M374" s="250"/>
      <c r="N374" s="246"/>
      <c r="O374" s="371"/>
      <c r="P374" s="246"/>
      <c r="Q374" s="274" t="s">
        <v>437</v>
      </c>
      <c r="R374" s="246"/>
      <c r="S374" s="261"/>
      <c r="T374" s="250"/>
      <c r="U374" s="246"/>
      <c r="V374" s="371"/>
      <c r="W374" s="246"/>
      <c r="X374" s="371"/>
      <c r="Y374" s="246"/>
      <c r="Z374" s="261"/>
      <c r="AA374" s="250"/>
      <c r="AB374" s="246"/>
      <c r="AC374" s="371"/>
      <c r="AD374" s="246"/>
      <c r="AE374" s="274" t="s">
        <v>437</v>
      </c>
      <c r="AF374" s="246"/>
      <c r="AG374" s="261"/>
      <c r="AH374" s="371"/>
      <c r="AI374" s="246"/>
      <c r="AJ374" s="371"/>
      <c r="AK374" s="246"/>
      <c r="AL374" s="371"/>
      <c r="AM374" s="246"/>
      <c r="AN374" s="261"/>
      <c r="AO374" s="250"/>
      <c r="AP374" s="246"/>
      <c r="AQ374" s="282"/>
      <c r="AR374" s="246"/>
      <c r="AS374" s="371"/>
      <c r="AT374" s="254" t="str">
        <f t="shared" si="74"/>
        <v/>
      </c>
      <c r="AU374" s="269"/>
      <c r="AV374" s="269"/>
    </row>
    <row r="375">
      <c r="A375" s="94"/>
      <c r="B375" s="328" t="s">
        <v>700</v>
      </c>
      <c r="C375" s="329" t="s">
        <v>657</v>
      </c>
      <c r="D375" s="330"/>
      <c r="E375" s="259"/>
      <c r="F375" s="264"/>
      <c r="G375" s="246"/>
      <c r="H375" s="265"/>
      <c r="I375" s="246"/>
      <c r="J375" s="264"/>
      <c r="K375" s="246"/>
      <c r="L375" s="261"/>
      <c r="M375" s="262"/>
      <c r="N375" s="246"/>
      <c r="O375" s="265"/>
      <c r="P375" s="246"/>
      <c r="Q375" s="405" t="s">
        <v>462</v>
      </c>
      <c r="R375" s="246"/>
      <c r="S375" s="261"/>
      <c r="T375" s="262"/>
      <c r="U375" s="246"/>
      <c r="V375" s="264"/>
      <c r="W375" s="246"/>
      <c r="X375" s="264"/>
      <c r="Y375" s="246"/>
      <c r="Z375" s="261"/>
      <c r="AA375" s="262"/>
      <c r="AB375" s="246"/>
      <c r="AC375" s="264"/>
      <c r="AD375" s="246"/>
      <c r="AE375" s="405" t="s">
        <v>462</v>
      </c>
      <c r="AF375" s="246"/>
      <c r="AG375" s="261"/>
      <c r="AH375" s="264"/>
      <c r="AI375" s="246"/>
      <c r="AK375" s="246"/>
      <c r="AL375" s="264"/>
      <c r="AM375" s="246"/>
      <c r="AN375" s="261"/>
      <c r="AO375" s="262"/>
      <c r="AP375" s="246"/>
      <c r="AR375" s="246"/>
      <c r="AS375" s="264"/>
      <c r="AT375" s="254" t="str">
        <f>IF(COUNTIF($AO$80:$AT$82, #REF!) &gt; 0, "X", "")</f>
        <v/>
      </c>
      <c r="AU375" s="269"/>
      <c r="AV375" s="269"/>
    </row>
    <row r="376">
      <c r="A376" s="94"/>
      <c r="B376" s="328" t="s">
        <v>700</v>
      </c>
      <c r="C376" s="329" t="s">
        <v>657</v>
      </c>
      <c r="D376" s="351"/>
      <c r="E376" s="259"/>
      <c r="F376" s="282"/>
      <c r="G376" s="246"/>
      <c r="H376" s="282"/>
      <c r="I376" s="246"/>
      <c r="K376" s="246"/>
      <c r="L376" s="261"/>
      <c r="M376" s="250"/>
      <c r="N376" s="246"/>
      <c r="O376" s="282"/>
      <c r="P376" s="246"/>
      <c r="Q376" s="282"/>
      <c r="R376" s="246"/>
      <c r="S376" s="261"/>
      <c r="T376" s="250"/>
      <c r="U376" s="246"/>
      <c r="V376" s="282"/>
      <c r="W376" s="246"/>
      <c r="Y376" s="246"/>
      <c r="Z376" s="261"/>
      <c r="AA376" s="250"/>
      <c r="AB376" s="246"/>
      <c r="AC376" s="282"/>
      <c r="AD376" s="246"/>
      <c r="AE376" s="282"/>
      <c r="AF376" s="246"/>
      <c r="AG376" s="261"/>
      <c r="AH376" s="371"/>
      <c r="AI376" s="246"/>
      <c r="AJ376" s="282"/>
      <c r="AK376" s="246"/>
      <c r="AL376" s="399"/>
      <c r="AM376" s="246"/>
      <c r="AN376" s="261"/>
      <c r="AO376" s="250"/>
      <c r="AP376" s="246"/>
      <c r="AQ376" s="371"/>
      <c r="AR376" s="246"/>
      <c r="AS376" s="282"/>
      <c r="AT376" s="254" t="str">
        <f t="shared" ref="AT376:AT377" si="75">IF(COUNTIF($AO$80:$AT$82, AS377) &gt; 0, "X", "")</f>
        <v/>
      </c>
      <c r="AU376" s="269"/>
      <c r="AV376" s="269"/>
    </row>
    <row r="377">
      <c r="A377" s="94"/>
      <c r="B377" s="408" t="s">
        <v>702</v>
      </c>
      <c r="C377" s="409" t="s">
        <v>652</v>
      </c>
      <c r="D377" s="323"/>
      <c r="E377" s="259"/>
      <c r="F377" s="411"/>
      <c r="G377" s="246"/>
      <c r="H377" s="411"/>
      <c r="I377" s="246"/>
      <c r="J377" s="411"/>
      <c r="K377" s="246"/>
      <c r="L377" s="261"/>
      <c r="M377" s="262"/>
      <c r="N377" s="246"/>
      <c r="O377" s="411"/>
      <c r="P377" s="246"/>
      <c r="Q377" s="411"/>
      <c r="R377" s="246"/>
      <c r="S377" s="261"/>
      <c r="T377" s="262"/>
      <c r="U377" s="246"/>
      <c r="V377" s="411"/>
      <c r="W377" s="246"/>
      <c r="X377" s="411"/>
      <c r="Y377" s="246"/>
      <c r="Z377" s="261"/>
      <c r="AA377" s="262"/>
      <c r="AB377" s="246"/>
      <c r="AC377" s="411"/>
      <c r="AD377" s="246"/>
      <c r="AE377" s="411"/>
      <c r="AF377" s="246"/>
      <c r="AG377" s="261"/>
      <c r="AH377" s="411"/>
      <c r="AI377" s="246"/>
      <c r="AJ377" s="411"/>
      <c r="AK377" s="246"/>
      <c r="AL377" s="411"/>
      <c r="AM377" s="246"/>
      <c r="AN377" s="261"/>
      <c r="AO377" s="262"/>
      <c r="AP377" s="246"/>
      <c r="AQ377" s="411"/>
      <c r="AR377" s="246"/>
      <c r="AS377" s="411"/>
      <c r="AT377" s="254" t="str">
        <f t="shared" si="75"/>
        <v/>
      </c>
      <c r="AU377" s="269"/>
      <c r="AV377" s="269"/>
    </row>
    <row r="378">
      <c r="A378" s="234"/>
      <c r="B378" s="401" t="s">
        <v>703</v>
      </c>
      <c r="C378" s="412" t="s">
        <v>704</v>
      </c>
      <c r="D378" s="330"/>
      <c r="E378" s="259"/>
      <c r="F378" s="413"/>
      <c r="G378" s="246"/>
      <c r="H378" s="413"/>
      <c r="I378" s="246"/>
      <c r="J378" s="413"/>
      <c r="K378" s="246"/>
      <c r="L378" s="261"/>
      <c r="M378" s="262"/>
      <c r="N378" s="246"/>
      <c r="O378" s="413"/>
      <c r="P378" s="246"/>
      <c r="Q378" s="413"/>
      <c r="R378" s="246"/>
      <c r="S378" s="261"/>
      <c r="T378" s="262"/>
      <c r="U378" s="246"/>
      <c r="V378" s="413"/>
      <c r="W378" s="246"/>
      <c r="X378" s="413"/>
      <c r="Y378" s="246"/>
      <c r="Z378" s="261"/>
      <c r="AA378" s="262"/>
      <c r="AB378" s="246"/>
      <c r="AC378" s="413"/>
      <c r="AD378" s="246"/>
      <c r="AE378" s="413"/>
      <c r="AF378" s="246"/>
      <c r="AG378" s="261"/>
      <c r="AH378" s="413"/>
      <c r="AI378" s="246"/>
      <c r="AJ378" s="413"/>
      <c r="AK378" s="246"/>
      <c r="AL378" s="413"/>
      <c r="AM378" s="246"/>
      <c r="AN378" s="261"/>
      <c r="AO378" s="262"/>
      <c r="AP378" s="246"/>
      <c r="AQ378" s="413"/>
      <c r="AR378" s="246"/>
      <c r="AS378" s="413"/>
      <c r="AT378" s="254" t="str">
        <f t="shared" ref="AT378:AT380" si="76">IF(COUNTIF($AO$80:$AT$82, #REF!) &gt; 0, "X", "")</f>
        <v/>
      </c>
      <c r="AU378" s="269"/>
      <c r="AV378" s="269"/>
    </row>
    <row r="379">
      <c r="A379" s="234"/>
      <c r="B379" s="414" t="s">
        <v>705</v>
      </c>
      <c r="C379" s="415" t="s">
        <v>704</v>
      </c>
      <c r="D379" s="330"/>
      <c r="E379" s="259"/>
      <c r="F379" s="251" t="s">
        <v>432</v>
      </c>
      <c r="G379" s="246"/>
      <c r="H379" s="311" t="s">
        <v>438</v>
      </c>
      <c r="I379" s="246"/>
      <c r="J379" s="586" t="s">
        <v>452</v>
      </c>
      <c r="K379" s="246"/>
      <c r="L379" s="261"/>
      <c r="M379" s="341"/>
      <c r="N379" s="246"/>
      <c r="O379" s="311" t="s">
        <v>438</v>
      </c>
      <c r="P379" s="246"/>
      <c r="Q379" s="311" t="s">
        <v>470</v>
      </c>
      <c r="R379" s="246"/>
      <c r="S379" s="261"/>
      <c r="T379" s="341"/>
      <c r="U379" s="246"/>
      <c r="V379" s="251" t="s">
        <v>407</v>
      </c>
      <c r="W379" s="246"/>
      <c r="X379" s="311" t="s">
        <v>467</v>
      </c>
      <c r="Y379" s="246"/>
      <c r="Z379" s="261"/>
      <c r="AA379" s="341"/>
      <c r="AB379" s="246"/>
      <c r="AC379" s="290" t="s">
        <v>432</v>
      </c>
      <c r="AD379" s="246"/>
      <c r="AE379" s="311" t="s">
        <v>467</v>
      </c>
      <c r="AF379" s="246"/>
      <c r="AG379" s="261"/>
      <c r="AH379" s="282"/>
      <c r="AI379" s="246"/>
      <c r="AJ379" s="311" t="s">
        <v>438</v>
      </c>
      <c r="AK379" s="246"/>
      <c r="AL379" s="586" t="s">
        <v>452</v>
      </c>
      <c r="AM379" s="246"/>
      <c r="AN379" s="261"/>
      <c r="AO379" s="341"/>
      <c r="AP379" s="246"/>
      <c r="AQ379" s="251" t="s">
        <v>407</v>
      </c>
      <c r="AR379" s="246"/>
      <c r="AS379" s="586" t="s">
        <v>452</v>
      </c>
      <c r="AT379" s="254" t="str">
        <f t="shared" si="76"/>
        <v/>
      </c>
      <c r="AU379" s="269"/>
      <c r="AV379" s="269"/>
    </row>
    <row r="380">
      <c r="A380" s="94"/>
      <c r="B380" s="328" t="s">
        <v>705</v>
      </c>
      <c r="C380" s="257" t="s">
        <v>657</v>
      </c>
      <c r="D380" s="330"/>
      <c r="E380" s="259"/>
      <c r="F380" s="311" t="s">
        <v>467</v>
      </c>
      <c r="G380" s="246"/>
      <c r="H380" s="339" t="s">
        <v>404</v>
      </c>
      <c r="I380" s="246"/>
      <c r="J380" s="311" t="s">
        <v>410</v>
      </c>
      <c r="K380" s="246"/>
      <c r="L380" s="261"/>
      <c r="M380" s="341"/>
      <c r="N380" s="246"/>
      <c r="O380" s="339" t="s">
        <v>404</v>
      </c>
      <c r="P380" s="246"/>
      <c r="Q380" s="290" t="s">
        <v>432</v>
      </c>
      <c r="R380" s="246"/>
      <c r="S380" s="261"/>
      <c r="T380" s="341"/>
      <c r="U380" s="246"/>
      <c r="V380" s="364" t="s">
        <v>840</v>
      </c>
      <c r="W380" s="246"/>
      <c r="X380" s="697" t="s">
        <v>410</v>
      </c>
      <c r="Y380" s="246"/>
      <c r="Z380" s="261"/>
      <c r="AA380" s="341"/>
      <c r="AB380" s="246"/>
      <c r="AC380" s="664" t="s">
        <v>969</v>
      </c>
      <c r="AD380" s="246"/>
      <c r="AE380" s="311" t="s">
        <v>470</v>
      </c>
      <c r="AF380" s="246"/>
      <c r="AG380" s="261"/>
      <c r="AH380" s="311" t="s">
        <v>467</v>
      </c>
      <c r="AI380" s="246"/>
      <c r="AJ380" s="664" t="s">
        <v>969</v>
      </c>
      <c r="AK380" s="246"/>
      <c r="AL380" s="251" t="s">
        <v>405</v>
      </c>
      <c r="AM380" s="246"/>
      <c r="AN380" s="261"/>
      <c r="AO380" s="341"/>
      <c r="AP380" s="246"/>
      <c r="AQ380" s="339" t="s">
        <v>404</v>
      </c>
      <c r="AR380" s="246"/>
      <c r="AS380" s="311" t="s">
        <v>470</v>
      </c>
      <c r="AT380" s="254" t="str">
        <f t="shared" si="76"/>
        <v/>
      </c>
      <c r="AU380" s="269"/>
      <c r="AV380" s="269"/>
    </row>
    <row r="381">
      <c r="A381" s="94"/>
      <c r="B381" s="277" t="s">
        <v>705</v>
      </c>
      <c r="C381" s="329" t="s">
        <v>685</v>
      </c>
      <c r="D381" s="369"/>
      <c r="E381" s="259"/>
      <c r="F381" s="251" t="s">
        <v>405</v>
      </c>
      <c r="G381" s="246"/>
      <c r="H381" s="251" t="s">
        <v>440</v>
      </c>
      <c r="I381" s="246"/>
      <c r="J381" s="311" t="s">
        <v>470</v>
      </c>
      <c r="K381" s="246"/>
      <c r="L381" s="261"/>
      <c r="M381" s="341"/>
      <c r="N381" s="246"/>
      <c r="O381" s="251" t="s">
        <v>440</v>
      </c>
      <c r="P381" s="246"/>
      <c r="Q381" s="251" t="s">
        <v>405</v>
      </c>
      <c r="R381" s="246"/>
      <c r="S381" s="261"/>
      <c r="T381" s="341"/>
      <c r="U381" s="246"/>
      <c r="V381" s="274" t="s">
        <v>406</v>
      </c>
      <c r="W381" s="246"/>
      <c r="X381" s="586" t="s">
        <v>452</v>
      </c>
      <c r="Y381" s="246"/>
      <c r="Z381" s="261"/>
      <c r="AA381" s="341"/>
      <c r="AB381" s="246"/>
      <c r="AC381" s="251" t="s">
        <v>440</v>
      </c>
      <c r="AD381" s="246"/>
      <c r="AE381" s="251" t="s">
        <v>405</v>
      </c>
      <c r="AF381" s="246"/>
      <c r="AG381" s="261"/>
      <c r="AH381" s="311" t="s">
        <v>470</v>
      </c>
      <c r="AI381" s="246"/>
      <c r="AJ381" s="364" t="s">
        <v>840</v>
      </c>
      <c r="AK381" s="246"/>
      <c r="AM381" s="246"/>
      <c r="AN381" s="261"/>
      <c r="AO381" s="341"/>
      <c r="AP381" s="246"/>
      <c r="AR381" s="246"/>
      <c r="AT381" s="254" t="str">
        <f>IF(COUNTIF($AO$80:$AT$82, AO381) &gt; 0, "X", "")</f>
        <v/>
      </c>
      <c r="AU381" s="269"/>
      <c r="AV381" s="269"/>
    </row>
    <row r="382">
      <c r="A382" s="94"/>
      <c r="B382" s="271" t="s">
        <v>705</v>
      </c>
      <c r="C382" s="272" t="s">
        <v>687</v>
      </c>
      <c r="D382" s="330"/>
      <c r="E382" s="259"/>
      <c r="G382" s="246"/>
      <c r="I382" s="246"/>
      <c r="K382" s="246"/>
      <c r="L382" s="261"/>
      <c r="M382" s="341"/>
      <c r="N382" s="246"/>
      <c r="P382" s="246"/>
      <c r="Q382" s="282"/>
      <c r="R382" s="246"/>
      <c r="S382" s="261"/>
      <c r="T382" s="341"/>
      <c r="U382" s="246"/>
      <c r="V382" s="282"/>
      <c r="W382" s="246"/>
      <c r="Y382" s="246"/>
      <c r="Z382" s="261"/>
      <c r="AA382" s="341"/>
      <c r="AB382" s="246"/>
      <c r="AD382" s="246"/>
      <c r="AF382" s="246"/>
      <c r="AG382" s="261"/>
      <c r="AH382" s="282"/>
      <c r="AI382" s="246"/>
      <c r="AJ382" s="282"/>
      <c r="AK382" s="246"/>
      <c r="AM382" s="246"/>
      <c r="AN382" s="261"/>
      <c r="AO382" s="341"/>
      <c r="AP382" s="246"/>
      <c r="AQ382" s="325" t="s">
        <v>841</v>
      </c>
      <c r="AR382" s="246"/>
      <c r="AT382" s="254" t="str">
        <f>IF(COUNTIF($AO$80:$AT$82, #REF!) &gt; 0, "X", "")</f>
        <v/>
      </c>
      <c r="AU382" s="269"/>
      <c r="AV382" s="269"/>
    </row>
    <row r="383">
      <c r="A383" s="270"/>
      <c r="B383" s="397" t="s">
        <v>708</v>
      </c>
      <c r="C383" s="398" t="s">
        <v>654</v>
      </c>
      <c r="D383" s="330"/>
      <c r="E383" s="259"/>
      <c r="F383" s="275"/>
      <c r="G383" s="246"/>
      <c r="H383" s="311" t="s">
        <v>441</v>
      </c>
      <c r="I383" s="246"/>
      <c r="J383" s="374" t="s">
        <v>446</v>
      </c>
      <c r="K383" s="246"/>
      <c r="L383" s="261"/>
      <c r="M383" s="341"/>
      <c r="N383" s="246"/>
      <c r="O383" s="311" t="s">
        <v>441</v>
      </c>
      <c r="P383" s="246"/>
      <c r="Q383" s="374" t="s">
        <v>446</v>
      </c>
      <c r="R383" s="246"/>
      <c r="S383" s="261"/>
      <c r="T383" s="341"/>
      <c r="U383" s="246"/>
      <c r="V383" s="365" t="s">
        <v>469</v>
      </c>
      <c r="W383" s="246"/>
      <c r="X383" s="311" t="s">
        <v>441</v>
      </c>
      <c r="Y383" s="246"/>
      <c r="Z383" s="261"/>
      <c r="AA383" s="341"/>
      <c r="AB383" s="246"/>
      <c r="AC383" s="311" t="s">
        <v>441</v>
      </c>
      <c r="AD383" s="246"/>
      <c r="AE383" s="311" t="s">
        <v>446</v>
      </c>
      <c r="AF383" s="246"/>
      <c r="AG383" s="261"/>
      <c r="AH383" s="275"/>
      <c r="AI383" s="246"/>
      <c r="AJ383" s="311" t="s">
        <v>441</v>
      </c>
      <c r="AK383" s="246"/>
      <c r="AL383" s="374" t="s">
        <v>446</v>
      </c>
      <c r="AM383" s="246"/>
      <c r="AN383" s="261"/>
      <c r="AO383" s="341"/>
      <c r="AP383" s="246"/>
      <c r="AQ383" s="365" t="s">
        <v>469</v>
      </c>
      <c r="AR383" s="246"/>
      <c r="AS383" s="374" t="s">
        <v>446</v>
      </c>
      <c r="AT383" s="254" t="str">
        <f t="shared" ref="AT383:AT384" si="77">IF(COUNTIF($AO$80:$AT$82, AS384) &gt; 0, "X", "")</f>
        <v/>
      </c>
      <c r="AU383" s="269"/>
      <c r="AV383" s="269"/>
    </row>
    <row r="384">
      <c r="A384" s="94"/>
      <c r="B384" s="277" t="s">
        <v>709</v>
      </c>
      <c r="C384" s="278" t="s">
        <v>710</v>
      </c>
      <c r="D384" s="323"/>
      <c r="E384" s="259"/>
      <c r="F384" s="281"/>
      <c r="G384" s="246"/>
      <c r="H384" s="282"/>
      <c r="I384" s="246"/>
      <c r="J384" s="281"/>
      <c r="K384" s="246"/>
      <c r="L384" s="261"/>
      <c r="M384" s="286"/>
      <c r="N384" s="246"/>
      <c r="O384" s="281"/>
      <c r="P384" s="246"/>
      <c r="R384" s="246"/>
      <c r="S384" s="261"/>
      <c r="T384" s="286"/>
      <c r="U384" s="246"/>
      <c r="V384" s="282"/>
      <c r="W384" s="246"/>
      <c r="X384" s="282"/>
      <c r="Y384" s="246"/>
      <c r="Z384" s="261"/>
      <c r="AA384" s="286"/>
      <c r="AB384" s="246"/>
      <c r="AC384" s="282"/>
      <c r="AD384" s="246"/>
      <c r="AE384" s="282"/>
      <c r="AF384" s="246"/>
      <c r="AG384" s="261"/>
      <c r="AH384" s="281"/>
      <c r="AI384" s="246"/>
      <c r="AJ384" s="281"/>
      <c r="AK384" s="246"/>
      <c r="AL384" s="282"/>
      <c r="AM384" s="246"/>
      <c r="AN384" s="261"/>
      <c r="AO384" s="286"/>
      <c r="AP384" s="246"/>
      <c r="AQ384" s="281"/>
      <c r="AR384" s="246"/>
      <c r="AS384" s="281"/>
      <c r="AT384" s="254" t="str">
        <f t="shared" si="77"/>
        <v/>
      </c>
      <c r="AU384" s="269"/>
      <c r="AV384" s="269"/>
    </row>
    <row r="385">
      <c r="A385" s="94"/>
      <c r="B385" s="673" t="s">
        <v>944</v>
      </c>
      <c r="C385" s="272" t="s">
        <v>639</v>
      </c>
      <c r="D385" s="431"/>
      <c r="E385" s="259"/>
      <c r="F385" s="282"/>
      <c r="G385" s="246"/>
      <c r="H385" s="282"/>
      <c r="I385" s="246"/>
      <c r="J385" s="282"/>
      <c r="K385" s="246"/>
      <c r="L385" s="261"/>
      <c r="M385" s="341"/>
      <c r="N385" s="246"/>
      <c r="O385" s="282"/>
      <c r="P385" s="246"/>
      <c r="Q385" s="282"/>
      <c r="R385" s="246"/>
      <c r="S385" s="261"/>
      <c r="T385" s="341"/>
      <c r="U385" s="246"/>
      <c r="V385" s="290" t="s">
        <v>432</v>
      </c>
      <c r="W385" s="246"/>
      <c r="X385" s="282"/>
      <c r="Y385" s="246"/>
      <c r="Z385" s="261"/>
      <c r="AA385" s="341"/>
      <c r="AB385" s="246"/>
      <c r="AC385" s="282"/>
      <c r="AD385" s="246"/>
      <c r="AE385" s="282"/>
      <c r="AF385" s="246"/>
      <c r="AG385" s="261"/>
      <c r="AH385" s="282"/>
      <c r="AI385" s="246"/>
      <c r="AJ385" s="282"/>
      <c r="AK385" s="246"/>
      <c r="AL385" s="282"/>
      <c r="AM385" s="246"/>
      <c r="AN385" s="261"/>
      <c r="AO385" s="341"/>
      <c r="AP385" s="246"/>
      <c r="AQ385" s="282"/>
      <c r="AR385" s="246"/>
      <c r="AS385" s="282"/>
      <c r="AT385" s="430"/>
      <c r="AU385" s="269"/>
      <c r="AV385" s="269"/>
    </row>
    <row r="386">
      <c r="A386" s="94"/>
      <c r="B386" s="698" t="s">
        <v>714</v>
      </c>
      <c r="C386" s="699"/>
      <c r="D386" s="323"/>
      <c r="E386" s="259"/>
      <c r="F386" s="432"/>
      <c r="G386" s="432"/>
      <c r="H386" s="432"/>
      <c r="I386" s="432"/>
      <c r="J386" s="432"/>
      <c r="K386" s="432"/>
      <c r="L386" s="261"/>
      <c r="M386" s="432"/>
      <c r="N386" s="433"/>
      <c r="O386" s="432"/>
      <c r="P386" s="432"/>
      <c r="Q386" s="432"/>
      <c r="R386" s="432"/>
      <c r="S386" s="261"/>
      <c r="T386" s="432"/>
      <c r="U386" s="433"/>
      <c r="V386" s="432"/>
      <c r="W386" s="432"/>
      <c r="X386" s="432"/>
      <c r="Y386" s="432"/>
      <c r="Z386" s="261"/>
      <c r="AA386" s="432"/>
      <c r="AB386" s="433"/>
      <c r="AC386" s="432"/>
      <c r="AD386" s="432"/>
      <c r="AE386" s="432"/>
      <c r="AF386" s="432"/>
      <c r="AG386" s="261"/>
      <c r="AH386" s="432"/>
      <c r="AI386" s="433"/>
      <c r="AJ386" s="432"/>
      <c r="AK386" s="432"/>
      <c r="AL386" s="432"/>
      <c r="AM386" s="432"/>
      <c r="AN386" s="261"/>
      <c r="AO386" s="432"/>
      <c r="AP386" s="433"/>
      <c r="AQ386" s="432"/>
      <c r="AR386" s="432"/>
      <c r="AS386" s="432"/>
      <c r="AT386" s="254" t="str">
        <f t="shared" ref="AT386:AT391" si="78">IF(COUNTIF($AO$80:$AT$82, AS387) &gt; 0, "X", "")</f>
        <v/>
      </c>
      <c r="AU386" s="269"/>
      <c r="AV386" s="269"/>
    </row>
    <row r="387">
      <c r="A387" s="94"/>
      <c r="B387" s="700" t="s">
        <v>715</v>
      </c>
      <c r="C387" s="701" t="s">
        <v>716</v>
      </c>
      <c r="D387" s="323"/>
      <c r="E387" s="259"/>
      <c r="F387" s="434" t="s">
        <v>465</v>
      </c>
      <c r="G387" s="246"/>
      <c r="H387" s="434" t="s">
        <v>403</v>
      </c>
      <c r="I387" s="246"/>
      <c r="J387" s="434"/>
      <c r="K387" s="246"/>
      <c r="L387" s="261"/>
      <c r="M387" s="434" t="s">
        <v>465</v>
      </c>
      <c r="N387" s="246"/>
      <c r="O387" s="434" t="s">
        <v>403</v>
      </c>
      <c r="P387" s="246"/>
      <c r="Q387" s="434"/>
      <c r="R387" s="246"/>
      <c r="S387" s="261"/>
      <c r="T387" s="434" t="s">
        <v>995</v>
      </c>
      <c r="U387" s="246"/>
      <c r="V387" s="434" t="s">
        <v>403</v>
      </c>
      <c r="W387" s="246"/>
      <c r="X387" s="434"/>
      <c r="Y387" s="246"/>
      <c r="Z387" s="261"/>
      <c r="AA387" s="434" t="s">
        <v>465</v>
      </c>
      <c r="AB387" s="246"/>
      <c r="AC387" s="434" t="s">
        <v>403</v>
      </c>
      <c r="AD387" s="246"/>
      <c r="AE387" s="434"/>
      <c r="AF387" s="246"/>
      <c r="AG387" s="261"/>
      <c r="AH387" s="434" t="s">
        <v>465</v>
      </c>
      <c r="AI387" s="246"/>
      <c r="AJ387" s="434" t="s">
        <v>403</v>
      </c>
      <c r="AK387" s="246"/>
      <c r="AL387" s="434"/>
      <c r="AM387" s="246"/>
      <c r="AN387" s="261"/>
      <c r="AO387" s="434"/>
      <c r="AP387" s="246"/>
      <c r="AQ387" s="434"/>
      <c r="AR387" s="246"/>
      <c r="AS387" s="434"/>
      <c r="AT387" s="254" t="str">
        <f t="shared" si="78"/>
        <v/>
      </c>
      <c r="AU387" s="269"/>
      <c r="AV387" s="269"/>
    </row>
    <row r="388">
      <c r="A388" s="94"/>
      <c r="B388" s="702" t="s">
        <v>717</v>
      </c>
      <c r="C388" s="703" t="s">
        <v>718</v>
      </c>
      <c r="D388" s="363"/>
      <c r="E388" s="259"/>
      <c r="F388" s="434"/>
      <c r="G388" s="246"/>
      <c r="H388" s="406" t="s">
        <v>463</v>
      </c>
      <c r="I388" s="246"/>
      <c r="J388" s="434"/>
      <c r="K388" s="246"/>
      <c r="L388" s="261"/>
      <c r="M388" s="434"/>
      <c r="N388" s="246"/>
      <c r="O388" s="406" t="s">
        <v>442</v>
      </c>
      <c r="P388" s="246"/>
      <c r="Q388" s="434"/>
      <c r="R388" s="246"/>
      <c r="S388" s="261"/>
      <c r="T388" s="434"/>
      <c r="U388" s="246"/>
      <c r="V388" s="406" t="s">
        <v>442</v>
      </c>
      <c r="W388" s="246"/>
      <c r="X388" s="434"/>
      <c r="Y388" s="246"/>
      <c r="Z388" s="261"/>
      <c r="AA388" s="434"/>
      <c r="AB388" s="246"/>
      <c r="AC388" s="406" t="s">
        <v>442</v>
      </c>
      <c r="AD388" s="246"/>
      <c r="AE388" s="434"/>
      <c r="AF388" s="246"/>
      <c r="AG388" s="261"/>
      <c r="AH388" s="434"/>
      <c r="AI388" s="246"/>
      <c r="AJ388" s="406" t="s">
        <v>442</v>
      </c>
      <c r="AK388" s="246"/>
      <c r="AL388" s="434"/>
      <c r="AM388" s="246"/>
      <c r="AN388" s="261"/>
      <c r="AO388" s="434"/>
      <c r="AP388" s="246"/>
      <c r="AQ388" s="406" t="s">
        <v>442</v>
      </c>
      <c r="AR388" s="246"/>
      <c r="AS388" s="434"/>
      <c r="AT388" s="254" t="str">
        <f t="shared" si="78"/>
        <v/>
      </c>
      <c r="AU388" s="269"/>
      <c r="AV388" s="269"/>
    </row>
    <row r="389">
      <c r="A389" s="94"/>
      <c r="B389" s="704" t="s">
        <v>719</v>
      </c>
      <c r="C389" s="705" t="s">
        <v>720</v>
      </c>
      <c r="D389" s="330"/>
      <c r="E389" s="259"/>
      <c r="F389" s="406"/>
      <c r="G389" s="246"/>
      <c r="H389" s="406" t="s">
        <v>946</v>
      </c>
      <c r="I389" s="246"/>
      <c r="J389" s="406"/>
      <c r="K389" s="246"/>
      <c r="L389" s="261"/>
      <c r="M389" s="406"/>
      <c r="N389" s="246"/>
      <c r="O389" s="406" t="s">
        <v>463</v>
      </c>
      <c r="P389" s="246"/>
      <c r="Q389" s="406"/>
      <c r="R389" s="246"/>
      <c r="S389" s="261"/>
      <c r="T389" s="406"/>
      <c r="U389" s="246"/>
      <c r="V389" s="406" t="s">
        <v>463</v>
      </c>
      <c r="W389" s="246"/>
      <c r="X389" s="406"/>
      <c r="Y389" s="246"/>
      <c r="Z389" s="261"/>
      <c r="AA389" s="406"/>
      <c r="AB389" s="246"/>
      <c r="AC389" s="206" t="s">
        <v>847</v>
      </c>
      <c r="AD389" s="246"/>
      <c r="AE389" s="406"/>
      <c r="AF389" s="246"/>
      <c r="AG389" s="261"/>
      <c r="AH389" s="406"/>
      <c r="AI389" s="246"/>
      <c r="AJ389" s="406" t="s">
        <v>946</v>
      </c>
      <c r="AK389" s="246"/>
      <c r="AL389" s="406"/>
      <c r="AM389" s="246"/>
      <c r="AN389" s="261"/>
      <c r="AO389" s="406"/>
      <c r="AP389" s="246"/>
      <c r="AQ389" s="406"/>
      <c r="AR389" s="246"/>
      <c r="AS389" s="406"/>
      <c r="AT389" s="254" t="str">
        <f t="shared" si="78"/>
        <v/>
      </c>
      <c r="AU389" s="269"/>
      <c r="AV389" s="269"/>
    </row>
    <row r="390">
      <c r="A390" s="94"/>
      <c r="B390" s="706" t="s">
        <v>721</v>
      </c>
      <c r="C390" s="707" t="s">
        <v>722</v>
      </c>
      <c r="D390" s="330"/>
      <c r="E390" s="259"/>
      <c r="F390" s="406"/>
      <c r="G390" s="246"/>
      <c r="H390" s="406" t="s">
        <v>454</v>
      </c>
      <c r="I390" s="246"/>
      <c r="J390" s="406"/>
      <c r="K390" s="246"/>
      <c r="L390" s="261"/>
      <c r="M390" s="406"/>
      <c r="N390" s="246"/>
      <c r="O390" s="406" t="s">
        <v>454</v>
      </c>
      <c r="P390" s="246"/>
      <c r="Q390" s="406"/>
      <c r="R390" s="246"/>
      <c r="S390" s="261"/>
      <c r="T390" s="406"/>
      <c r="U390" s="246"/>
      <c r="V390" s="406" t="s">
        <v>454</v>
      </c>
      <c r="W390" s="246"/>
      <c r="X390" s="406"/>
      <c r="Y390" s="246"/>
      <c r="Z390" s="261"/>
      <c r="AA390" s="406"/>
      <c r="AB390" s="246"/>
      <c r="AC390" s="406" t="s">
        <v>454</v>
      </c>
      <c r="AD390" s="246"/>
      <c r="AE390" s="406"/>
      <c r="AF390" s="246"/>
      <c r="AG390" s="261"/>
      <c r="AH390" s="406"/>
      <c r="AI390" s="246"/>
      <c r="AJ390" s="406" t="s">
        <v>454</v>
      </c>
      <c r="AK390" s="246"/>
      <c r="AL390" s="406"/>
      <c r="AM390" s="246"/>
      <c r="AN390" s="261"/>
      <c r="AO390" s="406"/>
      <c r="AP390" s="246"/>
      <c r="AQ390" s="406"/>
      <c r="AR390" s="246"/>
      <c r="AS390" s="406"/>
      <c r="AT390" s="254" t="str">
        <f t="shared" si="78"/>
        <v/>
      </c>
      <c r="AU390" s="269"/>
      <c r="AV390" s="269"/>
    </row>
    <row r="391">
      <c r="A391" s="94"/>
      <c r="B391" s="706" t="s">
        <v>723</v>
      </c>
      <c r="C391" s="708" t="s">
        <v>724</v>
      </c>
      <c r="D391" s="330"/>
      <c r="E391" s="259"/>
      <c r="F391" s="406"/>
      <c r="G391" s="246"/>
      <c r="H391" s="406" t="s">
        <v>460</v>
      </c>
      <c r="I391" s="246"/>
      <c r="J391" s="406"/>
      <c r="K391" s="246"/>
      <c r="L391" s="261"/>
      <c r="M391" s="406"/>
      <c r="N391" s="246"/>
      <c r="O391" s="592" t="s">
        <v>769</v>
      </c>
      <c r="P391" s="246"/>
      <c r="Q391" s="406"/>
      <c r="R391" s="246"/>
      <c r="S391" s="261"/>
      <c r="T391" s="406"/>
      <c r="U391" s="246"/>
      <c r="V391" s="406" t="s">
        <v>996</v>
      </c>
      <c r="W391" s="246"/>
      <c r="X391" s="406" t="s">
        <v>456</v>
      </c>
      <c r="Y391" s="246"/>
      <c r="Z391" s="261"/>
      <c r="AA391" s="406"/>
      <c r="AB391" s="246"/>
      <c r="AC391" s="406" t="s">
        <v>946</v>
      </c>
      <c r="AD391" s="246"/>
      <c r="AE391" s="406"/>
      <c r="AF391" s="246"/>
      <c r="AG391" s="261"/>
      <c r="AH391" s="406" t="s">
        <v>859</v>
      </c>
      <c r="AI391" s="246"/>
      <c r="AJ391" s="406" t="s">
        <v>463</v>
      </c>
      <c r="AK391" s="246"/>
      <c r="AL391" s="406" t="s">
        <v>456</v>
      </c>
      <c r="AM391" s="246"/>
      <c r="AN391" s="261"/>
      <c r="AO391" s="406"/>
      <c r="AP391" s="246"/>
      <c r="AQ391" s="406" t="s">
        <v>463</v>
      </c>
      <c r="AR391" s="246"/>
      <c r="AS391" s="406"/>
      <c r="AT391" s="254" t="str">
        <f t="shared" si="78"/>
        <v/>
      </c>
      <c r="AU391" s="269"/>
      <c r="AV391" s="269"/>
    </row>
    <row r="392">
      <c r="A392" s="94"/>
      <c r="B392" s="709" t="s">
        <v>725</v>
      </c>
      <c r="C392" s="707" t="s">
        <v>726</v>
      </c>
      <c r="D392" s="330"/>
      <c r="E392" s="259"/>
      <c r="F392" s="441"/>
      <c r="G392" s="246"/>
      <c r="H392" s="406" t="s">
        <v>997</v>
      </c>
      <c r="I392" s="246"/>
      <c r="J392" s="406" t="s">
        <v>456</v>
      </c>
      <c r="K392" s="246"/>
      <c r="L392" s="261"/>
      <c r="M392" s="441"/>
      <c r="N392" s="246"/>
      <c r="O392" s="406" t="s">
        <v>946</v>
      </c>
      <c r="P392" s="246"/>
      <c r="Q392" s="441"/>
      <c r="R392" s="246"/>
      <c r="S392" s="261"/>
      <c r="T392" s="441"/>
      <c r="U392" s="246"/>
      <c r="V392" s="406" t="s">
        <v>970</v>
      </c>
      <c r="W392" s="246"/>
      <c r="X392" s="441"/>
      <c r="Y392" s="246"/>
      <c r="Z392" s="261"/>
      <c r="AA392" s="441"/>
      <c r="AB392" s="246"/>
      <c r="AC392" s="406" t="s">
        <v>996</v>
      </c>
      <c r="AD392" s="246"/>
      <c r="AE392" s="406"/>
      <c r="AF392" s="246"/>
      <c r="AG392" s="261"/>
      <c r="AH392" s="441"/>
      <c r="AI392" s="246"/>
      <c r="AJ392" s="406" t="s">
        <v>970</v>
      </c>
      <c r="AK392" s="246"/>
      <c r="AL392" s="441"/>
      <c r="AM392" s="246"/>
      <c r="AN392" s="261"/>
      <c r="AO392" s="441"/>
      <c r="AP392" s="246"/>
      <c r="AQ392" s="406" t="s">
        <v>970</v>
      </c>
      <c r="AR392" s="246"/>
      <c r="AS392" s="441"/>
      <c r="AT392" s="254" t="str">
        <f>IF(COUNTIF($AO$80:$AT$82, #REF!) &gt; 0, "X", "")</f>
        <v/>
      </c>
      <c r="AU392" s="269"/>
      <c r="AV392" s="269"/>
    </row>
    <row r="393">
      <c r="A393" s="94"/>
      <c r="B393" s="710" t="s">
        <v>729</v>
      </c>
      <c r="C393" s="711" t="s">
        <v>730</v>
      </c>
      <c r="D393" s="330"/>
      <c r="E393" s="259"/>
      <c r="F393" s="441"/>
      <c r="G393" s="246"/>
      <c r="H393" s="406" t="s">
        <v>970</v>
      </c>
      <c r="I393" s="246"/>
      <c r="J393" s="441"/>
      <c r="K393" s="246"/>
      <c r="L393" s="261"/>
      <c r="M393" s="441"/>
      <c r="N393" s="246"/>
      <c r="O393" s="406" t="s">
        <v>970</v>
      </c>
      <c r="P393" s="246"/>
      <c r="Q393" s="441"/>
      <c r="R393" s="246"/>
      <c r="S393" s="261"/>
      <c r="T393" s="441"/>
      <c r="U393" s="246"/>
      <c r="V393" s="441"/>
      <c r="W393" s="246"/>
      <c r="X393" s="441"/>
      <c r="Y393" s="246"/>
      <c r="Z393" s="261"/>
      <c r="AA393" s="441"/>
      <c r="AB393" s="246"/>
      <c r="AC393" s="441"/>
      <c r="AD393" s="246"/>
      <c r="AE393" s="441"/>
      <c r="AF393" s="246"/>
      <c r="AG393" s="261"/>
      <c r="AH393" s="441"/>
      <c r="AI393" s="246"/>
      <c r="AJ393" s="441"/>
      <c r="AK393" s="246"/>
      <c r="AL393" s="441"/>
      <c r="AM393" s="246"/>
      <c r="AN393" s="261"/>
      <c r="AO393" s="441"/>
      <c r="AP393" s="246"/>
      <c r="AQ393" s="441"/>
      <c r="AR393" s="246"/>
      <c r="AS393" s="441"/>
      <c r="AT393" s="254" t="str">
        <f t="shared" ref="AT393:AT395" si="79">IF(COUNTIF($AO$80:$AT$82, AS393) &gt; 0, "X", "")</f>
        <v/>
      </c>
      <c r="AU393" s="269"/>
      <c r="AV393" s="269"/>
    </row>
    <row r="394">
      <c r="A394" s="94"/>
      <c r="B394" s="712" t="s">
        <v>731</v>
      </c>
      <c r="C394" s="713" t="s">
        <v>732</v>
      </c>
      <c r="D394" s="363"/>
      <c r="E394" s="259"/>
      <c r="F394" s="206"/>
      <c r="G394" s="246"/>
      <c r="H394" s="206" t="s">
        <v>847</v>
      </c>
      <c r="I394" s="246"/>
      <c r="J394" s="206"/>
      <c r="K394" s="246"/>
      <c r="L394" s="261"/>
      <c r="M394" s="206"/>
      <c r="N394" s="246"/>
      <c r="O394" s="206" t="s">
        <v>847</v>
      </c>
      <c r="P394" s="246"/>
      <c r="Q394" s="206"/>
      <c r="R394" s="246"/>
      <c r="S394" s="261"/>
      <c r="T394" s="206"/>
      <c r="U394" s="246"/>
      <c r="V394" s="206" t="s">
        <v>946</v>
      </c>
      <c r="W394" s="246"/>
      <c r="X394" s="206"/>
      <c r="Y394" s="246"/>
      <c r="Z394" s="261"/>
      <c r="AA394" s="206"/>
      <c r="AB394" s="246"/>
      <c r="AC394" s="406" t="s">
        <v>460</v>
      </c>
      <c r="AD394" s="246"/>
      <c r="AE394" s="206"/>
      <c r="AF394" s="246"/>
      <c r="AG394" s="261"/>
      <c r="AH394" s="206"/>
      <c r="AI394" s="246"/>
      <c r="AJ394" s="406" t="s">
        <v>460</v>
      </c>
      <c r="AK394" s="246"/>
      <c r="AL394" s="206"/>
      <c r="AM394" s="246"/>
      <c r="AN394" s="261"/>
      <c r="AO394" s="206"/>
      <c r="AP394" s="246"/>
      <c r="AQ394" s="206"/>
      <c r="AR394" s="246"/>
      <c r="AS394" s="206"/>
      <c r="AT394" s="254" t="str">
        <f t="shared" si="79"/>
        <v/>
      </c>
      <c r="AU394" s="269"/>
      <c r="AV394" s="269"/>
    </row>
    <row r="395">
      <c r="A395" s="94"/>
      <c r="B395" s="714" t="s">
        <v>733</v>
      </c>
      <c r="C395" s="715" t="s">
        <v>734</v>
      </c>
      <c r="D395" s="363"/>
      <c r="E395" s="259"/>
      <c r="F395" s="74"/>
      <c r="G395" s="246"/>
      <c r="H395" s="594" t="s">
        <v>395</v>
      </c>
      <c r="I395" s="246"/>
      <c r="J395" s="74"/>
      <c r="K395" s="246"/>
      <c r="L395" s="261"/>
      <c r="M395" s="74"/>
      <c r="N395" s="246"/>
      <c r="O395" s="594" t="s">
        <v>395</v>
      </c>
      <c r="P395" s="246"/>
      <c r="Q395" s="74"/>
      <c r="R395" s="246"/>
      <c r="S395" s="261"/>
      <c r="T395" s="74"/>
      <c r="U395" s="246"/>
      <c r="V395" s="594" t="s">
        <v>395</v>
      </c>
      <c r="W395" s="246"/>
      <c r="X395" s="74"/>
      <c r="Y395" s="246"/>
      <c r="Z395" s="261"/>
      <c r="AA395" s="74"/>
      <c r="AB395" s="246"/>
      <c r="AC395" s="594" t="s">
        <v>395</v>
      </c>
      <c r="AD395" s="246"/>
      <c r="AE395" s="74"/>
      <c r="AF395" s="246"/>
      <c r="AG395" s="261"/>
      <c r="AH395" s="74"/>
      <c r="AI395" s="246"/>
      <c r="AJ395" s="611" t="s">
        <v>395</v>
      </c>
      <c r="AK395" s="246"/>
      <c r="AL395" s="74"/>
      <c r="AM395" s="246"/>
      <c r="AN395" s="261"/>
      <c r="AO395" s="74"/>
      <c r="AP395" s="246"/>
      <c r="AQ395" s="206" t="s">
        <v>847</v>
      </c>
      <c r="AR395" s="246"/>
      <c r="AS395" s="74"/>
      <c r="AT395" s="254" t="str">
        <f t="shared" si="79"/>
        <v/>
      </c>
      <c r="AU395" s="269"/>
      <c r="AV395" s="269"/>
    </row>
    <row r="396">
      <c r="A396" s="94"/>
      <c r="B396" s="716"/>
      <c r="C396" s="717"/>
      <c r="D396" s="363"/>
      <c r="E396" s="259"/>
      <c r="F396" s="446"/>
      <c r="G396" s="246"/>
      <c r="H396" s="446"/>
      <c r="I396" s="246"/>
      <c r="J396" s="446"/>
      <c r="K396" s="246"/>
      <c r="L396" s="462"/>
      <c r="M396" s="446"/>
      <c r="N396" s="246"/>
      <c r="O396" s="446"/>
      <c r="P396" s="246"/>
      <c r="Q396" s="446"/>
      <c r="R396" s="246"/>
      <c r="S396" s="462"/>
      <c r="T396" s="446"/>
      <c r="U396" s="246"/>
      <c r="V396" s="446"/>
      <c r="W396" s="246"/>
      <c r="X396" s="446"/>
      <c r="Y396" s="246"/>
      <c r="Z396" s="462"/>
      <c r="AA396" s="446"/>
      <c r="AB396" s="246"/>
      <c r="AC396" s="446"/>
      <c r="AD396" s="246"/>
      <c r="AE396" s="446"/>
      <c r="AF396" s="246"/>
      <c r="AG396" s="462"/>
      <c r="AH396" s="446"/>
      <c r="AI396" s="246"/>
      <c r="AJ396" s="446"/>
      <c r="AK396" s="246"/>
      <c r="AL396" s="446"/>
      <c r="AM396" s="246"/>
      <c r="AN396" s="462"/>
      <c r="AO396" s="446"/>
      <c r="AP396" s="246"/>
      <c r="AQ396" s="446"/>
      <c r="AR396" s="246"/>
      <c r="AS396" s="446"/>
      <c r="AT396" s="254"/>
      <c r="AU396" s="269"/>
      <c r="AV396" s="269"/>
    </row>
    <row r="397">
      <c r="A397" s="94"/>
      <c r="B397" s="710" t="s">
        <v>735</v>
      </c>
      <c r="C397" s="718" t="s">
        <v>736</v>
      </c>
      <c r="D397" s="363"/>
      <c r="E397" s="259"/>
      <c r="F397" s="441"/>
      <c r="G397" s="246"/>
      <c r="H397" s="441"/>
      <c r="I397" s="246"/>
      <c r="J397" s="405" t="s">
        <v>462</v>
      </c>
      <c r="K397" s="246"/>
      <c r="L397" s="261"/>
      <c r="M397" s="441"/>
      <c r="N397" s="246"/>
      <c r="O397" s="441"/>
      <c r="P397" s="246"/>
      <c r="Q397" s="441"/>
      <c r="R397" s="246"/>
      <c r="S397" s="261"/>
      <c r="T397" s="441"/>
      <c r="U397" s="246"/>
      <c r="V397" s="441"/>
      <c r="W397" s="246"/>
      <c r="X397" s="405" t="s">
        <v>462</v>
      </c>
      <c r="Y397" s="246"/>
      <c r="Z397" s="261"/>
      <c r="AA397" s="441"/>
      <c r="AB397" s="246"/>
      <c r="AC397" s="441"/>
      <c r="AD397" s="246"/>
      <c r="AE397" s="441"/>
      <c r="AF397" s="246"/>
      <c r="AG397" s="261"/>
      <c r="AH397" s="441"/>
      <c r="AI397" s="246"/>
      <c r="AJ397" s="441"/>
      <c r="AK397" s="246"/>
      <c r="AL397" s="405" t="s">
        <v>462</v>
      </c>
      <c r="AM397" s="246"/>
      <c r="AN397" s="261"/>
      <c r="AO397" s="441"/>
      <c r="AP397" s="246"/>
      <c r="AQ397" s="441"/>
      <c r="AR397" s="246"/>
      <c r="AS397" s="441"/>
      <c r="AT397" s="254" t="str">
        <f t="shared" ref="AT397:AT399" si="80">IF(COUNTIF($AO$80:$AT$82, AS397) &gt; 0, "X", "")</f>
        <v/>
      </c>
      <c r="AU397" s="269"/>
      <c r="AV397" s="269"/>
    </row>
    <row r="398">
      <c r="A398" s="94"/>
      <c r="B398" s="710" t="s">
        <v>735</v>
      </c>
      <c r="C398" s="707" t="s">
        <v>736</v>
      </c>
      <c r="D398" s="363"/>
      <c r="E398" s="259"/>
      <c r="F398" s="456"/>
      <c r="G398" s="246"/>
      <c r="H398" s="456"/>
      <c r="I398" s="246"/>
      <c r="J398" s="456"/>
      <c r="K398" s="246"/>
      <c r="L398" s="261"/>
      <c r="M398" s="456"/>
      <c r="N398" s="246"/>
      <c r="O398" s="456"/>
      <c r="P398" s="246"/>
      <c r="Q398" s="456"/>
      <c r="R398" s="246"/>
      <c r="S398" s="261"/>
      <c r="T398" s="456"/>
      <c r="U398" s="246"/>
      <c r="V398" s="456"/>
      <c r="W398" s="246"/>
      <c r="X398" s="456"/>
      <c r="Y398" s="246"/>
      <c r="Z398" s="261"/>
      <c r="AA398" s="456"/>
      <c r="AB398" s="246"/>
      <c r="AC398" s="456"/>
      <c r="AD398" s="246"/>
      <c r="AE398" s="456"/>
      <c r="AF398" s="246"/>
      <c r="AG398" s="261"/>
      <c r="AH398" s="456"/>
      <c r="AI398" s="246"/>
      <c r="AJ398" s="456"/>
      <c r="AK398" s="246"/>
      <c r="AL398" s="456"/>
      <c r="AM398" s="246"/>
      <c r="AN398" s="261"/>
      <c r="AO398" s="456"/>
      <c r="AP398" s="246"/>
      <c r="AQ398" s="456"/>
      <c r="AR398" s="246"/>
      <c r="AS398" s="456"/>
      <c r="AT398" s="254" t="str">
        <f t="shared" si="80"/>
        <v/>
      </c>
      <c r="AU398" s="269"/>
      <c r="AV398" s="269"/>
    </row>
    <row r="399">
      <c r="A399" s="94"/>
      <c r="B399" s="719" t="s">
        <v>735</v>
      </c>
      <c r="C399" s="711" t="s">
        <v>737</v>
      </c>
      <c r="D399" s="363"/>
      <c r="E399" s="259"/>
      <c r="F399" s="406"/>
      <c r="G399" s="246"/>
      <c r="H399" s="406"/>
      <c r="I399" s="246"/>
      <c r="J399" s="406"/>
      <c r="K399" s="246"/>
      <c r="L399" s="261"/>
      <c r="M399" s="406"/>
      <c r="N399" s="246"/>
      <c r="O399" s="406"/>
      <c r="P399" s="246"/>
      <c r="Q399" s="406"/>
      <c r="R399" s="246"/>
      <c r="S399" s="261"/>
      <c r="T399" s="406"/>
      <c r="U399" s="246"/>
      <c r="V399" s="406"/>
      <c r="W399" s="246"/>
      <c r="X399" s="406"/>
      <c r="Y399" s="246"/>
      <c r="Z399" s="261"/>
      <c r="AA399" s="406"/>
      <c r="AB399" s="246"/>
      <c r="AC399" s="406"/>
      <c r="AD399" s="246"/>
      <c r="AE399" s="406"/>
      <c r="AF399" s="246"/>
      <c r="AG399" s="261"/>
      <c r="AH399" s="406"/>
      <c r="AI399" s="246"/>
      <c r="AJ399" s="406"/>
      <c r="AK399" s="246"/>
      <c r="AL399" s="406"/>
      <c r="AM399" s="246"/>
      <c r="AN399" s="261"/>
      <c r="AO399" s="406"/>
      <c r="AP399" s="246"/>
      <c r="AQ399" s="406"/>
      <c r="AR399" s="246"/>
      <c r="AS399" s="406"/>
      <c r="AT399" s="254" t="str">
        <f t="shared" si="80"/>
        <v/>
      </c>
      <c r="AU399" s="269"/>
      <c r="AV399" s="269"/>
    </row>
    <row r="400">
      <c r="A400" s="94"/>
      <c r="B400" s="459"/>
      <c r="C400" s="460" t="s">
        <v>738</v>
      </c>
      <c r="D400" s="363"/>
      <c r="E400" s="259"/>
      <c r="F400" s="461" t="s">
        <v>998</v>
      </c>
      <c r="G400" s="246"/>
      <c r="H400" s="132"/>
      <c r="I400" s="246"/>
      <c r="J400" s="132"/>
      <c r="K400" s="246"/>
      <c r="L400" s="261"/>
      <c r="M400" s="461" t="s">
        <v>998</v>
      </c>
      <c r="N400" s="246"/>
      <c r="O400" s="132"/>
      <c r="P400" s="246"/>
      <c r="Q400" s="132"/>
      <c r="R400" s="246"/>
      <c r="S400" s="261"/>
      <c r="T400" s="461" t="s">
        <v>998</v>
      </c>
      <c r="U400" s="246"/>
      <c r="V400" s="132"/>
      <c r="W400" s="246"/>
      <c r="X400" s="132"/>
      <c r="Y400" s="246"/>
      <c r="Z400" s="261"/>
      <c r="AA400" s="461" t="s">
        <v>998</v>
      </c>
      <c r="AB400" s="246"/>
      <c r="AC400" s="132"/>
      <c r="AD400" s="246"/>
      <c r="AE400" s="132"/>
      <c r="AF400" s="246"/>
      <c r="AG400" s="261"/>
      <c r="AH400" s="461" t="s">
        <v>999</v>
      </c>
      <c r="AI400" s="246"/>
      <c r="AJ400" s="132"/>
      <c r="AK400" s="246"/>
      <c r="AL400" s="132"/>
      <c r="AM400" s="246"/>
      <c r="AN400" s="261"/>
      <c r="AO400" s="461" t="s">
        <v>1000</v>
      </c>
      <c r="AP400" s="246"/>
      <c r="AQ400" s="132"/>
      <c r="AR400" s="246"/>
      <c r="AS400" s="132"/>
      <c r="AT400" s="460"/>
      <c r="AU400" s="269"/>
      <c r="AV400" s="269"/>
    </row>
    <row r="401">
      <c r="A401" s="270"/>
      <c r="B401" s="459"/>
      <c r="C401" s="460" t="s">
        <v>738</v>
      </c>
      <c r="D401" s="363"/>
      <c r="E401" s="259"/>
      <c r="F401" s="132"/>
      <c r="G401" s="246"/>
      <c r="H401" s="132"/>
      <c r="I401" s="246"/>
      <c r="J401" s="132"/>
      <c r="K401" s="246"/>
      <c r="L401" s="261"/>
      <c r="M401" s="132"/>
      <c r="N401" s="246"/>
      <c r="O401" s="132"/>
      <c r="P401" s="246"/>
      <c r="Q401" s="132"/>
      <c r="R401" s="246"/>
      <c r="S401" s="261"/>
      <c r="T401" s="132"/>
      <c r="U401" s="246"/>
      <c r="V401" s="132"/>
      <c r="W401" s="246"/>
      <c r="X401" s="132"/>
      <c r="Y401" s="246"/>
      <c r="Z401" s="261"/>
      <c r="AA401" s="132"/>
      <c r="AB401" s="246"/>
      <c r="AC401" s="132"/>
      <c r="AD401" s="246"/>
      <c r="AE401" s="132"/>
      <c r="AF401" s="246"/>
      <c r="AG401" s="261"/>
      <c r="AH401" s="132"/>
      <c r="AI401" s="246"/>
      <c r="AJ401" s="132"/>
      <c r="AK401" s="246"/>
      <c r="AL401" s="132"/>
      <c r="AM401" s="246"/>
      <c r="AN401" s="261"/>
      <c r="AO401" s="132"/>
      <c r="AP401" s="246"/>
      <c r="AQ401" s="132"/>
      <c r="AR401" s="246"/>
      <c r="AS401" s="132"/>
      <c r="AT401" s="460"/>
      <c r="AU401" s="236"/>
      <c r="AV401" s="236"/>
    </row>
    <row r="402">
      <c r="A402" s="236"/>
      <c r="B402" s="459"/>
      <c r="C402" s="460" t="s">
        <v>738</v>
      </c>
      <c r="D402" s="363"/>
      <c r="E402" s="259"/>
      <c r="F402" s="132"/>
      <c r="G402" s="246"/>
      <c r="H402" s="132"/>
      <c r="I402" s="246"/>
      <c r="J402" s="132"/>
      <c r="K402" s="246"/>
      <c r="L402" s="261"/>
      <c r="M402" s="132"/>
      <c r="N402" s="246"/>
      <c r="O402" s="132"/>
      <c r="P402" s="246"/>
      <c r="Q402" s="132"/>
      <c r="R402" s="246"/>
      <c r="S402" s="261"/>
      <c r="T402" s="132"/>
      <c r="U402" s="246"/>
      <c r="V402" s="132"/>
      <c r="W402" s="246"/>
      <c r="X402" s="132"/>
      <c r="Y402" s="246"/>
      <c r="Z402" s="261"/>
      <c r="AA402" s="132"/>
      <c r="AB402" s="246"/>
      <c r="AC402" s="132"/>
      <c r="AD402" s="246"/>
      <c r="AE402" s="132"/>
      <c r="AF402" s="246"/>
      <c r="AG402" s="261"/>
      <c r="AH402" s="132"/>
      <c r="AI402" s="246"/>
      <c r="AJ402" s="132"/>
      <c r="AK402" s="246"/>
      <c r="AL402" s="132"/>
      <c r="AM402" s="246"/>
      <c r="AN402" s="261"/>
      <c r="AO402" s="132"/>
      <c r="AP402" s="246"/>
      <c r="AQ402" s="132"/>
      <c r="AR402" s="246"/>
      <c r="AS402" s="132"/>
      <c r="AT402" s="460"/>
      <c r="AU402" s="236"/>
      <c r="AV402" s="236"/>
    </row>
    <row r="403">
      <c r="A403" s="236"/>
      <c r="B403" s="459"/>
      <c r="C403" s="460"/>
      <c r="D403" s="460"/>
      <c r="E403" s="559"/>
      <c r="F403" s="460"/>
      <c r="G403" s="460"/>
      <c r="H403" s="460"/>
      <c r="I403" s="460"/>
      <c r="J403" s="460"/>
      <c r="K403" s="460"/>
      <c r="L403" s="460"/>
      <c r="M403" s="460"/>
      <c r="N403" s="460"/>
      <c r="O403" s="460"/>
      <c r="P403" s="460"/>
      <c r="Q403" s="460"/>
      <c r="R403" s="460"/>
      <c r="S403" s="460"/>
      <c r="T403" s="460"/>
      <c r="U403" s="460"/>
      <c r="V403" s="460"/>
      <c r="W403" s="460"/>
      <c r="X403" s="460"/>
      <c r="Y403" s="460"/>
      <c r="Z403" s="460"/>
      <c r="AA403" s="460"/>
      <c r="AB403" s="460"/>
      <c r="AC403" s="460"/>
      <c r="AD403" s="460"/>
      <c r="AE403" s="460"/>
      <c r="AF403" s="460"/>
      <c r="AG403" s="460"/>
      <c r="AH403" s="460"/>
      <c r="AI403" s="460"/>
      <c r="AJ403" s="460"/>
      <c r="AK403" s="460"/>
      <c r="AL403" s="460"/>
      <c r="AM403" s="460"/>
      <c r="AN403" s="460"/>
      <c r="AO403" s="460"/>
      <c r="AP403" s="460"/>
      <c r="AQ403" s="460"/>
      <c r="AR403" s="460"/>
      <c r="AS403" s="460"/>
      <c r="AT403" s="460"/>
      <c r="AU403" s="236"/>
      <c r="AV403" s="236"/>
    </row>
  </sheetData>
  <mergeCells count="97">
    <mergeCell ref="F83:L83"/>
    <mergeCell ref="M83:S83"/>
    <mergeCell ref="T83:Z83"/>
    <mergeCell ref="AA83:AG83"/>
    <mergeCell ref="AH83:AN83"/>
    <mergeCell ref="AO83:AT83"/>
    <mergeCell ref="F84:L84"/>
    <mergeCell ref="AO84:AT84"/>
    <mergeCell ref="M84:S84"/>
    <mergeCell ref="T84:Z84"/>
    <mergeCell ref="H85:I85"/>
    <mergeCell ref="J85:L85"/>
    <mergeCell ref="Q85:R85"/>
    <mergeCell ref="X85:Y85"/>
    <mergeCell ref="AE85:AF85"/>
    <mergeCell ref="M1:V2"/>
    <mergeCell ref="W1:AT2"/>
    <mergeCell ref="M3:S3"/>
    <mergeCell ref="T3:Z3"/>
    <mergeCell ref="AA3:AG3"/>
    <mergeCell ref="AH3:AN3"/>
    <mergeCell ref="AO3:AT3"/>
    <mergeCell ref="F3:L3"/>
    <mergeCell ref="M4:S4"/>
    <mergeCell ref="T4:Z4"/>
    <mergeCell ref="AA4:AG4"/>
    <mergeCell ref="AH4:AN4"/>
    <mergeCell ref="AO4:AT4"/>
    <mergeCell ref="F4:L4"/>
    <mergeCell ref="H5:I5"/>
    <mergeCell ref="J5:L5"/>
    <mergeCell ref="Q5:R5"/>
    <mergeCell ref="X5:Y5"/>
    <mergeCell ref="AE5:AF5"/>
    <mergeCell ref="AL5:AM5"/>
    <mergeCell ref="AA84:AG84"/>
    <mergeCell ref="AH84:AN84"/>
    <mergeCell ref="AL85:AM85"/>
    <mergeCell ref="AS85:AT85"/>
    <mergeCell ref="M164:S164"/>
    <mergeCell ref="T164:Z164"/>
    <mergeCell ref="AS5:AT5"/>
    <mergeCell ref="AA324:AG324"/>
    <mergeCell ref="AH324:AN324"/>
    <mergeCell ref="F323:L323"/>
    <mergeCell ref="M323:S323"/>
    <mergeCell ref="T323:Z323"/>
    <mergeCell ref="AA323:AG323"/>
    <mergeCell ref="AH323:AN323"/>
    <mergeCell ref="AO323:AT323"/>
    <mergeCell ref="F324:L324"/>
    <mergeCell ref="AO324:AT324"/>
    <mergeCell ref="AL325:AM325"/>
    <mergeCell ref="AS325:AT325"/>
    <mergeCell ref="M324:S324"/>
    <mergeCell ref="T324:Z324"/>
    <mergeCell ref="H325:I325"/>
    <mergeCell ref="J325:L325"/>
    <mergeCell ref="Q325:R325"/>
    <mergeCell ref="X325:Y325"/>
    <mergeCell ref="AE325:AF325"/>
    <mergeCell ref="AA164:AG164"/>
    <mergeCell ref="AH164:AN164"/>
    <mergeCell ref="F163:L163"/>
    <mergeCell ref="M163:S163"/>
    <mergeCell ref="T163:Z163"/>
    <mergeCell ref="AA163:AG163"/>
    <mergeCell ref="AH163:AN163"/>
    <mergeCell ref="AO163:AT163"/>
    <mergeCell ref="AO164:AT164"/>
    <mergeCell ref="F164:L164"/>
    <mergeCell ref="H165:I165"/>
    <mergeCell ref="Q165:R165"/>
    <mergeCell ref="X165:Y165"/>
    <mergeCell ref="AE165:AF165"/>
    <mergeCell ref="AL165:AM165"/>
    <mergeCell ref="AS165:AT165"/>
    <mergeCell ref="J165:L165"/>
    <mergeCell ref="F243:L243"/>
    <mergeCell ref="M243:S243"/>
    <mergeCell ref="T243:Z243"/>
    <mergeCell ref="AA243:AG243"/>
    <mergeCell ref="AH243:AN243"/>
    <mergeCell ref="AO243:AT243"/>
    <mergeCell ref="F244:L244"/>
    <mergeCell ref="M244:S244"/>
    <mergeCell ref="T244:Z244"/>
    <mergeCell ref="AA244:AG244"/>
    <mergeCell ref="AH244:AN244"/>
    <mergeCell ref="AO244:AT244"/>
    <mergeCell ref="H245:I245"/>
    <mergeCell ref="J245:L245"/>
    <mergeCell ref="Q245:R245"/>
    <mergeCell ref="X245:Y245"/>
    <mergeCell ref="AE245:AF245"/>
    <mergeCell ref="AL245:AM245"/>
    <mergeCell ref="AS245:AT245"/>
  </mergeCells>
  <dataValidations>
    <dataValidation type="list" allowBlank="1" showErrorMessage="1" sqref="C3 C83 C163 C243 C323">
      <formula1>"RTC,RG,PUB,Working on it"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.5"/>
    <col customWidth="1" min="2" max="2" width="18.0"/>
    <col customWidth="1" min="3" max="3" width="10.88"/>
    <col customWidth="1" min="4" max="4" width="8.0"/>
    <col customWidth="1" min="5" max="5" width="1.75"/>
    <col customWidth="1" min="6" max="6" width="14.75"/>
    <col customWidth="1" min="7" max="7" width="0.88"/>
    <col customWidth="1" min="8" max="8" width="15.13"/>
    <col customWidth="1" min="9" max="9" width="0.88"/>
    <col customWidth="1" min="10" max="10" width="14.75"/>
    <col customWidth="1" min="11" max="11" width="0.88"/>
    <col customWidth="1" min="12" max="12" width="1.75"/>
    <col customWidth="1" min="13" max="13" width="15.63"/>
    <col customWidth="1" min="14" max="14" width="0.88"/>
    <col customWidth="1" min="15" max="15" width="15.63"/>
    <col customWidth="1" min="16" max="16" width="0.88"/>
    <col customWidth="1" min="17" max="17" width="14.75"/>
    <col customWidth="1" min="18" max="18" width="0.88"/>
    <col customWidth="1" min="19" max="19" width="1.75"/>
    <col customWidth="1" min="20" max="20" width="16.38"/>
    <col customWidth="1" min="21" max="21" width="0.88"/>
    <col customWidth="1" min="22" max="22" width="14.25"/>
    <col customWidth="1" min="23" max="23" width="0.88"/>
    <col customWidth="1" min="24" max="24" width="14.75"/>
    <col customWidth="1" min="25" max="25" width="0.88"/>
    <col customWidth="1" min="26" max="26" width="1.75"/>
    <col customWidth="1" min="27" max="27" width="16.38"/>
    <col customWidth="1" min="28" max="28" width="0.88"/>
    <col customWidth="1" min="29" max="29" width="16.38"/>
    <col customWidth="1" min="30" max="30" width="0.88"/>
    <col customWidth="1" min="31" max="31" width="15.75"/>
    <col customWidth="1" min="32" max="32" width="0.88"/>
    <col customWidth="1" min="33" max="33" width="1.75"/>
    <col customWidth="1" min="34" max="34" width="16.38"/>
    <col customWidth="1" min="35" max="35" width="0.88"/>
    <col customWidth="1" min="36" max="36" width="16.38"/>
    <col customWidth="1" min="37" max="37" width="0.88"/>
    <col customWidth="1" min="38" max="38" width="14.75"/>
    <col customWidth="1" min="39" max="39" width="0.88"/>
    <col customWidth="1" min="40" max="40" width="1.75"/>
    <col customWidth="1" min="41" max="41" width="16.38"/>
    <col customWidth="1" min="42" max="42" width="0.88"/>
    <col customWidth="1" min="43" max="43" width="16.38"/>
    <col customWidth="1" min="44" max="44" width="0.88"/>
    <col customWidth="1" min="45" max="45" width="14.75"/>
    <col customWidth="1" min="46" max="46" width="0.88"/>
    <col customWidth="1" min="47" max="47" width="1.5"/>
    <col customWidth="1" min="48" max="48" width="2.75"/>
  </cols>
  <sheetData>
    <row r="1" ht="9.75" customHeight="1">
      <c r="A1" s="172" t="s">
        <v>1001</v>
      </c>
      <c r="B1" s="173" t="s">
        <v>603</v>
      </c>
      <c r="C1" s="174"/>
      <c r="D1" s="174"/>
      <c r="E1" s="175"/>
      <c r="F1" s="176"/>
      <c r="G1" s="176"/>
      <c r="H1" s="176"/>
      <c r="I1" s="177"/>
      <c r="J1" s="177"/>
      <c r="K1" s="177"/>
      <c r="L1" s="177"/>
      <c r="M1" s="178" t="s">
        <v>478</v>
      </c>
      <c r="W1" s="179"/>
      <c r="AU1" s="176"/>
      <c r="AV1" s="176"/>
    </row>
    <row r="2" ht="9.75" customHeight="1">
      <c r="A2" s="176"/>
      <c r="B2" s="176"/>
      <c r="C2" s="176"/>
      <c r="D2" s="176"/>
      <c r="E2" s="180"/>
      <c r="F2" s="176"/>
      <c r="G2" s="176"/>
      <c r="H2" s="176"/>
      <c r="I2" s="181"/>
      <c r="J2" s="181"/>
      <c r="K2" s="181"/>
      <c r="L2" s="181"/>
      <c r="AU2" s="176"/>
      <c r="AV2" s="176"/>
    </row>
    <row r="3">
      <c r="A3" s="182"/>
      <c r="B3" s="183" t="s">
        <v>604</v>
      </c>
      <c r="C3" s="184" t="s">
        <v>605</v>
      </c>
      <c r="D3" s="185" t="s">
        <v>486</v>
      </c>
      <c r="E3" s="186"/>
      <c r="F3" s="185" t="s">
        <v>487</v>
      </c>
      <c r="M3" s="185" t="s">
        <v>488</v>
      </c>
      <c r="T3" s="185" t="s">
        <v>489</v>
      </c>
      <c r="AA3" s="185" t="s">
        <v>490</v>
      </c>
      <c r="AH3" s="185" t="s">
        <v>491</v>
      </c>
      <c r="AO3" s="185" t="s">
        <v>492</v>
      </c>
      <c r="AU3" s="182"/>
      <c r="AV3" s="182"/>
    </row>
    <row r="4">
      <c r="A4" s="182"/>
      <c r="B4" s="187"/>
      <c r="C4" s="187"/>
      <c r="D4" s="188">
        <v>3.0</v>
      </c>
      <c r="E4" s="189"/>
      <c r="F4" s="188">
        <v>4.0</v>
      </c>
      <c r="M4" s="188">
        <v>5.0</v>
      </c>
      <c r="T4" s="188">
        <v>6.0</v>
      </c>
      <c r="AA4" s="188">
        <v>7.0</v>
      </c>
      <c r="AH4" s="188">
        <v>8.0</v>
      </c>
      <c r="AO4" s="188">
        <v>9.0</v>
      </c>
      <c r="AU4" s="182"/>
      <c r="AV4" s="182"/>
    </row>
    <row r="5">
      <c r="A5" s="182"/>
      <c r="B5" s="193" t="s">
        <v>608</v>
      </c>
      <c r="C5" s="193" t="s">
        <v>609</v>
      </c>
      <c r="D5" s="187"/>
      <c r="E5" s="189"/>
      <c r="F5" s="194" t="s">
        <v>610</v>
      </c>
      <c r="G5" s="195"/>
      <c r="H5" s="193" t="s">
        <v>611</v>
      </c>
      <c r="J5" s="194" t="s">
        <v>612</v>
      </c>
      <c r="M5" s="194" t="s">
        <v>610</v>
      </c>
      <c r="N5" s="195"/>
      <c r="O5" s="193" t="s">
        <v>611</v>
      </c>
      <c r="P5" s="195"/>
      <c r="Q5" s="194" t="s">
        <v>612</v>
      </c>
      <c r="S5" s="193"/>
      <c r="T5" s="194" t="s">
        <v>610</v>
      </c>
      <c r="U5" s="195"/>
      <c r="V5" s="193" t="s">
        <v>611</v>
      </c>
      <c r="W5" s="195"/>
      <c r="X5" s="194" t="s">
        <v>612</v>
      </c>
      <c r="Z5" s="193"/>
      <c r="AA5" s="194" t="s">
        <v>610</v>
      </c>
      <c r="AB5" s="195"/>
      <c r="AC5" s="193" t="s">
        <v>611</v>
      </c>
      <c r="AD5" s="195"/>
      <c r="AE5" s="194" t="s">
        <v>612</v>
      </c>
      <c r="AG5" s="193"/>
      <c r="AH5" s="194" t="s">
        <v>610</v>
      </c>
      <c r="AI5" s="195"/>
      <c r="AJ5" s="193" t="s">
        <v>611</v>
      </c>
      <c r="AK5" s="195"/>
      <c r="AL5" s="194" t="s">
        <v>612</v>
      </c>
      <c r="AN5" s="193"/>
      <c r="AO5" s="194" t="s">
        <v>610</v>
      </c>
      <c r="AP5" s="195"/>
      <c r="AQ5" s="193" t="s">
        <v>611</v>
      </c>
      <c r="AR5" s="195"/>
      <c r="AS5" s="194" t="s">
        <v>612</v>
      </c>
      <c r="AU5" s="182"/>
      <c r="AV5" s="182"/>
    </row>
    <row r="6">
      <c r="A6" s="234"/>
      <c r="B6" s="235" t="s">
        <v>608</v>
      </c>
      <c r="C6" s="195" t="s">
        <v>609</v>
      </c>
      <c r="D6" s="236"/>
      <c r="E6" s="237"/>
      <c r="F6" s="238"/>
      <c r="G6" s="182"/>
      <c r="H6" s="238"/>
      <c r="I6" s="239"/>
      <c r="J6" s="238"/>
      <c r="K6" s="239"/>
      <c r="L6" s="237"/>
      <c r="M6" s="238"/>
      <c r="N6" s="182"/>
      <c r="O6" s="238"/>
      <c r="P6" s="239"/>
      <c r="Q6" s="238"/>
      <c r="R6" s="239"/>
      <c r="S6" s="237"/>
      <c r="T6" s="238"/>
      <c r="U6" s="182"/>
      <c r="V6" s="238"/>
      <c r="W6" s="239"/>
      <c r="X6" s="238"/>
      <c r="Y6" s="239"/>
      <c r="Z6" s="237"/>
      <c r="AA6" s="238"/>
      <c r="AB6" s="182"/>
      <c r="AC6" s="238"/>
      <c r="AD6" s="239"/>
      <c r="AE6" s="238"/>
      <c r="AF6" s="239"/>
      <c r="AG6" s="237"/>
      <c r="AH6" s="238"/>
      <c r="AI6" s="182"/>
      <c r="AJ6" s="238"/>
      <c r="AK6" s="239"/>
      <c r="AL6" s="238"/>
      <c r="AM6" s="239"/>
      <c r="AN6" s="237"/>
      <c r="AO6" s="238"/>
      <c r="AP6" s="182"/>
      <c r="AQ6" s="238"/>
      <c r="AR6" s="239"/>
      <c r="AS6" s="238"/>
      <c r="AT6" s="239"/>
      <c r="AU6" s="236"/>
      <c r="AV6" s="236"/>
    </row>
    <row r="7" ht="14.25" customHeight="1">
      <c r="A7" s="240"/>
      <c r="B7" s="241" t="s">
        <v>638</v>
      </c>
      <c r="C7" s="242" t="s">
        <v>639</v>
      </c>
      <c r="D7" s="243"/>
      <c r="E7" s="244"/>
      <c r="F7" s="247"/>
      <c r="G7" s="246"/>
      <c r="I7" s="246"/>
      <c r="K7" s="246"/>
      <c r="L7" s="249"/>
      <c r="M7" s="250"/>
      <c r="N7" s="246"/>
      <c r="O7" s="282"/>
      <c r="P7" s="246"/>
      <c r="Q7" s="282"/>
      <c r="R7" s="246"/>
      <c r="S7" s="249"/>
      <c r="T7" s="250"/>
      <c r="U7" s="246"/>
      <c r="V7" s="281"/>
      <c r="W7" s="246"/>
      <c r="Y7" s="246"/>
      <c r="Z7" s="249"/>
      <c r="AA7" s="250"/>
      <c r="AB7" s="246"/>
      <c r="AD7" s="246"/>
      <c r="AF7" s="246"/>
      <c r="AG7" s="249"/>
      <c r="AH7" s="371"/>
      <c r="AI7" s="246"/>
      <c r="AK7" s="246"/>
      <c r="AM7" s="246"/>
      <c r="AN7" s="249"/>
      <c r="AO7" s="250"/>
      <c r="AP7" s="246"/>
      <c r="AQ7" s="720" t="s">
        <v>1002</v>
      </c>
      <c r="AR7" s="246"/>
      <c r="AS7" s="720" t="s">
        <v>1003</v>
      </c>
      <c r="AT7" s="254" t="str">
        <f>IF(COUNTIF($AO$79:$AT$81, #REF!) &gt; 0, "X", "")</f>
        <v/>
      </c>
      <c r="AU7" s="255"/>
      <c r="AV7" s="255"/>
    </row>
    <row r="8" ht="13.5" customHeight="1">
      <c r="A8" s="94"/>
      <c r="B8" s="256" t="s">
        <v>638</v>
      </c>
      <c r="C8" s="257" t="s">
        <v>639</v>
      </c>
      <c r="D8" s="258"/>
      <c r="E8" s="259"/>
      <c r="F8" s="264"/>
      <c r="G8" s="246"/>
      <c r="H8" s="426"/>
      <c r="I8" s="246"/>
      <c r="J8" s="265"/>
      <c r="K8" s="246"/>
      <c r="L8" s="261"/>
      <c r="M8" s="262"/>
      <c r="N8" s="246"/>
      <c r="P8" s="246"/>
      <c r="Q8" s="274" t="s">
        <v>414</v>
      </c>
      <c r="R8" s="246"/>
      <c r="S8" s="261"/>
      <c r="T8" s="262"/>
      <c r="U8" s="246"/>
      <c r="V8" s="281"/>
      <c r="W8" s="246"/>
      <c r="X8" s="274" t="s">
        <v>414</v>
      </c>
      <c r="Y8" s="246"/>
      <c r="Z8" s="261"/>
      <c r="AA8" s="262"/>
      <c r="AB8" s="246"/>
      <c r="AD8" s="246"/>
      <c r="AF8" s="246"/>
      <c r="AG8" s="261"/>
      <c r="AH8" s="426"/>
      <c r="AI8" s="246"/>
      <c r="AK8" s="246"/>
      <c r="AL8" s="274"/>
      <c r="AM8" s="246"/>
      <c r="AN8" s="261"/>
      <c r="AO8" s="262"/>
      <c r="AP8" s="246"/>
      <c r="AQ8" s="688" t="s">
        <v>1004</v>
      </c>
      <c r="AR8" s="246"/>
      <c r="AS8" s="311" t="s">
        <v>467</v>
      </c>
      <c r="AT8" s="254" t="str">
        <f>IF(COUNTIF($AO$79:$AT$81, AS13) &gt; 0, "X", "")</f>
        <v/>
      </c>
      <c r="AU8" s="269"/>
      <c r="AV8" s="269"/>
    </row>
    <row r="9" ht="13.5" customHeight="1">
      <c r="A9" s="270"/>
      <c r="B9" s="271" t="s">
        <v>642</v>
      </c>
      <c r="C9" s="272" t="s">
        <v>639</v>
      </c>
      <c r="D9" s="258"/>
      <c r="E9" s="259"/>
      <c r="F9" s="275"/>
      <c r="G9" s="246"/>
      <c r="H9" s="280" t="s">
        <v>400</v>
      </c>
      <c r="I9" s="246"/>
      <c r="J9" s="282"/>
      <c r="K9" s="246"/>
      <c r="L9" s="261"/>
      <c r="M9" s="250"/>
      <c r="N9" s="246"/>
      <c r="O9" s="281"/>
      <c r="P9" s="246"/>
      <c r="Q9" s="282"/>
      <c r="R9" s="246"/>
      <c r="S9" s="261"/>
      <c r="T9" s="250"/>
      <c r="U9" s="246"/>
      <c r="W9" s="246"/>
      <c r="X9" s="474" t="s">
        <v>421</v>
      </c>
      <c r="Y9" s="246"/>
      <c r="Z9" s="261"/>
      <c r="AA9" s="250"/>
      <c r="AB9" s="246"/>
      <c r="AD9" s="246"/>
      <c r="AF9" s="246"/>
      <c r="AG9" s="261"/>
      <c r="AH9" s="282"/>
      <c r="AI9" s="246"/>
      <c r="AK9" s="246"/>
      <c r="AL9" s="281"/>
      <c r="AM9" s="246"/>
      <c r="AN9" s="261"/>
      <c r="AO9" s="250"/>
      <c r="AP9" s="246"/>
      <c r="AQ9" s="311" t="s">
        <v>432</v>
      </c>
      <c r="AR9" s="246"/>
      <c r="AS9" s="721" t="s">
        <v>394</v>
      </c>
      <c r="AT9" s="254" t="str">
        <f t="shared" ref="AT9:AT10" si="1">IF(COUNTIF($AO$79:$AT$81, #REF!) &gt; 0, "X", "")</f>
        <v/>
      </c>
      <c r="AU9" s="269"/>
      <c r="AV9" s="269"/>
    </row>
    <row r="10">
      <c r="A10" s="94"/>
      <c r="B10" s="277" t="s">
        <v>644</v>
      </c>
      <c r="C10" s="278" t="s">
        <v>645</v>
      </c>
      <c r="D10" s="243"/>
      <c r="E10" s="259"/>
      <c r="F10" s="371"/>
      <c r="G10" s="246"/>
      <c r="H10" s="371"/>
      <c r="I10" s="246"/>
      <c r="J10" s="371"/>
      <c r="K10" s="246"/>
      <c r="L10" s="261"/>
      <c r="M10" s="250"/>
      <c r="N10" s="246"/>
      <c r="O10" s="281"/>
      <c r="P10" s="246"/>
      <c r="Q10" s="280" t="s">
        <v>400</v>
      </c>
      <c r="R10" s="246"/>
      <c r="S10" s="261"/>
      <c r="T10" s="250"/>
      <c r="U10" s="246"/>
      <c r="W10" s="246"/>
      <c r="X10" s="280" t="s">
        <v>400</v>
      </c>
      <c r="Y10" s="246"/>
      <c r="Z10" s="261"/>
      <c r="AA10" s="250"/>
      <c r="AB10" s="246"/>
      <c r="AC10" s="280" t="s">
        <v>400</v>
      </c>
      <c r="AD10" s="246"/>
      <c r="AF10" s="246"/>
      <c r="AG10" s="261"/>
      <c r="AH10" s="280" t="s">
        <v>400</v>
      </c>
      <c r="AI10" s="246"/>
      <c r="AK10" s="246"/>
      <c r="AM10" s="246"/>
      <c r="AN10" s="261"/>
      <c r="AO10" s="250"/>
      <c r="AP10" s="246"/>
      <c r="AQ10" s="252"/>
      <c r="AR10" s="246"/>
      <c r="AT10" s="254" t="str">
        <f t="shared" si="1"/>
        <v/>
      </c>
      <c r="AU10" s="269"/>
      <c r="AV10" s="269"/>
    </row>
    <row r="11">
      <c r="A11" s="270"/>
      <c r="B11" s="284" t="s">
        <v>646</v>
      </c>
      <c r="C11" s="285" t="s">
        <v>647</v>
      </c>
      <c r="D11" s="243"/>
      <c r="E11" s="259"/>
      <c r="F11" s="251" t="s">
        <v>427</v>
      </c>
      <c r="G11" s="246"/>
      <c r="H11" s="399"/>
      <c r="I11" s="246"/>
      <c r="J11" s="399"/>
      <c r="K11" s="246"/>
      <c r="L11" s="261"/>
      <c r="M11" s="324"/>
      <c r="N11" s="246"/>
      <c r="O11" s="399"/>
      <c r="P11" s="246"/>
      <c r="Q11" s="251" t="s">
        <v>427</v>
      </c>
      <c r="R11" s="246"/>
      <c r="S11" s="261"/>
      <c r="T11" s="324"/>
      <c r="U11" s="246"/>
      <c r="V11" s="251" t="s">
        <v>602</v>
      </c>
      <c r="W11" s="246"/>
      <c r="X11" s="251" t="s">
        <v>427</v>
      </c>
      <c r="Y11" s="246"/>
      <c r="Z11" s="261"/>
      <c r="AA11" s="324"/>
      <c r="AB11" s="246"/>
      <c r="AC11" s="282"/>
      <c r="AD11" s="246"/>
      <c r="AE11" s="251" t="s">
        <v>427</v>
      </c>
      <c r="AF11" s="246"/>
      <c r="AG11" s="261"/>
      <c r="AH11" s="251" t="s">
        <v>427</v>
      </c>
      <c r="AI11" s="246"/>
      <c r="AJ11" s="282"/>
      <c r="AK11" s="246"/>
      <c r="AL11" s="282"/>
      <c r="AM11" s="246"/>
      <c r="AN11" s="261"/>
      <c r="AO11" s="324"/>
      <c r="AP11" s="246"/>
      <c r="AQ11" s="252"/>
      <c r="AR11" s="246"/>
      <c r="AS11" s="252"/>
      <c r="AT11" s="254" t="str">
        <f t="shared" ref="AT11:AT12" si="2">IF(COUNTIF($AO$79:$AT$81, AS11) &gt; 0, "X", "")</f>
        <v/>
      </c>
      <c r="AU11" s="269"/>
      <c r="AV11" s="269"/>
    </row>
    <row r="12">
      <c r="A12" s="94"/>
      <c r="B12" s="291" t="s">
        <v>648</v>
      </c>
      <c r="C12" s="292" t="s">
        <v>649</v>
      </c>
      <c r="D12" s="243"/>
      <c r="E12" s="259"/>
      <c r="F12" s="294"/>
      <c r="G12" s="246"/>
      <c r="H12" s="293" t="s">
        <v>418</v>
      </c>
      <c r="I12" s="246"/>
      <c r="J12" s="294"/>
      <c r="K12" s="246"/>
      <c r="L12" s="261"/>
      <c r="M12" s="250"/>
      <c r="N12" s="246"/>
      <c r="O12" s="293" t="s">
        <v>418</v>
      </c>
      <c r="P12" s="246"/>
      <c r="Q12" s="294"/>
      <c r="R12" s="246"/>
      <c r="S12" s="261"/>
      <c r="T12" s="250"/>
      <c r="U12" s="246"/>
      <c r="V12" s="294"/>
      <c r="W12" s="246"/>
      <c r="X12" s="293" t="s">
        <v>418</v>
      </c>
      <c r="Y12" s="246"/>
      <c r="Z12" s="261"/>
      <c r="AA12" s="250"/>
      <c r="AB12" s="246"/>
      <c r="AC12" s="294"/>
      <c r="AD12" s="246"/>
      <c r="AE12" s="293" t="s">
        <v>418</v>
      </c>
      <c r="AF12" s="246"/>
      <c r="AG12" s="261"/>
      <c r="AH12" s="294"/>
      <c r="AI12" s="246"/>
      <c r="AJ12" s="293" t="s">
        <v>418</v>
      </c>
      <c r="AK12" s="246"/>
      <c r="AL12" s="294"/>
      <c r="AM12" s="246"/>
      <c r="AN12" s="261"/>
      <c r="AO12" s="250"/>
      <c r="AP12" s="246"/>
      <c r="AQ12" s="294"/>
      <c r="AR12" s="246"/>
      <c r="AS12" s="294"/>
      <c r="AT12" s="254" t="str">
        <f t="shared" si="2"/>
        <v/>
      </c>
      <c r="AU12" s="269"/>
      <c r="AV12" s="269"/>
    </row>
    <row r="13">
      <c r="A13" s="94"/>
      <c r="B13" s="296" t="s">
        <v>650</v>
      </c>
      <c r="C13" s="297" t="s">
        <v>649</v>
      </c>
      <c r="D13" s="243"/>
      <c r="E13" s="259"/>
      <c r="F13" s="299"/>
      <c r="G13" s="298"/>
      <c r="H13" s="299"/>
      <c r="I13" s="298"/>
      <c r="J13" s="299"/>
      <c r="K13" s="298"/>
      <c r="L13" s="261"/>
      <c r="M13" s="250"/>
      <c r="N13" s="298"/>
      <c r="O13" s="299"/>
      <c r="P13" s="298"/>
      <c r="Q13" s="299"/>
      <c r="R13" s="298"/>
      <c r="S13" s="261"/>
      <c r="T13" s="250"/>
      <c r="U13" s="298"/>
      <c r="V13" s="299"/>
      <c r="W13" s="298"/>
      <c r="X13" s="299"/>
      <c r="Y13" s="298"/>
      <c r="Z13" s="261"/>
      <c r="AA13" s="250"/>
      <c r="AB13" s="298"/>
      <c r="AC13" s="299"/>
      <c r="AD13" s="298"/>
      <c r="AE13" s="299"/>
      <c r="AF13" s="298"/>
      <c r="AG13" s="261"/>
      <c r="AH13" s="299"/>
      <c r="AI13" s="298"/>
      <c r="AJ13" s="299"/>
      <c r="AK13" s="298"/>
      <c r="AL13" s="299"/>
      <c r="AM13" s="298"/>
      <c r="AN13" s="261"/>
      <c r="AO13" s="250"/>
      <c r="AP13" s="298"/>
      <c r="AQ13" s="300"/>
      <c r="AR13" s="298"/>
      <c r="AS13" s="300"/>
      <c r="AT13" s="254" t="str">
        <f t="shared" ref="AT13:AT14" si="3">IF(COUNTIF($AO$79:$AT$81, #REF!) &gt; 0, "X", "")</f>
        <v/>
      </c>
      <c r="AU13" s="269"/>
      <c r="AV13" s="269"/>
    </row>
    <row r="14">
      <c r="A14" s="94"/>
      <c r="B14" s="301" t="s">
        <v>651</v>
      </c>
      <c r="C14" s="302" t="s">
        <v>652</v>
      </c>
      <c r="D14" s="243"/>
      <c r="E14" s="259"/>
      <c r="F14" s="303"/>
      <c r="G14" s="298"/>
      <c r="H14" s="303"/>
      <c r="I14" s="298"/>
      <c r="J14" s="303"/>
      <c r="K14" s="298"/>
      <c r="L14" s="261"/>
      <c r="M14" s="250"/>
      <c r="N14" s="298"/>
      <c r="O14" s="303"/>
      <c r="P14" s="298"/>
      <c r="Q14" s="303"/>
      <c r="R14" s="298"/>
      <c r="S14" s="261"/>
      <c r="T14" s="250"/>
      <c r="U14" s="298"/>
      <c r="V14" s="303"/>
      <c r="W14" s="298"/>
      <c r="X14" s="303"/>
      <c r="Y14" s="298"/>
      <c r="Z14" s="261"/>
      <c r="AA14" s="250"/>
      <c r="AB14" s="298"/>
      <c r="AC14" s="303"/>
      <c r="AD14" s="298"/>
      <c r="AE14" s="303"/>
      <c r="AF14" s="298"/>
      <c r="AG14" s="261"/>
      <c r="AH14" s="303"/>
      <c r="AI14" s="298"/>
      <c r="AJ14" s="303"/>
      <c r="AK14" s="298"/>
      <c r="AL14" s="303"/>
      <c r="AM14" s="298"/>
      <c r="AN14" s="261"/>
      <c r="AO14" s="250"/>
      <c r="AP14" s="298"/>
      <c r="AQ14" s="304"/>
      <c r="AR14" s="298"/>
      <c r="AS14" s="304"/>
      <c r="AT14" s="254" t="str">
        <f t="shared" si="3"/>
        <v/>
      </c>
      <c r="AU14" s="269"/>
      <c r="AV14" s="269"/>
    </row>
    <row r="15">
      <c r="A15" s="94"/>
      <c r="B15" s="305" t="s">
        <v>653</v>
      </c>
      <c r="C15" s="306" t="s">
        <v>654</v>
      </c>
      <c r="D15" s="243"/>
      <c r="E15" s="259"/>
      <c r="F15" s="307"/>
      <c r="G15" s="298"/>
      <c r="H15" s="307"/>
      <c r="I15" s="298"/>
      <c r="J15" s="307"/>
      <c r="K15" s="298"/>
      <c r="L15" s="261"/>
      <c r="M15" s="250"/>
      <c r="N15" s="298"/>
      <c r="O15" s="309" t="s">
        <v>458</v>
      </c>
      <c r="P15" s="298"/>
      <c r="Q15" s="307"/>
      <c r="R15" s="298"/>
      <c r="S15" s="261"/>
      <c r="T15" s="250"/>
      <c r="U15" s="298"/>
      <c r="V15" s="307"/>
      <c r="W15" s="298"/>
      <c r="X15" s="307"/>
      <c r="Y15" s="298"/>
      <c r="Z15" s="261"/>
      <c r="AA15" s="250"/>
      <c r="AB15" s="298"/>
      <c r="AC15" s="307"/>
      <c r="AD15" s="298"/>
      <c r="AE15" s="308" t="s">
        <v>434</v>
      </c>
      <c r="AF15" s="298"/>
      <c r="AG15" s="261"/>
      <c r="AH15" s="307"/>
      <c r="AI15" s="298"/>
      <c r="AJ15" s="307"/>
      <c r="AK15" s="298"/>
      <c r="AL15" s="307"/>
      <c r="AM15" s="298"/>
      <c r="AN15" s="261"/>
      <c r="AO15" s="250"/>
      <c r="AP15" s="298"/>
      <c r="AQ15" s="307"/>
      <c r="AR15" s="298"/>
      <c r="AS15" s="307"/>
      <c r="AT15" s="254" t="str">
        <f t="shared" ref="AT15:AT16" si="4">IF(COUNTIF($AO$79:$AT$81, AS15) &gt; 0, "X", "")</f>
        <v/>
      </c>
      <c r="AU15" s="269"/>
      <c r="AV15" s="269"/>
    </row>
    <row r="16">
      <c r="A16" s="94"/>
      <c r="B16" s="310" t="s">
        <v>656</v>
      </c>
      <c r="C16" s="278" t="s">
        <v>657</v>
      </c>
      <c r="D16" s="243"/>
      <c r="E16" s="259"/>
      <c r="F16" s="281"/>
      <c r="G16" s="246"/>
      <c r="H16" s="282"/>
      <c r="I16" s="246"/>
      <c r="K16" s="246"/>
      <c r="L16" s="261"/>
      <c r="M16" s="250"/>
      <c r="N16" s="246"/>
      <c r="O16" s="311" t="s">
        <v>459</v>
      </c>
      <c r="P16" s="246"/>
      <c r="Q16" s="282"/>
      <c r="R16" s="246"/>
      <c r="S16" s="261"/>
      <c r="T16" s="250"/>
      <c r="U16" s="246"/>
      <c r="V16" s="282"/>
      <c r="W16" s="246"/>
      <c r="Y16" s="246"/>
      <c r="Z16" s="261"/>
      <c r="AA16" s="250"/>
      <c r="AB16" s="246"/>
      <c r="AD16" s="246"/>
      <c r="AE16" s="274" t="s">
        <v>449</v>
      </c>
      <c r="AF16" s="246"/>
      <c r="AG16" s="261"/>
      <c r="AH16" s="282"/>
      <c r="AI16" s="246"/>
      <c r="AJ16" s="282"/>
      <c r="AK16" s="246"/>
      <c r="AL16" s="282"/>
      <c r="AM16" s="246"/>
      <c r="AN16" s="261"/>
      <c r="AO16" s="250"/>
      <c r="AP16" s="246"/>
      <c r="AR16" s="246"/>
      <c r="AS16" s="276"/>
      <c r="AT16" s="254" t="str">
        <f t="shared" si="4"/>
        <v/>
      </c>
      <c r="AU16" s="269"/>
      <c r="AV16" s="269"/>
    </row>
    <row r="17">
      <c r="A17" s="94"/>
      <c r="B17" s="277" t="s">
        <v>658</v>
      </c>
      <c r="C17" s="278" t="s">
        <v>657</v>
      </c>
      <c r="D17" s="243"/>
      <c r="E17" s="259"/>
      <c r="G17" s="246"/>
      <c r="I17" s="246"/>
      <c r="K17" s="246"/>
      <c r="L17" s="261"/>
      <c r="M17" s="250"/>
      <c r="N17" s="246"/>
      <c r="P17" s="246"/>
      <c r="R17" s="246"/>
      <c r="S17" s="261"/>
      <c r="T17" s="250"/>
      <c r="U17" s="246"/>
      <c r="W17" s="246"/>
      <c r="Y17" s="246"/>
      <c r="Z17" s="261"/>
      <c r="AA17" s="250"/>
      <c r="AB17" s="246"/>
      <c r="AD17" s="246"/>
      <c r="AF17" s="246"/>
      <c r="AG17" s="261"/>
      <c r="AI17" s="246"/>
      <c r="AJ17" s="282"/>
      <c r="AK17" s="246"/>
      <c r="AM17" s="246"/>
      <c r="AN17" s="261"/>
      <c r="AO17" s="250"/>
      <c r="AP17" s="246"/>
      <c r="AR17" s="246"/>
      <c r="AS17" s="282"/>
      <c r="AT17" s="254" t="str">
        <f t="shared" ref="AT17:AT19" si="5">IF(COUNTIF($AO$79:$AT$81, #REF!) &gt; 0, "X", "")</f>
        <v/>
      </c>
      <c r="AU17" s="269"/>
      <c r="AV17" s="269"/>
    </row>
    <row r="18">
      <c r="A18" s="94"/>
      <c r="B18" s="314" t="s">
        <v>660</v>
      </c>
      <c r="C18" s="315" t="s">
        <v>649</v>
      </c>
      <c r="D18" s="243"/>
      <c r="E18" s="259"/>
      <c r="F18" s="293" t="s">
        <v>424</v>
      </c>
      <c r="G18" s="246"/>
      <c r="H18" s="293" t="s">
        <v>416</v>
      </c>
      <c r="I18" s="246"/>
      <c r="J18" s="293" t="s">
        <v>421</v>
      </c>
      <c r="K18" s="246"/>
      <c r="L18" s="261"/>
      <c r="M18" s="316"/>
      <c r="N18" s="246"/>
      <c r="O18" s="253" t="s">
        <v>417</v>
      </c>
      <c r="P18" s="246"/>
      <c r="Q18" s="293" t="s">
        <v>424</v>
      </c>
      <c r="R18" s="246"/>
      <c r="S18" s="261"/>
      <c r="T18" s="316"/>
      <c r="U18" s="246"/>
      <c r="V18" s="293" t="s">
        <v>416</v>
      </c>
      <c r="W18" s="246"/>
      <c r="X18" s="293" t="s">
        <v>424</v>
      </c>
      <c r="Y18" s="246"/>
      <c r="Z18" s="261"/>
      <c r="AA18" s="316"/>
      <c r="AB18" s="246"/>
      <c r="AC18" s="353" t="s">
        <v>421</v>
      </c>
      <c r="AD18" s="246"/>
      <c r="AE18" s="293" t="s">
        <v>424</v>
      </c>
      <c r="AF18" s="246"/>
      <c r="AG18" s="261"/>
      <c r="AH18" s="320"/>
      <c r="AI18" s="246"/>
      <c r="AJ18" s="293" t="s">
        <v>416</v>
      </c>
      <c r="AK18" s="246"/>
      <c r="AL18" s="293" t="s">
        <v>422</v>
      </c>
      <c r="AM18" s="246"/>
      <c r="AN18" s="261"/>
      <c r="AO18" s="316"/>
      <c r="AP18" s="246"/>
      <c r="AQ18" s="253" t="s">
        <v>417</v>
      </c>
      <c r="AR18" s="246"/>
      <c r="AS18" s="356" t="s">
        <v>423</v>
      </c>
      <c r="AT18" s="254" t="str">
        <f t="shared" si="5"/>
        <v/>
      </c>
      <c r="AU18" s="269"/>
      <c r="AV18" s="269"/>
    </row>
    <row r="19">
      <c r="A19" s="94"/>
      <c r="B19" s="296" t="s">
        <v>650</v>
      </c>
      <c r="C19" s="297" t="s">
        <v>649</v>
      </c>
      <c r="D19" s="243"/>
      <c r="E19" s="259"/>
      <c r="F19" s="300"/>
      <c r="G19" s="298"/>
      <c r="H19" s="300"/>
      <c r="I19" s="298"/>
      <c r="J19" s="632" t="s">
        <v>423</v>
      </c>
      <c r="K19" s="298"/>
      <c r="L19" s="261"/>
      <c r="M19" s="250"/>
      <c r="N19" s="298"/>
      <c r="O19" s="300"/>
      <c r="P19" s="298"/>
      <c r="Q19" s="293" t="s">
        <v>416</v>
      </c>
      <c r="R19" s="298"/>
      <c r="S19" s="261"/>
      <c r="T19" s="250"/>
      <c r="U19" s="298"/>
      <c r="V19" s="319"/>
      <c r="W19" s="298"/>
      <c r="X19" s="632" t="s">
        <v>423</v>
      </c>
      <c r="Y19" s="298"/>
      <c r="Z19" s="261"/>
      <c r="AA19" s="250"/>
      <c r="AB19" s="298"/>
      <c r="AC19" s="319"/>
      <c r="AD19" s="298"/>
      <c r="AE19" s="293" t="s">
        <v>426</v>
      </c>
      <c r="AF19" s="298"/>
      <c r="AG19" s="261"/>
      <c r="AH19" s="320"/>
      <c r="AI19" s="298"/>
      <c r="AJ19" s="300"/>
      <c r="AK19" s="298"/>
      <c r="AL19" s="293" t="s">
        <v>424</v>
      </c>
      <c r="AM19" s="298"/>
      <c r="AN19" s="261"/>
      <c r="AO19" s="250"/>
      <c r="AP19" s="298"/>
      <c r="AQ19" s="300"/>
      <c r="AR19" s="298"/>
      <c r="AS19" s="299"/>
      <c r="AT19" s="254" t="str">
        <f t="shared" si="5"/>
        <v/>
      </c>
      <c r="AU19" s="269"/>
      <c r="AV19" s="269"/>
    </row>
    <row r="20">
      <c r="A20" s="94"/>
      <c r="B20" s="301" t="s">
        <v>651</v>
      </c>
      <c r="C20" s="302" t="s">
        <v>652</v>
      </c>
      <c r="D20" s="243"/>
      <c r="E20" s="259"/>
      <c r="F20" s="303"/>
      <c r="G20" s="298"/>
      <c r="H20" s="303"/>
      <c r="I20" s="298"/>
      <c r="J20" s="483"/>
      <c r="K20" s="298"/>
      <c r="L20" s="261"/>
      <c r="M20" s="250"/>
      <c r="N20" s="298"/>
      <c r="O20" s="303"/>
      <c r="P20" s="298"/>
      <c r="Q20" s="484"/>
      <c r="R20" s="298"/>
      <c r="S20" s="261"/>
      <c r="T20" s="250"/>
      <c r="U20" s="298"/>
      <c r="V20" s="303"/>
      <c r="W20" s="298"/>
      <c r="X20" s="484"/>
      <c r="Y20" s="298"/>
      <c r="Z20" s="261"/>
      <c r="AA20" s="250"/>
      <c r="AB20" s="298"/>
      <c r="AC20" s="303"/>
      <c r="AD20" s="298"/>
      <c r="AE20" s="303"/>
      <c r="AF20" s="298"/>
      <c r="AG20" s="261"/>
      <c r="AH20" s="320"/>
      <c r="AI20" s="298"/>
      <c r="AJ20" s="303"/>
      <c r="AK20" s="298"/>
      <c r="AL20" s="303"/>
      <c r="AM20" s="298"/>
      <c r="AN20" s="261"/>
      <c r="AO20" s="250"/>
      <c r="AP20" s="298"/>
      <c r="AQ20" s="303"/>
      <c r="AR20" s="298"/>
      <c r="AS20" s="303"/>
      <c r="AT20" s="254" t="str">
        <f>IF(COUNTIF($AO$79:$AT$81, AS20) &gt; 0, "X", "")</f>
        <v/>
      </c>
      <c r="AU20" s="269"/>
      <c r="AV20" s="269"/>
    </row>
    <row r="21">
      <c r="A21" s="94"/>
      <c r="B21" s="322" t="s">
        <v>662</v>
      </c>
      <c r="C21" s="306" t="s">
        <v>663</v>
      </c>
      <c r="D21" s="323"/>
      <c r="E21" s="259"/>
      <c r="F21" s="664" t="s">
        <v>976</v>
      </c>
      <c r="G21" s="298"/>
      <c r="H21" s="307"/>
      <c r="I21" s="298"/>
      <c r="J21" s="309" t="s">
        <v>409</v>
      </c>
      <c r="K21" s="298"/>
      <c r="L21" s="261"/>
      <c r="M21" s="324"/>
      <c r="N21" s="298"/>
      <c r="O21" s="307"/>
      <c r="P21" s="298"/>
      <c r="Q21" s="309" t="s">
        <v>409</v>
      </c>
      <c r="R21" s="298"/>
      <c r="S21" s="261"/>
      <c r="T21" s="324"/>
      <c r="U21" s="298"/>
      <c r="V21" s="307"/>
      <c r="W21" s="298"/>
      <c r="X21" s="307"/>
      <c r="Y21" s="298"/>
      <c r="Z21" s="261"/>
      <c r="AA21" s="324"/>
      <c r="AB21" s="298"/>
      <c r="AC21" s="307"/>
      <c r="AD21" s="298"/>
      <c r="AE21" s="309" t="s">
        <v>414</v>
      </c>
      <c r="AF21" s="298"/>
      <c r="AG21" s="261"/>
      <c r="AH21" s="320"/>
      <c r="AI21" s="298"/>
      <c r="AJ21" s="307"/>
      <c r="AK21" s="298"/>
      <c r="AL21" s="307"/>
      <c r="AM21" s="298"/>
      <c r="AN21" s="261"/>
      <c r="AO21" s="324"/>
      <c r="AP21" s="298"/>
      <c r="AQ21" s="307"/>
      <c r="AR21" s="298"/>
      <c r="AS21" s="309" t="s">
        <v>409</v>
      </c>
      <c r="AT21" s="254" t="str">
        <f t="shared" ref="AT21:AT22" si="6">IF(COUNTIF($AO$79:$AT$81, #REF!) &gt; 0, "X", "")</f>
        <v/>
      </c>
      <c r="AU21" s="269"/>
      <c r="AV21" s="269"/>
    </row>
    <row r="22">
      <c r="A22" s="94"/>
      <c r="B22" s="328" t="s">
        <v>665</v>
      </c>
      <c r="C22" s="329" t="s">
        <v>654</v>
      </c>
      <c r="D22" s="330"/>
      <c r="E22" s="259"/>
      <c r="F22" s="311" t="s">
        <v>439</v>
      </c>
      <c r="G22" s="246"/>
      <c r="H22" s="274" t="s">
        <v>458</v>
      </c>
      <c r="I22" s="246"/>
      <c r="J22" s="311" t="s">
        <v>434</v>
      </c>
      <c r="K22" s="246"/>
      <c r="L22" s="261"/>
      <c r="M22" s="333"/>
      <c r="N22" s="246"/>
      <c r="O22" s="311" t="s">
        <v>439</v>
      </c>
      <c r="P22" s="246"/>
      <c r="Q22" s="274" t="s">
        <v>449</v>
      </c>
      <c r="R22" s="246"/>
      <c r="S22" s="261"/>
      <c r="T22" s="333"/>
      <c r="U22" s="246"/>
      <c r="V22" s="274" t="s">
        <v>458</v>
      </c>
      <c r="W22" s="246"/>
      <c r="X22" s="311" t="s">
        <v>434</v>
      </c>
      <c r="Y22" s="246"/>
      <c r="Z22" s="261"/>
      <c r="AA22" s="333"/>
      <c r="AB22" s="246"/>
      <c r="AC22" s="274" t="s">
        <v>439</v>
      </c>
      <c r="AD22" s="246"/>
      <c r="AE22" s="274" t="s">
        <v>448</v>
      </c>
      <c r="AF22" s="246"/>
      <c r="AG22" s="261"/>
      <c r="AH22" s="320"/>
      <c r="AI22" s="246"/>
      <c r="AJ22" s="274" t="s">
        <v>439</v>
      </c>
      <c r="AK22" s="246"/>
      <c r="AL22" s="274" t="s">
        <v>409</v>
      </c>
      <c r="AM22" s="246"/>
      <c r="AN22" s="261"/>
      <c r="AO22" s="333"/>
      <c r="AP22" s="246"/>
      <c r="AQ22" s="274" t="s">
        <v>458</v>
      </c>
      <c r="AR22" s="246"/>
      <c r="AS22" s="274" t="s">
        <v>449</v>
      </c>
      <c r="AT22" s="254" t="str">
        <f t="shared" si="6"/>
        <v/>
      </c>
      <c r="AU22" s="269"/>
      <c r="AV22" s="269"/>
    </row>
    <row r="23">
      <c r="A23" s="94"/>
      <c r="B23" s="337" t="s">
        <v>665</v>
      </c>
      <c r="C23" s="338" t="s">
        <v>657</v>
      </c>
      <c r="D23" s="330"/>
      <c r="E23" s="259"/>
      <c r="F23" s="274" t="s">
        <v>443</v>
      </c>
      <c r="G23" s="246"/>
      <c r="H23" s="311" t="s">
        <v>459</v>
      </c>
      <c r="I23" s="246"/>
      <c r="J23" s="339" t="s">
        <v>447</v>
      </c>
      <c r="K23" s="246"/>
      <c r="L23" s="261"/>
      <c r="M23" s="324"/>
      <c r="N23" s="246"/>
      <c r="O23" s="336" t="s">
        <v>450</v>
      </c>
      <c r="P23" s="246"/>
      <c r="Q23" s="339" t="s">
        <v>468</v>
      </c>
      <c r="R23" s="246"/>
      <c r="S23" s="261"/>
      <c r="T23" s="324"/>
      <c r="U23" s="246"/>
      <c r="V23" s="311" t="s">
        <v>439</v>
      </c>
      <c r="W23" s="246"/>
      <c r="X23" s="274" t="s">
        <v>443</v>
      </c>
      <c r="Y23" s="246"/>
      <c r="Z23" s="261"/>
      <c r="AA23" s="324"/>
      <c r="AB23" s="246"/>
      <c r="AC23" s="311" t="s">
        <v>459</v>
      </c>
      <c r="AD23" s="246"/>
      <c r="AE23" s="339" t="s">
        <v>468</v>
      </c>
      <c r="AF23" s="246"/>
      <c r="AG23" s="261"/>
      <c r="AH23" s="320"/>
      <c r="AI23" s="246"/>
      <c r="AJ23" s="311" t="s">
        <v>459</v>
      </c>
      <c r="AK23" s="246"/>
      <c r="AL23" s="339" t="s">
        <v>468</v>
      </c>
      <c r="AM23" s="246"/>
      <c r="AN23" s="261"/>
      <c r="AO23" s="324"/>
      <c r="AP23" s="246"/>
      <c r="AQ23" s="311" t="s">
        <v>459</v>
      </c>
      <c r="AR23" s="246"/>
      <c r="AS23" s="339" t="s">
        <v>468</v>
      </c>
      <c r="AT23" s="254" t="str">
        <f>IF(COUNTIF($AO$79:$AT$81, AL32) &gt; 0, "X", "")</f>
        <v/>
      </c>
      <c r="AU23" s="269"/>
      <c r="AV23" s="269"/>
    </row>
    <row r="24">
      <c r="A24" s="94"/>
      <c r="B24" s="256" t="s">
        <v>665</v>
      </c>
      <c r="C24" s="257" t="s">
        <v>663</v>
      </c>
      <c r="D24" s="330"/>
      <c r="E24" s="259"/>
      <c r="G24" s="246"/>
      <c r="I24" s="246"/>
      <c r="J24" s="274" t="s">
        <v>415</v>
      </c>
      <c r="K24" s="246"/>
      <c r="L24" s="261"/>
      <c r="M24" s="341"/>
      <c r="N24" s="246"/>
      <c r="P24" s="246"/>
      <c r="Q24" s="274" t="s">
        <v>448</v>
      </c>
      <c r="R24" s="246"/>
      <c r="S24" s="261"/>
      <c r="T24" s="341"/>
      <c r="U24" s="246"/>
      <c r="W24" s="246"/>
      <c r="X24" s="274" t="s">
        <v>409</v>
      </c>
      <c r="Y24" s="246"/>
      <c r="Z24" s="261"/>
      <c r="AA24" s="341"/>
      <c r="AB24" s="246"/>
      <c r="AD24" s="246"/>
      <c r="AE24" s="274" t="s">
        <v>415</v>
      </c>
      <c r="AF24" s="246"/>
      <c r="AG24" s="261"/>
      <c r="AH24" s="320"/>
      <c r="AI24" s="246"/>
      <c r="AK24" s="246"/>
      <c r="AM24" s="246"/>
      <c r="AN24" s="261"/>
      <c r="AO24" s="341"/>
      <c r="AP24" s="246"/>
      <c r="AR24" s="246"/>
      <c r="AT24" s="254" t="str">
        <f t="shared" ref="AT24:AT28" si="7">IF(COUNTIF($AO$79:$AT$81, #REF!) &gt; 0, "X", "")</f>
        <v/>
      </c>
      <c r="AU24" s="269"/>
      <c r="AV24" s="269"/>
    </row>
    <row r="25">
      <c r="A25" s="94"/>
      <c r="B25" s="328" t="s">
        <v>665</v>
      </c>
      <c r="C25" s="329" t="s">
        <v>645</v>
      </c>
      <c r="D25" s="330"/>
      <c r="E25" s="259"/>
      <c r="F25" s="274" t="s">
        <v>448</v>
      </c>
      <c r="G25" s="246"/>
      <c r="H25" s="336" t="s">
        <v>450</v>
      </c>
      <c r="I25" s="246"/>
      <c r="K25" s="246"/>
      <c r="L25" s="261"/>
      <c r="M25" s="341"/>
      <c r="N25" s="246"/>
      <c r="O25" s="274" t="s">
        <v>415</v>
      </c>
      <c r="P25" s="246"/>
      <c r="Q25" s="311" t="s">
        <v>434</v>
      </c>
      <c r="R25" s="246"/>
      <c r="S25" s="261"/>
      <c r="T25" s="341"/>
      <c r="U25" s="246"/>
      <c r="V25" s="336" t="s">
        <v>450</v>
      </c>
      <c r="W25" s="246"/>
      <c r="X25" s="274" t="s">
        <v>448</v>
      </c>
      <c r="Y25" s="246"/>
      <c r="Z25" s="261"/>
      <c r="AA25" s="341"/>
      <c r="AB25" s="246"/>
      <c r="AC25" s="336" t="s">
        <v>450</v>
      </c>
      <c r="AD25" s="246"/>
      <c r="AF25" s="246"/>
      <c r="AG25" s="261"/>
      <c r="AH25" s="320"/>
      <c r="AI25" s="246"/>
      <c r="AJ25" s="336" t="s">
        <v>450</v>
      </c>
      <c r="AK25" s="246"/>
      <c r="AL25" s="274" t="s">
        <v>415</v>
      </c>
      <c r="AM25" s="246"/>
      <c r="AN25" s="261"/>
      <c r="AO25" s="341"/>
      <c r="AP25" s="246"/>
      <c r="AQ25" s="274" t="s">
        <v>448</v>
      </c>
      <c r="AR25" s="246"/>
      <c r="AS25" s="274" t="s">
        <v>415</v>
      </c>
      <c r="AT25" s="254" t="str">
        <f t="shared" si="7"/>
        <v/>
      </c>
      <c r="AU25" s="269"/>
      <c r="AV25" s="269"/>
    </row>
    <row r="26">
      <c r="A26" s="94"/>
      <c r="B26" s="342" t="s">
        <v>667</v>
      </c>
      <c r="C26" s="343" t="s">
        <v>657</v>
      </c>
      <c r="D26" s="323"/>
      <c r="E26" s="261"/>
      <c r="F26" s="572" t="s">
        <v>401</v>
      </c>
      <c r="G26" s="246"/>
      <c r="I26" s="246"/>
      <c r="K26" s="246"/>
      <c r="L26" s="261"/>
      <c r="M26" s="346"/>
      <c r="N26" s="246"/>
      <c r="O26" s="345" t="s">
        <v>401</v>
      </c>
      <c r="P26" s="246"/>
      <c r="R26" s="246"/>
      <c r="S26" s="261"/>
      <c r="T26" s="345" t="s">
        <v>401</v>
      </c>
      <c r="U26" s="246"/>
      <c r="W26" s="246"/>
      <c r="Y26" s="246"/>
      <c r="Z26" s="261"/>
      <c r="AA26" s="346"/>
      <c r="AB26" s="246"/>
      <c r="AC26" s="347" t="s">
        <v>401</v>
      </c>
      <c r="AD26" s="246"/>
      <c r="AF26" s="246"/>
      <c r="AG26" s="261"/>
      <c r="AH26" s="345" t="s">
        <v>401</v>
      </c>
      <c r="AI26" s="246"/>
      <c r="AK26" s="246"/>
      <c r="AM26" s="246"/>
      <c r="AN26" s="261"/>
      <c r="AO26" s="346"/>
      <c r="AP26" s="246"/>
      <c r="AQ26" s="345"/>
      <c r="AR26" s="246"/>
      <c r="AT26" s="254" t="str">
        <f t="shared" si="7"/>
        <v/>
      </c>
      <c r="AU26" s="269"/>
      <c r="AV26" s="269"/>
    </row>
    <row r="27">
      <c r="A27" s="234"/>
      <c r="B27" s="349" t="s">
        <v>669</v>
      </c>
      <c r="C27" s="350" t="s">
        <v>649</v>
      </c>
      <c r="D27" s="351"/>
      <c r="E27" s="259"/>
      <c r="F27" s="293" t="s">
        <v>426</v>
      </c>
      <c r="G27" s="246"/>
      <c r="H27" s="633" t="s">
        <v>420</v>
      </c>
      <c r="I27" s="246"/>
      <c r="J27" s="253" t="s">
        <v>417</v>
      </c>
      <c r="K27" s="246"/>
      <c r="L27" s="261"/>
      <c r="M27" s="354"/>
      <c r="N27" s="246"/>
      <c r="O27" s="633" t="s">
        <v>420</v>
      </c>
      <c r="P27" s="246"/>
      <c r="Q27" s="293" t="s">
        <v>421</v>
      </c>
      <c r="R27" s="246"/>
      <c r="S27" s="261"/>
      <c r="T27" s="354"/>
      <c r="U27" s="246"/>
      <c r="V27" s="253" t="s">
        <v>417</v>
      </c>
      <c r="W27" s="246"/>
      <c r="X27" s="633" t="s">
        <v>420</v>
      </c>
      <c r="Y27" s="246"/>
      <c r="Z27" s="261"/>
      <c r="AA27" s="354"/>
      <c r="AB27" s="246"/>
      <c r="AC27" s="633" t="s">
        <v>420</v>
      </c>
      <c r="AD27" s="246"/>
      <c r="AE27" s="632" t="s">
        <v>423</v>
      </c>
      <c r="AF27" s="246"/>
      <c r="AG27" s="261"/>
      <c r="AH27" s="632" t="s">
        <v>423</v>
      </c>
      <c r="AI27" s="246"/>
      <c r="AJ27" s="633" t="s">
        <v>420</v>
      </c>
      <c r="AK27" s="246"/>
      <c r="AL27" s="293" t="s">
        <v>421</v>
      </c>
      <c r="AM27" s="246"/>
      <c r="AN27" s="261"/>
      <c r="AO27" s="354"/>
      <c r="AP27" s="246"/>
      <c r="AQ27" s="353" t="s">
        <v>426</v>
      </c>
      <c r="AR27" s="246"/>
      <c r="AS27" s="293" t="s">
        <v>422</v>
      </c>
      <c r="AT27" s="254" t="str">
        <f t="shared" si="7"/>
        <v/>
      </c>
      <c r="AU27" s="269"/>
      <c r="AV27" s="269"/>
    </row>
    <row r="28">
      <c r="A28" s="94"/>
      <c r="B28" s="296" t="s">
        <v>650</v>
      </c>
      <c r="C28" s="297" t="s">
        <v>649</v>
      </c>
      <c r="D28" s="323"/>
      <c r="E28" s="259"/>
      <c r="F28" s="300"/>
      <c r="G28" s="298"/>
      <c r="H28" s="358" t="s">
        <v>397</v>
      </c>
      <c r="I28" s="298"/>
      <c r="J28" s="300"/>
      <c r="K28" s="298"/>
      <c r="L28" s="261"/>
      <c r="M28" s="324"/>
      <c r="N28" s="298"/>
      <c r="O28" s="319"/>
      <c r="P28" s="298"/>
      <c r="Q28" s="319"/>
      <c r="R28" s="298"/>
      <c r="S28" s="261"/>
      <c r="T28" s="324"/>
      <c r="U28" s="298"/>
      <c r="V28" s="319"/>
      <c r="W28" s="298"/>
      <c r="X28" s="293" t="s">
        <v>426</v>
      </c>
      <c r="Y28" s="298"/>
      <c r="Z28" s="261"/>
      <c r="AA28" s="324"/>
      <c r="AB28" s="298"/>
      <c r="AC28" s="253" t="s">
        <v>417</v>
      </c>
      <c r="AD28" s="298"/>
      <c r="AE28" s="319"/>
      <c r="AF28" s="298"/>
      <c r="AG28" s="261"/>
      <c r="AH28" s="319"/>
      <c r="AI28" s="298"/>
      <c r="AJ28" s="319"/>
      <c r="AK28" s="298"/>
      <c r="AL28" s="319"/>
      <c r="AM28" s="298"/>
      <c r="AN28" s="261"/>
      <c r="AO28" s="324"/>
      <c r="AP28" s="298"/>
      <c r="AQ28" s="359"/>
      <c r="AR28" s="298"/>
      <c r="AS28" s="359"/>
      <c r="AT28" s="254" t="str">
        <f t="shared" si="7"/>
        <v/>
      </c>
      <c r="AU28" s="269"/>
      <c r="AV28" s="269"/>
    </row>
    <row r="29">
      <c r="A29" s="94"/>
      <c r="B29" s="301" t="s">
        <v>651</v>
      </c>
      <c r="C29" s="302" t="s">
        <v>652</v>
      </c>
      <c r="D29" s="330"/>
      <c r="E29" s="259"/>
      <c r="F29" s="303"/>
      <c r="G29" s="298"/>
      <c r="H29" s="304"/>
      <c r="I29" s="298"/>
      <c r="J29" s="304"/>
      <c r="K29" s="298"/>
      <c r="L29" s="261"/>
      <c r="M29" s="250"/>
      <c r="N29" s="298"/>
      <c r="O29" s="303"/>
      <c r="P29" s="298"/>
      <c r="Q29" s="303"/>
      <c r="R29" s="298"/>
      <c r="S29" s="261"/>
      <c r="T29" s="250"/>
      <c r="U29" s="298"/>
      <c r="V29" s="532" t="s">
        <v>675</v>
      </c>
      <c r="W29" s="298"/>
      <c r="X29" s="303"/>
      <c r="Y29" s="298"/>
      <c r="Z29" s="261"/>
      <c r="AA29" s="250"/>
      <c r="AB29" s="298"/>
      <c r="AC29" s="532" t="s">
        <v>675</v>
      </c>
      <c r="AD29" s="298"/>
      <c r="AE29" s="303"/>
      <c r="AF29" s="298"/>
      <c r="AG29" s="261"/>
      <c r="AH29" s="303"/>
      <c r="AI29" s="298"/>
      <c r="AJ29" s="304"/>
      <c r="AK29" s="298"/>
      <c r="AL29" s="483"/>
      <c r="AM29" s="298"/>
      <c r="AN29" s="261"/>
      <c r="AO29" s="250"/>
      <c r="AP29" s="298"/>
      <c r="AQ29" s="325" t="s">
        <v>841</v>
      </c>
      <c r="AR29" s="298"/>
      <c r="AS29" s="303"/>
      <c r="AT29" s="254" t="str">
        <f>IF(COUNTIF($AO$79:$AT$81, AS29) &gt; 0, "X", "")</f>
        <v/>
      </c>
      <c r="AU29" s="269"/>
      <c r="AV29" s="269"/>
    </row>
    <row r="30">
      <c r="A30" s="94"/>
      <c r="B30" s="361" t="s">
        <v>673</v>
      </c>
      <c r="C30" s="362" t="s">
        <v>674</v>
      </c>
      <c r="D30" s="363"/>
      <c r="E30" s="259"/>
      <c r="F30" s="251" t="s">
        <v>433</v>
      </c>
      <c r="G30" s="298"/>
      <c r="H30" s="336" t="s">
        <v>412</v>
      </c>
      <c r="I30" s="298"/>
      <c r="J30" s="311" t="s">
        <v>394</v>
      </c>
      <c r="K30" s="298"/>
      <c r="L30" s="261"/>
      <c r="M30" s="324"/>
      <c r="N30" s="298"/>
      <c r="O30" s="336" t="s">
        <v>412</v>
      </c>
      <c r="P30" s="298"/>
      <c r="Q30" s="311" t="s">
        <v>394</v>
      </c>
      <c r="R30" s="298"/>
      <c r="S30" s="261"/>
      <c r="T30" s="324"/>
      <c r="U30" s="298"/>
      <c r="V30" s="336" t="s">
        <v>398</v>
      </c>
      <c r="W30" s="298"/>
      <c r="X30" s="311" t="s">
        <v>394</v>
      </c>
      <c r="Y30" s="298"/>
      <c r="Z30" s="261"/>
      <c r="AA30" s="324"/>
      <c r="AB30" s="298"/>
      <c r="AC30" s="311" t="s">
        <v>438</v>
      </c>
      <c r="AD30" s="298"/>
      <c r="AE30" s="251" t="s">
        <v>433</v>
      </c>
      <c r="AF30" s="298"/>
      <c r="AG30" s="261"/>
      <c r="AH30" s="251" t="s">
        <v>433</v>
      </c>
      <c r="AI30" s="298"/>
      <c r="AJ30" s="336" t="s">
        <v>412</v>
      </c>
      <c r="AK30" s="298"/>
      <c r="AL30" s="311" t="s">
        <v>394</v>
      </c>
      <c r="AM30" s="298"/>
      <c r="AN30" s="261"/>
      <c r="AO30" s="324"/>
      <c r="AP30" s="298"/>
      <c r="AQ30" s="251" t="s">
        <v>412</v>
      </c>
      <c r="AR30" s="298"/>
      <c r="AS30" s="251" t="s">
        <v>433</v>
      </c>
      <c r="AT30" s="254" t="str">
        <f t="shared" ref="AT30:AT37" si="8">IF(COUNTIF($AO$79:$AT$81, #REF!) &gt; 0, "X", "")</f>
        <v/>
      </c>
      <c r="AU30" s="269"/>
      <c r="AV30" s="269"/>
    </row>
    <row r="31">
      <c r="A31" s="94"/>
      <c r="B31" s="367" t="s">
        <v>677</v>
      </c>
      <c r="C31" s="368" t="s">
        <v>674</v>
      </c>
      <c r="D31" s="369"/>
      <c r="E31" s="259"/>
      <c r="F31" s="282"/>
      <c r="G31" s="246"/>
      <c r="I31" s="246"/>
      <c r="J31" s="311" t="s">
        <v>438</v>
      </c>
      <c r="K31" s="246"/>
      <c r="L31" s="261"/>
      <c r="M31" s="250"/>
      <c r="N31" s="246"/>
      <c r="P31" s="246"/>
      <c r="R31" s="246"/>
      <c r="S31" s="261"/>
      <c r="T31" s="250"/>
      <c r="U31" s="246"/>
      <c r="W31" s="246"/>
      <c r="Y31" s="246"/>
      <c r="Z31" s="261"/>
      <c r="AA31" s="250"/>
      <c r="AB31" s="246"/>
      <c r="AD31" s="246"/>
      <c r="AF31" s="246"/>
      <c r="AG31" s="261"/>
      <c r="AH31" s="371"/>
      <c r="AI31" s="246"/>
      <c r="AJ31" s="516"/>
      <c r="AK31" s="246"/>
      <c r="AM31" s="246"/>
      <c r="AN31" s="261"/>
      <c r="AO31" s="250"/>
      <c r="AP31" s="246"/>
      <c r="AR31" s="246"/>
      <c r="AT31" s="254" t="str">
        <f t="shared" si="8"/>
        <v/>
      </c>
      <c r="AU31" s="269"/>
      <c r="AV31" s="269"/>
    </row>
    <row r="32">
      <c r="A32" s="372"/>
      <c r="B32" s="256" t="s">
        <v>679</v>
      </c>
      <c r="C32" s="257" t="s">
        <v>680</v>
      </c>
      <c r="D32" s="330"/>
      <c r="E32" s="259"/>
      <c r="F32" s="311" t="s">
        <v>393</v>
      </c>
      <c r="G32" s="246"/>
      <c r="H32" s="364" t="s">
        <v>836</v>
      </c>
      <c r="I32" s="246"/>
      <c r="J32" s="274" t="s">
        <v>437</v>
      </c>
      <c r="K32" s="246"/>
      <c r="L32" s="261"/>
      <c r="M32" s="333"/>
      <c r="N32" s="246"/>
      <c r="O32" s="374" t="s">
        <v>436</v>
      </c>
      <c r="P32" s="246"/>
      <c r="Q32" s="274" t="s">
        <v>443</v>
      </c>
      <c r="R32" s="246"/>
      <c r="S32" s="261"/>
      <c r="T32" s="333"/>
      <c r="U32" s="246"/>
      <c r="V32" s="311" t="s">
        <v>436</v>
      </c>
      <c r="W32" s="246"/>
      <c r="X32" s="251" t="s">
        <v>433</v>
      </c>
      <c r="Y32" s="246"/>
      <c r="Z32" s="261"/>
      <c r="AA32" s="333"/>
      <c r="AB32" s="246"/>
      <c r="AC32" s="274" t="s">
        <v>406</v>
      </c>
      <c r="AD32" s="246"/>
      <c r="AE32" s="274" t="s">
        <v>443</v>
      </c>
      <c r="AF32" s="246"/>
      <c r="AG32" s="261"/>
      <c r="AH32" s="311" t="s">
        <v>393</v>
      </c>
      <c r="AI32" s="246"/>
      <c r="AJ32" s="311" t="s">
        <v>436</v>
      </c>
      <c r="AK32" s="246"/>
      <c r="AL32" s="274" t="s">
        <v>443</v>
      </c>
      <c r="AM32" s="246"/>
      <c r="AN32" s="261"/>
      <c r="AO32" s="333"/>
      <c r="AP32" s="246"/>
      <c r="AQ32" s="274" t="s">
        <v>406</v>
      </c>
      <c r="AR32" s="246"/>
      <c r="AS32" s="311" t="s">
        <v>436</v>
      </c>
      <c r="AT32" s="254" t="str">
        <f t="shared" si="8"/>
        <v/>
      </c>
      <c r="AU32" s="269"/>
      <c r="AV32" s="269"/>
    </row>
    <row r="33">
      <c r="A33" s="94"/>
      <c r="B33" s="328" t="s">
        <v>679</v>
      </c>
      <c r="C33" s="329" t="s">
        <v>652</v>
      </c>
      <c r="D33" s="330"/>
      <c r="E33" s="259"/>
      <c r="G33" s="246"/>
      <c r="I33" s="246"/>
      <c r="K33" s="246"/>
      <c r="L33" s="261"/>
      <c r="M33" s="346"/>
      <c r="N33" s="246"/>
      <c r="P33" s="246"/>
      <c r="R33" s="246"/>
      <c r="S33" s="261"/>
      <c r="T33" s="346"/>
      <c r="U33" s="246"/>
      <c r="W33" s="246"/>
      <c r="Y33" s="246"/>
      <c r="Z33" s="261"/>
      <c r="AA33" s="346"/>
      <c r="AB33" s="246"/>
      <c r="AD33" s="246"/>
      <c r="AF33" s="246"/>
      <c r="AG33" s="261"/>
      <c r="AH33" s="282"/>
      <c r="AI33" s="246"/>
      <c r="AJ33" s="516"/>
      <c r="AK33" s="246"/>
      <c r="AM33" s="246"/>
      <c r="AN33" s="261"/>
      <c r="AO33" s="346"/>
      <c r="AP33" s="246"/>
      <c r="AQ33" s="251" t="s">
        <v>397</v>
      </c>
      <c r="AR33" s="246"/>
      <c r="AT33" s="254" t="str">
        <f t="shared" si="8"/>
        <v/>
      </c>
      <c r="AU33" s="269"/>
      <c r="AV33" s="269"/>
    </row>
    <row r="34">
      <c r="A34" s="94"/>
      <c r="B34" s="328" t="s">
        <v>679</v>
      </c>
      <c r="C34" s="329" t="s">
        <v>683</v>
      </c>
      <c r="D34" s="330"/>
      <c r="E34" s="259"/>
      <c r="F34" s="376" t="s">
        <v>453</v>
      </c>
      <c r="G34" s="246"/>
      <c r="H34" s="274" t="s">
        <v>406</v>
      </c>
      <c r="I34" s="246"/>
      <c r="J34" s="274" t="s">
        <v>414</v>
      </c>
      <c r="K34" s="246"/>
      <c r="L34" s="261"/>
      <c r="M34" s="341"/>
      <c r="N34" s="246"/>
      <c r="O34" s="336" t="s">
        <v>398</v>
      </c>
      <c r="P34" s="246"/>
      <c r="Q34" s="311" t="s">
        <v>455</v>
      </c>
      <c r="R34" s="246"/>
      <c r="S34" s="261"/>
      <c r="T34" s="341"/>
      <c r="U34" s="246"/>
      <c r="V34" s="274" t="s">
        <v>406</v>
      </c>
      <c r="W34" s="246"/>
      <c r="X34" s="311" t="s">
        <v>455</v>
      </c>
      <c r="Y34" s="246"/>
      <c r="Z34" s="261"/>
      <c r="AA34" s="341"/>
      <c r="AB34" s="246"/>
      <c r="AC34" s="311" t="s">
        <v>436</v>
      </c>
      <c r="AD34" s="246"/>
      <c r="AE34" s="376" t="s">
        <v>466</v>
      </c>
      <c r="AF34" s="246"/>
      <c r="AG34" s="261"/>
      <c r="AI34" s="246"/>
      <c r="AJ34" s="251" t="s">
        <v>397</v>
      </c>
      <c r="AK34" s="246"/>
      <c r="AL34" s="376" t="s">
        <v>466</v>
      </c>
      <c r="AM34" s="246"/>
      <c r="AN34" s="261"/>
      <c r="AO34" s="341"/>
      <c r="AP34" s="246"/>
      <c r="AR34" s="246"/>
      <c r="AS34" s="274" t="s">
        <v>437</v>
      </c>
      <c r="AT34" s="254" t="str">
        <f t="shared" si="8"/>
        <v/>
      </c>
      <c r="AU34" s="269"/>
      <c r="AV34" s="269"/>
    </row>
    <row r="35">
      <c r="A35" s="270"/>
      <c r="B35" s="377" t="s">
        <v>684</v>
      </c>
      <c r="C35" s="378" t="s">
        <v>685</v>
      </c>
      <c r="D35" s="379"/>
      <c r="E35" s="380"/>
      <c r="G35" s="246"/>
      <c r="I35" s="246"/>
      <c r="K35" s="246"/>
      <c r="L35" s="381"/>
      <c r="M35" s="341"/>
      <c r="N35" s="246"/>
      <c r="P35" s="246"/>
      <c r="R35" s="246"/>
      <c r="S35" s="381"/>
      <c r="T35" s="341"/>
      <c r="U35" s="246"/>
      <c r="W35" s="246"/>
      <c r="X35" s="251" t="s">
        <v>405</v>
      </c>
      <c r="Y35" s="246"/>
      <c r="Z35" s="381"/>
      <c r="AA35" s="341"/>
      <c r="AB35" s="246"/>
      <c r="AD35" s="246"/>
      <c r="AE35" s="251" t="s">
        <v>405</v>
      </c>
      <c r="AF35" s="246"/>
      <c r="AG35" s="381"/>
      <c r="AH35" s="311" t="s">
        <v>455</v>
      </c>
      <c r="AI35" s="246"/>
      <c r="AK35" s="246"/>
      <c r="AL35" s="251" t="s">
        <v>405</v>
      </c>
      <c r="AM35" s="246"/>
      <c r="AN35" s="381"/>
      <c r="AO35" s="341"/>
      <c r="AP35" s="246"/>
      <c r="AR35" s="246"/>
      <c r="AT35" s="254" t="str">
        <f t="shared" si="8"/>
        <v/>
      </c>
      <c r="AU35" s="269"/>
      <c r="AV35" s="269"/>
    </row>
    <row r="36">
      <c r="A36" s="234"/>
      <c r="B36" s="382" t="s">
        <v>686</v>
      </c>
      <c r="C36" s="242" t="s">
        <v>652</v>
      </c>
      <c r="D36" s="363"/>
      <c r="E36" s="259"/>
      <c r="F36" s="311" t="s">
        <v>455</v>
      </c>
      <c r="G36" s="246"/>
      <c r="H36" s="274" t="s">
        <v>435</v>
      </c>
      <c r="I36" s="246"/>
      <c r="J36" s="287" t="s">
        <v>429</v>
      </c>
      <c r="K36" s="246"/>
      <c r="L36" s="261"/>
      <c r="M36" s="341"/>
      <c r="N36" s="246"/>
      <c r="O36" s="385" t="s">
        <v>428</v>
      </c>
      <c r="P36" s="246"/>
      <c r="Q36" s="251" t="s">
        <v>429</v>
      </c>
      <c r="R36" s="246"/>
      <c r="S36" s="261"/>
      <c r="T36" s="341"/>
      <c r="U36" s="246"/>
      <c r="V36" s="383" t="s">
        <v>428</v>
      </c>
      <c r="W36" s="246"/>
      <c r="X36" s="376" t="s">
        <v>466</v>
      </c>
      <c r="Y36" s="246"/>
      <c r="Z36" s="261"/>
      <c r="AA36" s="341"/>
      <c r="AB36" s="246"/>
      <c r="AC36" s="385" t="s">
        <v>428</v>
      </c>
      <c r="AD36" s="246"/>
      <c r="AE36" s="287" t="s">
        <v>429</v>
      </c>
      <c r="AF36" s="246"/>
      <c r="AG36" s="261"/>
      <c r="AH36" s="376" t="s">
        <v>453</v>
      </c>
      <c r="AI36" s="246"/>
      <c r="AJ36" s="385" t="s">
        <v>428</v>
      </c>
      <c r="AK36" s="246"/>
      <c r="AL36" s="251" t="s">
        <v>429</v>
      </c>
      <c r="AM36" s="246"/>
      <c r="AN36" s="261"/>
      <c r="AO36" s="341"/>
      <c r="AP36" s="246"/>
      <c r="AQ36" s="251" t="s">
        <v>435</v>
      </c>
      <c r="AR36" s="246"/>
      <c r="AS36" s="251" t="s">
        <v>429</v>
      </c>
      <c r="AT36" s="254" t="str">
        <f t="shared" si="8"/>
        <v/>
      </c>
      <c r="AU36" s="269"/>
      <c r="AV36" s="269"/>
    </row>
    <row r="37">
      <c r="A37" s="94"/>
      <c r="B37" s="337" t="s">
        <v>686</v>
      </c>
      <c r="C37" s="338" t="s">
        <v>687</v>
      </c>
      <c r="D37" s="330"/>
      <c r="E37" s="259"/>
      <c r="G37" s="246"/>
      <c r="H37" s="385" t="s">
        <v>428</v>
      </c>
      <c r="I37" s="246"/>
      <c r="K37" s="246"/>
      <c r="L37" s="261"/>
      <c r="M37" s="250"/>
      <c r="N37" s="246"/>
      <c r="O37" s="376" t="s">
        <v>453</v>
      </c>
      <c r="P37" s="246"/>
      <c r="Q37" s="579" t="s">
        <v>837</v>
      </c>
      <c r="R37" s="246"/>
      <c r="S37" s="261"/>
      <c r="T37" s="250"/>
      <c r="U37" s="246"/>
      <c r="V37" s="274" t="s">
        <v>435</v>
      </c>
      <c r="W37" s="246"/>
      <c r="Y37" s="246"/>
      <c r="Z37" s="261"/>
      <c r="AA37" s="250"/>
      <c r="AB37" s="246"/>
      <c r="AC37" s="311" t="s">
        <v>455</v>
      </c>
      <c r="AD37" s="246"/>
      <c r="AF37" s="246"/>
      <c r="AG37" s="261"/>
      <c r="AI37" s="246"/>
      <c r="AJ37" s="274" t="s">
        <v>435</v>
      </c>
      <c r="AK37" s="246"/>
      <c r="AM37" s="246"/>
      <c r="AN37" s="261"/>
      <c r="AO37" s="250"/>
      <c r="AP37" s="246"/>
      <c r="AQ37" s="376" t="s">
        <v>466</v>
      </c>
      <c r="AR37" s="246"/>
      <c r="AS37" s="376" t="s">
        <v>453</v>
      </c>
      <c r="AT37" s="254" t="str">
        <f t="shared" si="8"/>
        <v/>
      </c>
      <c r="AU37" s="269"/>
      <c r="AV37" s="269"/>
    </row>
    <row r="38">
      <c r="A38" s="94"/>
      <c r="B38" s="337" t="s">
        <v>688</v>
      </c>
      <c r="C38" s="285" t="s">
        <v>687</v>
      </c>
      <c r="D38" s="330"/>
      <c r="E38" s="259"/>
      <c r="G38" s="246"/>
      <c r="I38" s="246"/>
      <c r="J38" s="265"/>
      <c r="K38" s="246"/>
      <c r="L38" s="261"/>
      <c r="M38" s="262"/>
      <c r="N38" s="246"/>
      <c r="O38" s="348" t="s">
        <v>1005</v>
      </c>
      <c r="P38" s="246"/>
      <c r="R38" s="246"/>
      <c r="S38" s="261"/>
      <c r="T38" s="262"/>
      <c r="U38" s="246"/>
      <c r="W38" s="246"/>
      <c r="Y38" s="246"/>
      <c r="Z38" s="261"/>
      <c r="AA38" s="262"/>
      <c r="AB38" s="246"/>
      <c r="AC38" s="347"/>
      <c r="AD38" s="246"/>
      <c r="AF38" s="246"/>
      <c r="AG38" s="261"/>
      <c r="AH38" s="274" t="s">
        <v>437</v>
      </c>
      <c r="AI38" s="246"/>
      <c r="AJ38" s="265"/>
      <c r="AK38" s="246"/>
      <c r="AM38" s="246"/>
      <c r="AN38" s="261"/>
      <c r="AO38" s="262"/>
      <c r="AP38" s="246"/>
      <c r="AR38" s="246"/>
      <c r="AT38" s="254" t="str">
        <f>IF(COUNTIF($AO$79:$AT$81, AS36) &gt; 0, "X", "")</f>
        <v/>
      </c>
      <c r="AU38" s="269"/>
      <c r="AV38" s="269"/>
    </row>
    <row r="39">
      <c r="A39" s="94"/>
      <c r="B39" s="387" t="s">
        <v>690</v>
      </c>
      <c r="C39" s="388" t="s">
        <v>649</v>
      </c>
      <c r="D39" s="389"/>
      <c r="E39" s="259"/>
      <c r="F39" s="390"/>
      <c r="G39" s="246"/>
      <c r="H39" s="390"/>
      <c r="I39" s="246"/>
      <c r="J39" s="390"/>
      <c r="K39" s="246"/>
      <c r="L39" s="261"/>
      <c r="M39" s="250"/>
      <c r="N39" s="246"/>
      <c r="O39" s="355" t="s">
        <v>670</v>
      </c>
      <c r="P39" s="246"/>
      <c r="Q39" s="390"/>
      <c r="R39" s="246"/>
      <c r="S39" s="261"/>
      <c r="T39" s="250"/>
      <c r="U39" s="246"/>
      <c r="V39" s="390"/>
      <c r="W39" s="246"/>
      <c r="X39" s="355" t="s">
        <v>670</v>
      </c>
      <c r="Y39" s="246"/>
      <c r="Z39" s="261"/>
      <c r="AA39" s="250"/>
      <c r="AB39" s="246"/>
      <c r="AC39" s="355" t="s">
        <v>670</v>
      </c>
      <c r="AD39" s="246"/>
      <c r="AE39" s="390"/>
      <c r="AF39" s="246"/>
      <c r="AG39" s="261"/>
      <c r="AH39" s="390"/>
      <c r="AI39" s="246"/>
      <c r="AJ39" s="390"/>
      <c r="AK39" s="246"/>
      <c r="AL39" s="390"/>
      <c r="AM39" s="246"/>
      <c r="AN39" s="261"/>
      <c r="AO39" s="250"/>
      <c r="AP39" s="246"/>
      <c r="AQ39" s="390"/>
      <c r="AR39" s="246"/>
      <c r="AS39" s="390"/>
      <c r="AT39" s="254" t="str">
        <f>IF(COUNTIF($AO$79:$AT$81, #REF!) &gt; 0, "X", "")</f>
        <v/>
      </c>
      <c r="AU39" s="269"/>
      <c r="AV39" s="269"/>
    </row>
    <row r="40">
      <c r="A40" s="94"/>
      <c r="B40" s="296" t="s">
        <v>650</v>
      </c>
      <c r="C40" s="297" t="s">
        <v>649</v>
      </c>
      <c r="D40" s="323"/>
      <c r="E40" s="259"/>
      <c r="F40" s="300"/>
      <c r="G40" s="246"/>
      <c r="H40" s="319"/>
      <c r="I40" s="246"/>
      <c r="J40" s="300"/>
      <c r="K40" s="246"/>
      <c r="L40" s="261"/>
      <c r="M40" s="250"/>
      <c r="N40" s="246"/>
      <c r="O40" s="300"/>
      <c r="P40" s="246"/>
      <c r="Q40" s="300"/>
      <c r="R40" s="246"/>
      <c r="S40" s="261"/>
      <c r="T40" s="250"/>
      <c r="U40" s="246"/>
      <c r="V40" s="300"/>
      <c r="W40" s="246"/>
      <c r="X40" s="300"/>
      <c r="Y40" s="246"/>
      <c r="Z40" s="261"/>
      <c r="AA40" s="250"/>
      <c r="AB40" s="246"/>
      <c r="AC40" s="300"/>
      <c r="AD40" s="246"/>
      <c r="AE40" s="300"/>
      <c r="AF40" s="246"/>
      <c r="AG40" s="261"/>
      <c r="AH40" s="300"/>
      <c r="AI40" s="246"/>
      <c r="AJ40" s="300"/>
      <c r="AK40" s="246"/>
      <c r="AL40" s="300"/>
      <c r="AM40" s="246"/>
      <c r="AN40" s="261"/>
      <c r="AO40" s="250"/>
      <c r="AP40" s="246"/>
      <c r="AQ40" s="300"/>
      <c r="AR40" s="246"/>
      <c r="AS40" s="300"/>
      <c r="AT40" s="254" t="str">
        <f t="shared" ref="AT40:AT47" si="9">IF(COUNTIF($AO$79:$AT$81, AS40) &gt; 0, "X", "")</f>
        <v/>
      </c>
      <c r="AU40" s="269"/>
      <c r="AV40" s="269"/>
    </row>
    <row r="41">
      <c r="A41" s="94"/>
      <c r="B41" s="301" t="s">
        <v>651</v>
      </c>
      <c r="C41" s="391" t="s">
        <v>652</v>
      </c>
      <c r="D41" s="323"/>
      <c r="E41" s="261"/>
      <c r="F41" s="304"/>
      <c r="G41" s="246"/>
      <c r="H41" s="304"/>
      <c r="I41" s="246"/>
      <c r="J41" s="304"/>
      <c r="K41" s="246"/>
      <c r="L41" s="261"/>
      <c r="M41" s="250"/>
      <c r="N41" s="246"/>
      <c r="O41" s="304"/>
      <c r="P41" s="246"/>
      <c r="Q41" s="304"/>
      <c r="R41" s="246"/>
      <c r="S41" s="261"/>
      <c r="T41" s="250"/>
      <c r="U41" s="246"/>
      <c r="V41" s="304"/>
      <c r="W41" s="246"/>
      <c r="X41" s="304"/>
      <c r="Y41" s="246"/>
      <c r="Z41" s="261"/>
      <c r="AA41" s="250"/>
      <c r="AB41" s="246"/>
      <c r="AC41" s="304"/>
      <c r="AD41" s="246"/>
      <c r="AE41" s="304"/>
      <c r="AF41" s="246"/>
      <c r="AG41" s="261"/>
      <c r="AH41" s="304"/>
      <c r="AI41" s="246"/>
      <c r="AJ41" s="304"/>
      <c r="AK41" s="246"/>
      <c r="AL41" s="304"/>
      <c r="AM41" s="246"/>
      <c r="AN41" s="261"/>
      <c r="AO41" s="250"/>
      <c r="AP41" s="246"/>
      <c r="AQ41" s="304"/>
      <c r="AR41" s="246"/>
      <c r="AS41" s="304"/>
      <c r="AT41" s="254" t="str">
        <f t="shared" si="9"/>
        <v/>
      </c>
      <c r="AU41" s="269"/>
      <c r="AV41" s="269"/>
    </row>
    <row r="42">
      <c r="A42" s="94"/>
      <c r="B42" s="392" t="s">
        <v>691</v>
      </c>
      <c r="C42" s="393" t="s">
        <v>652</v>
      </c>
      <c r="D42" s="323"/>
      <c r="E42" s="259"/>
      <c r="F42" s="307"/>
      <c r="G42" s="246"/>
      <c r="H42" s="307"/>
      <c r="I42" s="246"/>
      <c r="J42" s="307"/>
      <c r="K42" s="246"/>
      <c r="L42" s="261"/>
      <c r="M42" s="250"/>
      <c r="N42" s="246"/>
      <c r="O42" s="394" t="s">
        <v>397</v>
      </c>
      <c r="P42" s="246"/>
      <c r="Q42" s="307"/>
      <c r="R42" s="246"/>
      <c r="S42" s="261"/>
      <c r="T42" s="250"/>
      <c r="U42" s="246"/>
      <c r="V42" s="394"/>
      <c r="W42" s="246"/>
      <c r="X42" s="394" t="s">
        <v>397</v>
      </c>
      <c r="Y42" s="246"/>
      <c r="Z42" s="261"/>
      <c r="AA42" s="250"/>
      <c r="AB42" s="246"/>
      <c r="AC42" s="394" t="s">
        <v>397</v>
      </c>
      <c r="AD42" s="246"/>
      <c r="AE42" s="307"/>
      <c r="AF42" s="246"/>
      <c r="AG42" s="261"/>
      <c r="AH42" s="307"/>
      <c r="AI42" s="246"/>
      <c r="AJ42" s="307"/>
      <c r="AK42" s="246"/>
      <c r="AL42" s="307"/>
      <c r="AM42" s="246"/>
      <c r="AN42" s="261"/>
      <c r="AO42" s="250"/>
      <c r="AP42" s="246"/>
      <c r="AQ42" s="307"/>
      <c r="AR42" s="246"/>
      <c r="AS42" s="307"/>
      <c r="AT42" s="254" t="str">
        <f t="shared" si="9"/>
        <v/>
      </c>
      <c r="AU42" s="269"/>
      <c r="AV42" s="269"/>
    </row>
    <row r="43">
      <c r="A43" s="94"/>
      <c r="B43" s="328" t="s">
        <v>692</v>
      </c>
      <c r="C43" s="329" t="s">
        <v>652</v>
      </c>
      <c r="D43" s="330"/>
      <c r="E43" s="259"/>
      <c r="F43" s="371"/>
      <c r="G43" s="246"/>
      <c r="H43" s="371"/>
      <c r="I43" s="246"/>
      <c r="J43" s="282"/>
      <c r="K43" s="246"/>
      <c r="L43" s="261"/>
      <c r="M43" s="250"/>
      <c r="N43" s="246"/>
      <c r="O43" s="371"/>
      <c r="P43" s="246"/>
      <c r="Q43" s="371"/>
      <c r="R43" s="246"/>
      <c r="S43" s="261"/>
      <c r="T43" s="250"/>
      <c r="U43" s="246"/>
      <c r="V43" s="282"/>
      <c r="W43" s="246"/>
      <c r="Y43" s="246"/>
      <c r="Z43" s="261"/>
      <c r="AA43" s="250"/>
      <c r="AB43" s="246"/>
      <c r="AC43" s="371"/>
      <c r="AD43" s="246"/>
      <c r="AE43" s="371"/>
      <c r="AF43" s="246"/>
      <c r="AG43" s="261"/>
      <c r="AH43" s="371"/>
      <c r="AI43" s="246"/>
      <c r="AJ43" s="371"/>
      <c r="AK43" s="246"/>
      <c r="AL43" s="371"/>
      <c r="AM43" s="246"/>
      <c r="AN43" s="261"/>
      <c r="AO43" s="250"/>
      <c r="AP43" s="246"/>
      <c r="AQ43" s="282"/>
      <c r="AR43" s="246"/>
      <c r="AS43" s="282"/>
      <c r="AT43" s="254" t="str">
        <f t="shared" si="9"/>
        <v/>
      </c>
      <c r="AU43" s="269"/>
      <c r="AV43" s="269"/>
    </row>
    <row r="44">
      <c r="A44" s="270"/>
      <c r="B44" s="397" t="s">
        <v>692</v>
      </c>
      <c r="C44" s="398" t="s">
        <v>687</v>
      </c>
      <c r="D44" s="369"/>
      <c r="E44" s="259"/>
      <c r="F44" s="399"/>
      <c r="G44" s="246"/>
      <c r="H44" s="399"/>
      <c r="I44" s="246"/>
      <c r="J44" s="399"/>
      <c r="K44" s="246"/>
      <c r="L44" s="261"/>
      <c r="M44" s="250"/>
      <c r="N44" s="246"/>
      <c r="O44" s="282"/>
      <c r="P44" s="246"/>
      <c r="Q44" s="282"/>
      <c r="R44" s="246"/>
      <c r="S44" s="261"/>
      <c r="T44" s="250"/>
      <c r="U44" s="246"/>
      <c r="V44" s="282"/>
      <c r="W44" s="246"/>
      <c r="X44" s="399"/>
      <c r="Y44" s="246"/>
      <c r="Z44" s="261"/>
      <c r="AA44" s="250"/>
      <c r="AB44" s="246"/>
      <c r="AC44" s="399"/>
      <c r="AD44" s="246"/>
      <c r="AE44" s="399"/>
      <c r="AF44" s="246"/>
      <c r="AG44" s="261"/>
      <c r="AH44" s="399"/>
      <c r="AI44" s="246"/>
      <c r="AJ44" s="399"/>
      <c r="AK44" s="246"/>
      <c r="AL44" s="399"/>
      <c r="AM44" s="246"/>
      <c r="AN44" s="261"/>
      <c r="AO44" s="250"/>
      <c r="AP44" s="246"/>
      <c r="AQ44" s="399"/>
      <c r="AR44" s="246"/>
      <c r="AS44" s="399"/>
      <c r="AT44" s="254" t="str">
        <f t="shared" si="9"/>
        <v/>
      </c>
      <c r="AU44" s="269"/>
      <c r="AV44" s="269"/>
    </row>
    <row r="45">
      <c r="A45" s="94"/>
      <c r="B45" s="387" t="s">
        <v>694</v>
      </c>
      <c r="C45" s="388" t="s">
        <v>649</v>
      </c>
      <c r="D45" s="389"/>
      <c r="E45" s="259"/>
      <c r="F45" s="390"/>
      <c r="G45" s="246"/>
      <c r="H45" s="390"/>
      <c r="I45" s="246"/>
      <c r="J45" s="390"/>
      <c r="K45" s="246"/>
      <c r="L45" s="261"/>
      <c r="M45" s="250"/>
      <c r="N45" s="246"/>
      <c r="O45" s="390"/>
      <c r="P45" s="246"/>
      <c r="Q45" s="357" t="s">
        <v>425</v>
      </c>
      <c r="R45" s="246"/>
      <c r="S45" s="261"/>
      <c r="T45" s="250"/>
      <c r="U45" s="246"/>
      <c r="V45" s="390"/>
      <c r="W45" s="246"/>
      <c r="X45" s="357" t="s">
        <v>425</v>
      </c>
      <c r="Y45" s="246"/>
      <c r="Z45" s="261"/>
      <c r="AA45" s="250"/>
      <c r="AB45" s="246"/>
      <c r="AC45" s="390"/>
      <c r="AD45" s="246"/>
      <c r="AE45" s="605" t="s">
        <v>856</v>
      </c>
      <c r="AF45" s="246"/>
      <c r="AG45" s="261"/>
      <c r="AH45" s="390"/>
      <c r="AI45" s="246"/>
      <c r="AJ45" s="390"/>
      <c r="AK45" s="246"/>
      <c r="AL45" s="605" t="s">
        <v>856</v>
      </c>
      <c r="AM45" s="246"/>
      <c r="AN45" s="261"/>
      <c r="AO45" s="250"/>
      <c r="AP45" s="246"/>
      <c r="AQ45" s="390"/>
      <c r="AR45" s="246"/>
      <c r="AS45" s="357" t="s">
        <v>425</v>
      </c>
      <c r="AT45" s="254" t="str">
        <f t="shared" si="9"/>
        <v/>
      </c>
      <c r="AU45" s="269"/>
      <c r="AV45" s="269"/>
    </row>
    <row r="46">
      <c r="A46" s="94"/>
      <c r="B46" s="296" t="s">
        <v>650</v>
      </c>
      <c r="C46" s="297" t="s">
        <v>649</v>
      </c>
      <c r="D46" s="323"/>
      <c r="E46" s="259"/>
      <c r="F46" s="300"/>
      <c r="G46" s="298"/>
      <c r="H46" s="300"/>
      <c r="I46" s="298"/>
      <c r="J46" s="300"/>
      <c r="K46" s="298"/>
      <c r="L46" s="261"/>
      <c r="M46" s="250"/>
      <c r="N46" s="298"/>
      <c r="O46" s="300"/>
      <c r="P46" s="298"/>
      <c r="Q46" s="319"/>
      <c r="R46" s="298"/>
      <c r="S46" s="261"/>
      <c r="T46" s="250"/>
      <c r="U46" s="298"/>
      <c r="V46" s="300"/>
      <c r="W46" s="298"/>
      <c r="X46" s="300"/>
      <c r="Y46" s="298"/>
      <c r="Z46" s="261"/>
      <c r="AA46" s="250"/>
      <c r="AB46" s="298"/>
      <c r="AC46" s="300"/>
      <c r="AD46" s="298"/>
      <c r="AE46" s="300"/>
      <c r="AF46" s="298"/>
      <c r="AG46" s="261"/>
      <c r="AH46" s="300"/>
      <c r="AI46" s="298"/>
      <c r="AJ46" s="300"/>
      <c r="AK46" s="298"/>
      <c r="AL46" s="300"/>
      <c r="AM46" s="298"/>
      <c r="AN46" s="261"/>
      <c r="AO46" s="250"/>
      <c r="AP46" s="298"/>
      <c r="AQ46" s="300"/>
      <c r="AR46" s="298"/>
      <c r="AS46" s="300"/>
      <c r="AT46" s="254" t="str">
        <f t="shared" si="9"/>
        <v/>
      </c>
      <c r="AU46" s="269"/>
      <c r="AV46" s="269"/>
    </row>
    <row r="47">
      <c r="A47" s="94"/>
      <c r="B47" s="301" t="s">
        <v>651</v>
      </c>
      <c r="C47" s="391" t="s">
        <v>652</v>
      </c>
      <c r="D47" s="323"/>
      <c r="E47" s="261"/>
      <c r="F47" s="304"/>
      <c r="G47" s="298"/>
      <c r="H47" s="304"/>
      <c r="I47" s="298"/>
      <c r="J47" s="304"/>
      <c r="K47" s="298"/>
      <c r="L47" s="261"/>
      <c r="M47" s="250"/>
      <c r="N47" s="298"/>
      <c r="O47" s="304"/>
      <c r="P47" s="298"/>
      <c r="Q47" s="304"/>
      <c r="R47" s="298"/>
      <c r="S47" s="261"/>
      <c r="T47" s="250"/>
      <c r="U47" s="298"/>
      <c r="V47" s="304"/>
      <c r="W47" s="298"/>
      <c r="X47" s="304"/>
      <c r="Y47" s="298"/>
      <c r="Z47" s="261"/>
      <c r="AA47" s="250"/>
      <c r="AB47" s="298"/>
      <c r="AC47" s="304"/>
      <c r="AD47" s="298"/>
      <c r="AE47" s="304"/>
      <c r="AF47" s="298"/>
      <c r="AG47" s="261"/>
      <c r="AH47" s="304"/>
      <c r="AI47" s="298"/>
      <c r="AJ47" s="304"/>
      <c r="AK47" s="298"/>
      <c r="AL47" s="304"/>
      <c r="AM47" s="298"/>
      <c r="AN47" s="261"/>
      <c r="AO47" s="250"/>
      <c r="AP47" s="298"/>
      <c r="AQ47" s="304"/>
      <c r="AR47" s="298"/>
      <c r="AS47" s="304"/>
      <c r="AT47" s="254" t="str">
        <f t="shared" si="9"/>
        <v/>
      </c>
      <c r="AU47" s="269"/>
      <c r="AV47" s="269"/>
    </row>
    <row r="48">
      <c r="A48" s="94"/>
      <c r="B48" s="401" t="s">
        <v>697</v>
      </c>
      <c r="C48" s="393" t="s">
        <v>652</v>
      </c>
      <c r="D48" s="323"/>
      <c r="E48" s="259"/>
      <c r="F48" s="307"/>
      <c r="G48" s="298"/>
      <c r="H48" s="307"/>
      <c r="I48" s="298"/>
      <c r="J48" s="307"/>
      <c r="K48" s="298"/>
      <c r="L48" s="261"/>
      <c r="M48" s="250"/>
      <c r="N48" s="298"/>
      <c r="O48" s="307"/>
      <c r="P48" s="298"/>
      <c r="Q48" s="309" t="s">
        <v>406</v>
      </c>
      <c r="R48" s="298"/>
      <c r="S48" s="261"/>
      <c r="T48" s="250"/>
      <c r="U48" s="298"/>
      <c r="V48" s="307"/>
      <c r="W48" s="298"/>
      <c r="X48" s="395" t="s">
        <v>430</v>
      </c>
      <c r="Y48" s="298"/>
      <c r="Z48" s="261"/>
      <c r="AA48" s="250"/>
      <c r="AB48" s="298"/>
      <c r="AC48" s="307"/>
      <c r="AD48" s="298"/>
      <c r="AE48" s="532" t="s">
        <v>839</v>
      </c>
      <c r="AF48" s="298"/>
      <c r="AG48" s="261"/>
      <c r="AH48" s="307"/>
      <c r="AI48" s="298"/>
      <c r="AJ48" s="307"/>
      <c r="AK48" s="298"/>
      <c r="AL48" s="325" t="s">
        <v>1006</v>
      </c>
      <c r="AM48" s="298"/>
      <c r="AN48" s="261"/>
      <c r="AO48" s="250"/>
      <c r="AP48" s="298"/>
      <c r="AQ48" s="307"/>
      <c r="AR48" s="298"/>
      <c r="AS48" s="308" t="s">
        <v>445</v>
      </c>
      <c r="AT48" s="254" t="str">
        <f t="shared" ref="AT48:AT49" si="10">IF(COUNTIF($AO$79:$AT$81, #REF!) &gt; 0, "X", "")</f>
        <v/>
      </c>
      <c r="AU48" s="269"/>
      <c r="AV48" s="269"/>
    </row>
    <row r="49">
      <c r="A49" s="94"/>
      <c r="B49" s="337" t="s">
        <v>698</v>
      </c>
      <c r="C49" s="329" t="s">
        <v>652</v>
      </c>
      <c r="D49" s="330"/>
      <c r="E49" s="259"/>
      <c r="F49" s="371"/>
      <c r="G49" s="246"/>
      <c r="H49" s="371"/>
      <c r="I49" s="246"/>
      <c r="J49" s="371"/>
      <c r="K49" s="246"/>
      <c r="L49" s="261"/>
      <c r="M49" s="250"/>
      <c r="N49" s="246"/>
      <c r="O49" s="371"/>
      <c r="P49" s="246"/>
      <c r="Q49" s="371"/>
      <c r="R49" s="246"/>
      <c r="S49" s="261"/>
      <c r="T49" s="250"/>
      <c r="U49" s="246"/>
      <c r="V49" s="371"/>
      <c r="W49" s="246"/>
      <c r="X49" s="282"/>
      <c r="Y49" s="246"/>
      <c r="Z49" s="261"/>
      <c r="AA49" s="250"/>
      <c r="AB49" s="246"/>
      <c r="AC49" s="282"/>
      <c r="AD49" s="246"/>
      <c r="AE49" s="584"/>
      <c r="AF49" s="246"/>
      <c r="AG49" s="261"/>
      <c r="AH49" s="371"/>
      <c r="AI49" s="246"/>
      <c r="AJ49" s="371"/>
      <c r="AK49" s="246"/>
      <c r="AL49" s="282"/>
      <c r="AM49" s="246"/>
      <c r="AN49" s="261"/>
      <c r="AO49" s="250"/>
      <c r="AP49" s="246"/>
      <c r="AQ49" s="371"/>
      <c r="AR49" s="246"/>
      <c r="AS49" s="282"/>
      <c r="AT49" s="254" t="str">
        <f t="shared" si="10"/>
        <v/>
      </c>
      <c r="AU49" s="269"/>
      <c r="AV49" s="269"/>
    </row>
    <row r="50">
      <c r="A50" s="270"/>
      <c r="B50" s="337" t="s">
        <v>698</v>
      </c>
      <c r="C50" s="398" t="s">
        <v>687</v>
      </c>
      <c r="D50" s="369"/>
      <c r="E50" s="259"/>
      <c r="F50" s="399"/>
      <c r="G50" s="246"/>
      <c r="H50" s="399"/>
      <c r="I50" s="246"/>
      <c r="J50" s="399"/>
      <c r="K50" s="246"/>
      <c r="L50" s="261"/>
      <c r="M50" s="250"/>
      <c r="N50" s="246"/>
      <c r="O50" s="399"/>
      <c r="P50" s="246"/>
      <c r="R50" s="246"/>
      <c r="S50" s="261"/>
      <c r="T50" s="250"/>
      <c r="U50" s="246"/>
      <c r="V50" s="399"/>
      <c r="W50" s="246"/>
      <c r="X50" s="399"/>
      <c r="Y50" s="246"/>
      <c r="Z50" s="261"/>
      <c r="AA50" s="250"/>
      <c r="AB50" s="246"/>
      <c r="AC50" s="282"/>
      <c r="AD50" s="246"/>
      <c r="AE50" s="399"/>
      <c r="AF50" s="246"/>
      <c r="AG50" s="261"/>
      <c r="AH50" s="399"/>
      <c r="AI50" s="246"/>
      <c r="AJ50" s="399"/>
      <c r="AK50" s="246"/>
      <c r="AL50" s="399"/>
      <c r="AM50" s="246"/>
      <c r="AN50" s="261"/>
      <c r="AO50" s="250"/>
      <c r="AP50" s="246"/>
      <c r="AQ50" s="399"/>
      <c r="AR50" s="246"/>
      <c r="AS50" s="399"/>
      <c r="AT50" s="254" t="str">
        <f t="shared" ref="AT50:AT52" si="11">IF(COUNTIF($AO$79:$AT$81, AS50) &gt; 0, "X", "")</f>
        <v/>
      </c>
      <c r="AU50" s="269"/>
      <c r="AV50" s="269"/>
    </row>
    <row r="51">
      <c r="A51" s="94"/>
      <c r="B51" s="402" t="s">
        <v>699</v>
      </c>
      <c r="C51" s="403" t="s">
        <v>649</v>
      </c>
      <c r="D51" s="404"/>
      <c r="E51" s="259"/>
      <c r="F51" s="294"/>
      <c r="G51" s="246"/>
      <c r="H51" s="294"/>
      <c r="I51" s="246"/>
      <c r="J51" s="294"/>
      <c r="K51" s="246"/>
      <c r="L51" s="261"/>
      <c r="M51" s="250"/>
      <c r="N51" s="246"/>
      <c r="O51" s="294"/>
      <c r="P51" s="246"/>
      <c r="Q51" s="293" t="s">
        <v>426</v>
      </c>
      <c r="R51" s="246"/>
      <c r="S51" s="261"/>
      <c r="T51" s="250"/>
      <c r="U51" s="246"/>
      <c r="V51" s="294"/>
      <c r="W51" s="246"/>
      <c r="X51" s="294"/>
      <c r="Y51" s="246"/>
      <c r="Z51" s="261"/>
      <c r="AA51" s="250"/>
      <c r="AB51" s="246"/>
      <c r="AC51" s="294"/>
      <c r="AD51" s="246"/>
      <c r="AE51" s="293" t="s">
        <v>416</v>
      </c>
      <c r="AF51" s="246"/>
      <c r="AG51" s="261"/>
      <c r="AH51" s="294"/>
      <c r="AI51" s="246"/>
      <c r="AJ51" s="294"/>
      <c r="AK51" s="246"/>
      <c r="AL51" s="294"/>
      <c r="AM51" s="246"/>
      <c r="AN51" s="261"/>
      <c r="AO51" s="250"/>
      <c r="AP51" s="246"/>
      <c r="AQ51" s="294"/>
      <c r="AR51" s="246"/>
      <c r="AS51" s="294"/>
      <c r="AT51" s="254" t="str">
        <f t="shared" si="11"/>
        <v/>
      </c>
      <c r="AU51" s="269"/>
      <c r="AV51" s="269"/>
    </row>
    <row r="52">
      <c r="A52" s="94"/>
      <c r="B52" s="328" t="s">
        <v>700</v>
      </c>
      <c r="C52" s="329" t="s">
        <v>657</v>
      </c>
      <c r="D52" s="330"/>
      <c r="E52" s="259"/>
      <c r="F52" s="264"/>
      <c r="G52" s="246"/>
      <c r="H52" s="282"/>
      <c r="I52" s="246"/>
      <c r="J52" s="371"/>
      <c r="K52" s="246"/>
      <c r="L52" s="261"/>
      <c r="M52" s="250"/>
      <c r="N52" s="246"/>
      <c r="O52" s="371"/>
      <c r="P52" s="246"/>
      <c r="Q52" s="274" t="s">
        <v>437</v>
      </c>
      <c r="R52" s="246"/>
      <c r="S52" s="261"/>
      <c r="T52" s="250"/>
      <c r="U52" s="246"/>
      <c r="V52" s="371"/>
      <c r="W52" s="246"/>
      <c r="X52" s="371"/>
      <c r="Y52" s="246"/>
      <c r="Z52" s="261"/>
      <c r="AA52" s="250"/>
      <c r="AB52" s="246"/>
      <c r="AC52" s="371"/>
      <c r="AD52" s="246"/>
      <c r="AE52" s="274" t="s">
        <v>437</v>
      </c>
      <c r="AF52" s="246"/>
      <c r="AG52" s="261"/>
      <c r="AH52" s="371"/>
      <c r="AI52" s="246"/>
      <c r="AJ52" s="371"/>
      <c r="AK52" s="246"/>
      <c r="AL52" s="371"/>
      <c r="AM52" s="246"/>
      <c r="AN52" s="261"/>
      <c r="AO52" s="250"/>
      <c r="AP52" s="246"/>
      <c r="AQ52" s="282"/>
      <c r="AR52" s="246"/>
      <c r="AS52" s="371"/>
      <c r="AT52" s="254" t="str">
        <f t="shared" si="11"/>
        <v/>
      </c>
      <c r="AU52" s="269"/>
      <c r="AV52" s="269"/>
    </row>
    <row r="53">
      <c r="A53" s="94"/>
      <c r="B53" s="328" t="s">
        <v>700</v>
      </c>
      <c r="C53" s="329" t="s">
        <v>657</v>
      </c>
      <c r="D53" s="330"/>
      <c r="E53" s="259"/>
      <c r="F53" s="371"/>
      <c r="G53" s="246"/>
      <c r="I53" s="246"/>
      <c r="K53" s="246"/>
      <c r="L53" s="261"/>
      <c r="M53" s="262"/>
      <c r="N53" s="246"/>
      <c r="O53" s="265"/>
      <c r="P53" s="246"/>
      <c r="Q53" s="405" t="s">
        <v>462</v>
      </c>
      <c r="R53" s="246"/>
      <c r="S53" s="261"/>
      <c r="T53" s="262"/>
      <c r="U53" s="246"/>
      <c r="V53" s="264"/>
      <c r="W53" s="246"/>
      <c r="Y53" s="246"/>
      <c r="Z53" s="261"/>
      <c r="AA53" s="262"/>
      <c r="AB53" s="246"/>
      <c r="AD53" s="246"/>
      <c r="AE53" s="405" t="s">
        <v>462</v>
      </c>
      <c r="AF53" s="246"/>
      <c r="AG53" s="261"/>
      <c r="AH53" s="264"/>
      <c r="AI53" s="246"/>
      <c r="AJ53" s="264"/>
      <c r="AK53" s="246"/>
      <c r="AM53" s="246"/>
      <c r="AN53" s="261"/>
      <c r="AO53" s="262"/>
      <c r="AP53" s="246"/>
      <c r="AQ53" s="264"/>
      <c r="AR53" s="246"/>
      <c r="AT53" s="254" t="str">
        <f t="shared" ref="AT53:AT54" si="12">IF(COUNTIF($AO$79:$AT$81, #REF!) &gt; 0, "X", "")</f>
        <v/>
      </c>
      <c r="AU53" s="269"/>
      <c r="AV53" s="269"/>
    </row>
    <row r="54">
      <c r="A54" s="94"/>
      <c r="B54" s="328" t="s">
        <v>700</v>
      </c>
      <c r="C54" s="329" t="s">
        <v>657</v>
      </c>
      <c r="D54" s="330"/>
      <c r="E54" s="259"/>
      <c r="G54" s="246"/>
      <c r="I54" s="246"/>
      <c r="K54" s="246"/>
      <c r="L54" s="261"/>
      <c r="M54" s="250"/>
      <c r="N54" s="246"/>
      <c r="P54" s="246"/>
      <c r="R54" s="246"/>
      <c r="S54" s="261"/>
      <c r="T54" s="250"/>
      <c r="U54" s="246"/>
      <c r="V54" s="282"/>
      <c r="W54" s="246"/>
      <c r="Y54" s="246"/>
      <c r="Z54" s="261"/>
      <c r="AA54" s="250"/>
      <c r="AB54" s="246"/>
      <c r="AD54" s="246"/>
      <c r="AE54" s="282"/>
      <c r="AF54" s="246"/>
      <c r="AG54" s="261"/>
      <c r="AH54" s="371"/>
      <c r="AI54" s="246"/>
      <c r="AK54" s="246"/>
      <c r="AM54" s="246"/>
      <c r="AN54" s="261"/>
      <c r="AO54" s="250"/>
      <c r="AP54" s="246"/>
      <c r="AQ54" s="371"/>
      <c r="AR54" s="246"/>
      <c r="AT54" s="254" t="str">
        <f t="shared" si="12"/>
        <v/>
      </c>
      <c r="AU54" s="269"/>
      <c r="AV54" s="269"/>
    </row>
    <row r="55">
      <c r="A55" s="234"/>
      <c r="B55" s="408" t="s">
        <v>702</v>
      </c>
      <c r="C55" s="409" t="s">
        <v>652</v>
      </c>
      <c r="D55" s="351"/>
      <c r="E55" s="259"/>
      <c r="F55" s="411"/>
      <c r="G55" s="246"/>
      <c r="H55" s="411"/>
      <c r="I55" s="246"/>
      <c r="J55" s="411"/>
      <c r="K55" s="246"/>
      <c r="L55" s="261"/>
      <c r="M55" s="262"/>
      <c r="N55" s="246"/>
      <c r="O55" s="411"/>
      <c r="P55" s="246"/>
      <c r="Q55" s="411"/>
      <c r="R55" s="246"/>
      <c r="S55" s="261"/>
      <c r="T55" s="262"/>
      <c r="U55" s="246"/>
      <c r="V55" s="411"/>
      <c r="W55" s="246"/>
      <c r="X55" s="411"/>
      <c r="Y55" s="246"/>
      <c r="Z55" s="261"/>
      <c r="AA55" s="262"/>
      <c r="AB55" s="246"/>
      <c r="AC55" s="411"/>
      <c r="AD55" s="246"/>
      <c r="AE55" s="411"/>
      <c r="AF55" s="246"/>
      <c r="AG55" s="261"/>
      <c r="AH55" s="411"/>
      <c r="AI55" s="246"/>
      <c r="AJ55" s="411"/>
      <c r="AK55" s="246"/>
      <c r="AL55" s="411"/>
      <c r="AM55" s="246"/>
      <c r="AN55" s="261"/>
      <c r="AO55" s="262"/>
      <c r="AP55" s="246"/>
      <c r="AQ55" s="411"/>
      <c r="AR55" s="246"/>
      <c r="AS55" s="411"/>
      <c r="AT55" s="254" t="str">
        <f t="shared" ref="AT55:AT56" si="13">IF(COUNTIF($AO$79:$AT$81, AS55) &gt; 0, "X", "")</f>
        <v/>
      </c>
      <c r="AU55" s="269"/>
      <c r="AV55" s="269"/>
    </row>
    <row r="56">
      <c r="A56" s="234"/>
      <c r="B56" s="401" t="s">
        <v>703</v>
      </c>
      <c r="C56" s="412" t="s">
        <v>704</v>
      </c>
      <c r="D56" s="323"/>
      <c r="E56" s="259"/>
      <c r="F56" s="307"/>
      <c r="G56" s="246"/>
      <c r="H56" s="413"/>
      <c r="I56" s="246"/>
      <c r="J56" s="413"/>
      <c r="K56" s="246"/>
      <c r="L56" s="261"/>
      <c r="M56" s="262"/>
      <c r="N56" s="246"/>
      <c r="O56" s="413"/>
      <c r="P56" s="246"/>
      <c r="Q56" s="413"/>
      <c r="R56" s="246"/>
      <c r="S56" s="261"/>
      <c r="T56" s="262"/>
      <c r="U56" s="246"/>
      <c r="V56" s="413"/>
      <c r="W56" s="246"/>
      <c r="X56" s="413"/>
      <c r="Y56" s="246"/>
      <c r="Z56" s="261"/>
      <c r="AA56" s="262"/>
      <c r="AB56" s="246"/>
      <c r="AC56" s="413"/>
      <c r="AD56" s="246"/>
      <c r="AE56" s="413"/>
      <c r="AF56" s="246"/>
      <c r="AG56" s="261"/>
      <c r="AH56" s="413"/>
      <c r="AI56" s="246"/>
      <c r="AJ56" s="413"/>
      <c r="AK56" s="246"/>
      <c r="AL56" s="413"/>
      <c r="AM56" s="246"/>
      <c r="AN56" s="261"/>
      <c r="AO56" s="262"/>
      <c r="AP56" s="246"/>
      <c r="AQ56" s="413"/>
      <c r="AR56" s="246"/>
      <c r="AS56" s="413"/>
      <c r="AT56" s="254" t="str">
        <f t="shared" si="13"/>
        <v/>
      </c>
      <c r="AU56" s="269"/>
      <c r="AV56" s="269"/>
    </row>
    <row r="57">
      <c r="A57" s="94"/>
      <c r="B57" s="414" t="s">
        <v>705</v>
      </c>
      <c r="C57" s="415" t="s">
        <v>704</v>
      </c>
      <c r="D57" s="330"/>
      <c r="E57" s="259"/>
      <c r="F57" s="586" t="s">
        <v>452</v>
      </c>
      <c r="G57" s="246"/>
      <c r="H57" s="311" t="s">
        <v>432</v>
      </c>
      <c r="I57" s="246"/>
      <c r="J57" s="251" t="s">
        <v>410</v>
      </c>
      <c r="K57" s="246"/>
      <c r="L57" s="261"/>
      <c r="M57" s="341"/>
      <c r="N57" s="246"/>
      <c r="O57" s="251" t="s">
        <v>407</v>
      </c>
      <c r="P57" s="246"/>
      <c r="Q57" s="251" t="s">
        <v>410</v>
      </c>
      <c r="R57" s="246"/>
      <c r="S57" s="261"/>
      <c r="T57" s="341"/>
      <c r="U57" s="246"/>
      <c r="V57" s="311" t="s">
        <v>438</v>
      </c>
      <c r="W57" s="246"/>
      <c r="X57" s="251" t="s">
        <v>410</v>
      </c>
      <c r="Y57" s="246"/>
      <c r="Z57" s="261"/>
      <c r="AA57" s="341"/>
      <c r="AB57" s="246"/>
      <c r="AC57" s="311" t="s">
        <v>432</v>
      </c>
      <c r="AD57" s="246"/>
      <c r="AE57" s="311" t="s">
        <v>470</v>
      </c>
      <c r="AF57" s="246"/>
      <c r="AG57" s="261"/>
      <c r="AH57" s="282"/>
      <c r="AI57" s="246"/>
      <c r="AJ57" s="251" t="s">
        <v>407</v>
      </c>
      <c r="AK57" s="246"/>
      <c r="AL57" s="586" t="s">
        <v>452</v>
      </c>
      <c r="AM57" s="246"/>
      <c r="AN57" s="261"/>
      <c r="AO57" s="341"/>
      <c r="AP57" s="246"/>
      <c r="AQ57" s="251" t="s">
        <v>407</v>
      </c>
      <c r="AR57" s="246"/>
      <c r="AS57" s="251" t="s">
        <v>410</v>
      </c>
      <c r="AT57" s="254" t="str">
        <f t="shared" ref="AT57:AT59" si="14">IF(COUNTIF($AO$79:$AT$81, #REF!) &gt; 0, "X", "")</f>
        <v/>
      </c>
      <c r="AU57" s="269"/>
      <c r="AV57" s="269"/>
    </row>
    <row r="58">
      <c r="A58" s="94"/>
      <c r="B58" s="328" t="s">
        <v>705</v>
      </c>
      <c r="C58" s="257" t="s">
        <v>657</v>
      </c>
      <c r="D58" s="330"/>
      <c r="E58" s="259"/>
      <c r="F58" s="311" t="s">
        <v>470</v>
      </c>
      <c r="G58" s="246"/>
      <c r="H58" s="339" t="s">
        <v>404</v>
      </c>
      <c r="I58" s="246"/>
      <c r="J58" s="311" t="s">
        <v>467</v>
      </c>
      <c r="K58" s="246"/>
      <c r="L58" s="261"/>
      <c r="M58" s="341"/>
      <c r="N58" s="246"/>
      <c r="O58" s="251" t="s">
        <v>440</v>
      </c>
      <c r="P58" s="246"/>
      <c r="R58" s="246"/>
      <c r="S58" s="261"/>
      <c r="T58" s="341"/>
      <c r="U58" s="246"/>
      <c r="V58" s="376" t="s">
        <v>453</v>
      </c>
      <c r="W58" s="246"/>
      <c r="X58" s="311" t="s">
        <v>467</v>
      </c>
      <c r="Y58" s="246"/>
      <c r="Z58" s="261"/>
      <c r="AA58" s="341"/>
      <c r="AB58" s="246"/>
      <c r="AC58" s="251" t="s">
        <v>440</v>
      </c>
      <c r="AD58" s="246"/>
      <c r="AE58" s="311" t="s">
        <v>467</v>
      </c>
      <c r="AF58" s="246"/>
      <c r="AG58" s="261"/>
      <c r="AH58" s="311" t="s">
        <v>470</v>
      </c>
      <c r="AI58" s="246"/>
      <c r="AJ58" s="274" t="s">
        <v>406</v>
      </c>
      <c r="AK58" s="246"/>
      <c r="AL58" s="251" t="s">
        <v>410</v>
      </c>
      <c r="AM58" s="246"/>
      <c r="AN58" s="261"/>
      <c r="AO58" s="341"/>
      <c r="AP58" s="246"/>
      <c r="AQ58" s="339" t="s">
        <v>404</v>
      </c>
      <c r="AR58" s="246"/>
      <c r="AS58" s="586" t="s">
        <v>452</v>
      </c>
      <c r="AT58" s="254" t="str">
        <f t="shared" si="14"/>
        <v/>
      </c>
      <c r="AU58" s="269"/>
      <c r="AV58" s="269"/>
    </row>
    <row r="59">
      <c r="A59" s="94"/>
      <c r="B59" s="277" t="s">
        <v>705</v>
      </c>
      <c r="C59" s="329" t="s">
        <v>685</v>
      </c>
      <c r="D59" s="330"/>
      <c r="E59" s="259"/>
      <c r="G59" s="246"/>
      <c r="H59" s="251" t="s">
        <v>440</v>
      </c>
      <c r="I59" s="246"/>
      <c r="J59" s="251" t="s">
        <v>405</v>
      </c>
      <c r="K59" s="246"/>
      <c r="L59" s="261"/>
      <c r="M59" s="341"/>
      <c r="N59" s="246"/>
      <c r="O59" s="311" t="s">
        <v>470</v>
      </c>
      <c r="P59" s="246"/>
      <c r="Q59" s="251" t="s">
        <v>405</v>
      </c>
      <c r="R59" s="246"/>
      <c r="S59" s="261"/>
      <c r="T59" s="341"/>
      <c r="U59" s="246"/>
      <c r="V59" s="251" t="s">
        <v>407</v>
      </c>
      <c r="W59" s="246"/>
      <c r="X59" s="586" t="s">
        <v>452</v>
      </c>
      <c r="Y59" s="246"/>
      <c r="Z59" s="261"/>
      <c r="AA59" s="341"/>
      <c r="AB59" s="246"/>
      <c r="AC59" s="251" t="s">
        <v>407</v>
      </c>
      <c r="AD59" s="246"/>
      <c r="AF59" s="246"/>
      <c r="AG59" s="261"/>
      <c r="AH59" s="311" t="s">
        <v>467</v>
      </c>
      <c r="AI59" s="246"/>
      <c r="AJ59" s="251" t="s">
        <v>440</v>
      </c>
      <c r="AK59" s="246"/>
      <c r="AM59" s="246"/>
      <c r="AN59" s="261"/>
      <c r="AO59" s="341"/>
      <c r="AP59" s="246"/>
      <c r="AQ59" s="251" t="s">
        <v>440</v>
      </c>
      <c r="AR59" s="246"/>
      <c r="AS59" s="311" t="s">
        <v>470</v>
      </c>
      <c r="AT59" s="254" t="str">
        <f t="shared" si="14"/>
        <v/>
      </c>
      <c r="AU59" s="269"/>
      <c r="AV59" s="269"/>
    </row>
    <row r="60">
      <c r="A60" s="270"/>
      <c r="B60" s="271" t="s">
        <v>705</v>
      </c>
      <c r="C60" s="272" t="s">
        <v>687</v>
      </c>
      <c r="D60" s="369"/>
      <c r="E60" s="259"/>
      <c r="F60" s="282"/>
      <c r="G60" s="246"/>
      <c r="H60" s="282"/>
      <c r="I60" s="246"/>
      <c r="K60" s="246"/>
      <c r="L60" s="261"/>
      <c r="M60" s="341"/>
      <c r="N60" s="246"/>
      <c r="P60" s="246"/>
      <c r="R60" s="246"/>
      <c r="S60" s="261"/>
      <c r="T60" s="341"/>
      <c r="U60" s="246"/>
      <c r="W60" s="246"/>
      <c r="Y60" s="246"/>
      <c r="Z60" s="261"/>
      <c r="AA60" s="341"/>
      <c r="AB60" s="246"/>
      <c r="AD60" s="246"/>
      <c r="AF60" s="246"/>
      <c r="AG60" s="261"/>
      <c r="AH60" s="282"/>
      <c r="AI60" s="246"/>
      <c r="AK60" s="246"/>
      <c r="AM60" s="246"/>
      <c r="AN60" s="261"/>
      <c r="AO60" s="341"/>
      <c r="AP60" s="246"/>
      <c r="AR60" s="246"/>
      <c r="AT60" s="254" t="str">
        <f>IF(COUNTIF($AO$79:$AT$81, AO59) &gt; 0, "X", "")</f>
        <v/>
      </c>
      <c r="AU60" s="269"/>
      <c r="AV60" s="269"/>
    </row>
    <row r="61">
      <c r="A61" s="94"/>
      <c r="B61" s="397" t="s">
        <v>708</v>
      </c>
      <c r="C61" s="398" t="s">
        <v>654</v>
      </c>
      <c r="D61" s="330"/>
      <c r="E61" s="259"/>
      <c r="F61" s="275"/>
      <c r="G61" s="246"/>
      <c r="H61" s="325" t="s">
        <v>1007</v>
      </c>
      <c r="I61" s="246"/>
      <c r="J61" s="374" t="s">
        <v>446</v>
      </c>
      <c r="K61" s="246"/>
      <c r="L61" s="261"/>
      <c r="M61" s="341"/>
      <c r="N61" s="246"/>
      <c r="O61" s="325" t="s">
        <v>1007</v>
      </c>
      <c r="P61" s="246"/>
      <c r="Q61" s="374" t="s">
        <v>446</v>
      </c>
      <c r="R61" s="246"/>
      <c r="S61" s="261"/>
      <c r="T61" s="341"/>
      <c r="U61" s="246"/>
      <c r="V61" s="365" t="s">
        <v>469</v>
      </c>
      <c r="W61" s="246"/>
      <c r="X61" s="311" t="s">
        <v>441</v>
      </c>
      <c r="Y61" s="246"/>
      <c r="Z61" s="261"/>
      <c r="AA61" s="341"/>
      <c r="AB61" s="246"/>
      <c r="AC61" s="311" t="s">
        <v>441</v>
      </c>
      <c r="AD61" s="246"/>
      <c r="AE61" s="311" t="s">
        <v>446</v>
      </c>
      <c r="AF61" s="246"/>
      <c r="AG61" s="261"/>
      <c r="AH61" s="275"/>
      <c r="AI61" s="246"/>
      <c r="AJ61" s="311" t="s">
        <v>441</v>
      </c>
      <c r="AK61" s="246"/>
      <c r="AL61" s="374" t="s">
        <v>446</v>
      </c>
      <c r="AM61" s="246"/>
      <c r="AN61" s="261"/>
      <c r="AO61" s="341"/>
      <c r="AP61" s="246"/>
      <c r="AQ61" s="365" t="s">
        <v>469</v>
      </c>
      <c r="AR61" s="246"/>
      <c r="AS61" s="374" t="s">
        <v>446</v>
      </c>
      <c r="AT61" s="254" t="str">
        <f>IF(COUNTIF($AO$79:$AT$81, #REF!) &gt; 0, "X", "")</f>
        <v/>
      </c>
      <c r="AU61" s="269"/>
      <c r="AV61" s="269"/>
    </row>
    <row r="62">
      <c r="A62" s="94"/>
      <c r="B62" s="277" t="s">
        <v>709</v>
      </c>
      <c r="C62" s="278" t="s">
        <v>710</v>
      </c>
      <c r="D62" s="330"/>
      <c r="E62" s="259"/>
      <c r="F62" s="281"/>
      <c r="G62" s="246"/>
      <c r="H62" s="282"/>
      <c r="I62" s="246"/>
      <c r="J62" s="281"/>
      <c r="K62" s="246"/>
      <c r="L62" s="261"/>
      <c r="M62" s="286"/>
      <c r="N62" s="246"/>
      <c r="O62" s="281"/>
      <c r="P62" s="246"/>
      <c r="R62" s="246"/>
      <c r="S62" s="261"/>
      <c r="T62" s="286"/>
      <c r="U62" s="246"/>
      <c r="V62" s="282"/>
      <c r="W62" s="246"/>
      <c r="X62" s="282"/>
      <c r="Y62" s="246"/>
      <c r="Z62" s="261"/>
      <c r="AA62" s="286"/>
      <c r="AB62" s="246"/>
      <c r="AC62" s="282"/>
      <c r="AD62" s="246"/>
      <c r="AE62" s="282"/>
      <c r="AF62" s="246"/>
      <c r="AG62" s="261"/>
      <c r="AH62" s="281"/>
      <c r="AI62" s="246"/>
      <c r="AJ62" s="325" t="s">
        <v>841</v>
      </c>
      <c r="AK62" s="246"/>
      <c r="AL62" s="282"/>
      <c r="AM62" s="246"/>
      <c r="AN62" s="261"/>
      <c r="AO62" s="286"/>
      <c r="AP62" s="246"/>
      <c r="AQ62" s="281"/>
      <c r="AR62" s="246"/>
      <c r="AS62" s="281"/>
      <c r="AT62" s="254" t="str">
        <f t="shared" ref="AT62:AT63" si="15">IF(COUNTIF($AO$79:$AT$81, AS62) &gt; 0, "X", "")</f>
        <v/>
      </c>
      <c r="AU62" s="269"/>
      <c r="AV62" s="269"/>
    </row>
    <row r="63">
      <c r="A63" s="94"/>
      <c r="B63" s="673" t="s">
        <v>944</v>
      </c>
      <c r="C63" s="272" t="s">
        <v>639</v>
      </c>
      <c r="D63" s="323"/>
      <c r="E63" s="259"/>
      <c r="F63" s="265"/>
      <c r="G63" s="246"/>
      <c r="H63" s="282"/>
      <c r="I63" s="246"/>
      <c r="J63" s="282"/>
      <c r="K63" s="246"/>
      <c r="L63" s="261"/>
      <c r="M63" s="341"/>
      <c r="N63" s="246"/>
      <c r="O63" s="311" t="s">
        <v>432</v>
      </c>
      <c r="P63" s="246"/>
      <c r="Q63" s="282"/>
      <c r="R63" s="246"/>
      <c r="S63" s="261"/>
      <c r="T63" s="341"/>
      <c r="U63" s="246"/>
      <c r="V63" s="311" t="s">
        <v>432</v>
      </c>
      <c r="W63" s="246"/>
      <c r="X63" s="282"/>
      <c r="Y63" s="246"/>
      <c r="Z63" s="261"/>
      <c r="AA63" s="341"/>
      <c r="AB63" s="246"/>
      <c r="AC63" s="282"/>
      <c r="AD63" s="246"/>
      <c r="AE63" s="282"/>
      <c r="AF63" s="246"/>
      <c r="AG63" s="261"/>
      <c r="AH63" s="282"/>
      <c r="AI63" s="246"/>
      <c r="AJ63" s="282"/>
      <c r="AK63" s="246"/>
      <c r="AL63" s="282"/>
      <c r="AM63" s="246"/>
      <c r="AN63" s="261"/>
      <c r="AO63" s="341"/>
      <c r="AP63" s="246"/>
      <c r="AQ63" s="282"/>
      <c r="AR63" s="246"/>
      <c r="AS63" s="282"/>
      <c r="AT63" s="254" t="str">
        <f t="shared" si="15"/>
        <v/>
      </c>
      <c r="AU63" s="269"/>
      <c r="AV63" s="269"/>
    </row>
    <row r="64">
      <c r="A64" s="94"/>
      <c r="B64" s="429" t="s">
        <v>714</v>
      </c>
      <c r="C64" s="430"/>
      <c r="D64" s="431"/>
      <c r="E64" s="259"/>
      <c r="F64" s="432"/>
      <c r="G64" s="432"/>
      <c r="H64" s="432"/>
      <c r="I64" s="432"/>
      <c r="J64" s="432"/>
      <c r="K64" s="432"/>
      <c r="L64" s="261"/>
      <c r="M64" s="432"/>
      <c r="N64" s="433"/>
      <c r="O64" s="432"/>
      <c r="P64" s="432"/>
      <c r="Q64" s="432"/>
      <c r="R64" s="432"/>
      <c r="S64" s="261"/>
      <c r="T64" s="432"/>
      <c r="U64" s="433"/>
      <c r="V64" s="432"/>
      <c r="W64" s="432"/>
      <c r="X64" s="432"/>
      <c r="Y64" s="432"/>
      <c r="Z64" s="261"/>
      <c r="AA64" s="432"/>
      <c r="AB64" s="433"/>
      <c r="AC64" s="432"/>
      <c r="AD64" s="432"/>
      <c r="AE64" s="432"/>
      <c r="AF64" s="432"/>
      <c r="AG64" s="261"/>
      <c r="AH64" s="432"/>
      <c r="AI64" s="433"/>
      <c r="AJ64" s="432"/>
      <c r="AK64" s="432"/>
      <c r="AL64" s="432"/>
      <c r="AM64" s="432"/>
      <c r="AN64" s="261"/>
      <c r="AO64" s="432"/>
      <c r="AP64" s="433"/>
      <c r="AQ64" s="432"/>
      <c r="AR64" s="432"/>
      <c r="AS64" s="432"/>
      <c r="AT64" s="430"/>
      <c r="AU64" s="269"/>
      <c r="AV64" s="269"/>
    </row>
    <row r="65">
      <c r="A65" s="94"/>
      <c r="B65" s="401" t="s">
        <v>715</v>
      </c>
      <c r="C65" s="412" t="s">
        <v>716</v>
      </c>
      <c r="D65" s="323"/>
      <c r="E65" s="259"/>
      <c r="F65" s="434"/>
      <c r="G65" s="246"/>
      <c r="H65" s="434" t="s">
        <v>403</v>
      </c>
      <c r="I65" s="246"/>
      <c r="J65" s="434"/>
      <c r="K65" s="246"/>
      <c r="L65" s="261"/>
      <c r="M65" s="434"/>
      <c r="N65" s="246"/>
      <c r="O65" s="434" t="s">
        <v>403</v>
      </c>
      <c r="P65" s="246"/>
      <c r="Q65" s="434"/>
      <c r="R65" s="246"/>
      <c r="S65" s="261"/>
      <c r="T65" s="434"/>
      <c r="U65" s="246"/>
      <c r="V65" s="434" t="s">
        <v>403</v>
      </c>
      <c r="W65" s="246"/>
      <c r="X65" s="434"/>
      <c r="Y65" s="246"/>
      <c r="Z65" s="261"/>
      <c r="AA65" s="434"/>
      <c r="AB65" s="246"/>
      <c r="AC65" s="434" t="s">
        <v>403</v>
      </c>
      <c r="AD65" s="246"/>
      <c r="AE65" s="434"/>
      <c r="AF65" s="246"/>
      <c r="AG65" s="261"/>
      <c r="AH65" s="434"/>
      <c r="AI65" s="246"/>
      <c r="AJ65" s="434" t="s">
        <v>403</v>
      </c>
      <c r="AK65" s="246"/>
      <c r="AL65" s="434"/>
      <c r="AM65" s="246"/>
      <c r="AN65" s="261"/>
      <c r="AO65" s="434"/>
      <c r="AP65" s="246"/>
      <c r="AQ65" s="434"/>
      <c r="AR65" s="246"/>
      <c r="AS65" s="434"/>
      <c r="AT65" s="254" t="str">
        <f t="shared" ref="AT65:AT74" si="16">IF(COUNTIF($AO$79:$AT$81, AS65) &gt; 0, "X", "")</f>
        <v/>
      </c>
      <c r="AU65" s="269"/>
      <c r="AV65" s="269"/>
    </row>
    <row r="66">
      <c r="A66" s="94"/>
      <c r="B66" s="401" t="s">
        <v>715</v>
      </c>
      <c r="C66" s="412" t="s">
        <v>716</v>
      </c>
      <c r="D66" s="323"/>
      <c r="E66" s="259"/>
      <c r="G66" s="246"/>
      <c r="H66" s="434" t="s">
        <v>465</v>
      </c>
      <c r="I66" s="246"/>
      <c r="J66" s="434"/>
      <c r="K66" s="246"/>
      <c r="L66" s="261"/>
      <c r="M66" s="434"/>
      <c r="N66" s="246"/>
      <c r="O66" s="722" t="s">
        <v>465</v>
      </c>
      <c r="P66" s="246"/>
      <c r="Q66" s="434"/>
      <c r="R66" s="246"/>
      <c r="S66" s="261"/>
      <c r="T66" s="434"/>
      <c r="U66" s="246"/>
      <c r="V66" s="434" t="s">
        <v>465</v>
      </c>
      <c r="W66" s="246"/>
      <c r="X66" s="434"/>
      <c r="Y66" s="246"/>
      <c r="Z66" s="261"/>
      <c r="AA66" s="434"/>
      <c r="AB66" s="246"/>
      <c r="AC66" s="434" t="s">
        <v>465</v>
      </c>
      <c r="AD66" s="246"/>
      <c r="AE66" s="434"/>
      <c r="AF66" s="246"/>
      <c r="AG66" s="261"/>
      <c r="AH66" s="434"/>
      <c r="AI66" s="246"/>
      <c r="AJ66" s="434" t="s">
        <v>465</v>
      </c>
      <c r="AK66" s="246"/>
      <c r="AL66" s="434"/>
      <c r="AM66" s="246"/>
      <c r="AN66" s="261"/>
      <c r="AO66" s="434"/>
      <c r="AP66" s="246"/>
      <c r="AQ66" s="434"/>
      <c r="AR66" s="246"/>
      <c r="AS66" s="434"/>
      <c r="AT66" s="254" t="str">
        <f t="shared" si="16"/>
        <v/>
      </c>
      <c r="AU66" s="269"/>
      <c r="AV66" s="269"/>
    </row>
    <row r="67">
      <c r="A67" s="94"/>
      <c r="B67" s="435" t="s">
        <v>717</v>
      </c>
      <c r="C67" s="415" t="s">
        <v>718</v>
      </c>
      <c r="D67" s="363"/>
      <c r="E67" s="259"/>
      <c r="F67" s="406"/>
      <c r="G67" s="246"/>
      <c r="H67" s="406" t="s">
        <v>442</v>
      </c>
      <c r="I67" s="246"/>
      <c r="J67" s="406"/>
      <c r="K67" s="246"/>
      <c r="L67" s="261"/>
      <c r="M67" s="406"/>
      <c r="N67" s="246"/>
      <c r="O67" s="406" t="s">
        <v>442</v>
      </c>
      <c r="P67" s="246"/>
      <c r="Q67" s="406"/>
      <c r="R67" s="246"/>
      <c r="S67" s="261"/>
      <c r="T67" s="406"/>
      <c r="U67" s="246"/>
      <c r="V67" s="406" t="s">
        <v>442</v>
      </c>
      <c r="W67" s="246"/>
      <c r="X67" s="406"/>
      <c r="Y67" s="246"/>
      <c r="Z67" s="261"/>
      <c r="AA67" s="406"/>
      <c r="AB67" s="246"/>
      <c r="AC67" s="406" t="s">
        <v>442</v>
      </c>
      <c r="AD67" s="246"/>
      <c r="AE67" s="406"/>
      <c r="AF67" s="246"/>
      <c r="AG67" s="261"/>
      <c r="AH67" s="406"/>
      <c r="AI67" s="246"/>
      <c r="AJ67" s="406" t="s">
        <v>442</v>
      </c>
      <c r="AK67" s="246"/>
      <c r="AL67" s="406"/>
      <c r="AM67" s="246"/>
      <c r="AN67" s="261"/>
      <c r="AO67" s="406"/>
      <c r="AP67" s="246"/>
      <c r="AQ67" s="406" t="s">
        <v>463</v>
      </c>
      <c r="AR67" s="246"/>
      <c r="AS67" s="406"/>
      <c r="AT67" s="254" t="str">
        <f t="shared" si="16"/>
        <v/>
      </c>
      <c r="AU67" s="269"/>
      <c r="AV67" s="269"/>
    </row>
    <row r="68">
      <c r="A68" s="94"/>
      <c r="B68" s="436" t="s">
        <v>719</v>
      </c>
      <c r="C68" s="437" t="s">
        <v>720</v>
      </c>
      <c r="D68" s="330"/>
      <c r="E68" s="259"/>
      <c r="F68" s="406"/>
      <c r="G68" s="246"/>
      <c r="H68" s="406" t="s">
        <v>463</v>
      </c>
      <c r="I68" s="246"/>
      <c r="J68" s="406"/>
      <c r="K68" s="246"/>
      <c r="L68" s="261"/>
      <c r="M68" s="406"/>
      <c r="N68" s="246"/>
      <c r="O68" s="406" t="s">
        <v>463</v>
      </c>
      <c r="P68" s="246"/>
      <c r="Q68" s="406"/>
      <c r="R68" s="246"/>
      <c r="S68" s="261"/>
      <c r="T68" s="406"/>
      <c r="U68" s="246"/>
      <c r="V68" s="406" t="s">
        <v>463</v>
      </c>
      <c r="W68" s="246"/>
      <c r="X68" s="406"/>
      <c r="Y68" s="246"/>
      <c r="Z68" s="261"/>
      <c r="AA68" s="406"/>
      <c r="AB68" s="246"/>
      <c r="AC68" s="406" t="s">
        <v>946</v>
      </c>
      <c r="AD68" s="246"/>
      <c r="AE68" s="406"/>
      <c r="AF68" s="246"/>
      <c r="AG68" s="261"/>
      <c r="AH68" s="406"/>
      <c r="AI68" s="246"/>
      <c r="AJ68" s="620" t="s">
        <v>970</v>
      </c>
      <c r="AK68" s="246"/>
      <c r="AL68" s="496" t="s">
        <v>847</v>
      </c>
      <c r="AM68" s="246"/>
      <c r="AN68" s="261"/>
      <c r="AO68" s="406"/>
      <c r="AP68" s="246"/>
      <c r="AQ68" s="406"/>
      <c r="AR68" s="246"/>
      <c r="AS68" s="406"/>
      <c r="AT68" s="254" t="str">
        <f t="shared" si="16"/>
        <v/>
      </c>
      <c r="AU68" s="269"/>
      <c r="AV68" s="269"/>
    </row>
    <row r="69">
      <c r="A69" s="94"/>
      <c r="B69" s="439" t="s">
        <v>721</v>
      </c>
      <c r="C69" s="440" t="s">
        <v>722</v>
      </c>
      <c r="D69" s="330"/>
      <c r="E69" s="259"/>
      <c r="F69" s="406"/>
      <c r="G69" s="246"/>
      <c r="H69" s="406" t="s">
        <v>454</v>
      </c>
      <c r="I69" s="246"/>
      <c r="J69" s="406"/>
      <c r="K69" s="246"/>
      <c r="L69" s="261"/>
      <c r="M69" s="406"/>
      <c r="N69" s="246"/>
      <c r="O69" s="592" t="s">
        <v>768</v>
      </c>
      <c r="P69" s="246"/>
      <c r="Q69" s="406"/>
      <c r="R69" s="246"/>
      <c r="S69" s="261"/>
      <c r="T69" s="406"/>
      <c r="U69" s="246"/>
      <c r="V69" s="406" t="s">
        <v>454</v>
      </c>
      <c r="W69" s="246"/>
      <c r="X69" s="406"/>
      <c r="Y69" s="246"/>
      <c r="Z69" s="261"/>
      <c r="AA69" s="406"/>
      <c r="AB69" s="246"/>
      <c r="AC69" s="406" t="s">
        <v>454</v>
      </c>
      <c r="AD69" s="246"/>
      <c r="AE69" s="406"/>
      <c r="AF69" s="246"/>
      <c r="AG69" s="261"/>
      <c r="AH69" s="406"/>
      <c r="AI69" s="246"/>
      <c r="AJ69" s="406" t="s">
        <v>454</v>
      </c>
      <c r="AK69" s="246"/>
      <c r="AL69" s="406"/>
      <c r="AM69" s="246"/>
      <c r="AN69" s="261"/>
      <c r="AO69" s="406"/>
      <c r="AP69" s="246"/>
      <c r="AQ69" s="406"/>
      <c r="AR69" s="246"/>
      <c r="AS69" s="406"/>
      <c r="AT69" s="254" t="str">
        <f t="shared" si="16"/>
        <v/>
      </c>
      <c r="AU69" s="269"/>
      <c r="AV69" s="269"/>
    </row>
    <row r="70">
      <c r="A70" s="94"/>
      <c r="B70" s="439" t="s">
        <v>723</v>
      </c>
      <c r="C70" s="440" t="s">
        <v>724</v>
      </c>
      <c r="D70" s="330"/>
      <c r="E70" s="259"/>
      <c r="F70" s="441"/>
      <c r="G70" s="246"/>
      <c r="H70" s="406" t="s">
        <v>456</v>
      </c>
      <c r="I70" s="246"/>
      <c r="J70" s="406" t="s">
        <v>957</v>
      </c>
      <c r="K70" s="246"/>
      <c r="L70" s="261"/>
      <c r="M70" s="441"/>
      <c r="N70" s="246"/>
      <c r="O70" s="406" t="s">
        <v>456</v>
      </c>
      <c r="P70" s="246"/>
      <c r="Q70" s="406" t="s">
        <v>957</v>
      </c>
      <c r="R70" s="246"/>
      <c r="S70" s="261"/>
      <c r="T70" s="441"/>
      <c r="U70" s="246"/>
      <c r="V70" s="406" t="s">
        <v>460</v>
      </c>
      <c r="W70" s="246"/>
      <c r="X70" s="441"/>
      <c r="Y70" s="246"/>
      <c r="Z70" s="261"/>
      <c r="AA70" s="441"/>
      <c r="AB70" s="246"/>
      <c r="AC70" s="406" t="s">
        <v>970</v>
      </c>
      <c r="AD70" s="246"/>
      <c r="AE70" s="441"/>
      <c r="AF70" s="246"/>
      <c r="AG70" s="261"/>
      <c r="AH70" s="441"/>
      <c r="AI70" s="246"/>
      <c r="AJ70" s="406" t="s">
        <v>946</v>
      </c>
      <c r="AK70" s="246"/>
      <c r="AL70" s="441"/>
      <c r="AM70" s="246"/>
      <c r="AN70" s="261"/>
      <c r="AO70" s="441"/>
      <c r="AP70" s="246"/>
      <c r="AQ70" s="406" t="s">
        <v>456</v>
      </c>
      <c r="AR70" s="246"/>
      <c r="AS70" s="441"/>
      <c r="AT70" s="254" t="str">
        <f t="shared" si="16"/>
        <v/>
      </c>
      <c r="AU70" s="269"/>
      <c r="AV70" s="269"/>
    </row>
    <row r="71">
      <c r="A71" s="94"/>
      <c r="B71" s="439" t="s">
        <v>725</v>
      </c>
      <c r="C71" s="442" t="s">
        <v>726</v>
      </c>
      <c r="D71" s="330"/>
      <c r="E71" s="259"/>
      <c r="F71" s="441"/>
      <c r="G71" s="246"/>
      <c r="H71" s="406" t="s">
        <v>946</v>
      </c>
      <c r="I71" s="246"/>
      <c r="J71" s="441"/>
      <c r="K71" s="246"/>
      <c r="L71" s="261"/>
      <c r="M71" s="441"/>
      <c r="N71" s="246"/>
      <c r="O71" s="406" t="s">
        <v>946</v>
      </c>
      <c r="P71" s="246"/>
      <c r="Q71" s="441"/>
      <c r="R71" s="246"/>
      <c r="S71" s="261"/>
      <c r="T71" s="441"/>
      <c r="U71" s="246"/>
      <c r="V71" s="635" t="s">
        <v>847</v>
      </c>
      <c r="W71" s="246"/>
      <c r="X71" s="674" t="s">
        <v>970</v>
      </c>
      <c r="Y71" s="246"/>
      <c r="Z71" s="261"/>
      <c r="AA71" s="441"/>
      <c r="AB71" s="246"/>
      <c r="AC71" s="206" t="s">
        <v>847</v>
      </c>
      <c r="AD71" s="246"/>
      <c r="AE71" s="441"/>
      <c r="AF71" s="246"/>
      <c r="AG71" s="261"/>
      <c r="AH71" s="441"/>
      <c r="AI71" s="246"/>
      <c r="AJ71" s="406" t="s">
        <v>463</v>
      </c>
      <c r="AK71" s="246"/>
      <c r="AL71" s="441"/>
      <c r="AM71" s="246"/>
      <c r="AN71" s="261"/>
      <c r="AO71" s="441"/>
      <c r="AP71" s="246"/>
      <c r="AQ71" s="406" t="s">
        <v>970</v>
      </c>
      <c r="AR71" s="246"/>
      <c r="AS71" s="441"/>
      <c r="AT71" s="254" t="str">
        <f t="shared" si="16"/>
        <v/>
      </c>
      <c r="AU71" s="269"/>
      <c r="AV71" s="269"/>
    </row>
    <row r="72">
      <c r="A72" s="94"/>
      <c r="B72" s="447" t="s">
        <v>729</v>
      </c>
      <c r="C72" s="448" t="s">
        <v>730</v>
      </c>
      <c r="D72" s="330"/>
      <c r="E72" s="259"/>
      <c r="F72" s="441"/>
      <c r="G72" s="246"/>
      <c r="H72" s="406" t="s">
        <v>970</v>
      </c>
      <c r="I72" s="246"/>
      <c r="J72" s="441"/>
      <c r="K72" s="246"/>
      <c r="L72" s="261"/>
      <c r="M72" s="441"/>
      <c r="N72" s="246"/>
      <c r="O72" s="406" t="s">
        <v>970</v>
      </c>
      <c r="P72" s="246"/>
      <c r="Q72" s="441"/>
      <c r="R72" s="246"/>
      <c r="S72" s="261"/>
      <c r="T72" s="441"/>
      <c r="U72" s="246"/>
      <c r="V72" s="406" t="s">
        <v>456</v>
      </c>
      <c r="W72" s="246"/>
      <c r="X72" s="441"/>
      <c r="Y72" s="246"/>
      <c r="Z72" s="261"/>
      <c r="AA72" s="441"/>
      <c r="AB72" s="246"/>
      <c r="AC72" s="406"/>
      <c r="AD72" s="246"/>
      <c r="AE72" s="441"/>
      <c r="AF72" s="246"/>
      <c r="AG72" s="261"/>
      <c r="AH72" s="441"/>
      <c r="AI72" s="246"/>
      <c r="AJ72" s="406" t="s">
        <v>456</v>
      </c>
      <c r="AK72" s="246"/>
      <c r="AL72" s="441"/>
      <c r="AM72" s="246"/>
      <c r="AN72" s="261"/>
      <c r="AO72" s="441"/>
      <c r="AP72" s="246"/>
      <c r="AQ72" s="441"/>
      <c r="AR72" s="246"/>
      <c r="AS72" s="441"/>
      <c r="AT72" s="254" t="str">
        <f t="shared" si="16"/>
        <v/>
      </c>
      <c r="AU72" s="269"/>
      <c r="AV72" s="269"/>
    </row>
    <row r="73">
      <c r="A73" s="94"/>
      <c r="B73" s="450" t="s">
        <v>731</v>
      </c>
      <c r="C73" s="451" t="s">
        <v>732</v>
      </c>
      <c r="D73" s="363"/>
      <c r="E73" s="259"/>
      <c r="F73" s="206"/>
      <c r="G73" s="246"/>
      <c r="H73" s="206" t="s">
        <v>847</v>
      </c>
      <c r="I73" s="246"/>
      <c r="J73" s="206"/>
      <c r="K73" s="246"/>
      <c r="L73" s="261"/>
      <c r="M73" s="206"/>
      <c r="N73" s="246"/>
      <c r="O73" s="206" t="s">
        <v>847</v>
      </c>
      <c r="P73" s="246"/>
      <c r="Q73" s="206"/>
      <c r="R73" s="246"/>
      <c r="S73" s="261"/>
      <c r="T73" s="206"/>
      <c r="U73" s="246"/>
      <c r="V73" s="206" t="s">
        <v>1008</v>
      </c>
      <c r="W73" s="246"/>
      <c r="X73" s="206"/>
      <c r="Y73" s="246"/>
      <c r="Z73" s="261"/>
      <c r="AA73" s="206"/>
      <c r="AB73" s="246"/>
      <c r="AC73" s="406" t="s">
        <v>460</v>
      </c>
      <c r="AD73" s="246"/>
      <c r="AE73" s="206"/>
      <c r="AF73" s="246"/>
      <c r="AG73" s="261"/>
      <c r="AH73" s="206"/>
      <c r="AI73" s="246"/>
      <c r="AJ73" s="406" t="s">
        <v>460</v>
      </c>
      <c r="AK73" s="246"/>
      <c r="AL73" s="206"/>
      <c r="AM73" s="246"/>
      <c r="AN73" s="261"/>
      <c r="AO73" s="206"/>
      <c r="AP73" s="246"/>
      <c r="AQ73" s="406" t="s">
        <v>460</v>
      </c>
      <c r="AR73" s="246"/>
      <c r="AS73" s="206"/>
      <c r="AT73" s="254" t="str">
        <f t="shared" si="16"/>
        <v/>
      </c>
      <c r="AU73" s="269"/>
      <c r="AV73" s="269"/>
    </row>
    <row r="74">
      <c r="A74" s="94"/>
      <c r="B74" s="673" t="s">
        <v>944</v>
      </c>
      <c r="C74" s="272" t="s">
        <v>639</v>
      </c>
      <c r="D74" s="363"/>
      <c r="E74" s="259"/>
      <c r="F74" s="74"/>
      <c r="G74" s="246"/>
      <c r="H74" s="594" t="s">
        <v>395</v>
      </c>
      <c r="I74" s="246"/>
      <c r="J74" s="74"/>
      <c r="K74" s="246"/>
      <c r="L74" s="261"/>
      <c r="M74" s="74"/>
      <c r="N74" s="246"/>
      <c r="O74" s="594" t="s">
        <v>395</v>
      </c>
      <c r="P74" s="246"/>
      <c r="Q74" s="74"/>
      <c r="R74" s="246"/>
      <c r="S74" s="261"/>
      <c r="T74" s="74"/>
      <c r="U74" s="246"/>
      <c r="V74" s="594" t="s">
        <v>395</v>
      </c>
      <c r="W74" s="246"/>
      <c r="X74" s="74"/>
      <c r="Y74" s="246"/>
      <c r="Z74" s="261"/>
      <c r="AA74" s="74"/>
      <c r="AB74" s="246"/>
      <c r="AC74" s="594" t="s">
        <v>395</v>
      </c>
      <c r="AD74" s="246"/>
      <c r="AE74" s="74"/>
      <c r="AF74" s="246"/>
      <c r="AG74" s="261"/>
      <c r="AH74" s="74"/>
      <c r="AI74" s="246"/>
      <c r="AJ74" s="594" t="s">
        <v>395</v>
      </c>
      <c r="AK74" s="246"/>
      <c r="AL74" s="74"/>
      <c r="AM74" s="246"/>
      <c r="AN74" s="261"/>
      <c r="AO74" s="74"/>
      <c r="AP74" s="246"/>
      <c r="AQ74" s="406"/>
      <c r="AR74" s="246"/>
      <c r="AS74" s="74"/>
      <c r="AT74" s="254" t="str">
        <f t="shared" si="16"/>
        <v/>
      </c>
      <c r="AU74" s="269"/>
      <c r="AV74" s="269"/>
    </row>
    <row r="75">
      <c r="A75" s="94"/>
      <c r="B75" s="636"/>
      <c r="C75" s="637"/>
      <c r="D75" s="269"/>
      <c r="E75" s="638"/>
      <c r="F75" s="446"/>
      <c r="G75" s="246"/>
      <c r="H75" s="446"/>
      <c r="I75" s="246"/>
      <c r="J75" s="446"/>
      <c r="K75" s="246"/>
      <c r="L75" s="462"/>
      <c r="M75" s="446"/>
      <c r="N75" s="246"/>
      <c r="O75" s="446"/>
      <c r="P75" s="246"/>
      <c r="Q75" s="446"/>
      <c r="R75" s="246"/>
      <c r="S75" s="462"/>
      <c r="T75" s="446"/>
      <c r="U75" s="246"/>
      <c r="V75" s="446"/>
      <c r="W75" s="246"/>
      <c r="X75" s="446"/>
      <c r="Y75" s="246"/>
      <c r="Z75" s="462"/>
      <c r="AA75" s="446"/>
      <c r="AB75" s="246"/>
      <c r="AC75" s="446"/>
      <c r="AD75" s="246"/>
      <c r="AE75" s="446"/>
      <c r="AF75" s="246"/>
      <c r="AG75" s="462"/>
      <c r="AH75" s="446"/>
      <c r="AI75" s="246"/>
      <c r="AJ75" s="446"/>
      <c r="AK75" s="246"/>
      <c r="AL75" s="446"/>
      <c r="AM75" s="246"/>
      <c r="AN75" s="462"/>
      <c r="AO75" s="446"/>
      <c r="AP75" s="246"/>
      <c r="AQ75" s="446"/>
      <c r="AR75" s="246"/>
      <c r="AS75" s="446"/>
      <c r="AT75" s="254"/>
      <c r="AU75" s="269"/>
      <c r="AV75" s="269"/>
    </row>
    <row r="76">
      <c r="A76" s="94"/>
      <c r="B76" s="454" t="s">
        <v>735</v>
      </c>
      <c r="C76" s="455" t="s">
        <v>736</v>
      </c>
      <c r="D76" s="363"/>
      <c r="E76" s="259"/>
      <c r="F76" s="441"/>
      <c r="G76" s="246"/>
      <c r="H76" s="441"/>
      <c r="I76" s="246"/>
      <c r="J76" s="405" t="s">
        <v>462</v>
      </c>
      <c r="K76" s="246"/>
      <c r="L76" s="261"/>
      <c r="M76" s="441"/>
      <c r="N76" s="246"/>
      <c r="O76" s="441"/>
      <c r="P76" s="246"/>
      <c r="Q76" s="441"/>
      <c r="R76" s="246"/>
      <c r="S76" s="261"/>
      <c r="T76" s="441"/>
      <c r="U76" s="246"/>
      <c r="V76" s="441"/>
      <c r="W76" s="246"/>
      <c r="X76" s="405" t="s">
        <v>462</v>
      </c>
      <c r="Y76" s="246"/>
      <c r="Z76" s="261"/>
      <c r="AB76" s="246"/>
      <c r="AC76" s="441"/>
      <c r="AD76" s="246"/>
      <c r="AE76" s="441"/>
      <c r="AF76" s="246"/>
      <c r="AG76" s="261"/>
      <c r="AH76" s="441"/>
      <c r="AI76" s="246"/>
      <c r="AJ76" s="441"/>
      <c r="AK76" s="246"/>
      <c r="AL76" s="405" t="s">
        <v>462</v>
      </c>
      <c r="AM76" s="246"/>
      <c r="AN76" s="261"/>
      <c r="AO76" s="441"/>
      <c r="AP76" s="246"/>
      <c r="AQ76" s="441"/>
      <c r="AR76" s="246"/>
      <c r="AS76" s="441"/>
      <c r="AT76" s="254" t="str">
        <f t="shared" ref="AT76:AT78" si="17">IF(COUNTIF($AO$79:$AT$81, AS76) &gt; 0, "X", "")</f>
        <v/>
      </c>
      <c r="AU76" s="269"/>
      <c r="AV76" s="269"/>
    </row>
    <row r="77">
      <c r="A77" s="94"/>
      <c r="B77" s="454" t="s">
        <v>735</v>
      </c>
      <c r="C77" s="442" t="s">
        <v>736</v>
      </c>
      <c r="D77" s="363"/>
      <c r="E77" s="259"/>
      <c r="F77" s="456"/>
      <c r="G77" s="246"/>
      <c r="H77" s="456"/>
      <c r="I77" s="246"/>
      <c r="J77" s="456"/>
      <c r="K77" s="246"/>
      <c r="L77" s="261"/>
      <c r="M77" s="456"/>
      <c r="N77" s="246"/>
      <c r="O77" s="456"/>
      <c r="P77" s="246"/>
      <c r="Q77" s="456"/>
      <c r="R77" s="246"/>
      <c r="S77" s="261"/>
      <c r="T77" s="456"/>
      <c r="U77" s="246"/>
      <c r="V77" s="456"/>
      <c r="W77" s="246"/>
      <c r="X77" s="456"/>
      <c r="Y77" s="246"/>
      <c r="Z77" s="261"/>
      <c r="AA77" s="456"/>
      <c r="AB77" s="246"/>
      <c r="AC77" s="456"/>
      <c r="AD77" s="246"/>
      <c r="AE77" s="456"/>
      <c r="AF77" s="246"/>
      <c r="AG77" s="261"/>
      <c r="AH77" s="456"/>
      <c r="AI77" s="246"/>
      <c r="AJ77" s="456"/>
      <c r="AK77" s="246"/>
      <c r="AL77" s="456"/>
      <c r="AM77" s="246"/>
      <c r="AN77" s="261"/>
      <c r="AO77" s="456"/>
      <c r="AP77" s="246"/>
      <c r="AQ77" s="456"/>
      <c r="AR77" s="246"/>
      <c r="AS77" s="456"/>
      <c r="AT77" s="254" t="str">
        <f t="shared" si="17"/>
        <v/>
      </c>
      <c r="AU77" s="269"/>
      <c r="AV77" s="269"/>
    </row>
    <row r="78">
      <c r="A78" s="94"/>
      <c r="B78" s="457" t="s">
        <v>735</v>
      </c>
      <c r="C78" s="458" t="s">
        <v>737</v>
      </c>
      <c r="D78" s="363"/>
      <c r="E78" s="259"/>
      <c r="F78" s="406"/>
      <c r="G78" s="246"/>
      <c r="H78" s="406"/>
      <c r="I78" s="246"/>
      <c r="J78" s="406"/>
      <c r="K78" s="246"/>
      <c r="L78" s="261"/>
      <c r="M78" s="406"/>
      <c r="N78" s="246"/>
      <c r="O78" s="406"/>
      <c r="P78" s="246"/>
      <c r="Q78" s="406"/>
      <c r="R78" s="246"/>
      <c r="S78" s="261"/>
      <c r="T78" s="406"/>
      <c r="U78" s="246"/>
      <c r="V78" s="406"/>
      <c r="W78" s="246"/>
      <c r="X78" s="406"/>
      <c r="Y78" s="246"/>
      <c r="Z78" s="261"/>
      <c r="AA78" s="406"/>
      <c r="AB78" s="246"/>
      <c r="AC78" s="406"/>
      <c r="AD78" s="246"/>
      <c r="AE78" s="406"/>
      <c r="AF78" s="246"/>
      <c r="AG78" s="261"/>
      <c r="AH78" s="406"/>
      <c r="AI78" s="246"/>
      <c r="AJ78" s="406"/>
      <c r="AK78" s="246"/>
      <c r="AL78" s="406"/>
      <c r="AM78" s="246"/>
      <c r="AN78" s="261"/>
      <c r="AO78" s="406"/>
      <c r="AP78" s="246"/>
      <c r="AQ78" s="406"/>
      <c r="AR78" s="246"/>
      <c r="AS78" s="406"/>
      <c r="AT78" s="254" t="str">
        <f t="shared" si="17"/>
        <v/>
      </c>
      <c r="AU78" s="269"/>
      <c r="AV78" s="269"/>
    </row>
    <row r="79">
      <c r="A79" s="270"/>
      <c r="B79" s="459"/>
      <c r="C79" s="460" t="s">
        <v>738</v>
      </c>
      <c r="D79" s="723" t="s">
        <v>505</v>
      </c>
      <c r="E79" s="259"/>
      <c r="F79" s="461" t="s">
        <v>1009</v>
      </c>
      <c r="G79" s="246"/>
      <c r="H79" s="132"/>
      <c r="I79" s="246"/>
      <c r="J79" s="132"/>
      <c r="K79" s="246"/>
      <c r="L79" s="462"/>
      <c r="M79" s="461" t="s">
        <v>1010</v>
      </c>
      <c r="N79" s="246"/>
      <c r="O79" s="132"/>
      <c r="P79" s="246"/>
      <c r="Q79" s="132"/>
      <c r="R79" s="246"/>
      <c r="S79" s="462"/>
      <c r="T79" s="461" t="s">
        <v>1010</v>
      </c>
      <c r="U79" s="246"/>
      <c r="V79" s="132"/>
      <c r="W79" s="246"/>
      <c r="X79" s="132"/>
      <c r="Y79" s="246"/>
      <c r="Z79" s="462"/>
      <c r="AA79" s="461" t="s">
        <v>1011</v>
      </c>
      <c r="AB79" s="246"/>
      <c r="AC79" s="132"/>
      <c r="AD79" s="246"/>
      <c r="AE79" s="132"/>
      <c r="AF79" s="246"/>
      <c r="AG79" s="462"/>
      <c r="AH79" s="461" t="s">
        <v>1012</v>
      </c>
      <c r="AI79" s="246"/>
      <c r="AJ79" s="132"/>
      <c r="AK79" s="246"/>
      <c r="AL79" s="132"/>
      <c r="AM79" s="246"/>
      <c r="AN79" s="462"/>
      <c r="AO79" s="461" t="s">
        <v>1013</v>
      </c>
      <c r="AP79" s="246"/>
      <c r="AQ79" s="132"/>
      <c r="AR79" s="246"/>
      <c r="AS79" s="132"/>
      <c r="AT79" s="460"/>
      <c r="AU79" s="269"/>
      <c r="AV79" s="269"/>
    </row>
    <row r="80">
      <c r="A80" s="236"/>
      <c r="B80" s="459"/>
      <c r="C80" s="460" t="s">
        <v>738</v>
      </c>
      <c r="D80" s="269"/>
      <c r="E80" s="259"/>
      <c r="F80" s="132"/>
      <c r="G80" s="246"/>
      <c r="H80" s="132"/>
      <c r="I80" s="246"/>
      <c r="J80" s="132"/>
      <c r="K80" s="246"/>
      <c r="L80" s="462"/>
      <c r="M80" s="132"/>
      <c r="N80" s="246"/>
      <c r="O80" s="132"/>
      <c r="P80" s="246"/>
      <c r="Q80" s="132"/>
      <c r="R80" s="246"/>
      <c r="S80" s="462"/>
      <c r="T80" s="132"/>
      <c r="U80" s="246"/>
      <c r="V80" s="132"/>
      <c r="W80" s="246"/>
      <c r="X80" s="132"/>
      <c r="Y80" s="246"/>
      <c r="Z80" s="462"/>
      <c r="AA80" s="132"/>
      <c r="AB80" s="246"/>
      <c r="AC80" s="132"/>
      <c r="AD80" s="246"/>
      <c r="AE80" s="132"/>
      <c r="AF80" s="246"/>
      <c r="AG80" s="462"/>
      <c r="AH80" s="132"/>
      <c r="AI80" s="246"/>
      <c r="AJ80" s="132"/>
      <c r="AK80" s="246"/>
      <c r="AL80" s="132"/>
      <c r="AM80" s="246"/>
      <c r="AN80" s="462"/>
      <c r="AO80" s="132"/>
      <c r="AP80" s="246"/>
      <c r="AQ80" s="132"/>
      <c r="AR80" s="246"/>
      <c r="AS80" s="132"/>
      <c r="AT80" s="460"/>
      <c r="AU80" s="236"/>
      <c r="AV80" s="236"/>
    </row>
    <row r="81">
      <c r="A81" s="236"/>
      <c r="B81" s="459"/>
      <c r="C81" s="460" t="s">
        <v>738</v>
      </c>
      <c r="D81" s="269"/>
      <c r="E81" s="259"/>
      <c r="F81" s="461"/>
      <c r="G81" s="246"/>
      <c r="H81" s="132"/>
      <c r="I81" s="246"/>
      <c r="J81" s="132"/>
      <c r="K81" s="246"/>
      <c r="L81" s="462"/>
      <c r="M81" s="132"/>
      <c r="N81" s="246"/>
      <c r="O81" s="132"/>
      <c r="P81" s="246"/>
      <c r="Q81" s="132"/>
      <c r="R81" s="246"/>
      <c r="S81" s="462"/>
      <c r="T81" s="461"/>
      <c r="U81" s="246"/>
      <c r="V81" s="132"/>
      <c r="W81" s="246"/>
      <c r="X81" s="132"/>
      <c r="Y81" s="246"/>
      <c r="Z81" s="462"/>
      <c r="AA81" s="461"/>
      <c r="AB81" s="246"/>
      <c r="AC81" s="132"/>
      <c r="AD81" s="246"/>
      <c r="AE81" s="132"/>
      <c r="AF81" s="246"/>
      <c r="AG81" s="462"/>
      <c r="AH81" s="461"/>
      <c r="AI81" s="246"/>
      <c r="AJ81" s="132"/>
      <c r="AK81" s="246"/>
      <c r="AL81" s="132"/>
      <c r="AM81" s="246"/>
      <c r="AN81" s="462"/>
      <c r="AO81" s="461"/>
      <c r="AP81" s="246"/>
      <c r="AQ81" s="132"/>
      <c r="AR81" s="246"/>
      <c r="AS81" s="132"/>
      <c r="AT81" s="460"/>
      <c r="AU81" s="236"/>
      <c r="AV81" s="236"/>
    </row>
    <row r="82">
      <c r="A82" s="182"/>
      <c r="B82" s="183" t="s">
        <v>746</v>
      </c>
      <c r="C82" s="184" t="s">
        <v>605</v>
      </c>
      <c r="D82" s="185" t="s">
        <v>486</v>
      </c>
      <c r="E82" s="186"/>
      <c r="F82" s="185" t="s">
        <v>487</v>
      </c>
      <c r="M82" s="185" t="s">
        <v>488</v>
      </c>
      <c r="T82" s="185" t="s">
        <v>489</v>
      </c>
      <c r="AA82" s="185" t="s">
        <v>490</v>
      </c>
      <c r="AH82" s="185" t="s">
        <v>491</v>
      </c>
      <c r="AO82" s="185" t="s">
        <v>492</v>
      </c>
      <c r="AU82" s="182"/>
      <c r="AV82" s="182"/>
    </row>
    <row r="83">
      <c r="A83" s="182"/>
      <c r="B83" s="187"/>
      <c r="C83" s="187"/>
      <c r="D83" s="188">
        <f>AO4+1</f>
        <v>10</v>
      </c>
      <c r="E83" s="189"/>
      <c r="F83" s="188">
        <f>D83+1</f>
        <v>11</v>
      </c>
      <c r="M83" s="188">
        <f>F83+1</f>
        <v>12</v>
      </c>
      <c r="T83" s="188">
        <f>M83+1</f>
        <v>13</v>
      </c>
      <c r="AA83" s="188">
        <f>T83+1</f>
        <v>14</v>
      </c>
      <c r="AH83" s="188">
        <f>AA83+1</f>
        <v>15</v>
      </c>
      <c r="AO83" s="188">
        <f>AH83+1</f>
        <v>16</v>
      </c>
      <c r="AU83" s="182"/>
      <c r="AV83" s="182"/>
    </row>
    <row r="84">
      <c r="A84" s="182"/>
      <c r="B84" s="193" t="s">
        <v>608</v>
      </c>
      <c r="C84" s="193" t="s">
        <v>609</v>
      </c>
      <c r="D84" s="187"/>
      <c r="E84" s="189"/>
      <c r="F84" s="194" t="s">
        <v>610</v>
      </c>
      <c r="G84" s="195"/>
      <c r="H84" s="193" t="s">
        <v>611</v>
      </c>
      <c r="J84" s="194" t="s">
        <v>612</v>
      </c>
      <c r="M84" s="194" t="s">
        <v>610</v>
      </c>
      <c r="N84" s="195"/>
      <c r="O84" s="193" t="s">
        <v>611</v>
      </c>
      <c r="P84" s="195"/>
      <c r="Q84" s="194" t="s">
        <v>612</v>
      </c>
      <c r="S84" s="193"/>
      <c r="T84" s="194" t="s">
        <v>610</v>
      </c>
      <c r="U84" s="195"/>
      <c r="V84" s="193" t="s">
        <v>611</v>
      </c>
      <c r="W84" s="195"/>
      <c r="X84" s="194" t="s">
        <v>612</v>
      </c>
      <c r="Z84" s="193"/>
      <c r="AA84" s="194" t="s">
        <v>610</v>
      </c>
      <c r="AB84" s="195"/>
      <c r="AC84" s="193" t="s">
        <v>611</v>
      </c>
      <c r="AD84" s="195"/>
      <c r="AE84" s="194" t="s">
        <v>612</v>
      </c>
      <c r="AG84" s="193"/>
      <c r="AH84" s="194" t="s">
        <v>610</v>
      </c>
      <c r="AI84" s="195"/>
      <c r="AJ84" s="193" t="s">
        <v>611</v>
      </c>
      <c r="AK84" s="195"/>
      <c r="AL84" s="194" t="s">
        <v>612</v>
      </c>
      <c r="AN84" s="193"/>
      <c r="AO84" s="194" t="s">
        <v>610</v>
      </c>
      <c r="AP84" s="195"/>
      <c r="AQ84" s="193" t="s">
        <v>611</v>
      </c>
      <c r="AR84" s="195"/>
      <c r="AS84" s="194" t="s">
        <v>612</v>
      </c>
      <c r="AU84" s="182"/>
      <c r="AV84" s="182"/>
    </row>
    <row r="85" ht="15.0" customHeight="1">
      <c r="A85" s="199"/>
      <c r="B85" s="200" t="s">
        <v>620</v>
      </c>
      <c r="C85" s="201"/>
      <c r="D85" s="201"/>
      <c r="E85" s="202"/>
      <c r="F85" s="203"/>
      <c r="G85" s="204"/>
      <c r="H85" s="656" t="s">
        <v>755</v>
      </c>
      <c r="I85" s="204"/>
      <c r="J85" s="203"/>
      <c r="K85" s="204"/>
      <c r="L85" s="205"/>
      <c r="M85" s="203" t="s">
        <v>705</v>
      </c>
      <c r="N85" s="204"/>
      <c r="O85" s="203" t="s">
        <v>748</v>
      </c>
      <c r="P85" s="204"/>
      <c r="Q85" s="203" t="s">
        <v>620</v>
      </c>
      <c r="R85" s="204"/>
      <c r="S85" s="205"/>
      <c r="T85" s="203"/>
      <c r="U85" s="204"/>
      <c r="V85" s="682" t="s">
        <v>1014</v>
      </c>
      <c r="W85" s="204"/>
      <c r="X85" s="724" t="s">
        <v>1015</v>
      </c>
      <c r="Y85" s="204"/>
      <c r="Z85" s="205"/>
      <c r="AA85" s="203"/>
      <c r="AB85" s="204"/>
      <c r="AC85" s="203"/>
      <c r="AD85" s="204"/>
      <c r="AE85" s="203"/>
      <c r="AF85" s="204"/>
      <c r="AG85" s="205"/>
      <c r="AH85" s="203"/>
      <c r="AI85" s="204"/>
      <c r="AJ85" s="682" t="s">
        <v>1016</v>
      </c>
      <c r="AK85" s="204"/>
      <c r="AL85" s="203"/>
      <c r="AM85" s="204"/>
      <c r="AN85" s="205"/>
      <c r="AO85" s="203"/>
      <c r="AP85" s="204"/>
      <c r="AQ85" s="203"/>
      <c r="AR85" s="204"/>
      <c r="AS85" s="203"/>
      <c r="AT85" s="204"/>
      <c r="AU85" s="199"/>
      <c r="AV85" s="199"/>
    </row>
    <row r="86">
      <c r="A86" s="234"/>
      <c r="B86" s="235" t="s">
        <v>608</v>
      </c>
      <c r="C86" s="195" t="s">
        <v>609</v>
      </c>
      <c r="D86" s="236"/>
      <c r="E86" s="237"/>
      <c r="F86" s="238"/>
      <c r="G86" s="182"/>
      <c r="H86" s="238"/>
      <c r="I86" s="239"/>
      <c r="J86" s="238"/>
      <c r="K86" s="239"/>
      <c r="L86" s="237"/>
      <c r="M86" s="238"/>
      <c r="N86" s="182"/>
      <c r="O86" s="238"/>
      <c r="P86" s="239"/>
      <c r="Q86" s="238"/>
      <c r="R86" s="239"/>
      <c r="S86" s="237"/>
      <c r="T86" s="238"/>
      <c r="U86" s="182"/>
      <c r="V86" s="238"/>
      <c r="W86" s="239"/>
      <c r="X86" s="238"/>
      <c r="Y86" s="239"/>
      <c r="Z86" s="237"/>
      <c r="AA86" s="238"/>
      <c r="AB86" s="182"/>
      <c r="AC86" s="238"/>
      <c r="AD86" s="239"/>
      <c r="AE86" s="238"/>
      <c r="AF86" s="239"/>
      <c r="AG86" s="237"/>
      <c r="AH86" s="238"/>
      <c r="AI86" s="182"/>
      <c r="AJ86" s="238"/>
      <c r="AK86" s="239"/>
      <c r="AL86" s="238"/>
      <c r="AM86" s="239"/>
      <c r="AN86" s="237"/>
      <c r="AO86" s="238"/>
      <c r="AP86" s="182"/>
      <c r="AQ86" s="238"/>
      <c r="AR86" s="239"/>
      <c r="AS86" s="238"/>
      <c r="AT86" s="239"/>
      <c r="AU86" s="236"/>
      <c r="AV86" s="236"/>
    </row>
    <row r="87" ht="14.25" customHeight="1">
      <c r="A87" s="240"/>
      <c r="B87" s="241" t="s">
        <v>638</v>
      </c>
      <c r="C87" s="242" t="s">
        <v>639</v>
      </c>
      <c r="D87" s="243"/>
      <c r="E87" s="244"/>
      <c r="F87" s="371"/>
      <c r="G87" s="246"/>
      <c r="H87" s="282"/>
      <c r="I87" s="246"/>
      <c r="J87" s="282"/>
      <c r="K87" s="246"/>
      <c r="L87" s="249"/>
      <c r="M87" s="250"/>
      <c r="N87" s="246"/>
      <c r="O87" s="282"/>
      <c r="P87" s="246"/>
      <c r="R87" s="246"/>
      <c r="S87" s="249"/>
      <c r="T87" s="250"/>
      <c r="U87" s="246"/>
      <c r="V87" s="282"/>
      <c r="W87" s="246"/>
      <c r="X87" s="251" t="s">
        <v>405</v>
      </c>
      <c r="Y87" s="246"/>
      <c r="Z87" s="249"/>
      <c r="AA87" s="250"/>
      <c r="AB87" s="246"/>
      <c r="AD87" s="246"/>
      <c r="AF87" s="246"/>
      <c r="AG87" s="249"/>
      <c r="AH87" s="371"/>
      <c r="AI87" s="246"/>
      <c r="AK87" s="246"/>
      <c r="AM87" s="246"/>
      <c r="AN87" s="249"/>
      <c r="AO87" s="320"/>
      <c r="AP87" s="246"/>
      <c r="AQ87" s="252"/>
      <c r="AR87" s="246"/>
      <c r="AS87" s="282"/>
      <c r="AT87" s="254" t="str">
        <f>IF(COUNTIF($AO$79:$AT$81, #REF!) &gt; 0, "X", "")</f>
        <v/>
      </c>
      <c r="AU87" s="255"/>
      <c r="AV87" s="255"/>
    </row>
    <row r="88" ht="13.5" customHeight="1">
      <c r="A88" s="94"/>
      <c r="B88" s="256" t="s">
        <v>638</v>
      </c>
      <c r="C88" s="257" t="s">
        <v>639</v>
      </c>
      <c r="D88" s="258"/>
      <c r="E88" s="259"/>
      <c r="F88" s="371"/>
      <c r="G88" s="246"/>
      <c r="H88" s="282"/>
      <c r="I88" s="246"/>
      <c r="K88" s="246"/>
      <c r="L88" s="249"/>
      <c r="M88" s="250"/>
      <c r="N88" s="246"/>
      <c r="O88" s="282"/>
      <c r="P88" s="246"/>
      <c r="Q88" s="485" t="s">
        <v>1017</v>
      </c>
      <c r="R88" s="246"/>
      <c r="S88" s="249"/>
      <c r="T88" s="250"/>
      <c r="U88" s="246"/>
      <c r="V88" s="282"/>
      <c r="W88" s="246"/>
      <c r="Y88" s="246"/>
      <c r="Z88" s="249"/>
      <c r="AA88" s="250"/>
      <c r="AB88" s="246"/>
      <c r="AD88" s="246"/>
      <c r="AE88" s="336" t="s">
        <v>414</v>
      </c>
      <c r="AF88" s="246"/>
      <c r="AG88" s="249"/>
      <c r="AH88" s="371"/>
      <c r="AI88" s="246"/>
      <c r="AJ88" s="336" t="s">
        <v>414</v>
      </c>
      <c r="AK88" s="246"/>
      <c r="AL88" s="336"/>
      <c r="AM88" s="246"/>
      <c r="AN88" s="249"/>
      <c r="AO88" s="320"/>
      <c r="AP88" s="246"/>
      <c r="AQ88" s="252"/>
      <c r="AR88" s="246"/>
      <c r="AS88" s="282"/>
      <c r="AT88" s="254" t="str">
        <f>IF(COUNTIF($AO$79:$AT$81, AS94) &gt; 0, "X", "")</f>
        <v/>
      </c>
      <c r="AU88" s="269"/>
      <c r="AV88" s="269"/>
    </row>
    <row r="89" ht="13.5" customHeight="1">
      <c r="A89" s="270"/>
      <c r="B89" s="271" t="s">
        <v>642</v>
      </c>
      <c r="C89" s="272" t="s">
        <v>639</v>
      </c>
      <c r="D89" s="258"/>
      <c r="E89" s="259"/>
      <c r="F89" s="426"/>
      <c r="G89" s="246"/>
      <c r="H89" s="426"/>
      <c r="I89" s="246"/>
      <c r="J89" s="265"/>
      <c r="K89" s="246"/>
      <c r="L89" s="261"/>
      <c r="M89" s="262"/>
      <c r="N89" s="246"/>
      <c r="P89" s="246"/>
      <c r="Q89" s="282"/>
      <c r="R89" s="246"/>
      <c r="S89" s="261"/>
      <c r="T89" s="262"/>
      <c r="U89" s="246"/>
      <c r="V89" s="265"/>
      <c r="W89" s="246"/>
      <c r="Y89" s="246"/>
      <c r="Z89" s="261"/>
      <c r="AA89" s="262"/>
      <c r="AB89" s="246"/>
      <c r="AC89" s="311"/>
      <c r="AD89" s="246"/>
      <c r="AE89" s="659" t="s">
        <v>421</v>
      </c>
      <c r="AF89" s="246"/>
      <c r="AG89" s="261"/>
      <c r="AH89" s="426"/>
      <c r="AI89" s="246"/>
      <c r="AJ89" s="426"/>
      <c r="AK89" s="246"/>
      <c r="AL89" s="265"/>
      <c r="AM89" s="246"/>
      <c r="AN89" s="261"/>
      <c r="AO89" s="320"/>
      <c r="AP89" s="246"/>
      <c r="AQ89" s="426"/>
      <c r="AR89" s="246"/>
      <c r="AS89" s="426"/>
      <c r="AT89" s="254" t="str">
        <f>IF(COUNTIF($AO$79:$AT$81, #REF!) &gt; 0, "X", "")</f>
        <v/>
      </c>
      <c r="AU89" s="269"/>
      <c r="AV89" s="269"/>
    </row>
    <row r="90" ht="11.25" customHeight="1">
      <c r="A90" s="234"/>
      <c r="B90" s="277" t="s">
        <v>644</v>
      </c>
      <c r="C90" s="278" t="s">
        <v>645</v>
      </c>
      <c r="D90" s="243"/>
      <c r="E90" s="259"/>
      <c r="F90" s="281"/>
      <c r="G90" s="246"/>
      <c r="H90" s="280" t="s">
        <v>400</v>
      </c>
      <c r="I90" s="246"/>
      <c r="J90" s="282"/>
      <c r="K90" s="246"/>
      <c r="L90" s="261"/>
      <c r="M90" s="250"/>
      <c r="N90" s="246"/>
      <c r="O90" s="280" t="s">
        <v>400</v>
      </c>
      <c r="P90" s="246"/>
      <c r="Q90" s="282"/>
      <c r="R90" s="246"/>
      <c r="S90" s="261"/>
      <c r="T90" s="250"/>
      <c r="U90" s="246"/>
      <c r="V90" s="281"/>
      <c r="W90" s="246"/>
      <c r="X90" s="280" t="s">
        <v>400</v>
      </c>
      <c r="Y90" s="246"/>
      <c r="Z90" s="261"/>
      <c r="AA90" s="250"/>
      <c r="AB90" s="246"/>
      <c r="AC90" s="280" t="s">
        <v>400</v>
      </c>
      <c r="AD90" s="246"/>
      <c r="AE90" s="282"/>
      <c r="AF90" s="246"/>
      <c r="AG90" s="261"/>
      <c r="AH90" s="281"/>
      <c r="AI90" s="246"/>
      <c r="AJ90" s="280" t="s">
        <v>400</v>
      </c>
      <c r="AK90" s="246"/>
      <c r="AL90" s="281"/>
      <c r="AM90" s="246"/>
      <c r="AN90" s="261"/>
      <c r="AO90" s="320"/>
      <c r="AP90" s="246"/>
      <c r="AQ90" s="281"/>
      <c r="AR90" s="246"/>
      <c r="AS90" s="281"/>
      <c r="AT90" s="254" t="str">
        <f t="shared" ref="AT90:AT92" si="18">IF(COUNTIF($AO$79:$AT$81, AS91) &gt; 0, "X", "")</f>
        <v/>
      </c>
      <c r="AU90" s="269"/>
      <c r="AV90" s="269"/>
    </row>
    <row r="91">
      <c r="A91" s="94"/>
      <c r="B91" s="256" t="s">
        <v>757</v>
      </c>
      <c r="C91" s="257" t="s">
        <v>645</v>
      </c>
      <c r="D91" s="243"/>
      <c r="E91" s="259"/>
      <c r="F91" s="274" t="s">
        <v>402</v>
      </c>
      <c r="G91" s="246"/>
      <c r="H91" s="371"/>
      <c r="I91" s="246"/>
      <c r="J91" s="371"/>
      <c r="K91" s="246"/>
      <c r="L91" s="261"/>
      <c r="M91" s="250"/>
      <c r="N91" s="246"/>
      <c r="O91" s="371"/>
      <c r="P91" s="246"/>
      <c r="Q91" s="280" t="s">
        <v>402</v>
      </c>
      <c r="R91" s="246"/>
      <c r="S91" s="261"/>
      <c r="T91" s="250"/>
      <c r="U91" s="246"/>
      <c r="V91" s="371"/>
      <c r="W91" s="246"/>
      <c r="X91" s="274"/>
      <c r="Y91" s="246"/>
      <c r="Z91" s="261"/>
      <c r="AA91" s="250"/>
      <c r="AB91" s="246"/>
      <c r="AC91" s="371"/>
      <c r="AD91" s="246"/>
      <c r="AF91" s="246"/>
      <c r="AG91" s="261"/>
      <c r="AH91" s="371"/>
      <c r="AI91" s="246"/>
      <c r="AJ91" s="371"/>
      <c r="AK91" s="246"/>
      <c r="AL91" s="274"/>
      <c r="AM91" s="246"/>
      <c r="AN91" s="261"/>
      <c r="AO91" s="320"/>
      <c r="AP91" s="246"/>
      <c r="AQ91" s="274"/>
      <c r="AR91" s="246"/>
      <c r="AS91" s="371"/>
      <c r="AT91" s="254" t="str">
        <f t="shared" si="18"/>
        <v/>
      </c>
      <c r="AU91" s="269"/>
      <c r="AV91" s="269"/>
    </row>
    <row r="92">
      <c r="A92" s="94"/>
      <c r="B92" s="284" t="s">
        <v>646</v>
      </c>
      <c r="C92" s="285" t="s">
        <v>647</v>
      </c>
      <c r="D92" s="243"/>
      <c r="E92" s="259"/>
      <c r="F92" s="251" t="s">
        <v>427</v>
      </c>
      <c r="G92" s="246"/>
      <c r="H92" s="399"/>
      <c r="I92" s="246"/>
      <c r="J92" s="399"/>
      <c r="K92" s="246"/>
      <c r="L92" s="261"/>
      <c r="M92" s="324"/>
      <c r="N92" s="246"/>
      <c r="O92" s="282"/>
      <c r="P92" s="246"/>
      <c r="Q92" s="251" t="s">
        <v>427</v>
      </c>
      <c r="R92" s="246"/>
      <c r="S92" s="261"/>
      <c r="T92" s="324"/>
      <c r="U92" s="246"/>
      <c r="V92" s="282"/>
      <c r="W92" s="246"/>
      <c r="X92" s="251" t="s">
        <v>427</v>
      </c>
      <c r="Y92" s="246"/>
      <c r="Z92" s="261"/>
      <c r="AA92" s="324"/>
      <c r="AB92" s="246"/>
      <c r="AD92" s="246"/>
      <c r="AE92" s="251" t="s">
        <v>427</v>
      </c>
      <c r="AF92" s="246"/>
      <c r="AG92" s="261"/>
      <c r="AH92" s="251" t="s">
        <v>427</v>
      </c>
      <c r="AI92" s="246"/>
      <c r="AJ92" s="399"/>
      <c r="AK92" s="246"/>
      <c r="AL92" s="282"/>
      <c r="AM92" s="246"/>
      <c r="AN92" s="261"/>
      <c r="AO92" s="320"/>
      <c r="AP92" s="246"/>
      <c r="AQ92" s="399"/>
      <c r="AR92" s="246"/>
      <c r="AS92" s="399"/>
      <c r="AT92" s="254" t="str">
        <f t="shared" si="18"/>
        <v/>
      </c>
      <c r="AU92" s="269"/>
      <c r="AV92" s="269"/>
    </row>
    <row r="93">
      <c r="A93" s="270"/>
      <c r="B93" s="291" t="s">
        <v>648</v>
      </c>
      <c r="C93" s="292" t="s">
        <v>649</v>
      </c>
      <c r="D93" s="243"/>
      <c r="E93" s="259"/>
      <c r="F93" s="294"/>
      <c r="G93" s="246"/>
      <c r="H93" s="293" t="s">
        <v>418</v>
      </c>
      <c r="I93" s="246"/>
      <c r="J93" s="294"/>
      <c r="K93" s="246"/>
      <c r="L93" s="261"/>
      <c r="M93" s="250"/>
      <c r="N93" s="246"/>
      <c r="O93" s="293" t="s">
        <v>418</v>
      </c>
      <c r="P93" s="246"/>
      <c r="Q93" s="294"/>
      <c r="R93" s="246"/>
      <c r="S93" s="261"/>
      <c r="T93" s="250"/>
      <c r="U93" s="246"/>
      <c r="V93" s="294"/>
      <c r="W93" s="246"/>
      <c r="X93" s="293" t="s">
        <v>418</v>
      </c>
      <c r="Y93" s="246"/>
      <c r="Z93" s="261"/>
      <c r="AA93" s="250"/>
      <c r="AB93" s="246"/>
      <c r="AC93" s="294"/>
      <c r="AD93" s="246"/>
      <c r="AE93" s="293" t="s">
        <v>418</v>
      </c>
      <c r="AF93" s="246"/>
      <c r="AG93" s="261"/>
      <c r="AH93" s="294"/>
      <c r="AI93" s="246"/>
      <c r="AJ93" s="294"/>
      <c r="AK93" s="246"/>
      <c r="AL93" s="294"/>
      <c r="AM93" s="246"/>
      <c r="AN93" s="261"/>
      <c r="AO93" s="320"/>
      <c r="AP93" s="246"/>
      <c r="AQ93" s="294"/>
      <c r="AR93" s="246"/>
      <c r="AS93" s="294"/>
      <c r="AT93" s="254" t="str">
        <f t="shared" ref="AT93:AT94" si="19">IF(COUNTIF($AO$79:$AT$81, #REF!) &gt; 0, "X", "")</f>
        <v/>
      </c>
      <c r="AU93" s="269"/>
      <c r="AV93" s="269"/>
    </row>
    <row r="94">
      <c r="A94" s="94"/>
      <c r="B94" s="296" t="s">
        <v>650</v>
      </c>
      <c r="C94" s="297" t="s">
        <v>649</v>
      </c>
      <c r="D94" s="243"/>
      <c r="E94" s="259"/>
      <c r="F94" s="299"/>
      <c r="G94" s="298"/>
      <c r="H94" s="299"/>
      <c r="I94" s="298"/>
      <c r="J94" s="299"/>
      <c r="K94" s="298"/>
      <c r="L94" s="261"/>
      <c r="M94" s="250"/>
      <c r="N94" s="298"/>
      <c r="O94" s="299"/>
      <c r="P94" s="298"/>
      <c r="Q94" s="299"/>
      <c r="R94" s="298"/>
      <c r="S94" s="261"/>
      <c r="T94" s="250"/>
      <c r="U94" s="298"/>
      <c r="V94" s="299"/>
      <c r="W94" s="298"/>
      <c r="X94" s="299"/>
      <c r="Y94" s="298"/>
      <c r="Z94" s="261"/>
      <c r="AA94" s="250"/>
      <c r="AB94" s="298"/>
      <c r="AC94" s="299"/>
      <c r="AD94" s="298"/>
      <c r="AE94" s="299"/>
      <c r="AF94" s="298"/>
      <c r="AG94" s="261"/>
      <c r="AH94" s="299"/>
      <c r="AI94" s="298"/>
      <c r="AJ94" s="299"/>
      <c r="AK94" s="298"/>
      <c r="AL94" s="299"/>
      <c r="AM94" s="298"/>
      <c r="AN94" s="261"/>
      <c r="AO94" s="320"/>
      <c r="AP94" s="298"/>
      <c r="AQ94" s="299"/>
      <c r="AR94" s="298"/>
      <c r="AS94" s="299"/>
      <c r="AT94" s="254" t="str">
        <f t="shared" si="19"/>
        <v/>
      </c>
      <c r="AU94" s="269"/>
      <c r="AV94" s="269"/>
    </row>
    <row r="95">
      <c r="A95" s="94"/>
      <c r="B95" s="301" t="s">
        <v>651</v>
      </c>
      <c r="C95" s="302" t="s">
        <v>652</v>
      </c>
      <c r="D95" s="243"/>
      <c r="E95" s="259"/>
      <c r="F95" s="303"/>
      <c r="G95" s="298"/>
      <c r="H95" s="303"/>
      <c r="I95" s="298"/>
      <c r="J95" s="303"/>
      <c r="K95" s="298"/>
      <c r="L95" s="261"/>
      <c r="M95" s="250"/>
      <c r="N95" s="298"/>
      <c r="O95" s="303"/>
      <c r="P95" s="298"/>
      <c r="Q95" s="303"/>
      <c r="R95" s="298"/>
      <c r="S95" s="261"/>
      <c r="T95" s="250"/>
      <c r="U95" s="298"/>
      <c r="V95" s="303"/>
      <c r="W95" s="298"/>
      <c r="X95" s="303"/>
      <c r="Y95" s="298"/>
      <c r="Z95" s="261"/>
      <c r="AA95" s="250"/>
      <c r="AB95" s="298"/>
      <c r="AC95" s="303"/>
      <c r="AD95" s="298"/>
      <c r="AE95" s="303"/>
      <c r="AF95" s="298"/>
      <c r="AG95" s="261"/>
      <c r="AH95" s="303"/>
      <c r="AI95" s="298"/>
      <c r="AJ95" s="303"/>
      <c r="AK95" s="298"/>
      <c r="AL95" s="303"/>
      <c r="AM95" s="298"/>
      <c r="AN95" s="261"/>
      <c r="AO95" s="320"/>
      <c r="AP95" s="298"/>
      <c r="AQ95" s="303"/>
      <c r="AR95" s="298"/>
      <c r="AS95" s="303"/>
      <c r="AT95" s="254" t="str">
        <f t="shared" ref="AT95:AT96" si="20">IF(COUNTIF($AO$79:$AT$81, AS96) &gt; 0, "X", "")</f>
        <v/>
      </c>
      <c r="AU95" s="269"/>
      <c r="AV95" s="269"/>
    </row>
    <row r="96">
      <c r="A96" s="94"/>
      <c r="B96" s="305" t="s">
        <v>653</v>
      </c>
      <c r="C96" s="306" t="s">
        <v>654</v>
      </c>
      <c r="D96" s="243"/>
      <c r="E96" s="259"/>
      <c r="F96" s="307"/>
      <c r="G96" s="298"/>
      <c r="H96" s="307"/>
      <c r="I96" s="298"/>
      <c r="J96" s="307"/>
      <c r="K96" s="298"/>
      <c r="L96" s="261"/>
      <c r="M96" s="250"/>
      <c r="N96" s="298"/>
      <c r="O96" s="309" t="s">
        <v>458</v>
      </c>
      <c r="P96" s="298"/>
      <c r="Q96" s="307"/>
      <c r="R96" s="298"/>
      <c r="S96" s="261"/>
      <c r="T96" s="250"/>
      <c r="U96" s="298"/>
      <c r="V96" s="307"/>
      <c r="W96" s="298"/>
      <c r="X96" s="307"/>
      <c r="Y96" s="298"/>
      <c r="Z96" s="261"/>
      <c r="AA96" s="250"/>
      <c r="AB96" s="298"/>
      <c r="AC96" s="307"/>
      <c r="AD96" s="298"/>
      <c r="AE96" s="309" t="s">
        <v>449</v>
      </c>
      <c r="AF96" s="298"/>
      <c r="AG96" s="261"/>
      <c r="AH96" s="307"/>
      <c r="AI96" s="298"/>
      <c r="AJ96" s="307"/>
      <c r="AK96" s="298"/>
      <c r="AL96" s="307"/>
      <c r="AM96" s="298"/>
      <c r="AN96" s="261"/>
      <c r="AO96" s="320"/>
      <c r="AP96" s="298"/>
      <c r="AQ96" s="307"/>
      <c r="AR96" s="298"/>
      <c r="AS96" s="307"/>
      <c r="AT96" s="254" t="str">
        <f t="shared" si="20"/>
        <v/>
      </c>
      <c r="AU96" s="269"/>
      <c r="AV96" s="269"/>
    </row>
    <row r="97">
      <c r="A97" s="94"/>
      <c r="B97" s="310" t="s">
        <v>656</v>
      </c>
      <c r="C97" s="278" t="s">
        <v>657</v>
      </c>
      <c r="D97" s="243"/>
      <c r="E97" s="259"/>
      <c r="F97" s="281"/>
      <c r="G97" s="246"/>
      <c r="H97" s="282"/>
      <c r="I97" s="246"/>
      <c r="J97" s="282"/>
      <c r="K97" s="246"/>
      <c r="L97" s="261"/>
      <c r="M97" s="250"/>
      <c r="N97" s="246"/>
      <c r="O97" s="311" t="s">
        <v>434</v>
      </c>
      <c r="P97" s="246"/>
      <c r="R97" s="246"/>
      <c r="S97" s="261"/>
      <c r="T97" s="250"/>
      <c r="U97" s="246"/>
      <c r="V97" s="282"/>
      <c r="W97" s="246"/>
      <c r="Y97" s="246"/>
      <c r="Z97" s="261"/>
      <c r="AA97" s="250"/>
      <c r="AB97" s="246"/>
      <c r="AC97" s="282"/>
      <c r="AD97" s="246"/>
      <c r="AE97" s="311" t="s">
        <v>434</v>
      </c>
      <c r="AF97" s="246"/>
      <c r="AG97" s="261"/>
      <c r="AH97" s="282"/>
      <c r="AI97" s="246"/>
      <c r="AK97" s="246"/>
      <c r="AL97" s="282"/>
      <c r="AM97" s="246"/>
      <c r="AN97" s="261"/>
      <c r="AO97" s="320"/>
      <c r="AP97" s="246"/>
      <c r="AR97" s="246"/>
      <c r="AS97" s="281"/>
      <c r="AT97" s="254" t="str">
        <f t="shared" ref="AT97:AT99" si="21">IF(COUNTIF($AO$79:$AT$81, #REF!) &gt; 0, "X", "")</f>
        <v/>
      </c>
      <c r="AU97" s="269"/>
      <c r="AV97" s="269"/>
    </row>
    <row r="98">
      <c r="A98" s="94"/>
      <c r="B98" s="277" t="s">
        <v>658</v>
      </c>
      <c r="C98" s="278" t="s">
        <v>657</v>
      </c>
      <c r="D98" s="243"/>
      <c r="E98" s="259"/>
      <c r="G98" s="246"/>
      <c r="I98" s="246"/>
      <c r="J98" s="281"/>
      <c r="K98" s="246"/>
      <c r="L98" s="261"/>
      <c r="M98" s="250"/>
      <c r="N98" s="246"/>
      <c r="P98" s="246"/>
      <c r="R98" s="246"/>
      <c r="S98" s="261"/>
      <c r="T98" s="250"/>
      <c r="U98" s="246"/>
      <c r="W98" s="246"/>
      <c r="Y98" s="246"/>
      <c r="Z98" s="261"/>
      <c r="AA98" s="250"/>
      <c r="AB98" s="246"/>
      <c r="AD98" s="246"/>
      <c r="AF98" s="246"/>
      <c r="AG98" s="261"/>
      <c r="AH98" s="282"/>
      <c r="AI98" s="246"/>
      <c r="AK98" s="246"/>
      <c r="AM98" s="246"/>
      <c r="AN98" s="261"/>
      <c r="AO98" s="320"/>
      <c r="AP98" s="246"/>
      <c r="AQ98" s="282"/>
      <c r="AR98" s="246"/>
      <c r="AT98" s="254" t="str">
        <f t="shared" si="21"/>
        <v/>
      </c>
      <c r="AU98" s="269"/>
      <c r="AV98" s="269"/>
    </row>
    <row r="99">
      <c r="A99" s="94"/>
      <c r="B99" s="314" t="s">
        <v>660</v>
      </c>
      <c r="C99" s="315" t="s">
        <v>649</v>
      </c>
      <c r="D99" s="243"/>
      <c r="E99" s="259"/>
      <c r="F99" s="632" t="s">
        <v>423</v>
      </c>
      <c r="G99" s="246"/>
      <c r="H99" s="645" t="s">
        <v>417</v>
      </c>
      <c r="I99" s="246"/>
      <c r="J99" s="353" t="s">
        <v>421</v>
      </c>
      <c r="K99" s="246"/>
      <c r="L99" s="261"/>
      <c r="M99" s="316"/>
      <c r="N99" s="246"/>
      <c r="O99" s="293" t="s">
        <v>416</v>
      </c>
      <c r="P99" s="246"/>
      <c r="Q99" s="293" t="s">
        <v>424</v>
      </c>
      <c r="R99" s="246"/>
      <c r="S99" s="261"/>
      <c r="T99" s="316"/>
      <c r="U99" s="246"/>
      <c r="V99" s="645" t="s">
        <v>417</v>
      </c>
      <c r="W99" s="246"/>
      <c r="X99" s="353" t="s">
        <v>424</v>
      </c>
      <c r="Y99" s="246"/>
      <c r="Z99" s="261"/>
      <c r="AA99" s="316"/>
      <c r="AB99" s="246"/>
      <c r="AC99" s="253" t="s">
        <v>417</v>
      </c>
      <c r="AD99" s="246"/>
      <c r="AE99" s="353" t="s">
        <v>424</v>
      </c>
      <c r="AF99" s="246"/>
      <c r="AG99" s="261"/>
      <c r="AH99" s="506"/>
      <c r="AI99" s="246"/>
      <c r="AJ99" s="293" t="s">
        <v>426</v>
      </c>
      <c r="AK99" s="246"/>
      <c r="AL99" s="293" t="s">
        <v>424</v>
      </c>
      <c r="AM99" s="246"/>
      <c r="AN99" s="261"/>
      <c r="AO99" s="479"/>
      <c r="AP99" s="246"/>
      <c r="AQ99" s="293" t="s">
        <v>418</v>
      </c>
      <c r="AR99" s="246"/>
      <c r="AS99" s="356" t="s">
        <v>423</v>
      </c>
      <c r="AT99" s="254" t="str">
        <f t="shared" si="21"/>
        <v/>
      </c>
      <c r="AU99" s="269"/>
      <c r="AV99" s="269"/>
    </row>
    <row r="100">
      <c r="A100" s="94"/>
      <c r="B100" s="296" t="s">
        <v>650</v>
      </c>
      <c r="C100" s="297" t="s">
        <v>649</v>
      </c>
      <c r="D100" s="243"/>
      <c r="E100" s="259"/>
      <c r="F100" s="299"/>
      <c r="G100" s="298"/>
      <c r="H100" s="299"/>
      <c r="I100" s="298"/>
      <c r="J100" s="293" t="s">
        <v>416</v>
      </c>
      <c r="K100" s="298"/>
      <c r="L100" s="261"/>
      <c r="M100" s="250"/>
      <c r="N100" s="298"/>
      <c r="O100" s="300"/>
      <c r="P100" s="298"/>
      <c r="Q100" s="356" t="s">
        <v>423</v>
      </c>
      <c r="R100" s="298"/>
      <c r="S100" s="261"/>
      <c r="T100" s="250"/>
      <c r="U100" s="298"/>
      <c r="V100" s="300"/>
      <c r="W100" s="298"/>
      <c r="X100" s="293" t="s">
        <v>416</v>
      </c>
      <c r="Y100" s="298"/>
      <c r="Z100" s="261"/>
      <c r="AA100" s="250"/>
      <c r="AB100" s="298"/>
      <c r="AC100" s="300"/>
      <c r="AD100" s="298"/>
      <c r="AE100" s="356" t="s">
        <v>423</v>
      </c>
      <c r="AF100" s="298"/>
      <c r="AG100" s="261"/>
      <c r="AH100" s="317"/>
      <c r="AI100" s="298"/>
      <c r="AJ100" s="299"/>
      <c r="AK100" s="298"/>
      <c r="AL100" s="299"/>
      <c r="AM100" s="298"/>
      <c r="AN100" s="261"/>
      <c r="AO100" s="509"/>
      <c r="AP100" s="298"/>
      <c r="AQ100" s="299"/>
      <c r="AR100" s="298"/>
      <c r="AS100" s="299"/>
      <c r="AT100" s="254" t="str">
        <f>IF(COUNTIF($AO$79:$AT$81, AS101) &gt; 0, "X", "")</f>
        <v/>
      </c>
      <c r="AU100" s="269"/>
      <c r="AV100" s="269"/>
    </row>
    <row r="101">
      <c r="A101" s="94"/>
      <c r="B101" s="301" t="s">
        <v>651</v>
      </c>
      <c r="C101" s="302" t="s">
        <v>652</v>
      </c>
      <c r="D101" s="323"/>
      <c r="E101" s="259"/>
      <c r="F101" s="303"/>
      <c r="G101" s="298"/>
      <c r="H101" s="303"/>
      <c r="I101" s="298"/>
      <c r="J101" s="303"/>
      <c r="K101" s="298"/>
      <c r="L101" s="261"/>
      <c r="M101" s="250"/>
      <c r="N101" s="298"/>
      <c r="O101" s="303"/>
      <c r="P101" s="298"/>
      <c r="Q101" s="321"/>
      <c r="R101" s="298"/>
      <c r="S101" s="261"/>
      <c r="T101" s="250"/>
      <c r="U101" s="298"/>
      <c r="V101" s="303"/>
      <c r="W101" s="298"/>
      <c r="X101" s="303"/>
      <c r="Y101" s="298"/>
      <c r="Z101" s="261"/>
      <c r="AA101" s="250"/>
      <c r="AB101" s="298"/>
      <c r="AC101" s="303"/>
      <c r="AD101" s="298"/>
      <c r="AE101" s="321" t="s">
        <v>1018</v>
      </c>
      <c r="AF101" s="298"/>
      <c r="AG101" s="261"/>
      <c r="AH101" s="320"/>
      <c r="AI101" s="298"/>
      <c r="AJ101" s="303"/>
      <c r="AK101" s="298"/>
      <c r="AL101" s="484"/>
      <c r="AM101" s="298"/>
      <c r="AN101" s="261"/>
      <c r="AO101" s="320"/>
      <c r="AP101" s="298"/>
      <c r="AQ101" s="303"/>
      <c r="AR101" s="298"/>
      <c r="AS101" s="303"/>
      <c r="AT101" s="254" t="str">
        <f t="shared" ref="AT101:AT102" si="22">IF(COUNTIF($AO$79:$AT$81, #REF!) &gt; 0, "X", "")</f>
        <v/>
      </c>
      <c r="AU101" s="269"/>
      <c r="AV101" s="269"/>
    </row>
    <row r="102">
      <c r="A102" s="94"/>
      <c r="B102" s="322" t="s">
        <v>662</v>
      </c>
      <c r="C102" s="306" t="s">
        <v>663</v>
      </c>
      <c r="D102" s="330"/>
      <c r="E102" s="259"/>
      <c r="F102" s="307"/>
      <c r="G102" s="298"/>
      <c r="H102" s="307"/>
      <c r="I102" s="298"/>
      <c r="J102" s="395" t="s">
        <v>414</v>
      </c>
      <c r="K102" s="298"/>
      <c r="L102" s="261"/>
      <c r="M102" s="324"/>
      <c r="N102" s="298"/>
      <c r="O102" s="307"/>
      <c r="P102" s="298"/>
      <c r="Q102" s="309" t="s">
        <v>409</v>
      </c>
      <c r="R102" s="298"/>
      <c r="S102" s="261"/>
      <c r="T102" s="324"/>
      <c r="U102" s="298"/>
      <c r="V102" s="307"/>
      <c r="W102" s="298"/>
      <c r="X102" s="532" t="s">
        <v>1017</v>
      </c>
      <c r="Y102" s="298"/>
      <c r="Z102" s="261"/>
      <c r="AA102" s="324"/>
      <c r="AB102" s="298"/>
      <c r="AC102" s="307"/>
      <c r="AD102" s="298"/>
      <c r="AE102" s="309" t="s">
        <v>409</v>
      </c>
      <c r="AF102" s="298"/>
      <c r="AG102" s="261"/>
      <c r="AH102" s="317"/>
      <c r="AI102" s="298"/>
      <c r="AJ102" s="307"/>
      <c r="AK102" s="298"/>
      <c r="AL102" s="309" t="s">
        <v>409</v>
      </c>
      <c r="AM102" s="298"/>
      <c r="AN102" s="261"/>
      <c r="AO102" s="317"/>
      <c r="AP102" s="298"/>
      <c r="AQ102" s="307"/>
      <c r="AR102" s="298"/>
      <c r="AS102" s="307"/>
      <c r="AT102" s="254" t="str">
        <f t="shared" si="22"/>
        <v/>
      </c>
      <c r="AU102" s="269"/>
      <c r="AV102" s="269"/>
    </row>
    <row r="103">
      <c r="A103" s="94"/>
      <c r="B103" s="328" t="s">
        <v>665</v>
      </c>
      <c r="C103" s="329" t="s">
        <v>654</v>
      </c>
      <c r="D103" s="330"/>
      <c r="E103" s="259"/>
      <c r="G103" s="246"/>
      <c r="H103" s="274" t="s">
        <v>458</v>
      </c>
      <c r="I103" s="246"/>
      <c r="J103" s="311" t="s">
        <v>434</v>
      </c>
      <c r="K103" s="246"/>
      <c r="L103" s="261"/>
      <c r="M103" s="333"/>
      <c r="N103" s="246"/>
      <c r="O103" s="311" t="s">
        <v>459</v>
      </c>
      <c r="P103" s="246"/>
      <c r="Q103" s="274" t="s">
        <v>449</v>
      </c>
      <c r="R103" s="246"/>
      <c r="S103" s="261"/>
      <c r="T103" s="333"/>
      <c r="U103" s="246"/>
      <c r="V103" s="274" t="s">
        <v>458</v>
      </c>
      <c r="W103" s="246"/>
      <c r="X103" s="311" t="s">
        <v>434</v>
      </c>
      <c r="Y103" s="246"/>
      <c r="Z103" s="261"/>
      <c r="AA103" s="333"/>
      <c r="AB103" s="246"/>
      <c r="AC103" s="274" t="s">
        <v>458</v>
      </c>
      <c r="AD103" s="246"/>
      <c r="AE103" s="274" t="s">
        <v>443</v>
      </c>
      <c r="AF103" s="246"/>
      <c r="AG103" s="261"/>
      <c r="AH103" s="506"/>
      <c r="AI103" s="246"/>
      <c r="AJ103" s="274" t="s">
        <v>439</v>
      </c>
      <c r="AK103" s="246"/>
      <c r="AL103" s="311" t="s">
        <v>434</v>
      </c>
      <c r="AM103" s="246"/>
      <c r="AN103" s="261"/>
      <c r="AO103" s="320"/>
      <c r="AP103" s="246"/>
      <c r="AQ103" s="274" t="s">
        <v>458</v>
      </c>
      <c r="AR103" s="246"/>
      <c r="AS103" s="274" t="s">
        <v>449</v>
      </c>
      <c r="AT103" s="254" t="str">
        <f>IF(COUNTIF($AO$79:$AT$81, AH111) &gt; 0, "X", "")</f>
        <v/>
      </c>
      <c r="AU103" s="269"/>
      <c r="AV103" s="269"/>
    </row>
    <row r="104">
      <c r="A104" s="94"/>
      <c r="B104" s="337" t="s">
        <v>665</v>
      </c>
      <c r="C104" s="338" t="s">
        <v>657</v>
      </c>
      <c r="D104" s="330"/>
      <c r="E104" s="259"/>
      <c r="F104" s="339" t="s">
        <v>468</v>
      </c>
      <c r="G104" s="246"/>
      <c r="H104" s="311" t="s">
        <v>459</v>
      </c>
      <c r="I104" s="246"/>
      <c r="J104" s="274" t="s">
        <v>409</v>
      </c>
      <c r="K104" s="246"/>
      <c r="L104" s="261"/>
      <c r="M104" s="324"/>
      <c r="N104" s="246"/>
      <c r="O104" s="283" t="s">
        <v>450</v>
      </c>
      <c r="P104" s="246"/>
      <c r="Q104" s="339" t="s">
        <v>468</v>
      </c>
      <c r="R104" s="246"/>
      <c r="S104" s="261"/>
      <c r="T104" s="324"/>
      <c r="U104" s="246"/>
      <c r="V104" s="283" t="s">
        <v>450</v>
      </c>
      <c r="W104" s="246"/>
      <c r="X104" s="274" t="s">
        <v>443</v>
      </c>
      <c r="Y104" s="246"/>
      <c r="Z104" s="261"/>
      <c r="AA104" s="324"/>
      <c r="AB104" s="246"/>
      <c r="AC104" s="311" t="s">
        <v>459</v>
      </c>
      <c r="AD104" s="246"/>
      <c r="AE104" s="339" t="s">
        <v>468</v>
      </c>
      <c r="AF104" s="246"/>
      <c r="AG104" s="261"/>
      <c r="AH104" s="506"/>
      <c r="AI104" s="246"/>
      <c r="AJ104" s="311" t="s">
        <v>459</v>
      </c>
      <c r="AK104" s="246"/>
      <c r="AL104" s="274" t="s">
        <v>448</v>
      </c>
      <c r="AM104" s="246"/>
      <c r="AN104" s="261"/>
      <c r="AO104" s="320"/>
      <c r="AP104" s="246"/>
      <c r="AQ104" s="311" t="s">
        <v>459</v>
      </c>
      <c r="AR104" s="246"/>
      <c r="AS104" s="274" t="s">
        <v>443</v>
      </c>
      <c r="AT104" s="254" t="str">
        <f t="shared" ref="AT104:AT108" si="23">IF(COUNTIF($AO$79:$AT$81, #REF!) &gt; 0, "X", "")</f>
        <v/>
      </c>
      <c r="AU104" s="269"/>
      <c r="AV104" s="269"/>
    </row>
    <row r="105">
      <c r="A105" s="94"/>
      <c r="B105" s="256" t="s">
        <v>665</v>
      </c>
      <c r="C105" s="257" t="s">
        <v>663</v>
      </c>
      <c r="D105" s="330"/>
      <c r="E105" s="259"/>
      <c r="F105" s="274" t="s">
        <v>415</v>
      </c>
      <c r="G105" s="246"/>
      <c r="H105" s="336" t="s">
        <v>398</v>
      </c>
      <c r="I105" s="246"/>
      <c r="J105" s="274" t="s">
        <v>448</v>
      </c>
      <c r="K105" s="246"/>
      <c r="L105" s="261"/>
      <c r="M105" s="341"/>
      <c r="N105" s="246"/>
      <c r="P105" s="246"/>
      <c r="Q105" s="274" t="s">
        <v>448</v>
      </c>
      <c r="R105" s="246"/>
      <c r="S105" s="261"/>
      <c r="T105" s="341"/>
      <c r="U105" s="246"/>
      <c r="V105" s="274" t="s">
        <v>439</v>
      </c>
      <c r="W105" s="246"/>
      <c r="X105" s="339" t="s">
        <v>468</v>
      </c>
      <c r="Y105" s="246"/>
      <c r="Z105" s="261"/>
      <c r="AA105" s="341"/>
      <c r="AB105" s="246"/>
      <c r="AD105" s="246"/>
      <c r="AE105" s="274" t="s">
        <v>415</v>
      </c>
      <c r="AF105" s="246"/>
      <c r="AG105" s="261"/>
      <c r="AH105" s="506"/>
      <c r="AI105" s="246"/>
      <c r="AK105" s="246"/>
      <c r="AL105" s="274" t="s">
        <v>415</v>
      </c>
      <c r="AM105" s="246"/>
      <c r="AN105" s="261"/>
      <c r="AO105" s="320"/>
      <c r="AP105" s="246"/>
      <c r="AR105" s="246"/>
      <c r="AT105" s="254" t="str">
        <f t="shared" si="23"/>
        <v/>
      </c>
      <c r="AU105" s="269"/>
      <c r="AV105" s="269"/>
    </row>
    <row r="106">
      <c r="A106" s="94"/>
      <c r="B106" s="328" t="s">
        <v>665</v>
      </c>
      <c r="C106" s="329" t="s">
        <v>645</v>
      </c>
      <c r="D106" s="323"/>
      <c r="E106" s="261"/>
      <c r="G106" s="246"/>
      <c r="H106" s="283" t="s">
        <v>450</v>
      </c>
      <c r="I106" s="246"/>
      <c r="K106" s="246"/>
      <c r="L106" s="261"/>
      <c r="M106" s="341"/>
      <c r="N106" s="246"/>
      <c r="O106" s="274" t="s">
        <v>439</v>
      </c>
      <c r="P106" s="246"/>
      <c r="Q106" s="274" t="s">
        <v>415</v>
      </c>
      <c r="R106" s="246"/>
      <c r="S106" s="261"/>
      <c r="T106" s="341"/>
      <c r="U106" s="246"/>
      <c r="W106" s="246"/>
      <c r="X106" s="274" t="s">
        <v>448</v>
      </c>
      <c r="Y106" s="246"/>
      <c r="Z106" s="261"/>
      <c r="AA106" s="341"/>
      <c r="AB106" s="246"/>
      <c r="AC106" s="283" t="s">
        <v>450</v>
      </c>
      <c r="AD106" s="246"/>
      <c r="AE106" s="274" t="s">
        <v>439</v>
      </c>
      <c r="AF106" s="246"/>
      <c r="AG106" s="261"/>
      <c r="AH106" s="506"/>
      <c r="AI106" s="246"/>
      <c r="AJ106" s="283" t="s">
        <v>450</v>
      </c>
      <c r="AK106" s="246"/>
      <c r="AL106" s="339" t="s">
        <v>468</v>
      </c>
      <c r="AM106" s="246"/>
      <c r="AN106" s="261"/>
      <c r="AO106" s="320"/>
      <c r="AP106" s="246"/>
      <c r="AQ106" s="274" t="s">
        <v>448</v>
      </c>
      <c r="AR106" s="246"/>
      <c r="AS106" s="274" t="s">
        <v>409</v>
      </c>
      <c r="AT106" s="254" t="str">
        <f t="shared" si="23"/>
        <v/>
      </c>
      <c r="AU106" s="269"/>
      <c r="AV106" s="269"/>
    </row>
    <row r="107">
      <c r="A107" s="94"/>
      <c r="B107" s="342" t="s">
        <v>667</v>
      </c>
      <c r="C107" s="343" t="s">
        <v>657</v>
      </c>
      <c r="D107" s="351"/>
      <c r="E107" s="259"/>
      <c r="F107" s="345" t="s">
        <v>401</v>
      </c>
      <c r="G107" s="246"/>
      <c r="H107" s="282"/>
      <c r="I107" s="246"/>
      <c r="K107" s="246"/>
      <c r="L107" s="261"/>
      <c r="M107" s="346"/>
      <c r="N107" s="246"/>
      <c r="O107" s="345" t="s">
        <v>401</v>
      </c>
      <c r="P107" s="246"/>
      <c r="R107" s="246"/>
      <c r="S107" s="261"/>
      <c r="T107" s="346"/>
      <c r="U107" s="246"/>
      <c r="V107" s="347" t="s">
        <v>401</v>
      </c>
      <c r="W107" s="246"/>
      <c r="X107" s="274" t="s">
        <v>415</v>
      </c>
      <c r="Y107" s="246"/>
      <c r="Z107" s="261"/>
      <c r="AA107" s="347" t="s">
        <v>401</v>
      </c>
      <c r="AB107" s="246"/>
      <c r="AC107" s="339" t="s">
        <v>431</v>
      </c>
      <c r="AD107" s="246"/>
      <c r="AF107" s="246"/>
      <c r="AG107" s="261"/>
      <c r="AH107" s="347" t="s">
        <v>401</v>
      </c>
      <c r="AI107" s="246"/>
      <c r="AJ107" s="339" t="s">
        <v>431</v>
      </c>
      <c r="AK107" s="246"/>
      <c r="AM107" s="246"/>
      <c r="AN107" s="261"/>
      <c r="AO107" s="320"/>
      <c r="AP107" s="246"/>
      <c r="AQ107" s="347" t="s">
        <v>401</v>
      </c>
      <c r="AR107" s="246"/>
      <c r="AS107" s="339" t="s">
        <v>431</v>
      </c>
      <c r="AT107" s="254" t="str">
        <f t="shared" si="23"/>
        <v/>
      </c>
      <c r="AU107" s="269"/>
      <c r="AV107" s="269"/>
    </row>
    <row r="108">
      <c r="A108" s="94"/>
      <c r="B108" s="349" t="s">
        <v>669</v>
      </c>
      <c r="C108" s="350" t="s">
        <v>649</v>
      </c>
      <c r="D108" s="323"/>
      <c r="E108" s="259"/>
      <c r="F108" s="353" t="s">
        <v>426</v>
      </c>
      <c r="G108" s="246"/>
      <c r="H108" s="633" t="s">
        <v>420</v>
      </c>
      <c r="I108" s="246"/>
      <c r="J108" s="353" t="s">
        <v>424</v>
      </c>
      <c r="K108" s="246"/>
      <c r="L108" s="261"/>
      <c r="M108" s="354"/>
      <c r="N108" s="246"/>
      <c r="O108" s="633" t="s">
        <v>670</v>
      </c>
      <c r="P108" s="246"/>
      <c r="Q108" s="353" t="s">
        <v>421</v>
      </c>
      <c r="R108" s="246"/>
      <c r="S108" s="261"/>
      <c r="T108" s="354"/>
      <c r="U108" s="246"/>
      <c r="V108" s="355" t="s">
        <v>670</v>
      </c>
      <c r="W108" s="246"/>
      <c r="X108" s="353" t="s">
        <v>421</v>
      </c>
      <c r="Y108" s="246"/>
      <c r="Z108" s="261"/>
      <c r="AA108" s="354"/>
      <c r="AB108" s="246"/>
      <c r="AC108" s="633" t="s">
        <v>420</v>
      </c>
      <c r="AD108" s="246"/>
      <c r="AE108" s="293" t="s">
        <v>422</v>
      </c>
      <c r="AF108" s="246"/>
      <c r="AG108" s="261"/>
      <c r="AH108" s="632" t="s">
        <v>423</v>
      </c>
      <c r="AI108" s="246"/>
      <c r="AJ108" s="645" t="s">
        <v>417</v>
      </c>
      <c r="AK108" s="246"/>
      <c r="AL108" s="293" t="s">
        <v>422</v>
      </c>
      <c r="AM108" s="246"/>
      <c r="AN108" s="261"/>
      <c r="AO108" s="320"/>
      <c r="AP108" s="246"/>
      <c r="AQ108" s="293" t="s">
        <v>426</v>
      </c>
      <c r="AR108" s="246"/>
      <c r="AS108" s="293" t="s">
        <v>422</v>
      </c>
      <c r="AT108" s="254" t="str">
        <f t="shared" si="23"/>
        <v/>
      </c>
      <c r="AU108" s="269"/>
      <c r="AV108" s="269"/>
    </row>
    <row r="109">
      <c r="A109" s="234"/>
      <c r="B109" s="296" t="s">
        <v>650</v>
      </c>
      <c r="C109" s="297" t="s">
        <v>649</v>
      </c>
      <c r="D109" s="330"/>
      <c r="E109" s="259"/>
      <c r="F109" s="299"/>
      <c r="G109" s="298"/>
      <c r="H109" s="300"/>
      <c r="I109" s="298"/>
      <c r="J109" s="293" t="s">
        <v>422</v>
      </c>
      <c r="K109" s="298"/>
      <c r="L109" s="261"/>
      <c r="M109" s="324"/>
      <c r="N109" s="298"/>
      <c r="O109" s="645" t="s">
        <v>417</v>
      </c>
      <c r="P109" s="298"/>
      <c r="Q109" s="299"/>
      <c r="R109" s="298"/>
      <c r="S109" s="261"/>
      <c r="T109" s="324"/>
      <c r="U109" s="298"/>
      <c r="V109" s="293" t="s">
        <v>426</v>
      </c>
      <c r="W109" s="298"/>
      <c r="X109" s="300"/>
      <c r="Y109" s="298"/>
      <c r="Z109" s="261"/>
      <c r="AA109" s="324"/>
      <c r="AB109" s="298"/>
      <c r="AD109" s="298"/>
      <c r="AE109" s="300"/>
      <c r="AF109" s="298"/>
      <c r="AG109" s="261"/>
      <c r="AH109" s="300"/>
      <c r="AI109" s="298"/>
      <c r="AJ109" s="300"/>
      <c r="AK109" s="298"/>
      <c r="AL109" s="300"/>
      <c r="AM109" s="298"/>
      <c r="AN109" s="261"/>
      <c r="AO109" s="320"/>
      <c r="AP109" s="298"/>
      <c r="AQ109" s="299"/>
      <c r="AR109" s="298"/>
      <c r="AS109" s="299"/>
      <c r="AT109" s="254" t="str">
        <f>IF(COUNTIF($AO$79:$AT$81, AO110) &gt; 0, "X", "")</f>
        <v/>
      </c>
      <c r="AU109" s="269"/>
      <c r="AV109" s="269"/>
    </row>
    <row r="110">
      <c r="A110" s="94"/>
      <c r="B110" s="301" t="s">
        <v>651</v>
      </c>
      <c r="C110" s="302" t="s">
        <v>652</v>
      </c>
      <c r="D110" s="363"/>
      <c r="E110" s="259"/>
      <c r="F110" s="303"/>
      <c r="G110" s="298"/>
      <c r="H110" s="304"/>
      <c r="I110" s="298"/>
      <c r="J110" s="484"/>
      <c r="K110" s="298"/>
      <c r="L110" s="261"/>
      <c r="M110" s="250"/>
      <c r="N110" s="298"/>
      <c r="O110" s="303"/>
      <c r="P110" s="298"/>
      <c r="Q110" s="303"/>
      <c r="R110" s="298"/>
      <c r="S110" s="261"/>
      <c r="T110" s="250"/>
      <c r="U110" s="298"/>
      <c r="V110" s="304"/>
      <c r="W110" s="298"/>
      <c r="X110" s="484"/>
      <c r="Y110" s="298"/>
      <c r="Z110" s="261"/>
      <c r="AA110" s="250"/>
      <c r="AB110" s="298"/>
      <c r="AC110" s="303"/>
      <c r="AD110" s="298"/>
      <c r="AE110" s="303"/>
      <c r="AF110" s="298"/>
      <c r="AG110" s="261"/>
      <c r="AH110" s="304"/>
      <c r="AI110" s="298"/>
      <c r="AJ110" s="304"/>
      <c r="AK110" s="298"/>
      <c r="AL110" s="303"/>
      <c r="AM110" s="298"/>
      <c r="AN110" s="261"/>
      <c r="AO110" s="320"/>
      <c r="AP110" s="298"/>
      <c r="AQ110" s="303"/>
      <c r="AR110" s="298"/>
      <c r="AS110" s="303"/>
      <c r="AT110" s="254" t="str">
        <f t="shared" ref="AT110:AT111" si="24">IF(COUNTIF($AO$79:$AT$81, #REF!) &gt; 0, "X", "")</f>
        <v/>
      </c>
      <c r="AU110" s="269"/>
      <c r="AV110" s="269"/>
    </row>
    <row r="111">
      <c r="A111" s="94"/>
      <c r="B111" s="361" t="s">
        <v>673</v>
      </c>
      <c r="C111" s="362" t="s">
        <v>674</v>
      </c>
      <c r="D111" s="369"/>
      <c r="E111" s="259"/>
      <c r="F111" s="274" t="s">
        <v>433</v>
      </c>
      <c r="G111" s="298"/>
      <c r="H111" s="336" t="s">
        <v>412</v>
      </c>
      <c r="I111" s="298"/>
      <c r="J111" s="311" t="s">
        <v>410</v>
      </c>
      <c r="K111" s="298"/>
      <c r="L111" s="261"/>
      <c r="M111" s="324"/>
      <c r="N111" s="298"/>
      <c r="O111" s="336" t="s">
        <v>412</v>
      </c>
      <c r="P111" s="298"/>
      <c r="Q111" s="311" t="s">
        <v>394</v>
      </c>
      <c r="R111" s="298"/>
      <c r="S111" s="261"/>
      <c r="T111" s="324"/>
      <c r="U111" s="298"/>
      <c r="V111" s="251" t="s">
        <v>412</v>
      </c>
      <c r="W111" s="298"/>
      <c r="X111" s="311" t="s">
        <v>394</v>
      </c>
      <c r="Y111" s="298"/>
      <c r="Z111" s="261"/>
      <c r="AA111" s="324"/>
      <c r="AB111" s="298"/>
      <c r="AC111" s="251" t="s">
        <v>412</v>
      </c>
      <c r="AD111" s="298"/>
      <c r="AE111" s="251" t="s">
        <v>457</v>
      </c>
      <c r="AF111" s="298"/>
      <c r="AG111" s="261"/>
      <c r="AH111" s="274" t="s">
        <v>433</v>
      </c>
      <c r="AI111" s="298"/>
      <c r="AJ111" s="251" t="s">
        <v>412</v>
      </c>
      <c r="AK111" s="298"/>
      <c r="AL111" s="251" t="s">
        <v>457</v>
      </c>
      <c r="AM111" s="298"/>
      <c r="AN111" s="261"/>
      <c r="AO111" s="320"/>
      <c r="AP111" s="298"/>
      <c r="AQ111" s="251" t="s">
        <v>457</v>
      </c>
      <c r="AR111" s="298"/>
      <c r="AS111" s="274" t="s">
        <v>433</v>
      </c>
      <c r="AT111" s="254" t="str">
        <f t="shared" si="24"/>
        <v/>
      </c>
      <c r="AU111" s="269"/>
      <c r="AV111" s="269"/>
    </row>
    <row r="112">
      <c r="A112" s="94"/>
      <c r="B112" s="367" t="s">
        <v>677</v>
      </c>
      <c r="C112" s="368" t="s">
        <v>674</v>
      </c>
      <c r="D112" s="330"/>
      <c r="E112" s="259"/>
      <c r="G112" s="246"/>
      <c r="I112" s="246"/>
      <c r="J112" s="325" t="s">
        <v>701</v>
      </c>
      <c r="K112" s="246"/>
      <c r="L112" s="261"/>
      <c r="M112" s="250"/>
      <c r="N112" s="246"/>
      <c r="O112" s="311" t="s">
        <v>438</v>
      </c>
      <c r="P112" s="246"/>
      <c r="R112" s="246"/>
      <c r="S112" s="261"/>
      <c r="T112" s="250"/>
      <c r="U112" s="246"/>
      <c r="V112" s="282"/>
      <c r="W112" s="246"/>
      <c r="Y112" s="246"/>
      <c r="Z112" s="261"/>
      <c r="AA112" s="250"/>
      <c r="AB112" s="246"/>
      <c r="AC112" s="282"/>
      <c r="AD112" s="246"/>
      <c r="AE112" s="282"/>
      <c r="AF112" s="246"/>
      <c r="AG112" s="261"/>
      <c r="AH112" s="282"/>
      <c r="AI112" s="246"/>
      <c r="AJ112" s="282"/>
      <c r="AK112" s="246"/>
      <c r="AM112" s="246"/>
      <c r="AN112" s="261"/>
      <c r="AO112" s="320"/>
      <c r="AP112" s="246"/>
      <c r="AQ112" s="282"/>
      <c r="AR112" s="246"/>
      <c r="AT112" s="254" t="str">
        <f>IF(COUNTIF($AO$79:$AT$81, AO112) &gt; 0, "X", "")</f>
        <v/>
      </c>
      <c r="AU112" s="269"/>
      <c r="AV112" s="269"/>
    </row>
    <row r="113">
      <c r="A113" s="94"/>
      <c r="B113" s="256" t="s">
        <v>679</v>
      </c>
      <c r="C113" s="257" t="s">
        <v>680</v>
      </c>
      <c r="D113" s="330"/>
      <c r="E113" s="259"/>
      <c r="F113" s="274" t="s">
        <v>439</v>
      </c>
      <c r="G113" s="246"/>
      <c r="H113" s="586" t="s">
        <v>397</v>
      </c>
      <c r="I113" s="246"/>
      <c r="J113" s="274" t="s">
        <v>437</v>
      </c>
      <c r="K113" s="246"/>
      <c r="L113" s="261"/>
      <c r="M113" s="333"/>
      <c r="N113" s="246"/>
      <c r="O113" s="374" t="s">
        <v>436</v>
      </c>
      <c r="P113" s="246"/>
      <c r="Q113" s="274" t="s">
        <v>433</v>
      </c>
      <c r="R113" s="246"/>
      <c r="S113" s="261"/>
      <c r="T113" s="333"/>
      <c r="U113" s="246"/>
      <c r="V113" s="374" t="s">
        <v>436</v>
      </c>
      <c r="W113" s="246"/>
      <c r="X113" s="376" t="s">
        <v>466</v>
      </c>
      <c r="Y113" s="246"/>
      <c r="Z113" s="261"/>
      <c r="AA113" s="333"/>
      <c r="AB113" s="246"/>
      <c r="AC113" s="374" t="s">
        <v>436</v>
      </c>
      <c r="AD113" s="246"/>
      <c r="AE113" s="280" t="s">
        <v>433</v>
      </c>
      <c r="AF113" s="246"/>
      <c r="AG113" s="261"/>
      <c r="AH113" s="274" t="s">
        <v>437</v>
      </c>
      <c r="AI113" s="246"/>
      <c r="AJ113" s="374" t="s">
        <v>436</v>
      </c>
      <c r="AK113" s="246"/>
      <c r="AL113" s="274" t="s">
        <v>443</v>
      </c>
      <c r="AM113" s="246"/>
      <c r="AN113" s="261"/>
      <c r="AO113" s="320"/>
      <c r="AP113" s="246"/>
      <c r="AQ113" s="374" t="s">
        <v>436</v>
      </c>
      <c r="AR113" s="246"/>
      <c r="AS113" s="274" t="s">
        <v>437</v>
      </c>
      <c r="AT113" s="254" t="str">
        <f t="shared" ref="AT113:AT117" si="25">IF(COUNTIF($AO$79:$AT$81, #REF!) &gt; 0, "X", "")</f>
        <v/>
      </c>
      <c r="AU113" s="269"/>
      <c r="AV113" s="269"/>
    </row>
    <row r="114">
      <c r="A114" s="372"/>
      <c r="B114" s="328" t="s">
        <v>679</v>
      </c>
      <c r="C114" s="329" t="s">
        <v>652</v>
      </c>
      <c r="D114" s="330"/>
      <c r="E114" s="259"/>
      <c r="G114" s="246"/>
      <c r="I114" s="246"/>
      <c r="K114" s="246"/>
      <c r="L114" s="261"/>
      <c r="M114" s="346"/>
      <c r="N114" s="246"/>
      <c r="P114" s="246"/>
      <c r="R114" s="246"/>
      <c r="S114" s="261"/>
      <c r="T114" s="346"/>
      <c r="U114" s="246"/>
      <c r="W114" s="246"/>
      <c r="X114" s="516"/>
      <c r="Y114" s="246"/>
      <c r="Z114" s="261"/>
      <c r="AA114" s="346"/>
      <c r="AB114" s="246"/>
      <c r="AD114" s="246"/>
      <c r="AF114" s="246"/>
      <c r="AG114" s="261"/>
      <c r="AH114" s="282"/>
      <c r="AI114" s="246"/>
      <c r="AK114" s="246"/>
      <c r="AM114" s="246"/>
      <c r="AN114" s="261"/>
      <c r="AO114" s="320"/>
      <c r="AP114" s="246"/>
      <c r="AR114" s="246"/>
      <c r="AT114" s="254" t="str">
        <f t="shared" si="25"/>
        <v/>
      </c>
      <c r="AU114" s="269"/>
      <c r="AV114" s="269"/>
    </row>
    <row r="115">
      <c r="A115" s="94"/>
      <c r="B115" s="328" t="s">
        <v>679</v>
      </c>
      <c r="C115" s="329" t="s">
        <v>683</v>
      </c>
      <c r="D115" s="379"/>
      <c r="E115" s="380"/>
      <c r="G115" s="246"/>
      <c r="I115" s="246"/>
      <c r="K115" s="246"/>
      <c r="L115" s="261"/>
      <c r="M115" s="341"/>
      <c r="N115" s="246"/>
      <c r="O115" s="336" t="s">
        <v>398</v>
      </c>
      <c r="P115" s="246"/>
      <c r="Q115" s="274" t="s">
        <v>443</v>
      </c>
      <c r="R115" s="246"/>
      <c r="S115" s="261"/>
      <c r="T115" s="341"/>
      <c r="U115" s="246"/>
      <c r="V115" s="251" t="s">
        <v>398</v>
      </c>
      <c r="W115" s="246"/>
      <c r="X115" s="274" t="s">
        <v>406</v>
      </c>
      <c r="Y115" s="246"/>
      <c r="Z115" s="261"/>
      <c r="AA115" s="341"/>
      <c r="AB115" s="246"/>
      <c r="AC115" s="586" t="s">
        <v>397</v>
      </c>
      <c r="AD115" s="246"/>
      <c r="AE115" s="376" t="s">
        <v>453</v>
      </c>
      <c r="AF115" s="246"/>
      <c r="AG115" s="261"/>
      <c r="AI115" s="246"/>
      <c r="AJ115" s="725" t="s">
        <v>397</v>
      </c>
      <c r="AK115" s="246"/>
      <c r="AL115" s="311" t="s">
        <v>455</v>
      </c>
      <c r="AM115" s="246"/>
      <c r="AN115" s="261"/>
      <c r="AO115" s="320"/>
      <c r="AP115" s="246"/>
      <c r="AQ115" s="586" t="s">
        <v>397</v>
      </c>
      <c r="AR115" s="246"/>
      <c r="AS115" s="376" t="s">
        <v>453</v>
      </c>
      <c r="AT115" s="254" t="str">
        <f t="shared" si="25"/>
        <v/>
      </c>
      <c r="AU115" s="269"/>
      <c r="AV115" s="269"/>
    </row>
    <row r="116">
      <c r="A116" s="94"/>
      <c r="B116" s="377" t="s">
        <v>684</v>
      </c>
      <c r="C116" s="378" t="s">
        <v>685</v>
      </c>
      <c r="D116" s="363"/>
      <c r="E116" s="259"/>
      <c r="F116" s="311" t="s">
        <v>455</v>
      </c>
      <c r="G116" s="246"/>
      <c r="I116" s="246"/>
      <c r="J116" s="376" t="s">
        <v>466</v>
      </c>
      <c r="K116" s="246"/>
      <c r="L116" s="381"/>
      <c r="M116" s="341"/>
      <c r="N116" s="246"/>
      <c r="P116" s="246"/>
      <c r="Q116" s="282"/>
      <c r="R116" s="246"/>
      <c r="S116" s="381"/>
      <c r="T116" s="341"/>
      <c r="U116" s="246"/>
      <c r="W116" s="246"/>
      <c r="Y116" s="246"/>
      <c r="Z116" s="381"/>
      <c r="AA116" s="341"/>
      <c r="AB116" s="246"/>
      <c r="AD116" s="246"/>
      <c r="AE116" s="251" t="s">
        <v>405</v>
      </c>
      <c r="AF116" s="246"/>
      <c r="AG116" s="381"/>
      <c r="AH116" s="311" t="s">
        <v>466</v>
      </c>
      <c r="AI116" s="246"/>
      <c r="AJ116" s="376"/>
      <c r="AK116" s="246"/>
      <c r="AL116" s="251" t="s">
        <v>405</v>
      </c>
      <c r="AM116" s="246"/>
      <c r="AN116" s="381"/>
      <c r="AO116" s="320"/>
      <c r="AP116" s="246"/>
      <c r="AQ116" s="282"/>
      <c r="AR116" s="246"/>
      <c r="AS116" s="311" t="s">
        <v>394</v>
      </c>
      <c r="AT116" s="254" t="str">
        <f t="shared" si="25"/>
        <v/>
      </c>
      <c r="AU116" s="269"/>
      <c r="AV116" s="269"/>
    </row>
    <row r="117">
      <c r="A117" s="270"/>
      <c r="B117" s="382" t="s">
        <v>686</v>
      </c>
      <c r="C117" s="242" t="s">
        <v>652</v>
      </c>
      <c r="D117" s="330"/>
      <c r="E117" s="259"/>
      <c r="F117" s="376" t="s">
        <v>453</v>
      </c>
      <c r="G117" s="246"/>
      <c r="H117" s="280" t="s">
        <v>435</v>
      </c>
      <c r="I117" s="246"/>
      <c r="J117" s="251" t="s">
        <v>429</v>
      </c>
      <c r="K117" s="246"/>
      <c r="L117" s="261"/>
      <c r="M117" s="341"/>
      <c r="N117" s="246"/>
      <c r="O117" s="365" t="s">
        <v>435</v>
      </c>
      <c r="P117" s="246"/>
      <c r="Q117" s="376" t="s">
        <v>466</v>
      </c>
      <c r="R117" s="246"/>
      <c r="S117" s="261"/>
      <c r="T117" s="341"/>
      <c r="U117" s="246"/>
      <c r="V117" s="251" t="s">
        <v>435</v>
      </c>
      <c r="W117" s="246"/>
      <c r="X117" s="311" t="s">
        <v>455</v>
      </c>
      <c r="Y117" s="246"/>
      <c r="Z117" s="261"/>
      <c r="AA117" s="341"/>
      <c r="AB117" s="246"/>
      <c r="AC117" s="383" t="s">
        <v>428</v>
      </c>
      <c r="AD117" s="246"/>
      <c r="AE117" s="251" t="s">
        <v>429</v>
      </c>
      <c r="AF117" s="246"/>
      <c r="AG117" s="261"/>
      <c r="AH117" s="251" t="s">
        <v>429</v>
      </c>
      <c r="AI117" s="246"/>
      <c r="AJ117" s="280" t="s">
        <v>435</v>
      </c>
      <c r="AK117" s="246"/>
      <c r="AL117" s="376" t="s">
        <v>453</v>
      </c>
      <c r="AM117" s="246"/>
      <c r="AN117" s="261"/>
      <c r="AO117" s="320"/>
      <c r="AP117" s="246"/>
      <c r="AQ117" s="274" t="s">
        <v>435</v>
      </c>
      <c r="AR117" s="246"/>
      <c r="AS117" s="251" t="s">
        <v>429</v>
      </c>
      <c r="AT117" s="254" t="str">
        <f t="shared" si="25"/>
        <v/>
      </c>
      <c r="AU117" s="269"/>
      <c r="AV117" s="269"/>
    </row>
    <row r="118">
      <c r="A118" s="234"/>
      <c r="B118" s="337" t="s">
        <v>686</v>
      </c>
      <c r="C118" s="338" t="s">
        <v>687</v>
      </c>
      <c r="D118" s="330"/>
      <c r="E118" s="259"/>
      <c r="G118" s="246"/>
      <c r="H118" s="383" t="s">
        <v>428</v>
      </c>
      <c r="I118" s="246"/>
      <c r="K118" s="246"/>
      <c r="L118" s="261"/>
      <c r="M118" s="250"/>
      <c r="N118" s="246"/>
      <c r="O118" s="376" t="s">
        <v>453</v>
      </c>
      <c r="P118" s="246"/>
      <c r="Q118" s="251" t="s">
        <v>429</v>
      </c>
      <c r="R118" s="246"/>
      <c r="S118" s="261"/>
      <c r="T118" s="250"/>
      <c r="U118" s="246"/>
      <c r="V118" s="383" t="s">
        <v>428</v>
      </c>
      <c r="W118" s="246"/>
      <c r="X118" s="251" t="s">
        <v>429</v>
      </c>
      <c r="Y118" s="246"/>
      <c r="Z118" s="261"/>
      <c r="AA118" s="250"/>
      <c r="AB118" s="246"/>
      <c r="AC118" s="376" t="s">
        <v>466</v>
      </c>
      <c r="AD118" s="246"/>
      <c r="AF118" s="246"/>
      <c r="AG118" s="261"/>
      <c r="AH118" s="282"/>
      <c r="AI118" s="246"/>
      <c r="AJ118" s="383" t="s">
        <v>428</v>
      </c>
      <c r="AK118" s="246"/>
      <c r="AM118" s="246"/>
      <c r="AN118" s="261"/>
      <c r="AO118" s="320"/>
      <c r="AP118" s="246"/>
      <c r="AQ118" s="383" t="s">
        <v>428</v>
      </c>
      <c r="AR118" s="246"/>
      <c r="AT118" s="254" t="str">
        <f>IF(COUNTIF($AO$79:$AT$81, AQ118) &gt; 0, "X", "")</f>
        <v/>
      </c>
      <c r="AU118" s="269"/>
      <c r="AV118" s="269"/>
    </row>
    <row r="119">
      <c r="A119" s="94"/>
      <c r="B119" s="337" t="s">
        <v>688</v>
      </c>
      <c r="C119" s="285" t="s">
        <v>687</v>
      </c>
      <c r="D119" s="389"/>
      <c r="E119" s="259"/>
      <c r="F119" s="265"/>
      <c r="G119" s="246"/>
      <c r="I119" s="246"/>
      <c r="K119" s="246"/>
      <c r="L119" s="261"/>
      <c r="M119" s="262"/>
      <c r="N119" s="246"/>
      <c r="O119" s="265"/>
      <c r="P119" s="246"/>
      <c r="R119" s="246"/>
      <c r="S119" s="261"/>
      <c r="T119" s="262"/>
      <c r="U119" s="246"/>
      <c r="W119" s="246"/>
      <c r="X119" s="265"/>
      <c r="Y119" s="246"/>
      <c r="Z119" s="261"/>
      <c r="AA119" s="262"/>
      <c r="AB119" s="246"/>
      <c r="AC119" s="265"/>
      <c r="AD119" s="246"/>
      <c r="AF119" s="246"/>
      <c r="AG119" s="261"/>
      <c r="AH119" s="265"/>
      <c r="AI119" s="246"/>
      <c r="AJ119" s="265"/>
      <c r="AK119" s="246"/>
      <c r="AL119" s="265"/>
      <c r="AM119" s="246"/>
      <c r="AN119" s="261"/>
      <c r="AO119" s="320"/>
      <c r="AP119" s="246"/>
      <c r="AR119" s="246"/>
      <c r="AS119" s="265"/>
      <c r="AT119" s="254" t="str">
        <f>IF(COUNTIF($AO$79:$AT$81, #REF!) &gt; 0, "X", "")</f>
        <v/>
      </c>
      <c r="AU119" s="269"/>
      <c r="AV119" s="269"/>
    </row>
    <row r="120">
      <c r="A120" s="94"/>
      <c r="B120" s="387" t="s">
        <v>690</v>
      </c>
      <c r="C120" s="388" t="s">
        <v>649</v>
      </c>
      <c r="D120" s="323"/>
      <c r="E120" s="259"/>
      <c r="F120" s="390"/>
      <c r="G120" s="246"/>
      <c r="H120" s="390"/>
      <c r="I120" s="246"/>
      <c r="J120" s="390"/>
      <c r="K120" s="246"/>
      <c r="L120" s="261"/>
      <c r="M120" s="250"/>
      <c r="N120" s="246"/>
      <c r="O120" s="357" t="s">
        <v>420</v>
      </c>
      <c r="P120" s="246"/>
      <c r="Q120" s="390"/>
      <c r="R120" s="246"/>
      <c r="S120" s="261"/>
      <c r="T120" s="250"/>
      <c r="U120" s="246"/>
      <c r="V120" s="633" t="s">
        <v>420</v>
      </c>
      <c r="W120" s="246"/>
      <c r="X120" s="390"/>
      <c r="Y120" s="246"/>
      <c r="Z120" s="261"/>
      <c r="AA120" s="250"/>
      <c r="AB120" s="246"/>
      <c r="AC120" s="355"/>
      <c r="AD120" s="246"/>
      <c r="AE120" s="390"/>
      <c r="AF120" s="246"/>
      <c r="AG120" s="261"/>
      <c r="AH120" s="390"/>
      <c r="AI120" s="246"/>
      <c r="AJ120" s="390"/>
      <c r="AK120" s="246"/>
      <c r="AL120" s="390"/>
      <c r="AM120" s="246"/>
      <c r="AN120" s="261"/>
      <c r="AO120" s="320"/>
      <c r="AP120" s="246"/>
      <c r="AQ120" s="390"/>
      <c r="AR120" s="246"/>
      <c r="AS120" s="390"/>
      <c r="AT120" s="254" t="str">
        <f t="shared" ref="AT120:AT127" si="26">IF(COUNTIF($AO$79:$AT$81, AS121) &gt; 0, "X", "")</f>
        <v/>
      </c>
      <c r="AU120" s="269"/>
      <c r="AV120" s="269"/>
    </row>
    <row r="121">
      <c r="A121" s="94"/>
      <c r="B121" s="296" t="s">
        <v>650</v>
      </c>
      <c r="C121" s="297" t="s">
        <v>649</v>
      </c>
      <c r="D121" s="323"/>
      <c r="E121" s="261"/>
      <c r="F121" s="300"/>
      <c r="G121" s="246"/>
      <c r="H121" s="319"/>
      <c r="I121" s="246"/>
      <c r="J121" s="300"/>
      <c r="K121" s="246"/>
      <c r="L121" s="261"/>
      <c r="M121" s="250"/>
      <c r="N121" s="246"/>
      <c r="O121" s="300"/>
      <c r="P121" s="246"/>
      <c r="Q121" s="300"/>
      <c r="R121" s="246"/>
      <c r="S121" s="261"/>
      <c r="T121" s="250"/>
      <c r="U121" s="246"/>
      <c r="V121" s="319"/>
      <c r="W121" s="246"/>
      <c r="X121" s="300"/>
      <c r="Y121" s="246"/>
      <c r="Z121" s="261"/>
      <c r="AA121" s="250"/>
      <c r="AB121" s="246"/>
      <c r="AC121" s="521"/>
      <c r="AD121" s="246"/>
      <c r="AE121" s="300"/>
      <c r="AF121" s="246"/>
      <c r="AG121" s="261"/>
      <c r="AH121" s="300"/>
      <c r="AI121" s="246"/>
      <c r="AJ121" s="300"/>
      <c r="AK121" s="246"/>
      <c r="AL121" s="300"/>
      <c r="AM121" s="246"/>
      <c r="AN121" s="261"/>
      <c r="AO121" s="320"/>
      <c r="AP121" s="246"/>
      <c r="AQ121" s="300"/>
      <c r="AR121" s="246"/>
      <c r="AS121" s="300"/>
      <c r="AT121" s="254" t="str">
        <f t="shared" si="26"/>
        <v/>
      </c>
      <c r="AU121" s="269"/>
      <c r="AV121" s="269"/>
    </row>
    <row r="122">
      <c r="A122" s="94"/>
      <c r="B122" s="301" t="s">
        <v>651</v>
      </c>
      <c r="C122" s="391" t="s">
        <v>652</v>
      </c>
      <c r="D122" s="323"/>
      <c r="E122" s="259"/>
      <c r="F122" s="304"/>
      <c r="G122" s="246"/>
      <c r="H122" s="304"/>
      <c r="I122" s="246"/>
      <c r="J122" s="304"/>
      <c r="K122" s="246"/>
      <c r="L122" s="261"/>
      <c r="M122" s="250"/>
      <c r="N122" s="246"/>
      <c r="O122" s="304"/>
      <c r="P122" s="246"/>
      <c r="Q122" s="304"/>
      <c r="R122" s="246"/>
      <c r="S122" s="261"/>
      <c r="T122" s="250"/>
      <c r="U122" s="246"/>
      <c r="V122" s="304"/>
      <c r="W122" s="246"/>
      <c r="X122" s="304"/>
      <c r="Y122" s="246"/>
      <c r="Z122" s="261"/>
      <c r="AA122" s="250"/>
      <c r="AB122" s="246"/>
      <c r="AC122" s="304"/>
      <c r="AD122" s="246"/>
      <c r="AE122" s="304"/>
      <c r="AF122" s="246"/>
      <c r="AG122" s="261"/>
      <c r="AH122" s="304"/>
      <c r="AI122" s="246"/>
      <c r="AJ122" s="304"/>
      <c r="AK122" s="246"/>
      <c r="AL122" s="304"/>
      <c r="AM122" s="246"/>
      <c r="AN122" s="261"/>
      <c r="AO122" s="320"/>
      <c r="AP122" s="246"/>
      <c r="AQ122" s="304"/>
      <c r="AR122" s="246"/>
      <c r="AS122" s="304"/>
      <c r="AT122" s="254" t="str">
        <f t="shared" si="26"/>
        <v/>
      </c>
      <c r="AU122" s="269"/>
      <c r="AV122" s="269"/>
    </row>
    <row r="123">
      <c r="A123" s="94"/>
      <c r="B123" s="392" t="s">
        <v>691</v>
      </c>
      <c r="C123" s="393" t="s">
        <v>652</v>
      </c>
      <c r="D123" s="330"/>
      <c r="E123" s="259"/>
      <c r="F123" s="307"/>
      <c r="G123" s="246"/>
      <c r="H123" s="307"/>
      <c r="I123" s="246"/>
      <c r="J123" s="307"/>
      <c r="K123" s="246"/>
      <c r="L123" s="261"/>
      <c r="M123" s="250"/>
      <c r="N123" s="246"/>
      <c r="O123" s="309" t="s">
        <v>397</v>
      </c>
      <c r="P123" s="246"/>
      <c r="Q123" s="307"/>
      <c r="R123" s="246"/>
      <c r="S123" s="261"/>
      <c r="T123" s="250"/>
      <c r="U123" s="246"/>
      <c r="V123" s="309" t="s">
        <v>397</v>
      </c>
      <c r="W123" s="246"/>
      <c r="X123" s="307"/>
      <c r="Y123" s="246"/>
      <c r="Z123" s="261"/>
      <c r="AA123" s="250"/>
      <c r="AB123" s="246"/>
      <c r="AC123" s="307"/>
      <c r="AD123" s="246"/>
      <c r="AE123" s="307"/>
      <c r="AF123" s="246"/>
      <c r="AG123" s="261"/>
      <c r="AH123" s="307"/>
      <c r="AI123" s="246"/>
      <c r="AJ123" s="307"/>
      <c r="AK123" s="246"/>
      <c r="AL123" s="307"/>
      <c r="AM123" s="246"/>
      <c r="AN123" s="261"/>
      <c r="AO123" s="320"/>
      <c r="AP123" s="246"/>
      <c r="AQ123" s="307"/>
      <c r="AR123" s="246"/>
      <c r="AS123" s="307"/>
      <c r="AT123" s="254" t="str">
        <f t="shared" si="26"/>
        <v/>
      </c>
      <c r="AU123" s="269"/>
      <c r="AV123" s="269"/>
    </row>
    <row r="124">
      <c r="A124" s="94"/>
      <c r="B124" s="328" t="s">
        <v>692</v>
      </c>
      <c r="C124" s="329" t="s">
        <v>652</v>
      </c>
      <c r="D124" s="369"/>
      <c r="E124" s="259"/>
      <c r="F124" s="282"/>
      <c r="G124" s="246"/>
      <c r="H124" s="371"/>
      <c r="I124" s="246"/>
      <c r="K124" s="246"/>
      <c r="L124" s="261"/>
      <c r="M124" s="250"/>
      <c r="N124" s="246"/>
      <c r="P124" s="246"/>
      <c r="Q124" s="371"/>
      <c r="R124" s="246"/>
      <c r="S124" s="261"/>
      <c r="T124" s="250"/>
      <c r="U124" s="246"/>
      <c r="W124" s="246"/>
      <c r="X124" s="282"/>
      <c r="Y124" s="246"/>
      <c r="Z124" s="261"/>
      <c r="AA124" s="250"/>
      <c r="AB124" s="246"/>
      <c r="AC124" s="371"/>
      <c r="AD124" s="246"/>
      <c r="AE124" s="371"/>
      <c r="AF124" s="246"/>
      <c r="AG124" s="261"/>
      <c r="AH124" s="371"/>
      <c r="AI124" s="246"/>
      <c r="AJ124" s="371"/>
      <c r="AK124" s="246"/>
      <c r="AL124" s="371"/>
      <c r="AM124" s="246"/>
      <c r="AN124" s="261"/>
      <c r="AO124" s="320"/>
      <c r="AP124" s="246"/>
      <c r="AQ124" s="371"/>
      <c r="AR124" s="246"/>
      <c r="AS124" s="265"/>
      <c r="AT124" s="254" t="str">
        <f t="shared" si="26"/>
        <v/>
      </c>
      <c r="AU124" s="269"/>
      <c r="AV124" s="269"/>
    </row>
    <row r="125">
      <c r="A125" s="94"/>
      <c r="B125" s="397" t="s">
        <v>692</v>
      </c>
      <c r="C125" s="398" t="s">
        <v>687</v>
      </c>
      <c r="D125" s="389"/>
      <c r="E125" s="259"/>
      <c r="F125" s="399"/>
      <c r="G125" s="246"/>
      <c r="H125" s="399"/>
      <c r="I125" s="246"/>
      <c r="J125" s="399"/>
      <c r="K125" s="246"/>
      <c r="L125" s="261"/>
      <c r="M125" s="250"/>
      <c r="N125" s="246"/>
      <c r="O125" s="282"/>
      <c r="P125" s="246"/>
      <c r="Q125" s="399"/>
      <c r="R125" s="246"/>
      <c r="S125" s="261"/>
      <c r="T125" s="250"/>
      <c r="U125" s="246"/>
      <c r="V125" s="282"/>
      <c r="W125" s="246"/>
      <c r="X125" s="282"/>
      <c r="Y125" s="246"/>
      <c r="Z125" s="261"/>
      <c r="AA125" s="250"/>
      <c r="AB125" s="246"/>
      <c r="AC125" s="399"/>
      <c r="AD125" s="246"/>
      <c r="AE125" s="399"/>
      <c r="AF125" s="246"/>
      <c r="AG125" s="261"/>
      <c r="AH125" s="399"/>
      <c r="AI125" s="246"/>
      <c r="AJ125" s="399"/>
      <c r="AK125" s="246"/>
      <c r="AL125" s="399"/>
      <c r="AM125" s="246"/>
      <c r="AN125" s="261"/>
      <c r="AO125" s="320"/>
      <c r="AP125" s="246"/>
      <c r="AQ125" s="399"/>
      <c r="AR125" s="246"/>
      <c r="AS125" s="265"/>
      <c r="AT125" s="254" t="str">
        <f t="shared" si="26"/>
        <v/>
      </c>
      <c r="AU125" s="269"/>
      <c r="AV125" s="269"/>
    </row>
    <row r="126">
      <c r="A126" s="94"/>
      <c r="B126" s="387" t="s">
        <v>694</v>
      </c>
      <c r="C126" s="388" t="s">
        <v>649</v>
      </c>
      <c r="D126" s="323"/>
      <c r="E126" s="259"/>
      <c r="F126" s="390"/>
      <c r="G126" s="246"/>
      <c r="H126" s="390"/>
      <c r="I126" s="246"/>
      <c r="J126" s="390"/>
      <c r="K126" s="246"/>
      <c r="L126" s="261"/>
      <c r="M126" s="250"/>
      <c r="N126" s="246"/>
      <c r="O126" s="390"/>
      <c r="P126" s="246"/>
      <c r="Q126" s="357" t="s">
        <v>425</v>
      </c>
      <c r="R126" s="246"/>
      <c r="S126" s="261"/>
      <c r="T126" s="250"/>
      <c r="U126" s="246"/>
      <c r="V126" s="390"/>
      <c r="W126" s="246"/>
      <c r="X126" s="390"/>
      <c r="Y126" s="246"/>
      <c r="Z126" s="261"/>
      <c r="AA126" s="250"/>
      <c r="AB126" s="246"/>
      <c r="AC126" s="390"/>
      <c r="AD126" s="246"/>
      <c r="AE126" s="390"/>
      <c r="AF126" s="246"/>
      <c r="AG126" s="261"/>
      <c r="AH126" s="390"/>
      <c r="AI126" s="246"/>
      <c r="AJ126" s="390"/>
      <c r="AK126" s="246"/>
      <c r="AL126" s="390"/>
      <c r="AM126" s="246"/>
      <c r="AN126" s="261"/>
      <c r="AO126" s="320"/>
      <c r="AP126" s="246"/>
      <c r="AQ126" s="390"/>
      <c r="AR126" s="246"/>
      <c r="AS126" s="390"/>
      <c r="AT126" s="254" t="str">
        <f t="shared" si="26"/>
        <v/>
      </c>
      <c r="AU126" s="269"/>
      <c r="AV126" s="269"/>
    </row>
    <row r="127">
      <c r="A127" s="94"/>
      <c r="B127" s="296" t="s">
        <v>650</v>
      </c>
      <c r="C127" s="297" t="s">
        <v>649</v>
      </c>
      <c r="D127" s="323"/>
      <c r="E127" s="261"/>
      <c r="F127" s="300"/>
      <c r="G127" s="298"/>
      <c r="H127" s="300"/>
      <c r="I127" s="298"/>
      <c r="J127" s="300"/>
      <c r="K127" s="298"/>
      <c r="L127" s="261"/>
      <c r="M127" s="250"/>
      <c r="N127" s="298"/>
      <c r="O127" s="300"/>
      <c r="P127" s="298"/>
      <c r="Q127" s="319"/>
      <c r="R127" s="298"/>
      <c r="S127" s="261"/>
      <c r="T127" s="250"/>
      <c r="U127" s="298"/>
      <c r="V127" s="300"/>
      <c r="W127" s="298"/>
      <c r="X127" s="300"/>
      <c r="Y127" s="298"/>
      <c r="Z127" s="261"/>
      <c r="AA127" s="250"/>
      <c r="AB127" s="298"/>
      <c r="AC127" s="300"/>
      <c r="AD127" s="298"/>
      <c r="AE127" s="300"/>
      <c r="AF127" s="298"/>
      <c r="AG127" s="261"/>
      <c r="AH127" s="300"/>
      <c r="AI127" s="298"/>
      <c r="AJ127" s="300"/>
      <c r="AK127" s="298"/>
      <c r="AL127" s="300"/>
      <c r="AM127" s="298"/>
      <c r="AN127" s="261"/>
      <c r="AO127" s="320"/>
      <c r="AP127" s="298"/>
      <c r="AQ127" s="300"/>
      <c r="AR127" s="298"/>
      <c r="AS127" s="299"/>
      <c r="AT127" s="254" t="str">
        <f t="shared" si="26"/>
        <v/>
      </c>
      <c r="AU127" s="269"/>
      <c r="AV127" s="269"/>
    </row>
    <row r="128">
      <c r="A128" s="94"/>
      <c r="B128" s="301" t="s">
        <v>651</v>
      </c>
      <c r="C128" s="391" t="s">
        <v>652</v>
      </c>
      <c r="D128" s="323"/>
      <c r="E128" s="259"/>
      <c r="F128" s="304"/>
      <c r="G128" s="298"/>
      <c r="H128" s="304"/>
      <c r="I128" s="298"/>
      <c r="J128" s="304"/>
      <c r="K128" s="298"/>
      <c r="L128" s="261"/>
      <c r="M128" s="250"/>
      <c r="N128" s="298"/>
      <c r="O128" s="304"/>
      <c r="P128" s="298"/>
      <c r="Q128" s="304"/>
      <c r="R128" s="298"/>
      <c r="S128" s="261"/>
      <c r="T128" s="250"/>
      <c r="U128" s="298"/>
      <c r="V128" s="304"/>
      <c r="W128" s="298"/>
      <c r="X128" s="304"/>
      <c r="Y128" s="298"/>
      <c r="Z128" s="261"/>
      <c r="AA128" s="250"/>
      <c r="AB128" s="298"/>
      <c r="AC128" s="304"/>
      <c r="AD128" s="298"/>
      <c r="AE128" s="304"/>
      <c r="AF128" s="298"/>
      <c r="AG128" s="261"/>
      <c r="AH128" s="304"/>
      <c r="AI128" s="298"/>
      <c r="AJ128" s="304"/>
      <c r="AK128" s="298"/>
      <c r="AL128" s="304"/>
      <c r="AM128" s="298"/>
      <c r="AN128" s="261"/>
      <c r="AO128" s="320"/>
      <c r="AP128" s="298"/>
      <c r="AQ128" s="304"/>
      <c r="AR128" s="298"/>
      <c r="AS128" s="303"/>
      <c r="AT128" s="254" t="str">
        <f t="shared" ref="AT128:AT129" si="27">IF(COUNTIF($AO$79:$AT$81, #REF!) &gt; 0, "X", "")</f>
        <v/>
      </c>
      <c r="AU128" s="269"/>
      <c r="AV128" s="269"/>
    </row>
    <row r="129">
      <c r="A129" s="94"/>
      <c r="B129" s="392" t="s">
        <v>691</v>
      </c>
      <c r="C129" s="393" t="s">
        <v>652</v>
      </c>
      <c r="D129" s="330"/>
      <c r="E129" s="259"/>
      <c r="F129" s="307"/>
      <c r="G129" s="298"/>
      <c r="H129" s="307"/>
      <c r="I129" s="298"/>
      <c r="J129" s="307"/>
      <c r="K129" s="298"/>
      <c r="L129" s="261"/>
      <c r="M129" s="250"/>
      <c r="N129" s="298"/>
      <c r="O129" s="307"/>
      <c r="P129" s="298"/>
      <c r="Q129" s="309" t="s">
        <v>406</v>
      </c>
      <c r="R129" s="298"/>
      <c r="S129" s="261"/>
      <c r="T129" s="250"/>
      <c r="U129" s="298"/>
      <c r="V129" s="307"/>
      <c r="W129" s="298"/>
      <c r="X129" s="492"/>
      <c r="Y129" s="298"/>
      <c r="Z129" s="261"/>
      <c r="AA129" s="250"/>
      <c r="AB129" s="298"/>
      <c r="AC129" s="307"/>
      <c r="AD129" s="298"/>
      <c r="AE129" s="492"/>
      <c r="AF129" s="298"/>
      <c r="AG129" s="261"/>
      <c r="AH129" s="307"/>
      <c r="AI129" s="298"/>
      <c r="AJ129" s="307"/>
      <c r="AK129" s="298"/>
      <c r="AL129" s="308"/>
      <c r="AM129" s="298"/>
      <c r="AN129" s="261"/>
      <c r="AO129" s="320"/>
      <c r="AP129" s="298"/>
      <c r="AQ129" s="307"/>
      <c r="AR129" s="298"/>
      <c r="AS129" s="308"/>
      <c r="AT129" s="254" t="str">
        <f t="shared" si="27"/>
        <v/>
      </c>
      <c r="AU129" s="269"/>
      <c r="AV129" s="269"/>
    </row>
    <row r="130">
      <c r="A130" s="94"/>
      <c r="B130" s="328" t="s">
        <v>692</v>
      </c>
      <c r="C130" s="329" t="s">
        <v>652</v>
      </c>
      <c r="D130" s="369"/>
      <c r="E130" s="259"/>
      <c r="F130" s="371"/>
      <c r="G130" s="246"/>
      <c r="H130" s="371"/>
      <c r="I130" s="246"/>
      <c r="J130" s="282"/>
      <c r="K130" s="246"/>
      <c r="L130" s="261"/>
      <c r="M130" s="250"/>
      <c r="N130" s="246"/>
      <c r="O130" s="371"/>
      <c r="P130" s="246"/>
      <c r="Q130" s="282"/>
      <c r="R130" s="246"/>
      <c r="S130" s="261"/>
      <c r="T130" s="250"/>
      <c r="U130" s="246"/>
      <c r="V130" s="371"/>
      <c r="W130" s="246"/>
      <c r="Y130" s="246"/>
      <c r="Z130" s="261"/>
      <c r="AA130" s="250"/>
      <c r="AB130" s="246"/>
      <c r="AC130" s="282"/>
      <c r="AD130" s="246"/>
      <c r="AF130" s="246"/>
      <c r="AG130" s="261"/>
      <c r="AH130" s="371"/>
      <c r="AI130" s="246"/>
      <c r="AJ130" s="371"/>
      <c r="AK130" s="246"/>
      <c r="AL130" s="282"/>
      <c r="AM130" s="246"/>
      <c r="AN130" s="261"/>
      <c r="AO130" s="320"/>
      <c r="AP130" s="246"/>
      <c r="AQ130" s="371"/>
      <c r="AR130" s="246"/>
      <c r="AS130" s="282"/>
      <c r="AT130" s="254" t="str">
        <f t="shared" ref="AT130:AT133" si="28">IF(COUNTIF($AO$79:$AT$81, AS131) &gt; 0, "X", "")</f>
        <v/>
      </c>
      <c r="AU130" s="269"/>
      <c r="AV130" s="269"/>
    </row>
    <row r="131">
      <c r="A131" s="94"/>
      <c r="B131" s="397" t="s">
        <v>692</v>
      </c>
      <c r="C131" s="398" t="s">
        <v>687</v>
      </c>
      <c r="D131" s="404"/>
      <c r="E131" s="259"/>
      <c r="F131" s="399"/>
      <c r="G131" s="246"/>
      <c r="H131" s="399"/>
      <c r="I131" s="246"/>
      <c r="J131" s="252"/>
      <c r="K131" s="246"/>
      <c r="L131" s="261"/>
      <c r="M131" s="250"/>
      <c r="N131" s="246"/>
      <c r="O131" s="399"/>
      <c r="P131" s="246"/>
      <c r="Q131" s="399"/>
      <c r="R131" s="246"/>
      <c r="S131" s="261"/>
      <c r="T131" s="250"/>
      <c r="U131" s="246"/>
      <c r="V131" s="399"/>
      <c r="W131" s="246"/>
      <c r="X131" s="399"/>
      <c r="Y131" s="246"/>
      <c r="Z131" s="261"/>
      <c r="AA131" s="250"/>
      <c r="AB131" s="246"/>
      <c r="AC131" s="282"/>
      <c r="AD131" s="246"/>
      <c r="AE131" s="399"/>
      <c r="AF131" s="246"/>
      <c r="AG131" s="261"/>
      <c r="AH131" s="399"/>
      <c r="AI131" s="246"/>
      <c r="AJ131" s="399"/>
      <c r="AK131" s="246"/>
      <c r="AL131" s="399"/>
      <c r="AM131" s="246"/>
      <c r="AN131" s="261"/>
      <c r="AO131" s="320"/>
      <c r="AP131" s="246"/>
      <c r="AQ131" s="399"/>
      <c r="AR131" s="246"/>
      <c r="AS131" s="399"/>
      <c r="AT131" s="254" t="str">
        <f t="shared" si="28"/>
        <v/>
      </c>
      <c r="AU131" s="269"/>
      <c r="AV131" s="269"/>
    </row>
    <row r="132">
      <c r="A132" s="270"/>
      <c r="B132" s="402" t="s">
        <v>699</v>
      </c>
      <c r="C132" s="403" t="s">
        <v>649</v>
      </c>
      <c r="D132" s="330"/>
      <c r="E132" s="259"/>
      <c r="F132" s="294"/>
      <c r="G132" s="246"/>
      <c r="H132" s="294"/>
      <c r="I132" s="246"/>
      <c r="J132" s="294"/>
      <c r="K132" s="246"/>
      <c r="L132" s="261"/>
      <c r="M132" s="250"/>
      <c r="N132" s="246"/>
      <c r="O132" s="294"/>
      <c r="P132" s="246"/>
      <c r="Q132" s="293" t="s">
        <v>422</v>
      </c>
      <c r="R132" s="246"/>
      <c r="S132" s="261"/>
      <c r="T132" s="250"/>
      <c r="U132" s="246"/>
      <c r="V132" s="294"/>
      <c r="W132" s="246"/>
      <c r="X132" s="294"/>
      <c r="Y132" s="246"/>
      <c r="Z132" s="261"/>
      <c r="AA132" s="250"/>
      <c r="AB132" s="246"/>
      <c r="AC132" s="294"/>
      <c r="AD132" s="246"/>
      <c r="AE132" s="293" t="s">
        <v>426</v>
      </c>
      <c r="AF132" s="246"/>
      <c r="AG132" s="261"/>
      <c r="AH132" s="294"/>
      <c r="AI132" s="246"/>
      <c r="AJ132" s="294"/>
      <c r="AK132" s="246"/>
      <c r="AL132" s="294"/>
      <c r="AM132" s="246"/>
      <c r="AN132" s="261"/>
      <c r="AO132" s="320"/>
      <c r="AP132" s="246"/>
      <c r="AQ132" s="294"/>
      <c r="AR132" s="246"/>
      <c r="AS132" s="294"/>
      <c r="AT132" s="254" t="str">
        <f t="shared" si="28"/>
        <v/>
      </c>
      <c r="AU132" s="269"/>
      <c r="AV132" s="269"/>
    </row>
    <row r="133">
      <c r="A133" s="94"/>
      <c r="B133" s="328" t="s">
        <v>700</v>
      </c>
      <c r="C133" s="329" t="s">
        <v>657</v>
      </c>
      <c r="D133" s="330"/>
      <c r="E133" s="259"/>
      <c r="F133" s="371"/>
      <c r="G133" s="246"/>
      <c r="H133" s="282"/>
      <c r="I133" s="246"/>
      <c r="J133" s="282"/>
      <c r="K133" s="246"/>
      <c r="L133" s="261"/>
      <c r="M133" s="250"/>
      <c r="N133" s="246"/>
      <c r="O133" s="371"/>
      <c r="P133" s="246"/>
      <c r="Q133" s="280" t="s">
        <v>437</v>
      </c>
      <c r="R133" s="246"/>
      <c r="S133" s="261"/>
      <c r="T133" s="250"/>
      <c r="U133" s="246"/>
      <c r="V133" s="371"/>
      <c r="W133" s="246"/>
      <c r="Y133" s="246"/>
      <c r="Z133" s="261"/>
      <c r="AA133" s="250"/>
      <c r="AB133" s="246"/>
      <c r="AC133" s="371"/>
      <c r="AD133" s="246"/>
      <c r="AE133" s="274" t="s">
        <v>437</v>
      </c>
      <c r="AF133" s="246"/>
      <c r="AG133" s="261"/>
      <c r="AH133" s="371"/>
      <c r="AI133" s="246"/>
      <c r="AJ133" s="371"/>
      <c r="AK133" s="246"/>
      <c r="AM133" s="246"/>
      <c r="AN133" s="261"/>
      <c r="AO133" s="320"/>
      <c r="AP133" s="246"/>
      <c r="AQ133" s="371"/>
      <c r="AR133" s="246"/>
      <c r="AS133" s="371"/>
      <c r="AT133" s="254" t="str">
        <f t="shared" si="28"/>
        <v/>
      </c>
      <c r="AU133" s="269"/>
      <c r="AV133" s="269"/>
    </row>
    <row r="134">
      <c r="A134" s="94"/>
      <c r="B134" s="328" t="s">
        <v>700</v>
      </c>
      <c r="C134" s="329" t="s">
        <v>657</v>
      </c>
      <c r="D134" s="330"/>
      <c r="E134" s="259"/>
      <c r="F134" s="264"/>
      <c r="G134" s="246"/>
      <c r="H134" s="265"/>
      <c r="I134" s="246"/>
      <c r="K134" s="246"/>
      <c r="L134" s="261"/>
      <c r="M134" s="262"/>
      <c r="N134" s="246"/>
      <c r="P134" s="246"/>
      <c r="Q134" s="311" t="s">
        <v>455</v>
      </c>
      <c r="R134" s="246"/>
      <c r="S134" s="261"/>
      <c r="T134" s="262"/>
      <c r="U134" s="246"/>
      <c r="V134" s="264"/>
      <c r="W134" s="246"/>
      <c r="Y134" s="246"/>
      <c r="Z134" s="261"/>
      <c r="AA134" s="262"/>
      <c r="AB134" s="246"/>
      <c r="AD134" s="246"/>
      <c r="AE134" s="311" t="s">
        <v>455</v>
      </c>
      <c r="AF134" s="246"/>
      <c r="AG134" s="261"/>
      <c r="AH134" s="264"/>
      <c r="AI134" s="246"/>
      <c r="AJ134" s="264"/>
      <c r="AK134" s="246"/>
      <c r="AL134" s="265"/>
      <c r="AM134" s="246"/>
      <c r="AN134" s="261"/>
      <c r="AO134" s="320"/>
      <c r="AP134" s="246"/>
      <c r="AR134" s="246"/>
      <c r="AS134" s="264"/>
      <c r="AT134" s="254" t="str">
        <f>IF(COUNTIF($AO$79:$AT$81, #REF!) &gt; 0, "X", "")</f>
        <v/>
      </c>
      <c r="AU134" s="269"/>
      <c r="AV134" s="269"/>
    </row>
    <row r="135">
      <c r="A135" s="94"/>
      <c r="B135" s="328" t="s">
        <v>700</v>
      </c>
      <c r="C135" s="329" t="s">
        <v>657</v>
      </c>
      <c r="D135" s="351"/>
      <c r="E135" s="259"/>
      <c r="F135" s="371"/>
      <c r="G135" s="246"/>
      <c r="I135" s="246"/>
      <c r="K135" s="246"/>
      <c r="L135" s="261"/>
      <c r="M135" s="250"/>
      <c r="N135" s="246"/>
      <c r="O135" s="282"/>
      <c r="P135" s="246"/>
      <c r="Q135" s="282"/>
      <c r="R135" s="246"/>
      <c r="S135" s="261"/>
      <c r="T135" s="250"/>
      <c r="U135" s="246"/>
      <c r="V135" s="282"/>
      <c r="W135" s="246"/>
      <c r="Y135" s="246"/>
      <c r="Z135" s="261"/>
      <c r="AA135" s="250"/>
      <c r="AB135" s="246"/>
      <c r="AC135" s="371"/>
      <c r="AD135" s="246"/>
      <c r="AF135" s="246"/>
      <c r="AG135" s="261"/>
      <c r="AI135" s="246"/>
      <c r="AJ135" s="282"/>
      <c r="AK135" s="246"/>
      <c r="AM135" s="246"/>
      <c r="AN135" s="261"/>
      <c r="AO135" s="320"/>
      <c r="AP135" s="246"/>
      <c r="AR135" s="246"/>
      <c r="AT135" s="254" t="str">
        <f t="shared" ref="AT135:AT136" si="29">IF(COUNTIF($AO$79:$AT$81, AS136) &gt; 0, "X", "")</f>
        <v/>
      </c>
      <c r="AU135" s="269"/>
      <c r="AV135" s="269"/>
    </row>
    <row r="136">
      <c r="A136" s="94"/>
      <c r="B136" s="408" t="s">
        <v>702</v>
      </c>
      <c r="C136" s="409" t="s">
        <v>652</v>
      </c>
      <c r="D136" s="323"/>
      <c r="E136" s="259"/>
      <c r="F136" s="411"/>
      <c r="G136" s="246"/>
      <c r="H136" s="411"/>
      <c r="I136" s="246"/>
      <c r="J136" s="411"/>
      <c r="K136" s="246"/>
      <c r="L136" s="261"/>
      <c r="M136" s="262"/>
      <c r="N136" s="246"/>
      <c r="O136" s="411"/>
      <c r="P136" s="246"/>
      <c r="Q136" s="411"/>
      <c r="R136" s="246"/>
      <c r="S136" s="261"/>
      <c r="T136" s="262"/>
      <c r="U136" s="246"/>
      <c r="V136" s="411"/>
      <c r="W136" s="246"/>
      <c r="X136" s="411"/>
      <c r="Y136" s="246"/>
      <c r="Z136" s="261"/>
      <c r="AA136" s="262"/>
      <c r="AB136" s="246"/>
      <c r="AC136" s="411"/>
      <c r="AD136" s="246"/>
      <c r="AE136" s="411"/>
      <c r="AF136" s="246"/>
      <c r="AG136" s="261"/>
      <c r="AH136" s="411"/>
      <c r="AI136" s="246"/>
      <c r="AJ136" s="411"/>
      <c r="AK136" s="246"/>
      <c r="AL136" s="411"/>
      <c r="AM136" s="246"/>
      <c r="AN136" s="261"/>
      <c r="AO136" s="320"/>
      <c r="AP136" s="246"/>
      <c r="AQ136" s="411"/>
      <c r="AR136" s="246"/>
      <c r="AS136" s="411"/>
      <c r="AT136" s="254" t="str">
        <f t="shared" si="29"/>
        <v/>
      </c>
      <c r="AU136" s="269"/>
      <c r="AV136" s="269"/>
    </row>
    <row r="137">
      <c r="A137" s="234"/>
      <c r="B137" s="401" t="s">
        <v>703</v>
      </c>
      <c r="C137" s="412" t="s">
        <v>704</v>
      </c>
      <c r="D137" s="330"/>
      <c r="E137" s="259"/>
      <c r="F137" s="413"/>
      <c r="G137" s="246"/>
      <c r="H137" s="413"/>
      <c r="I137" s="246"/>
      <c r="J137" s="413"/>
      <c r="K137" s="246"/>
      <c r="L137" s="261"/>
      <c r="M137" s="262"/>
      <c r="N137" s="246"/>
      <c r="O137" s="413"/>
      <c r="P137" s="246"/>
      <c r="Q137" s="413"/>
      <c r="R137" s="246"/>
      <c r="S137" s="261"/>
      <c r="T137" s="262"/>
      <c r="U137" s="246"/>
      <c r="V137" s="413"/>
      <c r="W137" s="246"/>
      <c r="X137" s="413"/>
      <c r="Y137" s="246"/>
      <c r="Z137" s="261"/>
      <c r="AA137" s="262"/>
      <c r="AB137" s="246"/>
      <c r="AC137" s="413"/>
      <c r="AD137" s="246"/>
      <c r="AE137" s="413"/>
      <c r="AF137" s="246"/>
      <c r="AG137" s="261"/>
      <c r="AH137" s="413"/>
      <c r="AI137" s="246"/>
      <c r="AJ137" s="413"/>
      <c r="AK137" s="246"/>
      <c r="AL137" s="413"/>
      <c r="AM137" s="246"/>
      <c r="AN137" s="261"/>
      <c r="AO137" s="320"/>
      <c r="AP137" s="246"/>
      <c r="AQ137" s="413"/>
      <c r="AR137" s="246"/>
      <c r="AS137" s="413"/>
      <c r="AT137" s="254" t="str">
        <f t="shared" ref="AT137:AT141" si="30">IF(COUNTIF($AO$79:$AT$81, #REF!) &gt; 0, "X", "")</f>
        <v/>
      </c>
      <c r="AU137" s="269"/>
      <c r="AV137" s="269"/>
    </row>
    <row r="138">
      <c r="A138" s="234"/>
      <c r="B138" s="414" t="s">
        <v>705</v>
      </c>
      <c r="C138" s="415" t="s">
        <v>704</v>
      </c>
      <c r="D138" s="330"/>
      <c r="E138" s="259"/>
      <c r="F138" s="311" t="s">
        <v>467</v>
      </c>
      <c r="G138" s="246"/>
      <c r="H138" s="311" t="s">
        <v>407</v>
      </c>
      <c r="I138" s="246"/>
      <c r="J138" s="311" t="s">
        <v>432</v>
      </c>
      <c r="K138" s="246"/>
      <c r="L138" s="261"/>
      <c r="M138" s="341"/>
      <c r="N138" s="246"/>
      <c r="O138" s="374" t="s">
        <v>407</v>
      </c>
      <c r="P138" s="246"/>
      <c r="Q138" s="311" t="s">
        <v>410</v>
      </c>
      <c r="R138" s="246"/>
      <c r="S138" s="261"/>
      <c r="T138" s="341"/>
      <c r="U138" s="246"/>
      <c r="V138" s="374" t="s">
        <v>407</v>
      </c>
      <c r="W138" s="246"/>
      <c r="X138" s="586" t="s">
        <v>452</v>
      </c>
      <c r="Y138" s="246"/>
      <c r="Z138" s="261"/>
      <c r="AA138" s="341"/>
      <c r="AB138" s="246"/>
      <c r="AC138" s="274" t="s">
        <v>406</v>
      </c>
      <c r="AD138" s="246"/>
      <c r="AE138" s="311" t="s">
        <v>410</v>
      </c>
      <c r="AF138" s="246"/>
      <c r="AG138" s="261"/>
      <c r="AH138" s="282"/>
      <c r="AI138" s="246"/>
      <c r="AJ138" s="311" t="s">
        <v>438</v>
      </c>
      <c r="AK138" s="246"/>
      <c r="AL138" s="586" t="s">
        <v>452</v>
      </c>
      <c r="AM138" s="246"/>
      <c r="AN138" s="261"/>
      <c r="AO138" s="320"/>
      <c r="AP138" s="246"/>
      <c r="AQ138" s="311" t="s">
        <v>438</v>
      </c>
      <c r="AR138" s="246"/>
      <c r="AS138" s="311" t="s">
        <v>467</v>
      </c>
      <c r="AT138" s="254" t="str">
        <f t="shared" si="30"/>
        <v/>
      </c>
      <c r="AU138" s="269"/>
      <c r="AV138" s="269"/>
    </row>
    <row r="139">
      <c r="A139" s="94"/>
      <c r="B139" s="328" t="s">
        <v>705</v>
      </c>
      <c r="C139" s="257" t="s">
        <v>657</v>
      </c>
      <c r="D139" s="330"/>
      <c r="E139" s="259"/>
      <c r="F139" s="586" t="s">
        <v>452</v>
      </c>
      <c r="G139" s="246"/>
      <c r="H139" s="251" t="s">
        <v>440</v>
      </c>
      <c r="I139" s="246"/>
      <c r="J139" s="251" t="s">
        <v>405</v>
      </c>
      <c r="K139" s="246"/>
      <c r="L139" s="261"/>
      <c r="M139" s="341"/>
      <c r="N139" s="246"/>
      <c r="O139" s="339" t="s">
        <v>404</v>
      </c>
      <c r="P139" s="246"/>
      <c r="Q139" s="311" t="s">
        <v>470</v>
      </c>
      <c r="R139" s="246"/>
      <c r="S139" s="261"/>
      <c r="T139" s="341"/>
      <c r="U139" s="246"/>
      <c r="V139" s="726" t="s">
        <v>440</v>
      </c>
      <c r="W139" s="246"/>
      <c r="X139" s="311" t="s">
        <v>410</v>
      </c>
      <c r="Y139" s="246"/>
      <c r="Z139" s="261"/>
      <c r="AA139" s="341"/>
      <c r="AB139" s="246"/>
      <c r="AC139" s="251" t="s">
        <v>440</v>
      </c>
      <c r="AD139" s="246"/>
      <c r="AE139" s="586" t="s">
        <v>452</v>
      </c>
      <c r="AF139" s="246"/>
      <c r="AG139" s="261"/>
      <c r="AH139" s="311" t="s">
        <v>470</v>
      </c>
      <c r="AI139" s="246"/>
      <c r="AJ139" s="374" t="s">
        <v>407</v>
      </c>
      <c r="AK139" s="246"/>
      <c r="AL139" s="311" t="s">
        <v>394</v>
      </c>
      <c r="AM139" s="246"/>
      <c r="AN139" s="261"/>
      <c r="AO139" s="320"/>
      <c r="AP139" s="246"/>
      <c r="AQ139" s="339" t="s">
        <v>404</v>
      </c>
      <c r="AR139" s="246"/>
      <c r="AS139" s="727" t="s">
        <v>470</v>
      </c>
      <c r="AT139" s="254" t="str">
        <f t="shared" si="30"/>
        <v/>
      </c>
      <c r="AU139" s="269"/>
      <c r="AV139" s="269"/>
    </row>
    <row r="140">
      <c r="A140" s="94"/>
      <c r="B140" s="277" t="s">
        <v>705</v>
      </c>
      <c r="C140" s="329" t="s">
        <v>685</v>
      </c>
      <c r="D140" s="369"/>
      <c r="E140" s="259"/>
      <c r="G140" s="246"/>
      <c r="H140" s="274" t="s">
        <v>406</v>
      </c>
      <c r="I140" s="246"/>
      <c r="K140" s="246"/>
      <c r="L140" s="261"/>
      <c r="M140" s="341"/>
      <c r="N140" s="246"/>
      <c r="O140" s="251" t="s">
        <v>440</v>
      </c>
      <c r="P140" s="246"/>
      <c r="Q140" s="251" t="s">
        <v>405</v>
      </c>
      <c r="R140" s="246"/>
      <c r="S140" s="261"/>
      <c r="T140" s="341"/>
      <c r="U140" s="246"/>
      <c r="V140" s="311" t="s">
        <v>470</v>
      </c>
      <c r="W140" s="246"/>
      <c r="X140" s="311" t="s">
        <v>467</v>
      </c>
      <c r="Y140" s="246"/>
      <c r="Z140" s="261"/>
      <c r="AA140" s="341"/>
      <c r="AB140" s="246"/>
      <c r="AC140" s="311" t="s">
        <v>438</v>
      </c>
      <c r="AD140" s="246"/>
      <c r="AE140" s="311" t="s">
        <v>470</v>
      </c>
      <c r="AF140" s="246"/>
      <c r="AG140" s="261"/>
      <c r="AH140" s="311" t="s">
        <v>467</v>
      </c>
      <c r="AI140" s="246"/>
      <c r="AJ140" s="251" t="s">
        <v>440</v>
      </c>
      <c r="AK140" s="246"/>
      <c r="AM140" s="246"/>
      <c r="AN140" s="261"/>
      <c r="AO140" s="320"/>
      <c r="AP140" s="246"/>
      <c r="AQ140" s="374" t="s">
        <v>407</v>
      </c>
      <c r="AR140" s="246"/>
      <c r="AS140" s="251" t="s">
        <v>432</v>
      </c>
      <c r="AT140" s="254" t="str">
        <f t="shared" si="30"/>
        <v/>
      </c>
      <c r="AU140" s="269"/>
      <c r="AV140" s="269"/>
    </row>
    <row r="141">
      <c r="A141" s="94"/>
      <c r="B141" s="271" t="s">
        <v>705</v>
      </c>
      <c r="C141" s="272" t="s">
        <v>687</v>
      </c>
      <c r="D141" s="330"/>
      <c r="E141" s="259"/>
      <c r="G141" s="246"/>
      <c r="H141" s="325" t="s">
        <v>841</v>
      </c>
      <c r="I141" s="246"/>
      <c r="K141" s="246"/>
      <c r="L141" s="261"/>
      <c r="M141" s="341"/>
      <c r="N141" s="246"/>
      <c r="P141" s="246"/>
      <c r="R141" s="246"/>
      <c r="S141" s="261"/>
      <c r="T141" s="341"/>
      <c r="U141" s="246"/>
      <c r="W141" s="246"/>
      <c r="Y141" s="246"/>
      <c r="Z141" s="261"/>
      <c r="AA141" s="341"/>
      <c r="AB141" s="246"/>
      <c r="AC141" s="282"/>
      <c r="AD141" s="246"/>
      <c r="AF141" s="246"/>
      <c r="AG141" s="261"/>
      <c r="AI141" s="246"/>
      <c r="AK141" s="246"/>
      <c r="AM141" s="246"/>
      <c r="AN141" s="261"/>
      <c r="AO141" s="320"/>
      <c r="AP141" s="246"/>
      <c r="AQ141" s="282"/>
      <c r="AR141" s="246"/>
      <c r="AS141" s="282"/>
      <c r="AT141" s="254" t="str">
        <f t="shared" si="30"/>
        <v/>
      </c>
      <c r="AU141" s="269"/>
      <c r="AV141" s="269"/>
    </row>
    <row r="142">
      <c r="A142" s="270"/>
      <c r="B142" s="397" t="s">
        <v>708</v>
      </c>
      <c r="C142" s="398" t="s">
        <v>654</v>
      </c>
      <c r="D142" s="330"/>
      <c r="E142" s="259"/>
      <c r="F142" s="275"/>
      <c r="G142" s="246"/>
      <c r="H142" s="311" t="s">
        <v>441</v>
      </c>
      <c r="I142" s="246"/>
      <c r="J142" s="374" t="s">
        <v>446</v>
      </c>
      <c r="K142" s="246"/>
      <c r="L142" s="261"/>
      <c r="M142" s="341"/>
      <c r="N142" s="246"/>
      <c r="O142" s="311" t="s">
        <v>441</v>
      </c>
      <c r="P142" s="246"/>
      <c r="Q142" s="374"/>
      <c r="R142" s="246"/>
      <c r="S142" s="261"/>
      <c r="T142" s="341"/>
      <c r="U142" s="246"/>
      <c r="V142" s="365" t="s">
        <v>469</v>
      </c>
      <c r="W142" s="246"/>
      <c r="X142" s="311" t="s">
        <v>441</v>
      </c>
      <c r="Y142" s="246"/>
      <c r="Z142" s="261"/>
      <c r="AA142" s="341"/>
      <c r="AB142" s="246"/>
      <c r="AC142" s="311" t="s">
        <v>441</v>
      </c>
      <c r="AD142" s="246"/>
      <c r="AE142" s="374" t="s">
        <v>446</v>
      </c>
      <c r="AF142" s="246"/>
      <c r="AG142" s="261"/>
      <c r="AH142" s="275"/>
      <c r="AI142" s="246"/>
      <c r="AJ142" s="311" t="s">
        <v>441</v>
      </c>
      <c r="AK142" s="246"/>
      <c r="AL142" s="374" t="s">
        <v>446</v>
      </c>
      <c r="AM142" s="246"/>
      <c r="AN142" s="261"/>
      <c r="AO142" s="320"/>
      <c r="AP142" s="246"/>
      <c r="AQ142" s="365" t="s">
        <v>469</v>
      </c>
      <c r="AR142" s="246"/>
      <c r="AS142" s="374" t="s">
        <v>446</v>
      </c>
      <c r="AT142" s="254" t="str">
        <f t="shared" ref="AT142:AT143" si="31">IF(COUNTIF($AO$79:$AT$81, AS143) &gt; 0, "X", "")</f>
        <v/>
      </c>
      <c r="AU142" s="269"/>
      <c r="AV142" s="269"/>
    </row>
    <row r="143">
      <c r="A143" s="94"/>
      <c r="B143" s="277" t="s">
        <v>709</v>
      </c>
      <c r="C143" s="278" t="s">
        <v>710</v>
      </c>
      <c r="D143" s="323"/>
      <c r="E143" s="259"/>
      <c r="F143" s="281"/>
      <c r="G143" s="246"/>
      <c r="H143" s="281"/>
      <c r="I143" s="246"/>
      <c r="J143" s="281"/>
      <c r="K143" s="246"/>
      <c r="L143" s="261"/>
      <c r="M143" s="286"/>
      <c r="N143" s="246"/>
      <c r="P143" s="246"/>
      <c r="R143" s="246"/>
      <c r="S143" s="261"/>
      <c r="T143" s="286"/>
      <c r="U143" s="246"/>
      <c r="V143" s="282"/>
      <c r="W143" s="246"/>
      <c r="X143" s="281"/>
      <c r="Y143" s="246"/>
      <c r="Z143" s="261"/>
      <c r="AA143" s="286"/>
      <c r="AB143" s="246"/>
      <c r="AC143" s="282"/>
      <c r="AD143" s="246"/>
      <c r="AE143" s="282"/>
      <c r="AF143" s="246"/>
      <c r="AG143" s="261"/>
      <c r="AH143" s="281"/>
      <c r="AI143" s="246"/>
      <c r="AJ143" s="281"/>
      <c r="AK143" s="246"/>
      <c r="AL143" s="281"/>
      <c r="AM143" s="246"/>
      <c r="AN143" s="261"/>
      <c r="AO143" s="320"/>
      <c r="AP143" s="246"/>
      <c r="AQ143" s="281"/>
      <c r="AR143" s="246"/>
      <c r="AS143" s="281"/>
      <c r="AT143" s="254" t="str">
        <f t="shared" si="31"/>
        <v/>
      </c>
      <c r="AU143" s="269"/>
      <c r="AV143" s="269"/>
    </row>
    <row r="144">
      <c r="A144" s="94"/>
      <c r="B144" s="673" t="s">
        <v>944</v>
      </c>
      <c r="C144" s="272" t="s">
        <v>639</v>
      </c>
      <c r="D144" s="431"/>
      <c r="E144" s="259"/>
      <c r="F144" s="282"/>
      <c r="G144" s="246"/>
      <c r="H144" s="282"/>
      <c r="I144" s="246"/>
      <c r="J144" s="282"/>
      <c r="K144" s="246"/>
      <c r="L144" s="261"/>
      <c r="M144" s="341"/>
      <c r="N144" s="246"/>
      <c r="O144" s="311" t="s">
        <v>432</v>
      </c>
      <c r="P144" s="246"/>
      <c r="Q144" s="282"/>
      <c r="R144" s="246"/>
      <c r="S144" s="261"/>
      <c r="T144" s="341"/>
      <c r="U144" s="246"/>
      <c r="V144" s="282"/>
      <c r="W144" s="246"/>
      <c r="X144" s="282"/>
      <c r="Y144" s="246"/>
      <c r="Z144" s="261"/>
      <c r="AA144" s="341"/>
      <c r="AB144" s="246"/>
      <c r="AC144" s="282"/>
      <c r="AD144" s="246"/>
      <c r="AE144" s="282"/>
      <c r="AF144" s="246"/>
      <c r="AG144" s="261"/>
      <c r="AH144" s="282"/>
      <c r="AI144" s="246"/>
      <c r="AJ144" s="282"/>
      <c r="AK144" s="246"/>
      <c r="AL144" s="282"/>
      <c r="AM144" s="246"/>
      <c r="AN144" s="261"/>
      <c r="AO144" s="320"/>
      <c r="AP144" s="246"/>
      <c r="AQ144" s="282"/>
      <c r="AR144" s="246"/>
      <c r="AS144" s="282"/>
      <c r="AT144" s="430"/>
      <c r="AU144" s="269"/>
      <c r="AV144" s="269"/>
    </row>
    <row r="145">
      <c r="A145" s="94"/>
      <c r="B145" s="429" t="s">
        <v>714</v>
      </c>
      <c r="C145" s="430"/>
      <c r="D145" s="323"/>
      <c r="E145" s="259"/>
      <c r="F145" s="432"/>
      <c r="G145" s="432"/>
      <c r="H145" s="432"/>
      <c r="I145" s="432"/>
      <c r="J145" s="432"/>
      <c r="K145" s="432"/>
      <c r="L145" s="261"/>
      <c r="M145" s="432"/>
      <c r="N145" s="433"/>
      <c r="O145" s="432"/>
      <c r="P145" s="432"/>
      <c r="Q145" s="432"/>
      <c r="R145" s="432"/>
      <c r="S145" s="261"/>
      <c r="T145" s="432"/>
      <c r="U145" s="433"/>
      <c r="V145" s="432"/>
      <c r="W145" s="432"/>
      <c r="X145" s="432"/>
      <c r="Y145" s="432"/>
      <c r="Z145" s="261"/>
      <c r="AA145" s="432"/>
      <c r="AB145" s="433"/>
      <c r="AC145" s="432"/>
      <c r="AD145" s="432"/>
      <c r="AE145" s="432"/>
      <c r="AF145" s="432"/>
      <c r="AG145" s="261"/>
      <c r="AH145" s="432"/>
      <c r="AI145" s="433"/>
      <c r="AJ145" s="432"/>
      <c r="AK145" s="432"/>
      <c r="AL145" s="432"/>
      <c r="AM145" s="432"/>
      <c r="AN145" s="261"/>
      <c r="AO145" s="432"/>
      <c r="AP145" s="433"/>
      <c r="AQ145" s="432"/>
      <c r="AR145" s="432"/>
      <c r="AS145" s="432"/>
      <c r="AT145" s="254" t="str">
        <f t="shared" ref="AT145:AT150" si="32">IF(COUNTIF($AO$79:$AT$81, AS146) &gt; 0, "X", "")</f>
        <v/>
      </c>
      <c r="AU145" s="269"/>
      <c r="AV145" s="269"/>
    </row>
    <row r="146">
      <c r="A146" s="94"/>
      <c r="B146" s="401" t="s">
        <v>715</v>
      </c>
      <c r="C146" s="412" t="s">
        <v>716</v>
      </c>
      <c r="D146" s="323"/>
      <c r="E146" s="259"/>
      <c r="F146" s="434" t="s">
        <v>465</v>
      </c>
      <c r="G146" s="246"/>
      <c r="H146" s="434" t="s">
        <v>403</v>
      </c>
      <c r="I146" s="246"/>
      <c r="J146" s="434"/>
      <c r="K146" s="246"/>
      <c r="L146" s="261"/>
      <c r="M146" s="434" t="s">
        <v>465</v>
      </c>
      <c r="N146" s="246"/>
      <c r="O146" s="434" t="s">
        <v>403</v>
      </c>
      <c r="P146" s="246"/>
      <c r="Q146" s="434"/>
      <c r="R146" s="246"/>
      <c r="S146" s="261"/>
      <c r="T146" s="434"/>
      <c r="U146" s="246"/>
      <c r="V146" s="434" t="s">
        <v>403</v>
      </c>
      <c r="W146" s="246"/>
      <c r="X146" s="434"/>
      <c r="Y146" s="246"/>
      <c r="Z146" s="261"/>
      <c r="AA146" s="434" t="s">
        <v>465</v>
      </c>
      <c r="AB146" s="246"/>
      <c r="AC146" s="434" t="s">
        <v>403</v>
      </c>
      <c r="AD146" s="246"/>
      <c r="AE146" s="434"/>
      <c r="AF146" s="246"/>
      <c r="AG146" s="261"/>
      <c r="AH146" s="434" t="s">
        <v>465</v>
      </c>
      <c r="AI146" s="246"/>
      <c r="AJ146" s="434"/>
      <c r="AK146" s="246"/>
      <c r="AL146" s="434"/>
      <c r="AM146" s="246"/>
      <c r="AN146" s="261"/>
      <c r="AO146" s="434" t="s">
        <v>465</v>
      </c>
      <c r="AP146" s="246"/>
      <c r="AQ146" s="434" t="s">
        <v>403</v>
      </c>
      <c r="AR146" s="246"/>
      <c r="AS146" s="434"/>
      <c r="AT146" s="254" t="str">
        <f t="shared" si="32"/>
        <v/>
      </c>
      <c r="AU146" s="269"/>
      <c r="AV146" s="269"/>
    </row>
    <row r="147">
      <c r="A147" s="94"/>
      <c r="B147" s="435" t="s">
        <v>717</v>
      </c>
      <c r="C147" s="415" t="s">
        <v>718</v>
      </c>
      <c r="D147" s="363"/>
      <c r="E147" s="259"/>
      <c r="F147" s="434"/>
      <c r="G147" s="246"/>
      <c r="H147" s="528" t="s">
        <v>463</v>
      </c>
      <c r="I147" s="246"/>
      <c r="J147" s="434"/>
      <c r="K147" s="246"/>
      <c r="L147" s="261"/>
      <c r="M147" s="434"/>
      <c r="N147" s="246"/>
      <c r="O147" s="406" t="s">
        <v>442</v>
      </c>
      <c r="P147" s="246"/>
      <c r="Q147" s="434"/>
      <c r="R147" s="246"/>
      <c r="S147" s="261"/>
      <c r="T147" s="434"/>
      <c r="U147" s="246"/>
      <c r="V147" s="406" t="s">
        <v>442</v>
      </c>
      <c r="W147" s="246"/>
      <c r="X147" s="434"/>
      <c r="Y147" s="246"/>
      <c r="Z147" s="261"/>
      <c r="AA147" s="434"/>
      <c r="AB147" s="246"/>
      <c r="AC147" s="406" t="s">
        <v>442</v>
      </c>
      <c r="AD147" s="246"/>
      <c r="AE147" s="434"/>
      <c r="AF147" s="246"/>
      <c r="AG147" s="261"/>
      <c r="AH147" s="434"/>
      <c r="AI147" s="246"/>
      <c r="AJ147" s="406" t="s">
        <v>442</v>
      </c>
      <c r="AK147" s="246"/>
      <c r="AL147" s="434"/>
      <c r="AM147" s="246"/>
      <c r="AN147" s="261"/>
      <c r="AO147" s="434"/>
      <c r="AP147" s="246"/>
      <c r="AQ147" s="406" t="s">
        <v>442</v>
      </c>
      <c r="AR147" s="246"/>
      <c r="AS147" s="434"/>
      <c r="AT147" s="254" t="str">
        <f t="shared" si="32"/>
        <v/>
      </c>
      <c r="AU147" s="269"/>
      <c r="AV147" s="269"/>
    </row>
    <row r="148">
      <c r="A148" s="94"/>
      <c r="B148" s="436" t="s">
        <v>719</v>
      </c>
      <c r="C148" s="437" t="s">
        <v>720</v>
      </c>
      <c r="D148" s="330"/>
      <c r="E148" s="259"/>
      <c r="F148" s="406"/>
      <c r="G148" s="246"/>
      <c r="H148" s="406" t="s">
        <v>946</v>
      </c>
      <c r="I148" s="246"/>
      <c r="J148" s="406"/>
      <c r="K148" s="246"/>
      <c r="L148" s="261"/>
      <c r="M148" s="406"/>
      <c r="N148" s="246"/>
      <c r="O148" s="406" t="s">
        <v>463</v>
      </c>
      <c r="P148" s="246"/>
      <c r="Q148" s="406"/>
      <c r="R148" s="246"/>
      <c r="S148" s="261"/>
      <c r="T148" s="406"/>
      <c r="U148" s="246"/>
      <c r="V148" s="406" t="s">
        <v>463</v>
      </c>
      <c r="W148" s="246"/>
      <c r="X148" s="406"/>
      <c r="Y148" s="246"/>
      <c r="Z148" s="261"/>
      <c r="AA148" s="406"/>
      <c r="AB148" s="246"/>
      <c r="AC148" s="406" t="s">
        <v>970</v>
      </c>
      <c r="AD148" s="246"/>
      <c r="AE148" s="406"/>
      <c r="AF148" s="246"/>
      <c r="AG148" s="261"/>
      <c r="AH148" s="406"/>
      <c r="AI148" s="246"/>
      <c r="AJ148" s="406" t="s">
        <v>970</v>
      </c>
      <c r="AK148" s="246"/>
      <c r="AL148" s="406"/>
      <c r="AM148" s="246"/>
      <c r="AN148" s="261"/>
      <c r="AO148" s="406"/>
      <c r="AP148" s="246"/>
      <c r="AQ148" s="406" t="s">
        <v>463</v>
      </c>
      <c r="AR148" s="246"/>
      <c r="AS148" s="406"/>
      <c r="AT148" s="254" t="str">
        <f t="shared" si="32"/>
        <v/>
      </c>
      <c r="AU148" s="269"/>
      <c r="AV148" s="269"/>
    </row>
    <row r="149">
      <c r="A149" s="94"/>
      <c r="B149" s="439" t="s">
        <v>721</v>
      </c>
      <c r="C149" s="440" t="s">
        <v>722</v>
      </c>
      <c r="D149" s="330"/>
      <c r="E149" s="259"/>
      <c r="F149" s="406"/>
      <c r="G149" s="246"/>
      <c r="H149" s="406" t="s">
        <v>454</v>
      </c>
      <c r="I149" s="246"/>
      <c r="J149" s="406"/>
      <c r="K149" s="246"/>
      <c r="L149" s="261"/>
      <c r="M149" s="406"/>
      <c r="N149" s="246"/>
      <c r="O149" s="406" t="s">
        <v>454</v>
      </c>
      <c r="P149" s="246"/>
      <c r="Q149" s="406"/>
      <c r="R149" s="246"/>
      <c r="S149" s="261"/>
      <c r="T149" s="406"/>
      <c r="U149" s="246"/>
      <c r="V149" s="406" t="s">
        <v>454</v>
      </c>
      <c r="W149" s="246"/>
      <c r="X149" s="406"/>
      <c r="Y149" s="246"/>
      <c r="Z149" s="261"/>
      <c r="AA149" s="406"/>
      <c r="AB149" s="246"/>
      <c r="AC149" s="406" t="s">
        <v>454</v>
      </c>
      <c r="AD149" s="246"/>
      <c r="AE149" s="406"/>
      <c r="AF149" s="246"/>
      <c r="AG149" s="261"/>
      <c r="AH149" s="406"/>
      <c r="AI149" s="246"/>
      <c r="AJ149" s="206" t="s">
        <v>847</v>
      </c>
      <c r="AK149" s="246"/>
      <c r="AL149" s="406"/>
      <c r="AM149" s="246"/>
      <c r="AN149" s="261"/>
      <c r="AO149" s="406"/>
      <c r="AP149" s="246"/>
      <c r="AQ149" s="406"/>
      <c r="AR149" s="246"/>
      <c r="AS149" s="406"/>
      <c r="AT149" s="254" t="str">
        <f t="shared" si="32"/>
        <v/>
      </c>
      <c r="AU149" s="269"/>
      <c r="AV149" s="269"/>
    </row>
    <row r="150">
      <c r="A150" s="94"/>
      <c r="B150" s="439" t="s">
        <v>723</v>
      </c>
      <c r="C150" s="440" t="s">
        <v>724</v>
      </c>
      <c r="D150" s="330"/>
      <c r="E150" s="259"/>
      <c r="F150" s="406"/>
      <c r="G150" s="246"/>
      <c r="H150" s="406" t="s">
        <v>970</v>
      </c>
      <c r="I150" s="246"/>
      <c r="J150" s="406"/>
      <c r="K150" s="246"/>
      <c r="L150" s="261"/>
      <c r="M150" s="406"/>
      <c r="N150" s="246"/>
      <c r="O150" s="406" t="s">
        <v>970</v>
      </c>
      <c r="P150" s="246"/>
      <c r="Q150" s="406"/>
      <c r="R150" s="246"/>
      <c r="S150" s="261"/>
      <c r="T150" s="406"/>
      <c r="U150" s="246"/>
      <c r="V150" s="406" t="s">
        <v>456</v>
      </c>
      <c r="W150" s="246"/>
      <c r="X150" s="406"/>
      <c r="Y150" s="246"/>
      <c r="Z150" s="261"/>
      <c r="AA150" s="406"/>
      <c r="AB150" s="246"/>
      <c r="AC150" s="206" t="s">
        <v>847</v>
      </c>
      <c r="AD150" s="246"/>
      <c r="AE150" s="406"/>
      <c r="AF150" s="246"/>
      <c r="AG150" s="261"/>
      <c r="AH150" s="406"/>
      <c r="AI150" s="246"/>
      <c r="AJ150" s="406" t="s">
        <v>946</v>
      </c>
      <c r="AK150" s="246"/>
      <c r="AL150" s="406"/>
      <c r="AM150" s="246"/>
      <c r="AN150" s="261"/>
      <c r="AO150" s="406"/>
      <c r="AP150" s="246"/>
      <c r="AQ150" s="406"/>
      <c r="AR150" s="246"/>
      <c r="AS150" s="406"/>
      <c r="AT150" s="254" t="str">
        <f t="shared" si="32"/>
        <v/>
      </c>
      <c r="AU150" s="269"/>
      <c r="AV150" s="269"/>
    </row>
    <row r="151">
      <c r="A151" s="94"/>
      <c r="B151" s="439" t="s">
        <v>725</v>
      </c>
      <c r="C151" s="442" t="s">
        <v>726</v>
      </c>
      <c r="D151" s="330"/>
      <c r="E151" s="259"/>
      <c r="F151" s="441"/>
      <c r="G151" s="246"/>
      <c r="H151" s="406" t="s">
        <v>456</v>
      </c>
      <c r="I151" s="246"/>
      <c r="J151" s="441"/>
      <c r="K151" s="246"/>
      <c r="L151" s="261"/>
      <c r="M151" s="441"/>
      <c r="N151" s="246"/>
      <c r="O151" s="406" t="s">
        <v>456</v>
      </c>
      <c r="P151" s="246"/>
      <c r="Q151" s="441"/>
      <c r="R151" s="246"/>
      <c r="S151" s="261"/>
      <c r="T151" s="441"/>
      <c r="U151" s="246"/>
      <c r="V151" s="406" t="s">
        <v>970</v>
      </c>
      <c r="W151" s="246"/>
      <c r="X151" s="441"/>
      <c r="Y151" s="246"/>
      <c r="Z151" s="261"/>
      <c r="AA151" s="441"/>
      <c r="AB151" s="246"/>
      <c r="AC151" s="406" t="s">
        <v>946</v>
      </c>
      <c r="AD151" s="246"/>
      <c r="AE151" s="441"/>
      <c r="AF151" s="246"/>
      <c r="AG151" s="261"/>
      <c r="AH151" s="441"/>
      <c r="AI151" s="246"/>
      <c r="AJ151" s="406" t="s">
        <v>463</v>
      </c>
      <c r="AK151" s="246"/>
      <c r="AL151" s="406"/>
      <c r="AM151" s="246"/>
      <c r="AN151" s="261"/>
      <c r="AO151" s="441"/>
      <c r="AP151" s="246"/>
      <c r="AQ151" s="406" t="s">
        <v>454</v>
      </c>
      <c r="AR151" s="246"/>
      <c r="AS151" s="441"/>
      <c r="AT151" s="254" t="str">
        <f>IF(COUNTIF($AO$79:$AT$81, #REF!) &gt; 0, "X", "")</f>
        <v/>
      </c>
      <c r="AU151" s="269"/>
      <c r="AV151" s="269"/>
    </row>
    <row r="152">
      <c r="A152" s="94"/>
      <c r="B152" s="447" t="s">
        <v>729</v>
      </c>
      <c r="C152" s="448" t="s">
        <v>730</v>
      </c>
      <c r="D152" s="330"/>
      <c r="E152" s="259"/>
      <c r="F152" s="441"/>
      <c r="G152" s="246"/>
      <c r="H152" s="406" t="s">
        <v>460</v>
      </c>
      <c r="I152" s="246"/>
      <c r="J152" s="441"/>
      <c r="K152" s="246"/>
      <c r="L152" s="261"/>
      <c r="M152" s="441"/>
      <c r="N152" s="246"/>
      <c r="O152" s="406" t="s">
        <v>946</v>
      </c>
      <c r="P152" s="246"/>
      <c r="Q152" s="441"/>
      <c r="R152" s="246"/>
      <c r="S152" s="261"/>
      <c r="T152" s="441"/>
      <c r="U152" s="246"/>
      <c r="V152" s="406"/>
      <c r="W152" s="246"/>
      <c r="X152" s="441"/>
      <c r="Y152" s="246"/>
      <c r="Z152" s="261"/>
      <c r="AA152" s="441"/>
      <c r="AB152" s="246"/>
      <c r="AC152" s="406"/>
      <c r="AD152" s="246"/>
      <c r="AE152" s="441"/>
      <c r="AF152" s="246"/>
      <c r="AG152" s="261"/>
      <c r="AH152" s="441"/>
      <c r="AI152" s="246"/>
      <c r="AJ152" s="406"/>
      <c r="AK152" s="246"/>
      <c r="AL152" s="441"/>
      <c r="AM152" s="246"/>
      <c r="AN152" s="261"/>
      <c r="AO152" s="441"/>
      <c r="AP152" s="246"/>
      <c r="AQ152" s="406"/>
      <c r="AR152" s="246"/>
      <c r="AS152" s="441"/>
      <c r="AT152" s="254" t="str">
        <f t="shared" ref="AT152:AT154" si="33">IF(COUNTIF($AO$79:$AT$81, AS152) &gt; 0, "X", "")</f>
        <v/>
      </c>
      <c r="AU152" s="269"/>
      <c r="AV152" s="269"/>
    </row>
    <row r="153">
      <c r="A153" s="94"/>
      <c r="B153" s="450" t="s">
        <v>731</v>
      </c>
      <c r="C153" s="451" t="s">
        <v>732</v>
      </c>
      <c r="D153" s="363"/>
      <c r="E153" s="259"/>
      <c r="F153" s="206"/>
      <c r="G153" s="246"/>
      <c r="H153" s="206" t="s">
        <v>847</v>
      </c>
      <c r="I153" s="246"/>
      <c r="J153" s="206"/>
      <c r="K153" s="246"/>
      <c r="L153" s="261"/>
      <c r="M153" s="206"/>
      <c r="N153" s="246"/>
      <c r="O153" s="206" t="s">
        <v>847</v>
      </c>
      <c r="P153" s="246"/>
      <c r="Q153" s="206"/>
      <c r="R153" s="246"/>
      <c r="S153" s="261"/>
      <c r="T153" s="206"/>
      <c r="U153" s="246"/>
      <c r="V153" s="406" t="s">
        <v>460</v>
      </c>
      <c r="W153" s="246"/>
      <c r="X153" s="206"/>
      <c r="Y153" s="246"/>
      <c r="Z153" s="261"/>
      <c r="AA153" s="206"/>
      <c r="AB153" s="246"/>
      <c r="AC153" s="406" t="s">
        <v>460</v>
      </c>
      <c r="AD153" s="246"/>
      <c r="AE153" s="206"/>
      <c r="AF153" s="246"/>
      <c r="AG153" s="261"/>
      <c r="AH153" s="206"/>
      <c r="AI153" s="246"/>
      <c r="AJ153" s="406" t="s">
        <v>460</v>
      </c>
      <c r="AK153" s="246"/>
      <c r="AL153" s="206"/>
      <c r="AM153" s="246"/>
      <c r="AN153" s="261"/>
      <c r="AO153" s="206"/>
      <c r="AP153" s="246"/>
      <c r="AQ153" s="406"/>
      <c r="AR153" s="246"/>
      <c r="AS153" s="206"/>
      <c r="AT153" s="254" t="str">
        <f t="shared" si="33"/>
        <v/>
      </c>
      <c r="AU153" s="269"/>
      <c r="AV153" s="269"/>
    </row>
    <row r="154">
      <c r="A154" s="94"/>
      <c r="B154" s="452" t="s">
        <v>733</v>
      </c>
      <c r="C154" s="453" t="s">
        <v>734</v>
      </c>
      <c r="D154" s="363"/>
      <c r="E154" s="259"/>
      <c r="F154" s="74"/>
      <c r="G154" s="246"/>
      <c r="H154" s="594" t="s">
        <v>395</v>
      </c>
      <c r="I154" s="246"/>
      <c r="J154" s="74"/>
      <c r="K154" s="246"/>
      <c r="L154" s="261"/>
      <c r="M154" s="74"/>
      <c r="N154" s="246"/>
      <c r="O154" s="594" t="s">
        <v>395</v>
      </c>
      <c r="P154" s="246"/>
      <c r="Q154" s="74"/>
      <c r="R154" s="246"/>
      <c r="S154" s="261"/>
      <c r="T154" s="74"/>
      <c r="U154" s="246"/>
      <c r="V154" s="594" t="s">
        <v>395</v>
      </c>
      <c r="W154" s="246"/>
      <c r="X154" s="74"/>
      <c r="Y154" s="246"/>
      <c r="Z154" s="261"/>
      <c r="AA154" s="74"/>
      <c r="AB154" s="246"/>
      <c r="AC154" s="594" t="s">
        <v>395</v>
      </c>
      <c r="AD154" s="246"/>
      <c r="AE154" s="74"/>
      <c r="AF154" s="246"/>
      <c r="AG154" s="261"/>
      <c r="AH154" s="74"/>
      <c r="AI154" s="246"/>
      <c r="AJ154" s="594" t="s">
        <v>395</v>
      </c>
      <c r="AK154" s="246"/>
      <c r="AL154" s="74"/>
      <c r="AM154" s="246"/>
      <c r="AN154" s="261"/>
      <c r="AO154" s="74"/>
      <c r="AP154" s="246"/>
      <c r="AQ154" s="406" t="s">
        <v>946</v>
      </c>
      <c r="AR154" s="246"/>
      <c r="AS154" s="654"/>
      <c r="AT154" s="254" t="str">
        <f t="shared" si="33"/>
        <v/>
      </c>
      <c r="AU154" s="269"/>
      <c r="AV154" s="269"/>
    </row>
    <row r="155">
      <c r="A155" s="94"/>
      <c r="B155" s="636"/>
      <c r="C155" s="637"/>
      <c r="D155" s="269"/>
      <c r="E155" s="638"/>
      <c r="F155" s="446"/>
      <c r="G155" s="246"/>
      <c r="H155" s="446"/>
      <c r="I155" s="246"/>
      <c r="J155" s="446"/>
      <c r="K155" s="246"/>
      <c r="L155" s="462"/>
      <c r="M155" s="446"/>
      <c r="N155" s="246"/>
      <c r="O155" s="446"/>
      <c r="P155" s="246"/>
      <c r="Q155" s="446"/>
      <c r="R155" s="246"/>
      <c r="S155" s="462"/>
      <c r="T155" s="446"/>
      <c r="U155" s="246"/>
      <c r="V155" s="446"/>
      <c r="W155" s="246"/>
      <c r="X155" s="446"/>
      <c r="Y155" s="246"/>
      <c r="Z155" s="462"/>
      <c r="AA155" s="446"/>
      <c r="AB155" s="246"/>
      <c r="AC155" s="446"/>
      <c r="AD155" s="246"/>
      <c r="AE155" s="446"/>
      <c r="AF155" s="246"/>
      <c r="AG155" s="462"/>
      <c r="AH155" s="446"/>
      <c r="AI155" s="246"/>
      <c r="AJ155" s="446"/>
      <c r="AK155" s="246"/>
      <c r="AL155" s="446"/>
      <c r="AM155" s="246"/>
      <c r="AN155" s="462"/>
      <c r="AO155" s="446"/>
      <c r="AP155" s="246"/>
      <c r="AQ155" s="446"/>
      <c r="AR155" s="246"/>
      <c r="AS155" s="446"/>
      <c r="AT155" s="254"/>
      <c r="AU155" s="269"/>
      <c r="AV155" s="269"/>
    </row>
    <row r="156">
      <c r="A156" s="94"/>
      <c r="B156" s="454" t="s">
        <v>735</v>
      </c>
      <c r="C156" s="455" t="s">
        <v>736</v>
      </c>
      <c r="D156" s="363"/>
      <c r="E156" s="259"/>
      <c r="F156" s="441"/>
      <c r="G156" s="246"/>
      <c r="H156" s="441"/>
      <c r="I156" s="246"/>
      <c r="J156" s="405"/>
      <c r="K156" s="246"/>
      <c r="L156" s="261"/>
      <c r="M156" s="441"/>
      <c r="N156" s="246"/>
      <c r="O156" s="441"/>
      <c r="P156" s="246"/>
      <c r="Q156" s="441"/>
      <c r="R156" s="246"/>
      <c r="S156" s="261"/>
      <c r="T156" s="441"/>
      <c r="U156" s="246"/>
      <c r="V156" s="441"/>
      <c r="W156" s="246"/>
      <c r="X156" s="405"/>
      <c r="Y156" s="246"/>
      <c r="Z156" s="261"/>
      <c r="AA156" s="441"/>
      <c r="AB156" s="246"/>
      <c r="AC156" s="441"/>
      <c r="AD156" s="246"/>
      <c r="AE156" s="441"/>
      <c r="AF156" s="246"/>
      <c r="AG156" s="261"/>
      <c r="AH156" s="441"/>
      <c r="AI156" s="246"/>
      <c r="AJ156" s="441"/>
      <c r="AK156" s="246"/>
      <c r="AL156" s="405"/>
      <c r="AM156" s="246"/>
      <c r="AN156" s="261"/>
      <c r="AO156" s="441"/>
      <c r="AP156" s="246"/>
      <c r="AQ156" s="441"/>
      <c r="AR156" s="246"/>
      <c r="AS156" s="441"/>
      <c r="AT156" s="254" t="str">
        <f t="shared" ref="AT156:AT158" si="34">IF(COUNTIF($AO$79:$AT$81, AS156) &gt; 0, "X", "")</f>
        <v/>
      </c>
      <c r="AU156" s="269"/>
      <c r="AV156" s="269"/>
    </row>
    <row r="157">
      <c r="A157" s="94"/>
      <c r="B157" s="454" t="s">
        <v>735</v>
      </c>
      <c r="C157" s="442" t="s">
        <v>736</v>
      </c>
      <c r="D157" s="363"/>
      <c r="E157" s="259"/>
      <c r="F157" s="456"/>
      <c r="G157" s="246"/>
      <c r="H157" s="456"/>
      <c r="I157" s="246"/>
      <c r="J157" s="456"/>
      <c r="K157" s="246"/>
      <c r="L157" s="261"/>
      <c r="M157" s="456"/>
      <c r="N157" s="246"/>
      <c r="O157" s="456"/>
      <c r="P157" s="246"/>
      <c r="Q157" s="456"/>
      <c r="R157" s="246"/>
      <c r="S157" s="261"/>
      <c r="T157" s="456"/>
      <c r="U157" s="246"/>
      <c r="V157" s="456"/>
      <c r="W157" s="246"/>
      <c r="X157" s="456"/>
      <c r="Y157" s="246"/>
      <c r="Z157" s="261"/>
      <c r="AA157" s="456"/>
      <c r="AB157" s="246"/>
      <c r="AC157" s="456"/>
      <c r="AD157" s="246"/>
      <c r="AE157" s="456"/>
      <c r="AF157" s="246"/>
      <c r="AG157" s="261"/>
      <c r="AH157" s="456"/>
      <c r="AI157" s="246"/>
      <c r="AJ157" s="456"/>
      <c r="AK157" s="246"/>
      <c r="AL157" s="456"/>
      <c r="AM157" s="246"/>
      <c r="AN157" s="261"/>
      <c r="AO157" s="456"/>
      <c r="AP157" s="246"/>
      <c r="AQ157" s="456"/>
      <c r="AR157" s="246"/>
      <c r="AS157" s="456"/>
      <c r="AT157" s="254" t="str">
        <f t="shared" si="34"/>
        <v/>
      </c>
      <c r="AU157" s="269"/>
      <c r="AV157" s="269"/>
    </row>
    <row r="158">
      <c r="A158" s="94"/>
      <c r="B158" s="457" t="s">
        <v>735</v>
      </c>
      <c r="C158" s="458" t="s">
        <v>737</v>
      </c>
      <c r="D158" s="363"/>
      <c r="E158" s="259"/>
      <c r="F158" s="406"/>
      <c r="G158" s="246"/>
      <c r="H158" s="406"/>
      <c r="I158" s="246"/>
      <c r="J158" s="406"/>
      <c r="K158" s="246"/>
      <c r="L158" s="261"/>
      <c r="M158" s="406"/>
      <c r="N158" s="246"/>
      <c r="O158" s="406"/>
      <c r="P158" s="246"/>
      <c r="Q158" s="406"/>
      <c r="R158" s="246"/>
      <c r="S158" s="261"/>
      <c r="T158" s="406"/>
      <c r="U158" s="246"/>
      <c r="V158" s="406"/>
      <c r="W158" s="246"/>
      <c r="X158" s="406"/>
      <c r="Y158" s="246"/>
      <c r="Z158" s="261"/>
      <c r="AA158" s="406"/>
      <c r="AB158" s="246"/>
      <c r="AC158" s="406"/>
      <c r="AD158" s="246"/>
      <c r="AE158" s="406"/>
      <c r="AF158" s="246"/>
      <c r="AG158" s="261"/>
      <c r="AH158" s="406"/>
      <c r="AI158" s="246"/>
      <c r="AJ158" s="406"/>
      <c r="AK158" s="246"/>
      <c r="AL158" s="406"/>
      <c r="AM158" s="246"/>
      <c r="AN158" s="261"/>
      <c r="AO158" s="406"/>
      <c r="AP158" s="246"/>
      <c r="AQ158" s="406"/>
      <c r="AR158" s="246"/>
      <c r="AS158" s="406"/>
      <c r="AT158" s="254" t="str">
        <f t="shared" si="34"/>
        <v/>
      </c>
      <c r="AU158" s="269"/>
      <c r="AV158" s="269"/>
    </row>
    <row r="159">
      <c r="A159" s="94"/>
      <c r="B159" s="459"/>
      <c r="C159" s="460" t="s">
        <v>738</v>
      </c>
      <c r="D159" s="363"/>
      <c r="E159" s="259"/>
      <c r="F159" s="461" t="s">
        <v>1019</v>
      </c>
      <c r="G159" s="246"/>
      <c r="H159" s="132"/>
      <c r="I159" s="246"/>
      <c r="J159" s="132"/>
      <c r="K159" s="246"/>
      <c r="L159" s="462"/>
      <c r="M159" s="461" t="s">
        <v>1020</v>
      </c>
      <c r="N159" s="246"/>
      <c r="O159" s="132"/>
      <c r="P159" s="246"/>
      <c r="Q159" s="132"/>
      <c r="R159" s="246"/>
      <c r="S159" s="462"/>
      <c r="T159" s="461" t="s">
        <v>1021</v>
      </c>
      <c r="U159" s="246"/>
      <c r="V159" s="132"/>
      <c r="W159" s="246"/>
      <c r="X159" s="132"/>
      <c r="Y159" s="246"/>
      <c r="Z159" s="462"/>
      <c r="AA159" s="461" t="s">
        <v>1022</v>
      </c>
      <c r="AB159" s="246"/>
      <c r="AC159" s="132"/>
      <c r="AD159" s="246"/>
      <c r="AE159" s="132"/>
      <c r="AF159" s="246"/>
      <c r="AG159" s="462"/>
      <c r="AH159" s="461" t="s">
        <v>1023</v>
      </c>
      <c r="AI159" s="246"/>
      <c r="AJ159" s="132"/>
      <c r="AK159" s="246"/>
      <c r="AL159" s="132"/>
      <c r="AM159" s="246"/>
      <c r="AN159" s="462"/>
      <c r="AO159" s="461" t="s">
        <v>1024</v>
      </c>
      <c r="AP159" s="246"/>
      <c r="AQ159" s="132"/>
      <c r="AR159" s="246"/>
      <c r="AS159" s="132"/>
      <c r="AT159" s="460"/>
      <c r="AU159" s="269"/>
      <c r="AV159" s="269"/>
    </row>
    <row r="160">
      <c r="A160" s="270"/>
      <c r="B160" s="459"/>
      <c r="C160" s="460" t="s">
        <v>738</v>
      </c>
      <c r="D160" s="363"/>
      <c r="E160" s="259"/>
      <c r="F160" s="461"/>
      <c r="G160" s="246"/>
      <c r="H160" s="132"/>
      <c r="I160" s="246"/>
      <c r="J160" s="132"/>
      <c r="K160" s="246"/>
      <c r="L160" s="462"/>
      <c r="M160" s="461"/>
      <c r="N160" s="246"/>
      <c r="O160" s="132"/>
      <c r="P160" s="246"/>
      <c r="Q160" s="132"/>
      <c r="R160" s="246"/>
      <c r="S160" s="462"/>
      <c r="T160" s="461" t="s">
        <v>570</v>
      </c>
      <c r="U160" s="246"/>
      <c r="V160" s="132"/>
      <c r="W160" s="246"/>
      <c r="X160" s="132"/>
      <c r="Y160" s="246"/>
      <c r="Z160" s="462"/>
      <c r="AA160" s="461" t="s">
        <v>570</v>
      </c>
      <c r="AB160" s="246"/>
      <c r="AC160" s="132"/>
      <c r="AD160" s="246"/>
      <c r="AE160" s="132"/>
      <c r="AF160" s="246"/>
      <c r="AG160" s="462"/>
      <c r="AH160" s="461" t="s">
        <v>1025</v>
      </c>
      <c r="AI160" s="246"/>
      <c r="AJ160" s="132"/>
      <c r="AK160" s="246"/>
      <c r="AL160" s="132"/>
      <c r="AM160" s="246"/>
      <c r="AN160" s="462"/>
      <c r="AO160" s="461" t="s">
        <v>1026</v>
      </c>
      <c r="AP160" s="246"/>
      <c r="AQ160" s="132"/>
      <c r="AR160" s="246"/>
      <c r="AS160" s="132"/>
      <c r="AT160" s="460"/>
      <c r="AU160" s="236"/>
      <c r="AV160" s="236"/>
    </row>
    <row r="161">
      <c r="A161" s="236"/>
      <c r="B161" s="459"/>
      <c r="C161" s="460" t="s">
        <v>738</v>
      </c>
      <c r="D161" s="363"/>
      <c r="E161" s="259"/>
      <c r="F161" s="132"/>
      <c r="G161" s="246"/>
      <c r="H161" s="132"/>
      <c r="I161" s="246"/>
      <c r="J161" s="132"/>
      <c r="K161" s="246"/>
      <c r="L161" s="462"/>
      <c r="M161" s="132"/>
      <c r="N161" s="246"/>
      <c r="O161" s="132"/>
      <c r="P161" s="246"/>
      <c r="Q161" s="132"/>
      <c r="R161" s="246"/>
      <c r="S161" s="462"/>
      <c r="T161" s="132"/>
      <c r="U161" s="246"/>
      <c r="V161" s="132"/>
      <c r="W161" s="246"/>
      <c r="X161" s="132"/>
      <c r="Y161" s="246"/>
      <c r="Z161" s="462"/>
      <c r="AA161" s="132"/>
      <c r="AB161" s="246"/>
      <c r="AC161" s="132"/>
      <c r="AD161" s="246"/>
      <c r="AE161" s="132"/>
      <c r="AF161" s="246"/>
      <c r="AG161" s="462"/>
      <c r="AH161" s="461" t="s">
        <v>570</v>
      </c>
      <c r="AI161" s="246"/>
      <c r="AJ161" s="132"/>
      <c r="AK161" s="246"/>
      <c r="AL161" s="132"/>
      <c r="AM161" s="246"/>
      <c r="AN161" s="462"/>
      <c r="AO161" s="461" t="s">
        <v>570</v>
      </c>
      <c r="AP161" s="246"/>
      <c r="AQ161" s="132"/>
      <c r="AR161" s="246"/>
      <c r="AS161" s="132"/>
      <c r="AT161" s="460"/>
      <c r="AU161" s="236"/>
      <c r="AV161" s="236"/>
    </row>
    <row r="162">
      <c r="A162" s="182"/>
      <c r="B162" s="183" t="s">
        <v>778</v>
      </c>
      <c r="C162" s="184" t="s">
        <v>605</v>
      </c>
      <c r="D162" s="185" t="s">
        <v>486</v>
      </c>
      <c r="E162" s="186"/>
      <c r="F162" s="185" t="s">
        <v>487</v>
      </c>
      <c r="M162" s="185" t="s">
        <v>488</v>
      </c>
      <c r="T162" s="185" t="s">
        <v>489</v>
      </c>
      <c r="AA162" s="185" t="s">
        <v>490</v>
      </c>
      <c r="AH162" s="185" t="s">
        <v>491</v>
      </c>
      <c r="AO162" s="185" t="s">
        <v>492</v>
      </c>
      <c r="AU162" s="182"/>
      <c r="AV162" s="182"/>
    </row>
    <row r="163">
      <c r="A163" s="182"/>
      <c r="B163" s="187"/>
      <c r="C163" s="187"/>
      <c r="D163" s="188">
        <f>AO83+1</f>
        <v>17</v>
      </c>
      <c r="E163" s="189"/>
      <c r="F163" s="188">
        <f>D163+1</f>
        <v>18</v>
      </c>
      <c r="M163" s="188">
        <f>F163+1</f>
        <v>19</v>
      </c>
      <c r="T163" s="188">
        <f>M163+1</f>
        <v>20</v>
      </c>
      <c r="AA163" s="188">
        <f>T163+1</f>
        <v>21</v>
      </c>
      <c r="AH163" s="188">
        <f>AA163+1</f>
        <v>22</v>
      </c>
      <c r="AO163" s="188">
        <f>AH163+1</f>
        <v>23</v>
      </c>
      <c r="AU163" s="182"/>
      <c r="AV163" s="182"/>
    </row>
    <row r="164">
      <c r="A164" s="182"/>
      <c r="B164" s="193" t="s">
        <v>608</v>
      </c>
      <c r="C164" s="193" t="s">
        <v>609</v>
      </c>
      <c r="D164" s="187"/>
      <c r="E164" s="189"/>
      <c r="F164" s="194" t="s">
        <v>610</v>
      </c>
      <c r="G164" s="195"/>
      <c r="H164" s="193" t="s">
        <v>611</v>
      </c>
      <c r="J164" s="194" t="s">
        <v>612</v>
      </c>
      <c r="M164" s="194" t="s">
        <v>610</v>
      </c>
      <c r="N164" s="195"/>
      <c r="O164" s="193" t="s">
        <v>611</v>
      </c>
      <c r="P164" s="195"/>
      <c r="Q164" s="194" t="s">
        <v>612</v>
      </c>
      <c r="S164" s="193"/>
      <c r="T164" s="194" t="s">
        <v>610</v>
      </c>
      <c r="U164" s="195"/>
      <c r="V164" s="193" t="s">
        <v>611</v>
      </c>
      <c r="W164" s="195"/>
      <c r="X164" s="194" t="s">
        <v>612</v>
      </c>
      <c r="Z164" s="193"/>
      <c r="AA164" s="194" t="s">
        <v>610</v>
      </c>
      <c r="AB164" s="195"/>
      <c r="AC164" s="193" t="s">
        <v>611</v>
      </c>
      <c r="AD164" s="195"/>
      <c r="AE164" s="194" t="s">
        <v>612</v>
      </c>
      <c r="AG164" s="193"/>
      <c r="AH164" s="194" t="s">
        <v>610</v>
      </c>
      <c r="AI164" s="195"/>
      <c r="AJ164" s="193" t="s">
        <v>611</v>
      </c>
      <c r="AK164" s="195"/>
      <c r="AL164" s="194" t="s">
        <v>612</v>
      </c>
      <c r="AN164" s="193"/>
      <c r="AO164" s="194" t="s">
        <v>610</v>
      </c>
      <c r="AP164" s="195"/>
      <c r="AQ164" s="193" t="s">
        <v>611</v>
      </c>
      <c r="AR164" s="195"/>
      <c r="AS164" s="194" t="s">
        <v>612</v>
      </c>
      <c r="AU164" s="182"/>
      <c r="AV164" s="182"/>
    </row>
    <row r="165">
      <c r="A165" s="199"/>
      <c r="B165" s="200" t="s">
        <v>620</v>
      </c>
      <c r="C165" s="201"/>
      <c r="D165" s="203"/>
      <c r="E165" s="202"/>
      <c r="F165" s="203"/>
      <c r="G165" s="204"/>
      <c r="H165" s="203"/>
      <c r="I165" s="204"/>
      <c r="J165" s="203"/>
      <c r="K165" s="204"/>
      <c r="L165" s="205"/>
      <c r="M165" s="203"/>
      <c r="N165" s="204"/>
      <c r="O165" s="203"/>
      <c r="P165" s="204"/>
      <c r="Q165" s="203"/>
      <c r="R165" s="204"/>
      <c r="S165" s="205"/>
      <c r="T165" s="203"/>
      <c r="U165" s="204"/>
      <c r="V165" s="203"/>
      <c r="W165" s="204"/>
      <c r="X165" s="682" t="s">
        <v>1027</v>
      </c>
      <c r="Y165" s="204"/>
      <c r="Z165" s="205"/>
      <c r="AA165" s="203"/>
      <c r="AB165" s="204"/>
      <c r="AC165" s="203"/>
      <c r="AD165" s="204"/>
      <c r="AE165" s="682" t="s">
        <v>1028</v>
      </c>
      <c r="AF165" s="204"/>
      <c r="AG165" s="205"/>
      <c r="AH165" s="203"/>
      <c r="AI165" s="204"/>
      <c r="AJ165" s="203"/>
      <c r="AK165" s="204"/>
      <c r="AL165" s="203"/>
      <c r="AM165" s="204"/>
      <c r="AN165" s="205"/>
      <c r="AO165" s="203"/>
      <c r="AP165" s="204"/>
      <c r="AQ165" s="203"/>
      <c r="AR165" s="204"/>
      <c r="AS165" s="203"/>
      <c r="AT165" s="204"/>
      <c r="AU165" s="199"/>
      <c r="AV165" s="199"/>
    </row>
    <row r="166">
      <c r="A166" s="234"/>
      <c r="B166" s="235" t="s">
        <v>608</v>
      </c>
      <c r="C166" s="195" t="s">
        <v>609</v>
      </c>
      <c r="D166" s="236"/>
      <c r="E166" s="237"/>
      <c r="F166" s="238"/>
      <c r="G166" s="182"/>
      <c r="H166" s="238"/>
      <c r="I166" s="239"/>
      <c r="J166" s="238"/>
      <c r="K166" s="239"/>
      <c r="L166" s="237"/>
      <c r="M166" s="238"/>
      <c r="N166" s="182"/>
      <c r="O166" s="238"/>
      <c r="P166" s="239"/>
      <c r="Q166" s="238"/>
      <c r="R166" s="239"/>
      <c r="S166" s="237"/>
      <c r="T166" s="238"/>
      <c r="U166" s="182"/>
      <c r="V166" s="238"/>
      <c r="W166" s="239"/>
      <c r="X166" s="238"/>
      <c r="Y166" s="239"/>
      <c r="Z166" s="237"/>
      <c r="AA166" s="238"/>
      <c r="AB166" s="182"/>
      <c r="AC166" s="238"/>
      <c r="AD166" s="239"/>
      <c r="AE166" s="238"/>
      <c r="AF166" s="239"/>
      <c r="AG166" s="237"/>
      <c r="AH166" s="238"/>
      <c r="AI166" s="182"/>
      <c r="AJ166" s="238"/>
      <c r="AK166" s="239"/>
      <c r="AL166" s="238"/>
      <c r="AM166" s="239"/>
      <c r="AN166" s="237"/>
      <c r="AO166" s="238"/>
      <c r="AP166" s="182"/>
      <c r="AQ166" s="238"/>
      <c r="AR166" s="239"/>
      <c r="AS166" s="238"/>
      <c r="AT166" s="239"/>
      <c r="AU166" s="236"/>
      <c r="AV166" s="236"/>
    </row>
    <row r="167">
      <c r="A167" s="240"/>
      <c r="B167" s="241" t="s">
        <v>638</v>
      </c>
      <c r="C167" s="242" t="s">
        <v>639</v>
      </c>
      <c r="D167" s="243"/>
      <c r="E167" s="244"/>
      <c r="F167" s="371"/>
      <c r="G167" s="246"/>
      <c r="H167" s="426"/>
      <c r="I167" s="246"/>
      <c r="J167" s="265"/>
      <c r="K167" s="246"/>
      <c r="L167" s="249"/>
      <c r="M167" s="250"/>
      <c r="N167" s="246"/>
      <c r="P167" s="246"/>
      <c r="R167" s="246"/>
      <c r="S167" s="249"/>
      <c r="T167" s="250"/>
      <c r="U167" s="246"/>
      <c r="V167" s="282"/>
      <c r="W167" s="246"/>
      <c r="X167" s="251" t="s">
        <v>405</v>
      </c>
      <c r="Y167" s="246"/>
      <c r="Z167" s="249"/>
      <c r="AA167" s="250"/>
      <c r="AB167" s="246"/>
      <c r="AC167" s="282"/>
      <c r="AD167" s="246"/>
      <c r="AF167" s="246"/>
      <c r="AG167" s="249"/>
      <c r="AH167" s="371"/>
      <c r="AI167" s="246"/>
      <c r="AJ167" s="282"/>
      <c r="AK167" s="246"/>
      <c r="AM167" s="246"/>
      <c r="AN167" s="249"/>
      <c r="AO167" s="506"/>
      <c r="AP167" s="246"/>
      <c r="AR167" s="246"/>
      <c r="AT167" s="254" t="str">
        <f>IF(COUNTIF($AO$79:$AT$81, #REF!) &gt; 0, "X", "")</f>
        <v/>
      </c>
      <c r="AU167" s="255"/>
      <c r="AV167" s="255"/>
    </row>
    <row r="168">
      <c r="A168" s="94"/>
      <c r="B168" s="256" t="s">
        <v>638</v>
      </c>
      <c r="C168" s="257" t="s">
        <v>639</v>
      </c>
      <c r="D168" s="258"/>
      <c r="E168" s="259"/>
      <c r="F168" s="371"/>
      <c r="G168" s="246"/>
      <c r="H168" s="426"/>
      <c r="I168" s="246"/>
      <c r="K168" s="246"/>
      <c r="L168" s="249"/>
      <c r="M168" s="250"/>
      <c r="N168" s="246"/>
      <c r="P168" s="246"/>
      <c r="R168" s="246"/>
      <c r="S168" s="249"/>
      <c r="T168" s="250"/>
      <c r="U168" s="246"/>
      <c r="V168" s="282"/>
      <c r="W168" s="246"/>
      <c r="X168" s="274" t="s">
        <v>414</v>
      </c>
      <c r="Y168" s="246"/>
      <c r="Z168" s="249"/>
      <c r="AA168" s="250"/>
      <c r="AB168" s="246"/>
      <c r="AC168" s="282"/>
      <c r="AD168" s="246"/>
      <c r="AF168" s="246"/>
      <c r="AG168" s="249"/>
      <c r="AH168" s="371"/>
      <c r="AI168" s="246"/>
      <c r="AJ168" s="282"/>
      <c r="AK168" s="246"/>
      <c r="AM168" s="246"/>
      <c r="AN168" s="249"/>
      <c r="AO168" s="506"/>
      <c r="AP168" s="246"/>
      <c r="AR168" s="246"/>
      <c r="AT168" s="254" t="str">
        <f>IF(COUNTIF($AO$79:$AT$81, AS174) &gt; 0, "X", "")</f>
        <v/>
      </c>
      <c r="AU168" s="269"/>
      <c r="AV168" s="269"/>
    </row>
    <row r="169">
      <c r="A169" s="270"/>
      <c r="B169" s="271" t="s">
        <v>642</v>
      </c>
      <c r="C169" s="272" t="s">
        <v>639</v>
      </c>
      <c r="D169" s="258"/>
      <c r="E169" s="259"/>
      <c r="F169" s="426"/>
      <c r="G169" s="246"/>
      <c r="H169" s="426"/>
      <c r="I169" s="246"/>
      <c r="J169" s="265"/>
      <c r="K169" s="246"/>
      <c r="L169" s="261"/>
      <c r="M169" s="262"/>
      <c r="N169" s="246"/>
      <c r="O169" s="265"/>
      <c r="P169" s="246"/>
      <c r="R169" s="246"/>
      <c r="S169" s="261"/>
      <c r="T169" s="262"/>
      <c r="U169" s="246"/>
      <c r="W169" s="246"/>
      <c r="Y169" s="246"/>
      <c r="Z169" s="261"/>
      <c r="AA169" s="262"/>
      <c r="AB169" s="246"/>
      <c r="AC169" s="265"/>
      <c r="AD169" s="246"/>
      <c r="AF169" s="246"/>
      <c r="AG169" s="261"/>
      <c r="AH169" s="426"/>
      <c r="AI169" s="246"/>
      <c r="AJ169" s="265"/>
      <c r="AK169" s="246"/>
      <c r="AM169" s="246"/>
      <c r="AN169" s="261"/>
      <c r="AO169" s="506"/>
      <c r="AP169" s="246"/>
      <c r="AR169" s="246"/>
      <c r="AS169" s="598"/>
      <c r="AT169" s="254" t="str">
        <f t="shared" ref="AT169:AT170" si="35">IF(COUNTIF($AO$79:$AT$81, #REF!) &gt; 0, "X", "")</f>
        <v/>
      </c>
      <c r="AU169" s="269"/>
      <c r="AV169" s="269"/>
    </row>
    <row r="170">
      <c r="A170" s="234"/>
      <c r="B170" s="277" t="s">
        <v>644</v>
      </c>
      <c r="C170" s="278" t="s">
        <v>645</v>
      </c>
      <c r="D170" s="258"/>
      <c r="E170" s="259"/>
      <c r="F170" s="281"/>
      <c r="G170" s="246"/>
      <c r="H170" s="280" t="s">
        <v>400</v>
      </c>
      <c r="I170" s="246"/>
      <c r="J170" s="282"/>
      <c r="K170" s="246"/>
      <c r="L170" s="261"/>
      <c r="M170" s="250"/>
      <c r="N170" s="246"/>
      <c r="O170" s="281"/>
      <c r="P170" s="246"/>
      <c r="Q170" s="282"/>
      <c r="R170" s="246"/>
      <c r="S170" s="261"/>
      <c r="T170" s="250"/>
      <c r="U170" s="246"/>
      <c r="V170" s="280" t="s">
        <v>400</v>
      </c>
      <c r="W170" s="246"/>
      <c r="Y170" s="246"/>
      <c r="Z170" s="261"/>
      <c r="AA170" s="250"/>
      <c r="AB170" s="246"/>
      <c r="AC170" s="281"/>
      <c r="AD170" s="246"/>
      <c r="AE170" s="280" t="s">
        <v>400</v>
      </c>
      <c r="AF170" s="246"/>
      <c r="AG170" s="261"/>
      <c r="AH170" s="282"/>
      <c r="AI170" s="246"/>
      <c r="AJ170" s="280" t="s">
        <v>400</v>
      </c>
      <c r="AK170" s="246"/>
      <c r="AL170" s="281"/>
      <c r="AM170" s="246"/>
      <c r="AN170" s="261"/>
      <c r="AO170" s="506"/>
      <c r="AP170" s="246"/>
      <c r="AQ170" s="276"/>
      <c r="AR170" s="246"/>
      <c r="AS170" s="276"/>
      <c r="AT170" s="254" t="str">
        <f t="shared" si="35"/>
        <v/>
      </c>
      <c r="AU170" s="269"/>
      <c r="AV170" s="269"/>
    </row>
    <row r="171">
      <c r="A171" s="94"/>
      <c r="B171" s="256" t="s">
        <v>757</v>
      </c>
      <c r="C171" s="257" t="s">
        <v>645</v>
      </c>
      <c r="D171" s="258"/>
      <c r="E171" s="259"/>
      <c r="F171" s="274"/>
      <c r="G171" s="246"/>
      <c r="H171" s="371"/>
      <c r="I171" s="246"/>
      <c r="J171" s="371"/>
      <c r="K171" s="246"/>
      <c r="L171" s="261"/>
      <c r="M171" s="250"/>
      <c r="N171" s="246"/>
      <c r="O171" s="280"/>
      <c r="P171" s="246"/>
      <c r="Q171" s="280" t="s">
        <v>400</v>
      </c>
      <c r="R171" s="246"/>
      <c r="S171" s="261"/>
      <c r="T171" s="250"/>
      <c r="U171" s="246"/>
      <c r="V171" s="371"/>
      <c r="W171" s="246"/>
      <c r="X171" s="274"/>
      <c r="Y171" s="246"/>
      <c r="Z171" s="261"/>
      <c r="AA171" s="250"/>
      <c r="AB171" s="246"/>
      <c r="AC171" s="274"/>
      <c r="AD171" s="246"/>
      <c r="AE171" s="282"/>
      <c r="AF171" s="246"/>
      <c r="AG171" s="261"/>
      <c r="AH171" s="371"/>
      <c r="AI171" s="246"/>
      <c r="AJ171" s="371"/>
      <c r="AK171" s="246"/>
      <c r="AL171" s="274"/>
      <c r="AM171" s="246"/>
      <c r="AN171" s="261"/>
      <c r="AO171" s="506"/>
      <c r="AP171" s="246"/>
      <c r="AQ171" s="252"/>
      <c r="AR171" s="246"/>
      <c r="AS171" s="252"/>
      <c r="AT171" s="254" t="str">
        <f>IF(COUNTIF($AO$79:$AT$81, AS173) &gt; 0, "X", "")</f>
        <v/>
      </c>
      <c r="AU171" s="269"/>
      <c r="AV171" s="269"/>
    </row>
    <row r="172">
      <c r="A172" s="94"/>
      <c r="B172" s="284" t="s">
        <v>646</v>
      </c>
      <c r="C172" s="285" t="s">
        <v>647</v>
      </c>
      <c r="D172" s="473" t="s">
        <v>758</v>
      </c>
      <c r="E172" s="259"/>
      <c r="F172" s="251" t="s">
        <v>427</v>
      </c>
      <c r="G172" s="246"/>
      <c r="H172" s="399"/>
      <c r="I172" s="246"/>
      <c r="J172" s="399"/>
      <c r="K172" s="246"/>
      <c r="L172" s="261"/>
      <c r="M172" s="324"/>
      <c r="N172" s="246"/>
      <c r="O172" s="399"/>
      <c r="P172" s="246"/>
      <c r="Q172" s="287" t="s">
        <v>427</v>
      </c>
      <c r="R172" s="246"/>
      <c r="S172" s="261"/>
      <c r="T172" s="324"/>
      <c r="U172" s="246"/>
      <c r="W172" s="246"/>
      <c r="X172" s="251" t="s">
        <v>427</v>
      </c>
      <c r="Y172" s="246"/>
      <c r="Z172" s="261"/>
      <c r="AA172" s="324"/>
      <c r="AB172" s="246"/>
      <c r="AD172" s="246"/>
      <c r="AE172" s="251" t="s">
        <v>427</v>
      </c>
      <c r="AF172" s="246"/>
      <c r="AG172" s="261"/>
      <c r="AH172" s="251" t="s">
        <v>427</v>
      </c>
      <c r="AI172" s="246"/>
      <c r="AJ172" s="282"/>
      <c r="AK172" s="246"/>
      <c r="AL172" s="282"/>
      <c r="AM172" s="246"/>
      <c r="AN172" s="261"/>
      <c r="AO172" s="506"/>
      <c r="AP172" s="246"/>
      <c r="AQ172" s="252"/>
      <c r="AR172" s="246"/>
      <c r="AS172" s="252"/>
      <c r="AT172" s="254" t="str">
        <f t="shared" ref="AT172:AT174" si="36">IF(COUNTIF($AO$79:$AT$81, #REF!) &gt; 0, "X", "")</f>
        <v/>
      </c>
      <c r="AU172" s="269"/>
      <c r="AV172" s="269"/>
    </row>
    <row r="173">
      <c r="A173" s="270"/>
      <c r="B173" s="291" t="s">
        <v>648</v>
      </c>
      <c r="C173" s="292" t="s">
        <v>649</v>
      </c>
      <c r="D173" s="659" t="s">
        <v>426</v>
      </c>
      <c r="E173" s="259"/>
      <c r="F173" s="294"/>
      <c r="G173" s="246"/>
      <c r="H173" s="293" t="s">
        <v>418</v>
      </c>
      <c r="I173" s="246"/>
      <c r="J173" s="294"/>
      <c r="K173" s="246"/>
      <c r="L173" s="261"/>
      <c r="M173" s="250"/>
      <c r="N173" s="246"/>
      <c r="O173" s="293" t="s">
        <v>418</v>
      </c>
      <c r="P173" s="246"/>
      <c r="Q173" s="294"/>
      <c r="R173" s="246"/>
      <c r="S173" s="261"/>
      <c r="T173" s="250"/>
      <c r="U173" s="246"/>
      <c r="V173" s="294"/>
      <c r="W173" s="246"/>
      <c r="X173" s="293" t="s">
        <v>418</v>
      </c>
      <c r="Y173" s="246"/>
      <c r="Z173" s="261"/>
      <c r="AA173" s="250"/>
      <c r="AB173" s="246"/>
      <c r="AC173" s="294"/>
      <c r="AD173" s="246"/>
      <c r="AE173" s="293" t="s">
        <v>418</v>
      </c>
      <c r="AF173" s="246"/>
      <c r="AG173" s="261"/>
      <c r="AH173" s="294"/>
      <c r="AI173" s="246"/>
      <c r="AJ173" s="293" t="s">
        <v>418</v>
      </c>
      <c r="AK173" s="246"/>
      <c r="AL173" s="294"/>
      <c r="AM173" s="246"/>
      <c r="AN173" s="261"/>
      <c r="AO173" s="506"/>
      <c r="AP173" s="246"/>
      <c r="AQ173" s="294"/>
      <c r="AR173" s="246"/>
      <c r="AS173" s="294"/>
      <c r="AT173" s="254" t="str">
        <f t="shared" si="36"/>
        <v/>
      </c>
      <c r="AU173" s="269"/>
      <c r="AV173" s="269"/>
    </row>
    <row r="174">
      <c r="A174" s="94"/>
      <c r="B174" s="296" t="s">
        <v>650</v>
      </c>
      <c r="C174" s="297" t="s">
        <v>649</v>
      </c>
      <c r="D174" s="311" t="s">
        <v>394</v>
      </c>
      <c r="E174" s="259"/>
      <c r="F174" s="299"/>
      <c r="G174" s="298"/>
      <c r="H174" s="299"/>
      <c r="I174" s="298"/>
      <c r="J174" s="299"/>
      <c r="K174" s="298"/>
      <c r="L174" s="261"/>
      <c r="M174" s="250"/>
      <c r="N174" s="298"/>
      <c r="O174" s="299"/>
      <c r="P174" s="298"/>
      <c r="Q174" s="299"/>
      <c r="R174" s="298"/>
      <c r="S174" s="261"/>
      <c r="T174" s="250"/>
      <c r="U174" s="298"/>
      <c r="V174" s="299"/>
      <c r="W174" s="298"/>
      <c r="X174" s="299"/>
      <c r="Y174" s="298"/>
      <c r="Z174" s="261"/>
      <c r="AA174" s="250"/>
      <c r="AB174" s="298"/>
      <c r="AC174" s="299"/>
      <c r="AD174" s="298"/>
      <c r="AE174" s="299"/>
      <c r="AF174" s="298"/>
      <c r="AG174" s="261"/>
      <c r="AH174" s="299"/>
      <c r="AI174" s="298"/>
      <c r="AJ174" s="299"/>
      <c r="AK174" s="298"/>
      <c r="AL174" s="299"/>
      <c r="AM174" s="298"/>
      <c r="AN174" s="261"/>
      <c r="AO174" s="506"/>
      <c r="AP174" s="298"/>
      <c r="AQ174" s="300"/>
      <c r="AR174" s="298"/>
      <c r="AS174" s="300"/>
      <c r="AT174" s="254" t="str">
        <f t="shared" si="36"/>
        <v/>
      </c>
      <c r="AU174" s="269"/>
      <c r="AV174" s="269"/>
    </row>
    <row r="175">
      <c r="A175" s="94"/>
      <c r="B175" s="301" t="s">
        <v>651</v>
      </c>
      <c r="C175" s="302" t="s">
        <v>652</v>
      </c>
      <c r="D175" s="311" t="s">
        <v>432</v>
      </c>
      <c r="E175" s="259"/>
      <c r="F175" s="303"/>
      <c r="G175" s="298"/>
      <c r="H175" s="303"/>
      <c r="I175" s="298"/>
      <c r="J175" s="303"/>
      <c r="K175" s="298"/>
      <c r="L175" s="261"/>
      <c r="M175" s="250"/>
      <c r="N175" s="298"/>
      <c r="O175" s="303"/>
      <c r="P175" s="298"/>
      <c r="Q175" s="303"/>
      <c r="R175" s="298"/>
      <c r="S175" s="261"/>
      <c r="T175" s="250"/>
      <c r="U175" s="298"/>
      <c r="V175" s="303"/>
      <c r="W175" s="298"/>
      <c r="X175" s="303"/>
      <c r="Y175" s="298"/>
      <c r="Z175" s="261"/>
      <c r="AA175" s="250"/>
      <c r="AB175" s="298"/>
      <c r="AC175" s="303"/>
      <c r="AD175" s="298"/>
      <c r="AE175" s="303"/>
      <c r="AF175" s="298"/>
      <c r="AG175" s="261"/>
      <c r="AH175" s="303"/>
      <c r="AI175" s="298"/>
      <c r="AJ175" s="303"/>
      <c r="AK175" s="298"/>
      <c r="AL175" s="303"/>
      <c r="AM175" s="298"/>
      <c r="AN175" s="261"/>
      <c r="AO175" s="506"/>
      <c r="AP175" s="298"/>
      <c r="AQ175" s="304"/>
      <c r="AR175" s="298"/>
      <c r="AS175" s="304"/>
      <c r="AT175" s="254" t="str">
        <f t="shared" ref="AT175:AT176" si="37">IF(COUNTIF($AO$79:$AT$81, AS176) &gt; 0, "X", "")</f>
        <v/>
      </c>
      <c r="AU175" s="269"/>
      <c r="AV175" s="269"/>
    </row>
    <row r="176">
      <c r="A176" s="94"/>
      <c r="B176" s="305" t="s">
        <v>653</v>
      </c>
      <c r="C176" s="306" t="s">
        <v>654</v>
      </c>
      <c r="D176" s="243"/>
      <c r="E176" s="259"/>
      <c r="F176" s="307"/>
      <c r="G176" s="298"/>
      <c r="H176" s="307"/>
      <c r="I176" s="298"/>
      <c r="J176" s="307"/>
      <c r="K176" s="298"/>
      <c r="L176" s="261"/>
      <c r="M176" s="250"/>
      <c r="N176" s="298"/>
      <c r="O176" s="307"/>
      <c r="P176" s="298"/>
      <c r="Q176" s="307"/>
      <c r="R176" s="298"/>
      <c r="S176" s="261"/>
      <c r="T176" s="250"/>
      <c r="U176" s="298"/>
      <c r="V176" s="307"/>
      <c r="W176" s="298"/>
      <c r="X176" s="307"/>
      <c r="Y176" s="298"/>
      <c r="Z176" s="261"/>
      <c r="AA176" s="250"/>
      <c r="AB176" s="298"/>
      <c r="AC176" s="307"/>
      <c r="AD176" s="298"/>
      <c r="AE176" s="307"/>
      <c r="AF176" s="298"/>
      <c r="AG176" s="261"/>
      <c r="AH176" s="307"/>
      <c r="AI176" s="298"/>
      <c r="AJ176" s="307"/>
      <c r="AK176" s="298"/>
      <c r="AL176" s="307"/>
      <c r="AM176" s="298"/>
      <c r="AN176" s="261"/>
      <c r="AO176" s="506"/>
      <c r="AP176" s="298"/>
      <c r="AQ176" s="307"/>
      <c r="AR176" s="298"/>
      <c r="AS176" s="307"/>
      <c r="AT176" s="254" t="str">
        <f t="shared" si="37"/>
        <v/>
      </c>
      <c r="AU176" s="269"/>
      <c r="AV176" s="269"/>
    </row>
    <row r="177">
      <c r="A177" s="94"/>
      <c r="B177" s="310" t="s">
        <v>656</v>
      </c>
      <c r="C177" s="278" t="s">
        <v>657</v>
      </c>
      <c r="D177" s="243"/>
      <c r="E177" s="259"/>
      <c r="F177" s="281"/>
      <c r="G177" s="246"/>
      <c r="H177" s="282"/>
      <c r="I177" s="246"/>
      <c r="K177" s="246"/>
      <c r="L177" s="261"/>
      <c r="M177" s="250"/>
      <c r="N177" s="246"/>
      <c r="O177" s="274" t="s">
        <v>458</v>
      </c>
      <c r="P177" s="246"/>
      <c r="Q177" s="281"/>
      <c r="R177" s="246"/>
      <c r="S177" s="261"/>
      <c r="T177" s="250"/>
      <c r="U177" s="246"/>
      <c r="V177" s="282"/>
      <c r="W177" s="246"/>
      <c r="X177" s="282"/>
      <c r="Y177" s="246"/>
      <c r="Z177" s="261"/>
      <c r="AA177" s="250"/>
      <c r="AB177" s="246"/>
      <c r="AC177" s="282"/>
      <c r="AD177" s="246"/>
      <c r="AE177" s="274" t="s">
        <v>449</v>
      </c>
      <c r="AF177" s="246"/>
      <c r="AG177" s="261"/>
      <c r="AH177" s="282"/>
      <c r="AI177" s="246"/>
      <c r="AJ177" s="282"/>
      <c r="AK177" s="246"/>
      <c r="AL177" s="282"/>
      <c r="AM177" s="246"/>
      <c r="AN177" s="261"/>
      <c r="AO177" s="506"/>
      <c r="AP177" s="246"/>
      <c r="AQ177" s="276"/>
      <c r="AR177" s="246"/>
      <c r="AS177" s="276"/>
      <c r="AT177" s="254" t="str">
        <f t="shared" ref="AT177:AT182" si="38">IF(COUNTIF($AO$79:$AT$81, #REF!) &gt; 0, "X", "")</f>
        <v/>
      </c>
      <c r="AU177" s="269"/>
      <c r="AV177" s="269"/>
    </row>
    <row r="178">
      <c r="A178" s="94"/>
      <c r="B178" s="277" t="s">
        <v>658</v>
      </c>
      <c r="C178" s="278" t="s">
        <v>657</v>
      </c>
      <c r="D178" s="243"/>
      <c r="E178" s="259"/>
      <c r="F178" s="282"/>
      <c r="G178" s="246"/>
      <c r="H178" s="282"/>
      <c r="I178" s="246"/>
      <c r="K178" s="246"/>
      <c r="L178" s="261"/>
      <c r="M178" s="250"/>
      <c r="N178" s="246"/>
      <c r="O178" s="311" t="s">
        <v>434</v>
      </c>
      <c r="P178" s="246"/>
      <c r="R178" s="246"/>
      <c r="S178" s="261"/>
      <c r="T178" s="250"/>
      <c r="U178" s="246"/>
      <c r="W178" s="246"/>
      <c r="X178" s="282"/>
      <c r="Y178" s="246"/>
      <c r="Z178" s="261"/>
      <c r="AA178" s="250"/>
      <c r="AB178" s="246"/>
      <c r="AC178" s="282"/>
      <c r="AD178" s="246"/>
      <c r="AE178" s="311" t="s">
        <v>434</v>
      </c>
      <c r="AF178" s="246"/>
      <c r="AG178" s="261"/>
      <c r="AH178" s="282"/>
      <c r="AI178" s="246"/>
      <c r="AJ178" s="282"/>
      <c r="AK178" s="246"/>
      <c r="AL178" s="282"/>
      <c r="AM178" s="246"/>
      <c r="AN178" s="261"/>
      <c r="AO178" s="506"/>
      <c r="AP178" s="246"/>
      <c r="AR178" s="246"/>
      <c r="AT178" s="254" t="str">
        <f t="shared" si="38"/>
        <v/>
      </c>
      <c r="AU178" s="269"/>
      <c r="AV178" s="269"/>
    </row>
    <row r="179">
      <c r="A179" s="94"/>
      <c r="B179" s="314" t="s">
        <v>660</v>
      </c>
      <c r="C179" s="315" t="s">
        <v>649</v>
      </c>
      <c r="D179" s="243"/>
      <c r="E179" s="259"/>
      <c r="F179" s="286"/>
      <c r="G179" s="246"/>
      <c r="H179" s="645" t="s">
        <v>417</v>
      </c>
      <c r="I179" s="246"/>
      <c r="J179" s="353" t="s">
        <v>424</v>
      </c>
      <c r="K179" s="246"/>
      <c r="L179" s="261"/>
      <c r="M179" s="316"/>
      <c r="N179" s="246"/>
      <c r="O179" s="645" t="s">
        <v>417</v>
      </c>
      <c r="P179" s="246"/>
      <c r="Q179" s="632" t="s">
        <v>423</v>
      </c>
      <c r="R179" s="246"/>
      <c r="S179" s="261"/>
      <c r="T179" s="316"/>
      <c r="U179" s="246"/>
      <c r="V179" s="645" t="s">
        <v>417</v>
      </c>
      <c r="W179" s="246"/>
      <c r="X179" s="353" t="s">
        <v>424</v>
      </c>
      <c r="Y179" s="246"/>
      <c r="Z179" s="261"/>
      <c r="AA179" s="316"/>
      <c r="AB179" s="246"/>
      <c r="AC179" s="645" t="s">
        <v>417</v>
      </c>
      <c r="AD179" s="246"/>
      <c r="AE179" s="293" t="s">
        <v>424</v>
      </c>
      <c r="AF179" s="246"/>
      <c r="AG179" s="261"/>
      <c r="AH179" s="317"/>
      <c r="AI179" s="246"/>
      <c r="AJ179" s="293" t="s">
        <v>416</v>
      </c>
      <c r="AK179" s="246"/>
      <c r="AL179" s="353" t="s">
        <v>424</v>
      </c>
      <c r="AM179" s="246"/>
      <c r="AN179" s="261"/>
      <c r="AO179" s="506"/>
      <c r="AP179" s="246"/>
      <c r="AQ179" s="293" t="s">
        <v>416</v>
      </c>
      <c r="AR179" s="246"/>
      <c r="AS179" s="632" t="s">
        <v>423</v>
      </c>
      <c r="AT179" s="254" t="str">
        <f t="shared" si="38"/>
        <v/>
      </c>
      <c r="AU179" s="269"/>
      <c r="AV179" s="269"/>
    </row>
    <row r="180">
      <c r="A180" s="94"/>
      <c r="B180" s="296" t="s">
        <v>650</v>
      </c>
      <c r="C180" s="297" t="s">
        <v>649</v>
      </c>
      <c r="D180" s="243"/>
      <c r="E180" s="259"/>
      <c r="F180" s="250"/>
      <c r="G180" s="298"/>
      <c r="H180" s="300"/>
      <c r="I180" s="298"/>
      <c r="J180" s="300"/>
      <c r="K180" s="298"/>
      <c r="L180" s="261"/>
      <c r="M180" s="250"/>
      <c r="N180" s="298"/>
      <c r="O180" s="300"/>
      <c r="P180" s="298"/>
      <c r="Q180" s="300"/>
      <c r="R180" s="298"/>
      <c r="S180" s="261"/>
      <c r="T180" s="250"/>
      <c r="U180" s="298"/>
      <c r="V180" s="300"/>
      <c r="W180" s="298"/>
      <c r="X180" s="632" t="s">
        <v>423</v>
      </c>
      <c r="Y180" s="298"/>
      <c r="Z180" s="261"/>
      <c r="AA180" s="250"/>
      <c r="AB180" s="298"/>
      <c r="AC180" s="319"/>
      <c r="AD180" s="298"/>
      <c r="AE180" s="356" t="s">
        <v>423</v>
      </c>
      <c r="AF180" s="298"/>
      <c r="AG180" s="261"/>
      <c r="AH180" s="317"/>
      <c r="AI180" s="298"/>
      <c r="AJ180" s="300"/>
      <c r="AK180" s="298"/>
      <c r="AL180" s="300"/>
      <c r="AM180" s="298"/>
      <c r="AN180" s="261"/>
      <c r="AO180" s="506"/>
      <c r="AP180" s="298"/>
      <c r="AQ180" s="300"/>
      <c r="AR180" s="298"/>
      <c r="AS180" s="299"/>
      <c r="AT180" s="254" t="str">
        <f t="shared" si="38"/>
        <v/>
      </c>
      <c r="AU180" s="269"/>
      <c r="AV180" s="269"/>
    </row>
    <row r="181">
      <c r="A181" s="94"/>
      <c r="B181" s="301" t="s">
        <v>651</v>
      </c>
      <c r="C181" s="302" t="s">
        <v>652</v>
      </c>
      <c r="D181" s="323"/>
      <c r="E181" s="259"/>
      <c r="F181" s="279"/>
      <c r="G181" s="298"/>
      <c r="H181" s="303"/>
      <c r="I181" s="298"/>
      <c r="J181" s="484"/>
      <c r="K181" s="298"/>
      <c r="L181" s="261"/>
      <c r="M181" s="250"/>
      <c r="N181" s="298"/>
      <c r="O181" s="303"/>
      <c r="P181" s="298"/>
      <c r="Q181" s="484"/>
      <c r="R181" s="298"/>
      <c r="S181" s="261"/>
      <c r="T181" s="250"/>
      <c r="U181" s="298"/>
      <c r="V181" s="303"/>
      <c r="W181" s="298"/>
      <c r="X181" s="484"/>
      <c r="Y181" s="298"/>
      <c r="Z181" s="261"/>
      <c r="AA181" s="250"/>
      <c r="AB181" s="298"/>
      <c r="AC181" s="303"/>
      <c r="AD181" s="298"/>
      <c r="AE181" s="303"/>
      <c r="AF181" s="298"/>
      <c r="AG181" s="261"/>
      <c r="AH181" s="320"/>
      <c r="AI181" s="298"/>
      <c r="AJ181" s="303"/>
      <c r="AK181" s="298"/>
      <c r="AL181" s="303"/>
      <c r="AM181" s="298"/>
      <c r="AN181" s="261"/>
      <c r="AO181" s="506"/>
      <c r="AP181" s="298"/>
      <c r="AQ181" s="303"/>
      <c r="AR181" s="298"/>
      <c r="AS181" s="303"/>
      <c r="AT181" s="254" t="str">
        <f t="shared" si="38"/>
        <v/>
      </c>
      <c r="AU181" s="269"/>
      <c r="AV181" s="269"/>
    </row>
    <row r="182">
      <c r="A182" s="94"/>
      <c r="B182" s="322" t="s">
        <v>662</v>
      </c>
      <c r="C182" s="306" t="s">
        <v>663</v>
      </c>
      <c r="D182" s="330"/>
      <c r="E182" s="259"/>
      <c r="F182" s="250"/>
      <c r="G182" s="298"/>
      <c r="H182" s="307"/>
      <c r="I182" s="298"/>
      <c r="J182" s="309" t="s">
        <v>414</v>
      </c>
      <c r="K182" s="298"/>
      <c r="L182" s="261"/>
      <c r="M182" s="324"/>
      <c r="N182" s="298"/>
      <c r="O182" s="307"/>
      <c r="P182" s="298"/>
      <c r="Q182" s="307"/>
      <c r="R182" s="298"/>
      <c r="S182" s="261"/>
      <c r="T182" s="324"/>
      <c r="U182" s="298"/>
      <c r="V182" s="307"/>
      <c r="W182" s="298"/>
      <c r="X182" s="309" t="s">
        <v>409</v>
      </c>
      <c r="Y182" s="298"/>
      <c r="Z182" s="261"/>
      <c r="AA182" s="324"/>
      <c r="AB182" s="298"/>
      <c r="AC182" s="307"/>
      <c r="AD182" s="298"/>
      <c r="AE182" s="309" t="s">
        <v>414</v>
      </c>
      <c r="AF182" s="298"/>
      <c r="AG182" s="261"/>
      <c r="AH182" s="317"/>
      <c r="AI182" s="298"/>
      <c r="AJ182" s="307"/>
      <c r="AK182" s="298"/>
      <c r="AL182" s="307"/>
      <c r="AM182" s="298"/>
      <c r="AN182" s="261"/>
      <c r="AO182" s="506"/>
      <c r="AP182" s="298"/>
      <c r="AQ182" s="307"/>
      <c r="AR182" s="298"/>
      <c r="AS182" s="307"/>
      <c r="AT182" s="254" t="str">
        <f t="shared" si="38"/>
        <v/>
      </c>
      <c r="AU182" s="269"/>
      <c r="AV182" s="269"/>
    </row>
    <row r="183">
      <c r="A183" s="94"/>
      <c r="B183" s="328" t="s">
        <v>665</v>
      </c>
      <c r="C183" s="329" t="s">
        <v>654</v>
      </c>
      <c r="D183" s="330"/>
      <c r="E183" s="259"/>
      <c r="F183" s="286"/>
      <c r="G183" s="246"/>
      <c r="H183" s="274" t="s">
        <v>458</v>
      </c>
      <c r="I183" s="246"/>
      <c r="J183" s="311" t="s">
        <v>434</v>
      </c>
      <c r="K183" s="246"/>
      <c r="L183" s="261"/>
      <c r="M183" s="333"/>
      <c r="N183" s="246"/>
      <c r="O183" s="336" t="s">
        <v>398</v>
      </c>
      <c r="P183" s="246"/>
      <c r="Q183" s="274" t="s">
        <v>449</v>
      </c>
      <c r="R183" s="246"/>
      <c r="S183" s="261"/>
      <c r="T183" s="333"/>
      <c r="U183" s="246"/>
      <c r="V183" s="280" t="s">
        <v>458</v>
      </c>
      <c r="W183" s="246"/>
      <c r="X183" s="311" t="s">
        <v>434</v>
      </c>
      <c r="Y183" s="246"/>
      <c r="Z183" s="261"/>
      <c r="AA183" s="333"/>
      <c r="AB183" s="246"/>
      <c r="AC183" s="274" t="s">
        <v>439</v>
      </c>
      <c r="AD183" s="246"/>
      <c r="AE183" s="274" t="s">
        <v>409</v>
      </c>
      <c r="AF183" s="246"/>
      <c r="AG183" s="261"/>
      <c r="AH183" s="317"/>
      <c r="AI183" s="246"/>
      <c r="AJ183" s="274" t="s">
        <v>439</v>
      </c>
      <c r="AK183" s="246"/>
      <c r="AL183" s="311" t="s">
        <v>434</v>
      </c>
      <c r="AM183" s="246"/>
      <c r="AN183" s="261"/>
      <c r="AO183" s="506"/>
      <c r="AP183" s="246"/>
      <c r="AQ183" s="280" t="s">
        <v>458</v>
      </c>
      <c r="AR183" s="246"/>
      <c r="AS183" s="274" t="s">
        <v>449</v>
      </c>
      <c r="AT183" s="254" t="str">
        <f>IF(COUNTIF($AO$79:$AT$81, AH191) &gt; 0, "X", "")</f>
        <v/>
      </c>
      <c r="AU183" s="269"/>
      <c r="AV183" s="269"/>
    </row>
    <row r="184">
      <c r="A184" s="94"/>
      <c r="B184" s="337" t="s">
        <v>665</v>
      </c>
      <c r="C184" s="338" t="s">
        <v>657</v>
      </c>
      <c r="D184" s="330"/>
      <c r="E184" s="259"/>
      <c r="F184" s="286"/>
      <c r="G184" s="246"/>
      <c r="H184" s="124" t="s">
        <v>409</v>
      </c>
      <c r="I184" s="246"/>
      <c r="J184" s="339" t="s">
        <v>447</v>
      </c>
      <c r="K184" s="246"/>
      <c r="L184" s="261"/>
      <c r="M184" s="324"/>
      <c r="N184" s="246"/>
      <c r="O184" s="336" t="s">
        <v>450</v>
      </c>
      <c r="P184" s="246"/>
      <c r="Q184" s="339" t="s">
        <v>468</v>
      </c>
      <c r="R184" s="246"/>
      <c r="S184" s="261"/>
      <c r="T184" s="324"/>
      <c r="U184" s="246"/>
      <c r="V184" s="274" t="s">
        <v>439</v>
      </c>
      <c r="W184" s="246"/>
      <c r="X184" s="274" t="s">
        <v>448</v>
      </c>
      <c r="Y184" s="246"/>
      <c r="Z184" s="261"/>
      <c r="AA184" s="324"/>
      <c r="AB184" s="246"/>
      <c r="AC184" s="336" t="s">
        <v>450</v>
      </c>
      <c r="AD184" s="246"/>
      <c r="AE184" s="274" t="s">
        <v>443</v>
      </c>
      <c r="AF184" s="246"/>
      <c r="AG184" s="261"/>
      <c r="AH184" s="317"/>
      <c r="AI184" s="246"/>
      <c r="AJ184" s="336" t="s">
        <v>398</v>
      </c>
      <c r="AK184" s="246"/>
      <c r="AL184" s="274" t="s">
        <v>443</v>
      </c>
      <c r="AM184" s="246"/>
      <c r="AN184" s="261"/>
      <c r="AO184" s="506"/>
      <c r="AP184" s="246"/>
      <c r="AQ184" s="311" t="s">
        <v>459</v>
      </c>
      <c r="AR184" s="246"/>
      <c r="AS184" s="339" t="s">
        <v>447</v>
      </c>
      <c r="AT184" s="254" t="str">
        <f t="shared" ref="AT184:AT195" si="39">IF(COUNTIF($AO$79:$AT$81, #REF!) &gt; 0, "X", "")</f>
        <v/>
      </c>
      <c r="AU184" s="269"/>
      <c r="AV184" s="269"/>
    </row>
    <row r="185">
      <c r="A185" s="94"/>
      <c r="B185" s="256" t="s">
        <v>665</v>
      </c>
      <c r="C185" s="257" t="s">
        <v>663</v>
      </c>
      <c r="D185" s="330"/>
      <c r="E185" s="259"/>
      <c r="F185" s="312"/>
      <c r="G185" s="246"/>
      <c r="I185" s="246"/>
      <c r="J185" s="274" t="s">
        <v>448</v>
      </c>
      <c r="K185" s="246"/>
      <c r="L185" s="261"/>
      <c r="M185" s="341"/>
      <c r="N185" s="246"/>
      <c r="P185" s="246"/>
      <c r="Q185" s="274" t="s">
        <v>448</v>
      </c>
      <c r="R185" s="246"/>
      <c r="S185" s="261"/>
      <c r="T185" s="341"/>
      <c r="U185" s="246"/>
      <c r="V185" s="274"/>
      <c r="W185" s="246"/>
      <c r="X185" s="274" t="s">
        <v>415</v>
      </c>
      <c r="Y185" s="246"/>
      <c r="Z185" s="261"/>
      <c r="AA185" s="341"/>
      <c r="AB185" s="246"/>
      <c r="AD185" s="246"/>
      <c r="AE185" s="339" t="s">
        <v>468</v>
      </c>
      <c r="AF185" s="246"/>
      <c r="AG185" s="261"/>
      <c r="AH185" s="320"/>
      <c r="AI185" s="246"/>
      <c r="AJ185" s="339" t="s">
        <v>431</v>
      </c>
      <c r="AK185" s="246"/>
      <c r="AL185" s="339" t="s">
        <v>468</v>
      </c>
      <c r="AM185" s="246"/>
      <c r="AN185" s="261"/>
      <c r="AO185" s="506"/>
      <c r="AP185" s="246"/>
      <c r="AQ185" s="274" t="s">
        <v>409</v>
      </c>
      <c r="AR185" s="246"/>
      <c r="AT185" s="254" t="str">
        <f t="shared" si="39"/>
        <v/>
      </c>
      <c r="AU185" s="269"/>
      <c r="AV185" s="269"/>
    </row>
    <row r="186">
      <c r="A186" s="94"/>
      <c r="B186" s="328" t="s">
        <v>665</v>
      </c>
      <c r="C186" s="329" t="s">
        <v>645</v>
      </c>
      <c r="D186" s="323"/>
      <c r="E186" s="261"/>
      <c r="G186" s="246"/>
      <c r="H186" s="336" t="s">
        <v>450</v>
      </c>
      <c r="I186" s="246"/>
      <c r="K186" s="246"/>
      <c r="L186" s="261"/>
      <c r="M186" s="341"/>
      <c r="N186" s="246"/>
      <c r="O186" s="274" t="s">
        <v>415</v>
      </c>
      <c r="P186" s="246"/>
      <c r="Q186" s="274" t="s">
        <v>409</v>
      </c>
      <c r="R186" s="246"/>
      <c r="S186" s="261"/>
      <c r="T186" s="341"/>
      <c r="U186" s="246"/>
      <c r="V186" s="336" t="s">
        <v>450</v>
      </c>
      <c r="W186" s="246"/>
      <c r="X186" s="339" t="s">
        <v>468</v>
      </c>
      <c r="Y186" s="246"/>
      <c r="Z186" s="261"/>
      <c r="AA186" s="341"/>
      <c r="AB186" s="246"/>
      <c r="AC186" s="274" t="s">
        <v>448</v>
      </c>
      <c r="AD186" s="246"/>
      <c r="AE186" s="664" t="s">
        <v>1029</v>
      </c>
      <c r="AF186" s="246"/>
      <c r="AG186" s="261"/>
      <c r="AH186" s="320"/>
      <c r="AI186" s="246"/>
      <c r="AJ186" s="336" t="s">
        <v>450</v>
      </c>
      <c r="AK186" s="246"/>
      <c r="AL186" s="274" t="s">
        <v>409</v>
      </c>
      <c r="AM186" s="246"/>
      <c r="AN186" s="261"/>
      <c r="AO186" s="506"/>
      <c r="AP186" s="246"/>
      <c r="AQ186" s="339" t="s">
        <v>431</v>
      </c>
      <c r="AR186" s="246"/>
      <c r="AS186" s="274" t="s">
        <v>448</v>
      </c>
      <c r="AT186" s="254" t="str">
        <f t="shared" si="39"/>
        <v/>
      </c>
      <c r="AU186" s="269"/>
      <c r="AV186" s="269"/>
    </row>
    <row r="187">
      <c r="A187" s="94"/>
      <c r="B187" s="342" t="s">
        <v>667</v>
      </c>
      <c r="C187" s="343" t="s">
        <v>657</v>
      </c>
      <c r="D187" s="351"/>
      <c r="E187" s="259"/>
      <c r="F187" s="345" t="s">
        <v>401</v>
      </c>
      <c r="G187" s="246"/>
      <c r="H187" s="282"/>
      <c r="I187" s="246"/>
      <c r="K187" s="246"/>
      <c r="L187" s="261"/>
      <c r="M187" s="346"/>
      <c r="N187" s="246"/>
      <c r="O187" s="345" t="s">
        <v>401</v>
      </c>
      <c r="P187" s="246"/>
      <c r="R187" s="246"/>
      <c r="S187" s="261"/>
      <c r="T187" s="345" t="s">
        <v>401</v>
      </c>
      <c r="U187" s="246"/>
      <c r="W187" s="246"/>
      <c r="Y187" s="246"/>
      <c r="Z187" s="261"/>
      <c r="AA187" s="690"/>
      <c r="AB187" s="246"/>
      <c r="AC187" s="347" t="s">
        <v>401</v>
      </c>
      <c r="AD187" s="246"/>
      <c r="AF187" s="246"/>
      <c r="AG187" s="261"/>
      <c r="AH187" s="345" t="s">
        <v>401</v>
      </c>
      <c r="AI187" s="246"/>
      <c r="AK187" s="246"/>
      <c r="AL187" s="339"/>
      <c r="AM187" s="246"/>
      <c r="AN187" s="261"/>
      <c r="AO187" s="506"/>
      <c r="AP187" s="246"/>
      <c r="AQ187" s="345"/>
      <c r="AR187" s="246"/>
      <c r="AT187" s="254" t="str">
        <f t="shared" si="39"/>
        <v/>
      </c>
      <c r="AU187" s="269"/>
      <c r="AV187" s="269"/>
    </row>
    <row r="188">
      <c r="A188" s="94"/>
      <c r="B188" s="349" t="s">
        <v>669</v>
      </c>
      <c r="C188" s="350" t="s">
        <v>649</v>
      </c>
      <c r="D188" s="323"/>
      <c r="E188" s="259"/>
      <c r="F188" s="293" t="s">
        <v>422</v>
      </c>
      <c r="G188" s="246"/>
      <c r="H188" s="633" t="s">
        <v>420</v>
      </c>
      <c r="I188" s="246"/>
      <c r="J188" s="632" t="s">
        <v>423</v>
      </c>
      <c r="K188" s="246"/>
      <c r="L188" s="261"/>
      <c r="M188" s="354"/>
      <c r="N188" s="246"/>
      <c r="O188" s="355" t="s">
        <v>420</v>
      </c>
      <c r="P188" s="246"/>
      <c r="Q188" s="353" t="s">
        <v>424</v>
      </c>
      <c r="R188" s="246"/>
      <c r="S188" s="261"/>
      <c r="T188" s="354"/>
      <c r="U188" s="246"/>
      <c r="V188" s="353" t="s">
        <v>426</v>
      </c>
      <c r="W188" s="246"/>
      <c r="X188" s="355" t="s">
        <v>420</v>
      </c>
      <c r="Y188" s="246"/>
      <c r="Z188" s="261"/>
      <c r="AA188" s="354"/>
      <c r="AB188" s="246"/>
      <c r="AC188" s="355" t="s">
        <v>670</v>
      </c>
      <c r="AD188" s="246"/>
      <c r="AE188" s="293" t="s">
        <v>422</v>
      </c>
      <c r="AF188" s="246"/>
      <c r="AG188" s="261"/>
      <c r="AH188" s="353" t="s">
        <v>426</v>
      </c>
      <c r="AI188" s="246"/>
      <c r="AJ188" s="357" t="s">
        <v>420</v>
      </c>
      <c r="AK188" s="246"/>
      <c r="AL188" s="293" t="s">
        <v>422</v>
      </c>
      <c r="AM188" s="246"/>
      <c r="AN188" s="261"/>
      <c r="AO188" s="506"/>
      <c r="AP188" s="246"/>
      <c r="AQ188" s="353" t="s">
        <v>426</v>
      </c>
      <c r="AR188" s="246"/>
      <c r="AS188" s="353" t="s">
        <v>422</v>
      </c>
      <c r="AT188" s="254" t="str">
        <f t="shared" si="39"/>
        <v/>
      </c>
      <c r="AU188" s="269"/>
      <c r="AV188" s="269"/>
    </row>
    <row r="189">
      <c r="A189" s="234"/>
      <c r="B189" s="296" t="s">
        <v>650</v>
      </c>
      <c r="C189" s="297" t="s">
        <v>649</v>
      </c>
      <c r="D189" s="330"/>
      <c r="E189" s="259"/>
      <c r="F189" s="299"/>
      <c r="G189" s="298"/>
      <c r="H189" s="299"/>
      <c r="I189" s="298"/>
      <c r="J189" s="358"/>
      <c r="K189" s="298"/>
      <c r="L189" s="261"/>
      <c r="M189" s="324"/>
      <c r="N189" s="298"/>
      <c r="O189" s="617" t="s">
        <v>397</v>
      </c>
      <c r="P189" s="298"/>
      <c r="Q189" s="319"/>
      <c r="R189" s="298"/>
      <c r="S189" s="261"/>
      <c r="T189" s="324"/>
      <c r="U189" s="298"/>
      <c r="V189" s="319"/>
      <c r="W189" s="298"/>
      <c r="X189" s="319"/>
      <c r="Y189" s="298"/>
      <c r="Z189" s="261"/>
      <c r="AA189" s="324"/>
      <c r="AB189" s="298"/>
      <c r="AC189" s="319"/>
      <c r="AD189" s="298"/>
      <c r="AE189" s="319"/>
      <c r="AF189" s="298"/>
      <c r="AG189" s="261"/>
      <c r="AH189" s="319"/>
      <c r="AI189" s="298"/>
      <c r="AJ189" s="319"/>
      <c r="AK189" s="298"/>
      <c r="AL189" s="319"/>
      <c r="AM189" s="298"/>
      <c r="AN189" s="261"/>
      <c r="AO189" s="506"/>
      <c r="AP189" s="298"/>
      <c r="AQ189" s="359"/>
      <c r="AR189" s="298"/>
      <c r="AS189" s="359"/>
      <c r="AT189" s="254" t="str">
        <f t="shared" si="39"/>
        <v/>
      </c>
      <c r="AU189" s="269"/>
      <c r="AV189" s="269"/>
    </row>
    <row r="190">
      <c r="A190" s="94"/>
      <c r="B190" s="301" t="s">
        <v>651</v>
      </c>
      <c r="C190" s="302" t="s">
        <v>652</v>
      </c>
      <c r="D190" s="363"/>
      <c r="E190" s="259"/>
      <c r="F190" s="303"/>
      <c r="G190" s="298"/>
      <c r="H190" s="360" t="s">
        <v>1030</v>
      </c>
      <c r="I190" s="298"/>
      <c r="J190" s="303"/>
      <c r="K190" s="298"/>
      <c r="L190" s="261"/>
      <c r="M190" s="250"/>
      <c r="N190" s="298"/>
      <c r="O190" s="360" t="s">
        <v>1030</v>
      </c>
      <c r="P190" s="298"/>
      <c r="Q190" s="303"/>
      <c r="R190" s="298"/>
      <c r="S190" s="261"/>
      <c r="T190" s="250"/>
      <c r="U190" s="298"/>
      <c r="V190" s="601" t="s">
        <v>394</v>
      </c>
      <c r="W190" s="298"/>
      <c r="X190" s="303"/>
      <c r="Y190" s="298"/>
      <c r="Z190" s="261"/>
      <c r="AA190" s="250"/>
      <c r="AB190" s="298"/>
      <c r="AC190" s="303"/>
      <c r="AD190" s="298"/>
      <c r="AE190" s="303"/>
      <c r="AF190" s="298"/>
      <c r="AG190" s="261"/>
      <c r="AH190" s="303"/>
      <c r="AI190" s="298"/>
      <c r="AJ190" s="360" t="s">
        <v>1030</v>
      </c>
      <c r="AK190" s="298"/>
      <c r="AL190" s="484"/>
      <c r="AM190" s="298"/>
      <c r="AN190" s="261"/>
      <c r="AO190" s="506"/>
      <c r="AP190" s="298"/>
      <c r="AQ190" s="303"/>
      <c r="AR190" s="298"/>
      <c r="AS190" s="303"/>
      <c r="AT190" s="254" t="str">
        <f t="shared" si="39"/>
        <v/>
      </c>
      <c r="AU190" s="269"/>
      <c r="AV190" s="269"/>
    </row>
    <row r="191">
      <c r="A191" s="94"/>
      <c r="B191" s="361" t="s">
        <v>673</v>
      </c>
      <c r="C191" s="362" t="s">
        <v>674</v>
      </c>
      <c r="D191" s="369"/>
      <c r="E191" s="259"/>
      <c r="F191" s="274" t="s">
        <v>443</v>
      </c>
      <c r="G191" s="298"/>
      <c r="H191" s="532" t="s">
        <v>675</v>
      </c>
      <c r="I191" s="298"/>
      <c r="J191" s="251" t="s">
        <v>433</v>
      </c>
      <c r="K191" s="298"/>
      <c r="L191" s="261"/>
      <c r="M191" s="324"/>
      <c r="N191" s="298"/>
      <c r="O191" s="283" t="s">
        <v>412</v>
      </c>
      <c r="P191" s="298"/>
      <c r="Q191" s="311" t="s">
        <v>394</v>
      </c>
      <c r="R191" s="298"/>
      <c r="S191" s="261"/>
      <c r="T191" s="324"/>
      <c r="U191" s="298"/>
      <c r="V191" s="532" t="s">
        <v>978</v>
      </c>
      <c r="W191" s="298"/>
      <c r="X191" s="251" t="s">
        <v>457</v>
      </c>
      <c r="Y191" s="298"/>
      <c r="Z191" s="261"/>
      <c r="AA191" s="324"/>
      <c r="AB191" s="298"/>
      <c r="AC191" s="311" t="s">
        <v>438</v>
      </c>
      <c r="AD191" s="298"/>
      <c r="AE191" s="251" t="s">
        <v>457</v>
      </c>
      <c r="AF191" s="298"/>
      <c r="AG191" s="261"/>
      <c r="AH191" s="251" t="s">
        <v>433</v>
      </c>
      <c r="AI191" s="298"/>
      <c r="AJ191" s="251" t="s">
        <v>457</v>
      </c>
      <c r="AK191" s="298"/>
      <c r="AL191" s="311" t="s">
        <v>394</v>
      </c>
      <c r="AM191" s="298"/>
      <c r="AN191" s="261"/>
      <c r="AO191" s="506"/>
      <c r="AP191" s="298"/>
      <c r="AQ191" s="311" t="s">
        <v>438</v>
      </c>
      <c r="AR191" s="298"/>
      <c r="AS191" s="251" t="s">
        <v>457</v>
      </c>
      <c r="AT191" s="254" t="str">
        <f t="shared" si="39"/>
        <v/>
      </c>
      <c r="AU191" s="269"/>
      <c r="AV191" s="269"/>
    </row>
    <row r="192">
      <c r="A192" s="94"/>
      <c r="B192" s="367" t="s">
        <v>677</v>
      </c>
      <c r="C192" s="368" t="s">
        <v>674</v>
      </c>
      <c r="D192" s="330"/>
      <c r="E192" s="259"/>
      <c r="F192" s="282"/>
      <c r="G192" s="246"/>
      <c r="H192" s="311" t="s">
        <v>438</v>
      </c>
      <c r="I192" s="246"/>
      <c r="K192" s="246"/>
      <c r="L192" s="261"/>
      <c r="M192" s="250"/>
      <c r="N192" s="246"/>
      <c r="O192" s="282"/>
      <c r="P192" s="246"/>
      <c r="R192" s="246"/>
      <c r="S192" s="261"/>
      <c r="T192" s="250"/>
      <c r="U192" s="246"/>
      <c r="W192" s="246"/>
      <c r="Y192" s="246"/>
      <c r="Z192" s="261"/>
      <c r="AA192" s="250"/>
      <c r="AB192" s="246"/>
      <c r="AC192" s="282"/>
      <c r="AD192" s="246"/>
      <c r="AE192" s="282"/>
      <c r="AF192" s="246"/>
      <c r="AG192" s="261"/>
      <c r="AH192" s="371"/>
      <c r="AI192" s="246"/>
      <c r="AK192" s="246"/>
      <c r="AL192" s="282"/>
      <c r="AM192" s="246"/>
      <c r="AN192" s="261"/>
      <c r="AO192" s="506"/>
      <c r="AP192" s="246"/>
      <c r="AR192" s="246"/>
      <c r="AT192" s="254" t="str">
        <f t="shared" si="39"/>
        <v/>
      </c>
      <c r="AU192" s="269"/>
      <c r="AV192" s="269"/>
    </row>
    <row r="193">
      <c r="A193" s="94"/>
      <c r="B193" s="256" t="s">
        <v>679</v>
      </c>
      <c r="C193" s="257" t="s">
        <v>680</v>
      </c>
      <c r="D193" s="330"/>
      <c r="E193" s="259"/>
      <c r="F193" s="311" t="s">
        <v>393</v>
      </c>
      <c r="G193" s="246"/>
      <c r="H193" s="374" t="s">
        <v>436</v>
      </c>
      <c r="I193" s="246"/>
      <c r="J193" s="311" t="s">
        <v>439</v>
      </c>
      <c r="K193" s="246"/>
      <c r="L193" s="261"/>
      <c r="M193" s="333"/>
      <c r="N193" s="246"/>
      <c r="O193" s="374" t="s">
        <v>436</v>
      </c>
      <c r="P193" s="246"/>
      <c r="Q193" s="274" t="s">
        <v>443</v>
      </c>
      <c r="R193" s="246"/>
      <c r="S193" s="261"/>
      <c r="T193" s="333"/>
      <c r="U193" s="246"/>
      <c r="V193" s="374" t="s">
        <v>436</v>
      </c>
      <c r="W193" s="246"/>
      <c r="X193" s="274" t="s">
        <v>443</v>
      </c>
      <c r="Y193" s="246"/>
      <c r="Z193" s="261"/>
      <c r="AA193" s="333"/>
      <c r="AB193" s="246"/>
      <c r="AC193" s="728" t="s">
        <v>398</v>
      </c>
      <c r="AD193" s="246"/>
      <c r="AE193" s="365" t="s">
        <v>433</v>
      </c>
      <c r="AF193" s="246"/>
      <c r="AG193" s="261"/>
      <c r="AH193" s="311" t="s">
        <v>393</v>
      </c>
      <c r="AI193" s="246"/>
      <c r="AJ193" s="374" t="s">
        <v>436</v>
      </c>
      <c r="AK193" s="246"/>
      <c r="AL193" s="274" t="s">
        <v>437</v>
      </c>
      <c r="AM193" s="246"/>
      <c r="AN193" s="261"/>
      <c r="AO193" s="506"/>
      <c r="AP193" s="246"/>
      <c r="AQ193" s="336" t="s">
        <v>398</v>
      </c>
      <c r="AR193" s="246"/>
      <c r="AS193" s="251" t="s">
        <v>433</v>
      </c>
      <c r="AT193" s="254" t="str">
        <f t="shared" si="39"/>
        <v/>
      </c>
      <c r="AU193" s="269"/>
      <c r="AV193" s="269"/>
    </row>
    <row r="194">
      <c r="A194" s="372"/>
      <c r="B194" s="328" t="s">
        <v>679</v>
      </c>
      <c r="C194" s="329" t="s">
        <v>652</v>
      </c>
      <c r="D194" s="330"/>
      <c r="E194" s="259"/>
      <c r="G194" s="246"/>
      <c r="I194" s="246"/>
      <c r="K194" s="246"/>
      <c r="L194" s="261"/>
      <c r="M194" s="346"/>
      <c r="N194" s="246"/>
      <c r="P194" s="246"/>
      <c r="R194" s="246"/>
      <c r="S194" s="261"/>
      <c r="T194" s="346"/>
      <c r="U194" s="246"/>
      <c r="W194" s="246"/>
      <c r="Y194" s="246"/>
      <c r="Z194" s="261"/>
      <c r="AA194" s="346"/>
      <c r="AB194" s="246"/>
      <c r="AD194" s="246"/>
      <c r="AE194" s="282"/>
      <c r="AF194" s="246"/>
      <c r="AG194" s="261"/>
      <c r="AI194" s="246"/>
      <c r="AK194" s="246"/>
      <c r="AM194" s="246"/>
      <c r="AN194" s="261"/>
      <c r="AO194" s="506"/>
      <c r="AP194" s="246"/>
      <c r="AR194" s="246"/>
      <c r="AT194" s="254" t="str">
        <f t="shared" si="39"/>
        <v/>
      </c>
      <c r="AU194" s="269"/>
      <c r="AV194" s="269"/>
    </row>
    <row r="195">
      <c r="A195" s="94"/>
      <c r="B195" s="328" t="s">
        <v>679</v>
      </c>
      <c r="C195" s="329" t="s">
        <v>683</v>
      </c>
      <c r="D195" s="379"/>
      <c r="E195" s="380"/>
      <c r="G195" s="246"/>
      <c r="H195" s="586" t="s">
        <v>397</v>
      </c>
      <c r="I195" s="246"/>
      <c r="J195" s="339" t="s">
        <v>468</v>
      </c>
      <c r="K195" s="246"/>
      <c r="L195" s="261"/>
      <c r="M195" s="341"/>
      <c r="N195" s="246"/>
      <c r="O195" s="274" t="s">
        <v>439</v>
      </c>
      <c r="P195" s="246"/>
      <c r="Q195" s="311" t="s">
        <v>455</v>
      </c>
      <c r="R195" s="246"/>
      <c r="S195" s="261"/>
      <c r="T195" s="341"/>
      <c r="U195" s="246"/>
      <c r="V195" s="376" t="s">
        <v>453</v>
      </c>
      <c r="W195" s="246"/>
      <c r="X195" s="251" t="s">
        <v>433</v>
      </c>
      <c r="Y195" s="246"/>
      <c r="Z195" s="261"/>
      <c r="AA195" s="341"/>
      <c r="AB195" s="246"/>
      <c r="AD195" s="246"/>
      <c r="AE195" s="311" t="s">
        <v>455</v>
      </c>
      <c r="AF195" s="246"/>
      <c r="AG195" s="261"/>
      <c r="AI195" s="246"/>
      <c r="AJ195" s="586" t="s">
        <v>397</v>
      </c>
      <c r="AK195" s="246"/>
      <c r="AL195" s="274" t="s">
        <v>414</v>
      </c>
      <c r="AM195" s="246"/>
      <c r="AN195" s="261"/>
      <c r="AO195" s="506"/>
      <c r="AP195" s="246"/>
      <c r="AQ195" s="586" t="s">
        <v>397</v>
      </c>
      <c r="AR195" s="246"/>
      <c r="AS195" s="311" t="s">
        <v>436</v>
      </c>
      <c r="AT195" s="254" t="str">
        <f t="shared" si="39"/>
        <v/>
      </c>
      <c r="AU195" s="269"/>
      <c r="AV195" s="269"/>
    </row>
    <row r="196">
      <c r="A196" s="94"/>
      <c r="B196" s="328"/>
      <c r="C196" s="329"/>
      <c r="D196" s="729"/>
      <c r="E196" s="380"/>
      <c r="G196" s="246"/>
      <c r="H196" s="311"/>
      <c r="I196" s="246"/>
      <c r="J196" s="339"/>
      <c r="K196" s="246"/>
      <c r="L196" s="261"/>
      <c r="M196" s="341"/>
      <c r="N196" s="246"/>
      <c r="O196" s="730"/>
      <c r="P196" s="246"/>
      <c r="Q196" s="311"/>
      <c r="R196" s="246"/>
      <c r="S196" s="261"/>
      <c r="T196" s="341"/>
      <c r="U196" s="246"/>
      <c r="V196" s="731"/>
      <c r="W196" s="246"/>
      <c r="X196" s="730"/>
      <c r="Y196" s="246"/>
      <c r="Z196" s="261"/>
      <c r="AA196" s="341"/>
      <c r="AB196" s="246"/>
      <c r="AD196" s="246"/>
      <c r="AE196" s="311"/>
      <c r="AF196" s="246"/>
      <c r="AG196" s="261"/>
      <c r="AI196" s="246"/>
      <c r="AJ196" s="311"/>
      <c r="AK196" s="246"/>
      <c r="AL196" s="730"/>
      <c r="AM196" s="246"/>
      <c r="AN196" s="261"/>
      <c r="AO196" s="506"/>
      <c r="AP196" s="246"/>
      <c r="AQ196" s="311"/>
      <c r="AR196" s="246"/>
      <c r="AS196" s="311"/>
      <c r="AT196" s="254"/>
      <c r="AU196" s="269"/>
      <c r="AV196" s="269"/>
    </row>
    <row r="197">
      <c r="A197" s="94"/>
      <c r="B197" s="377" t="s">
        <v>684</v>
      </c>
      <c r="C197" s="378" t="s">
        <v>685</v>
      </c>
      <c r="D197" s="363"/>
      <c r="E197" s="259"/>
      <c r="F197" s="376" t="s">
        <v>466</v>
      </c>
      <c r="G197" s="246"/>
      <c r="H197" s="282"/>
      <c r="I197" s="246"/>
      <c r="J197" s="376" t="s">
        <v>453</v>
      </c>
      <c r="K197" s="246"/>
      <c r="L197" s="381"/>
      <c r="M197" s="341"/>
      <c r="N197" s="246"/>
      <c r="O197" s="282"/>
      <c r="P197" s="246"/>
      <c r="R197" s="246"/>
      <c r="S197" s="381"/>
      <c r="T197" s="341"/>
      <c r="U197" s="246"/>
      <c r="W197" s="246"/>
      <c r="Y197" s="246"/>
      <c r="Z197" s="381"/>
      <c r="AA197" s="341"/>
      <c r="AB197" s="246"/>
      <c r="AC197" s="274" t="s">
        <v>406</v>
      </c>
      <c r="AD197" s="246"/>
      <c r="AF197" s="246"/>
      <c r="AG197" s="381"/>
      <c r="AH197" s="311" t="s">
        <v>455</v>
      </c>
      <c r="AI197" s="246"/>
      <c r="AK197" s="246"/>
      <c r="AM197" s="246"/>
      <c r="AN197" s="381"/>
      <c r="AO197" s="506"/>
      <c r="AP197" s="246"/>
      <c r="AQ197" s="282"/>
      <c r="AR197" s="246"/>
      <c r="AT197" s="254" t="str">
        <f t="shared" ref="AT197:AT200" si="40">IF(COUNTIF($AO$79:$AT$81, #REF!) &gt; 0, "X", "")</f>
        <v/>
      </c>
      <c r="AU197" s="269"/>
      <c r="AV197" s="269"/>
    </row>
    <row r="198">
      <c r="A198" s="270"/>
      <c r="B198" s="382" t="s">
        <v>686</v>
      </c>
      <c r="C198" s="242" t="s">
        <v>652</v>
      </c>
      <c r="D198" s="330"/>
      <c r="E198" s="259"/>
      <c r="F198" s="251" t="s">
        <v>429</v>
      </c>
      <c r="G198" s="246"/>
      <c r="H198" s="251" t="s">
        <v>435</v>
      </c>
      <c r="I198" s="246"/>
      <c r="J198" s="311" t="s">
        <v>455</v>
      </c>
      <c r="K198" s="246"/>
      <c r="L198" s="261"/>
      <c r="M198" s="341"/>
      <c r="N198" s="246"/>
      <c r="O198" s="251" t="s">
        <v>435</v>
      </c>
      <c r="P198" s="246"/>
      <c r="Q198" s="376" t="s">
        <v>466</v>
      </c>
      <c r="R198" s="246"/>
      <c r="S198" s="261"/>
      <c r="T198" s="341"/>
      <c r="U198" s="246"/>
      <c r="V198" s="251" t="s">
        <v>435</v>
      </c>
      <c r="W198" s="246"/>
      <c r="X198" s="251" t="s">
        <v>429</v>
      </c>
      <c r="Y198" s="246"/>
      <c r="Z198" s="261"/>
      <c r="AA198" s="341"/>
      <c r="AB198" s="246"/>
      <c r="AC198" s="251" t="s">
        <v>435</v>
      </c>
      <c r="AD198" s="246"/>
      <c r="AE198" s="251" t="s">
        <v>429</v>
      </c>
      <c r="AF198" s="246"/>
      <c r="AG198" s="261"/>
      <c r="AH198" s="376" t="s">
        <v>453</v>
      </c>
      <c r="AI198" s="246"/>
      <c r="AJ198" s="251" t="s">
        <v>435</v>
      </c>
      <c r="AK198" s="246"/>
      <c r="AL198" s="251" t="s">
        <v>429</v>
      </c>
      <c r="AM198" s="246"/>
      <c r="AN198" s="261"/>
      <c r="AO198" s="506"/>
      <c r="AP198" s="246"/>
      <c r="AQ198" s="376" t="s">
        <v>453</v>
      </c>
      <c r="AR198" s="246"/>
      <c r="AS198" s="376" t="s">
        <v>466</v>
      </c>
      <c r="AT198" s="254" t="str">
        <f t="shared" si="40"/>
        <v/>
      </c>
      <c r="AU198" s="269"/>
      <c r="AV198" s="269"/>
    </row>
    <row r="199">
      <c r="A199" s="234"/>
      <c r="B199" s="337" t="s">
        <v>686</v>
      </c>
      <c r="C199" s="338" t="s">
        <v>687</v>
      </c>
      <c r="D199" s="330"/>
      <c r="E199" s="259"/>
      <c r="F199" s="282"/>
      <c r="G199" s="246"/>
      <c r="H199" s="385" t="s">
        <v>428</v>
      </c>
      <c r="I199" s="246"/>
      <c r="K199" s="246"/>
      <c r="L199" s="261"/>
      <c r="M199" s="250"/>
      <c r="N199" s="246"/>
      <c r="O199" s="385" t="s">
        <v>428</v>
      </c>
      <c r="P199" s="246"/>
      <c r="Q199" s="251" t="s">
        <v>429</v>
      </c>
      <c r="R199" s="246"/>
      <c r="S199" s="261"/>
      <c r="T199" s="250"/>
      <c r="U199" s="246"/>
      <c r="V199" s="385" t="s">
        <v>428</v>
      </c>
      <c r="W199" s="246"/>
      <c r="X199" s="311" t="s">
        <v>455</v>
      </c>
      <c r="Y199" s="246"/>
      <c r="Z199" s="261"/>
      <c r="AA199" s="250"/>
      <c r="AB199" s="246"/>
      <c r="AC199" s="376" t="s">
        <v>466</v>
      </c>
      <c r="AD199" s="246"/>
      <c r="AE199" s="376" t="s">
        <v>453</v>
      </c>
      <c r="AF199" s="246"/>
      <c r="AG199" s="261"/>
      <c r="AI199" s="246"/>
      <c r="AJ199" s="385" t="s">
        <v>428</v>
      </c>
      <c r="AK199" s="246"/>
      <c r="AL199" s="376" t="s">
        <v>466</v>
      </c>
      <c r="AM199" s="246"/>
      <c r="AN199" s="261"/>
      <c r="AO199" s="506"/>
      <c r="AP199" s="246"/>
      <c r="AQ199" s="385" t="s">
        <v>428</v>
      </c>
      <c r="AR199" s="246"/>
      <c r="AS199" s="251" t="s">
        <v>429</v>
      </c>
      <c r="AT199" s="254" t="str">
        <f t="shared" si="40"/>
        <v/>
      </c>
      <c r="AU199" s="269"/>
      <c r="AV199" s="269"/>
    </row>
    <row r="200">
      <c r="A200" s="94"/>
      <c r="B200" s="337" t="s">
        <v>688</v>
      </c>
      <c r="C200" s="285" t="s">
        <v>687</v>
      </c>
      <c r="D200" s="389"/>
      <c r="E200" s="259"/>
      <c r="G200" s="246"/>
      <c r="H200" s="265"/>
      <c r="I200" s="246"/>
      <c r="J200" s="274" t="s">
        <v>437</v>
      </c>
      <c r="K200" s="246"/>
      <c r="L200" s="261"/>
      <c r="M200" s="262"/>
      <c r="N200" s="246"/>
      <c r="P200" s="246"/>
      <c r="R200" s="732" t="s">
        <v>1031</v>
      </c>
      <c r="S200" s="261"/>
      <c r="T200" s="262"/>
      <c r="U200" s="246"/>
      <c r="W200" s="246"/>
      <c r="X200" s="274" t="s">
        <v>437</v>
      </c>
      <c r="Y200" s="246"/>
      <c r="Z200" s="261"/>
      <c r="AA200" s="262"/>
      <c r="AB200" s="246"/>
      <c r="AC200" s="265"/>
      <c r="AD200" s="246"/>
      <c r="AE200" s="265"/>
      <c r="AF200" s="246"/>
      <c r="AG200" s="261"/>
      <c r="AH200" s="265"/>
      <c r="AI200" s="246"/>
      <c r="AK200" s="246"/>
      <c r="AL200" s="265"/>
      <c r="AM200" s="246"/>
      <c r="AN200" s="261"/>
      <c r="AO200" s="506"/>
      <c r="AP200" s="246"/>
      <c r="AR200" s="246"/>
      <c r="AT200" s="254" t="str">
        <f t="shared" si="40"/>
        <v/>
      </c>
      <c r="AU200" s="269"/>
      <c r="AV200" s="269"/>
    </row>
    <row r="201">
      <c r="A201" s="94"/>
      <c r="B201" s="387" t="s">
        <v>690</v>
      </c>
      <c r="C201" s="388" t="s">
        <v>649</v>
      </c>
      <c r="D201" s="323"/>
      <c r="E201" s="259"/>
      <c r="F201" s="390"/>
      <c r="G201" s="246"/>
      <c r="H201" s="390"/>
      <c r="I201" s="246"/>
      <c r="J201" s="390"/>
      <c r="K201" s="246"/>
      <c r="L201" s="261"/>
      <c r="M201" s="250"/>
      <c r="N201" s="246"/>
      <c r="O201" s="390"/>
      <c r="P201" s="246"/>
      <c r="Q201" s="390"/>
      <c r="R201" s="246"/>
      <c r="S201" s="261"/>
      <c r="T201" s="250"/>
      <c r="U201" s="246"/>
      <c r="V201" s="390"/>
      <c r="W201" s="246"/>
      <c r="X201" s="355" t="s">
        <v>670</v>
      </c>
      <c r="Y201" s="246"/>
      <c r="Z201" s="261"/>
      <c r="AA201" s="250"/>
      <c r="AB201" s="246"/>
      <c r="AC201" s="355" t="s">
        <v>670</v>
      </c>
      <c r="AD201" s="246"/>
      <c r="AE201" s="390"/>
      <c r="AF201" s="246"/>
      <c r="AG201" s="261"/>
      <c r="AH201" s="390"/>
      <c r="AI201" s="246"/>
      <c r="AJ201" s="390"/>
      <c r="AK201" s="246"/>
      <c r="AL201" s="390"/>
      <c r="AM201" s="246"/>
      <c r="AN201" s="261"/>
      <c r="AO201" s="506"/>
      <c r="AP201" s="246"/>
      <c r="AQ201" s="390"/>
      <c r="AR201" s="246"/>
      <c r="AS201" s="390"/>
      <c r="AT201" s="254" t="str">
        <f t="shared" ref="AT201:AT205" si="41">IF(COUNTIF($AO$79:$AT$81, AO183) &gt; 0, "X", "")</f>
        <v/>
      </c>
      <c r="AU201" s="269"/>
      <c r="AV201" s="269"/>
    </row>
    <row r="202">
      <c r="A202" s="94"/>
      <c r="B202" s="296" t="s">
        <v>650</v>
      </c>
      <c r="C202" s="297" t="s">
        <v>649</v>
      </c>
      <c r="D202" s="323"/>
      <c r="E202" s="261"/>
      <c r="F202" s="300"/>
      <c r="G202" s="246"/>
      <c r="H202" s="319"/>
      <c r="I202" s="246"/>
      <c r="J202" s="300"/>
      <c r="K202" s="246"/>
      <c r="L202" s="261"/>
      <c r="M202" s="250"/>
      <c r="N202" s="246"/>
      <c r="O202" s="300"/>
      <c r="P202" s="246"/>
      <c r="Q202" s="300"/>
      <c r="R202" s="246"/>
      <c r="S202" s="261"/>
      <c r="T202" s="250"/>
      <c r="U202" s="246"/>
      <c r="V202" s="300"/>
      <c r="W202" s="246"/>
      <c r="X202" s="300"/>
      <c r="Y202" s="246"/>
      <c r="Z202" s="261"/>
      <c r="AA202" s="250"/>
      <c r="AB202" s="246"/>
      <c r="AC202" s="300"/>
      <c r="AD202" s="246"/>
      <c r="AE202" s="300"/>
      <c r="AF202" s="246"/>
      <c r="AG202" s="261"/>
      <c r="AH202" s="300"/>
      <c r="AI202" s="246"/>
      <c r="AJ202" s="300"/>
      <c r="AK202" s="246"/>
      <c r="AL202" s="300"/>
      <c r="AM202" s="246"/>
      <c r="AN202" s="261"/>
      <c r="AO202" s="506"/>
      <c r="AP202" s="246"/>
      <c r="AQ202" s="300"/>
      <c r="AR202" s="246"/>
      <c r="AS202" s="300"/>
      <c r="AT202" s="254" t="str">
        <f t="shared" si="41"/>
        <v/>
      </c>
      <c r="AU202" s="269"/>
      <c r="AV202" s="269"/>
    </row>
    <row r="203">
      <c r="A203" s="94"/>
      <c r="B203" s="301" t="s">
        <v>651</v>
      </c>
      <c r="C203" s="391" t="s">
        <v>652</v>
      </c>
      <c r="D203" s="323"/>
      <c r="E203" s="259"/>
      <c r="F203" s="304"/>
      <c r="G203" s="246"/>
      <c r="H203" s="304"/>
      <c r="I203" s="246"/>
      <c r="J203" s="304"/>
      <c r="K203" s="246"/>
      <c r="L203" s="261"/>
      <c r="M203" s="250"/>
      <c r="N203" s="246"/>
      <c r="O203" s="304"/>
      <c r="P203" s="246"/>
      <c r="Q203" s="304"/>
      <c r="R203" s="246"/>
      <c r="S203" s="261"/>
      <c r="T203" s="250"/>
      <c r="U203" s="246"/>
      <c r="V203" s="304"/>
      <c r="W203" s="246"/>
      <c r="X203" s="360" t="s">
        <v>1030</v>
      </c>
      <c r="Y203" s="246"/>
      <c r="Z203" s="261"/>
      <c r="AA203" s="250"/>
      <c r="AB203" s="246"/>
      <c r="AC203" s="360" t="s">
        <v>1030</v>
      </c>
      <c r="AD203" s="246"/>
      <c r="AE203" s="304"/>
      <c r="AF203" s="246"/>
      <c r="AG203" s="261"/>
      <c r="AH203" s="304"/>
      <c r="AI203" s="246"/>
      <c r="AJ203" s="304"/>
      <c r="AK203" s="246"/>
      <c r="AL203" s="304"/>
      <c r="AM203" s="246"/>
      <c r="AN203" s="261"/>
      <c r="AO203" s="506"/>
      <c r="AP203" s="246"/>
      <c r="AQ203" s="304"/>
      <c r="AR203" s="246"/>
      <c r="AS203" s="304"/>
      <c r="AT203" s="254" t="str">
        <f t="shared" si="41"/>
        <v/>
      </c>
      <c r="AU203" s="269"/>
      <c r="AV203" s="269"/>
    </row>
    <row r="204">
      <c r="A204" s="94"/>
      <c r="B204" s="392" t="s">
        <v>691</v>
      </c>
      <c r="C204" s="393" t="s">
        <v>652</v>
      </c>
      <c r="D204" s="330"/>
      <c r="E204" s="259"/>
      <c r="F204" s="307"/>
      <c r="G204" s="246"/>
      <c r="H204" s="307"/>
      <c r="I204" s="246"/>
      <c r="J204" s="307"/>
      <c r="K204" s="246"/>
      <c r="L204" s="261"/>
      <c r="M204" s="250"/>
      <c r="N204" s="246"/>
      <c r="P204" s="246"/>
      <c r="Q204" s="307"/>
      <c r="R204" s="246"/>
      <c r="S204" s="261"/>
      <c r="T204" s="250"/>
      <c r="U204" s="246"/>
      <c r="V204" s="307"/>
      <c r="W204" s="246"/>
      <c r="X204" s="647" t="s">
        <v>397</v>
      </c>
      <c r="Y204" s="246"/>
      <c r="Z204" s="261"/>
      <c r="AA204" s="250"/>
      <c r="AB204" s="246"/>
      <c r="AC204" s="647" t="s">
        <v>397</v>
      </c>
      <c r="AD204" s="246"/>
      <c r="AE204" s="307"/>
      <c r="AF204" s="246"/>
      <c r="AG204" s="261"/>
      <c r="AH204" s="307"/>
      <c r="AI204" s="246"/>
      <c r="AJ204" s="307"/>
      <c r="AK204" s="246"/>
      <c r="AL204" s="307"/>
      <c r="AM204" s="246"/>
      <c r="AN204" s="261"/>
      <c r="AO204" s="506"/>
      <c r="AP204" s="246"/>
      <c r="AQ204" s="307"/>
      <c r="AR204" s="246"/>
      <c r="AS204" s="307"/>
      <c r="AT204" s="254" t="str">
        <f t="shared" si="41"/>
        <v/>
      </c>
      <c r="AU204" s="269"/>
      <c r="AV204" s="269"/>
    </row>
    <row r="205">
      <c r="A205" s="94"/>
      <c r="B205" s="328" t="s">
        <v>692</v>
      </c>
      <c r="C205" s="329" t="s">
        <v>652</v>
      </c>
      <c r="D205" s="369"/>
      <c r="E205" s="259"/>
      <c r="F205" s="371"/>
      <c r="G205" s="246"/>
      <c r="H205" s="371"/>
      <c r="I205" s="246"/>
      <c r="J205" s="282"/>
      <c r="K205" s="246"/>
      <c r="L205" s="261"/>
      <c r="M205" s="250"/>
      <c r="N205" s="246"/>
      <c r="O205" s="371"/>
      <c r="P205" s="246"/>
      <c r="Q205" s="371"/>
      <c r="R205" s="246"/>
      <c r="S205" s="261"/>
      <c r="T205" s="250"/>
      <c r="U205" s="246"/>
      <c r="W205" s="246"/>
      <c r="Y205" s="246"/>
      <c r="Z205" s="261"/>
      <c r="AA205" s="250"/>
      <c r="AB205" s="246"/>
      <c r="AC205" s="371"/>
      <c r="AD205" s="246"/>
      <c r="AE205" s="371"/>
      <c r="AF205" s="246"/>
      <c r="AG205" s="261"/>
      <c r="AH205" s="371"/>
      <c r="AI205" s="246"/>
      <c r="AK205" s="246"/>
      <c r="AL205" s="371"/>
      <c r="AM205" s="246"/>
      <c r="AN205" s="261"/>
      <c r="AO205" s="506"/>
      <c r="AP205" s="246"/>
      <c r="AQ205" s="371"/>
      <c r="AR205" s="246"/>
      <c r="AT205" s="254" t="str">
        <f t="shared" si="41"/>
        <v/>
      </c>
      <c r="AU205" s="269"/>
      <c r="AV205" s="269"/>
    </row>
    <row r="206">
      <c r="A206" s="94"/>
      <c r="B206" s="397" t="s">
        <v>692</v>
      </c>
      <c r="C206" s="398" t="s">
        <v>687</v>
      </c>
      <c r="D206" s="389"/>
      <c r="E206" s="259"/>
      <c r="F206" s="399"/>
      <c r="G206" s="246"/>
      <c r="H206" s="399"/>
      <c r="I206" s="246"/>
      <c r="J206" s="399"/>
      <c r="K206" s="246"/>
      <c r="L206" s="261"/>
      <c r="M206" s="250"/>
      <c r="N206" s="246"/>
      <c r="O206" s="282"/>
      <c r="P206" s="246"/>
      <c r="Q206" s="282"/>
      <c r="R206" s="246"/>
      <c r="S206" s="261"/>
      <c r="T206" s="250"/>
      <c r="U206" s="246"/>
      <c r="V206" s="282"/>
      <c r="W206" s="246"/>
      <c r="X206" s="399"/>
      <c r="Y206" s="246"/>
      <c r="Z206" s="261"/>
      <c r="AA206" s="250"/>
      <c r="AB206" s="246"/>
      <c r="AC206" s="399"/>
      <c r="AD206" s="246"/>
      <c r="AE206" s="399"/>
      <c r="AF206" s="246"/>
      <c r="AG206" s="261"/>
      <c r="AH206" s="399"/>
      <c r="AI206" s="246"/>
      <c r="AJ206" s="399"/>
      <c r="AK206" s="246"/>
      <c r="AL206" s="399"/>
      <c r="AM206" s="246"/>
      <c r="AN206" s="261"/>
      <c r="AO206" s="506"/>
      <c r="AP206" s="246"/>
      <c r="AQ206" s="399"/>
      <c r="AR206" s="246"/>
      <c r="AT206" s="254" t="str">
        <f t="shared" ref="AT206:AT208" si="42">IF(COUNTIF($AO$79:$AT$81, AS207) &gt; 0, "X", "")</f>
        <v/>
      </c>
      <c r="AU206" s="269"/>
      <c r="AV206" s="269"/>
    </row>
    <row r="207">
      <c r="A207" s="94"/>
      <c r="B207" s="387" t="s">
        <v>694</v>
      </c>
      <c r="C207" s="388" t="s">
        <v>649</v>
      </c>
      <c r="D207" s="323"/>
      <c r="E207" s="259"/>
      <c r="F207" s="390"/>
      <c r="G207" s="246"/>
      <c r="H207" s="390"/>
      <c r="I207" s="246"/>
      <c r="J207" s="390"/>
      <c r="K207" s="246"/>
      <c r="L207" s="261"/>
      <c r="M207" s="250"/>
      <c r="N207" s="246"/>
      <c r="O207" s="390"/>
      <c r="P207" s="246"/>
      <c r="Q207" s="390"/>
      <c r="R207" s="246"/>
      <c r="S207" s="261"/>
      <c r="T207" s="250"/>
      <c r="U207" s="246"/>
      <c r="V207" s="390"/>
      <c r="W207" s="246"/>
      <c r="X207" s="357" t="s">
        <v>425</v>
      </c>
      <c r="Y207" s="246"/>
      <c r="Z207" s="261"/>
      <c r="AA207" s="250"/>
      <c r="AB207" s="246"/>
      <c r="AC207" s="390"/>
      <c r="AD207" s="246"/>
      <c r="AE207" s="357" t="s">
        <v>425</v>
      </c>
      <c r="AF207" s="246"/>
      <c r="AG207" s="261"/>
      <c r="AH207" s="390"/>
      <c r="AI207" s="246"/>
      <c r="AJ207" s="390"/>
      <c r="AK207" s="246"/>
      <c r="AL207" s="357" t="s">
        <v>425</v>
      </c>
      <c r="AM207" s="246"/>
      <c r="AN207" s="261"/>
      <c r="AO207" s="506"/>
      <c r="AP207" s="246"/>
      <c r="AQ207" s="390"/>
      <c r="AR207" s="246"/>
      <c r="AS207" s="357" t="s">
        <v>425</v>
      </c>
      <c r="AT207" s="254" t="str">
        <f t="shared" si="42"/>
        <v/>
      </c>
      <c r="AU207" s="269"/>
      <c r="AV207" s="269"/>
    </row>
    <row r="208">
      <c r="A208" s="94"/>
      <c r="B208" s="296" t="s">
        <v>650</v>
      </c>
      <c r="C208" s="297" t="s">
        <v>649</v>
      </c>
      <c r="D208" s="323"/>
      <c r="E208" s="261"/>
      <c r="F208" s="300"/>
      <c r="G208" s="298"/>
      <c r="H208" s="300"/>
      <c r="I208" s="298"/>
      <c r="J208" s="300"/>
      <c r="K208" s="298"/>
      <c r="L208" s="261"/>
      <c r="M208" s="250"/>
      <c r="N208" s="298"/>
      <c r="O208" s="300"/>
      <c r="P208" s="298"/>
      <c r="Q208" s="319"/>
      <c r="R208" s="298"/>
      <c r="S208" s="261"/>
      <c r="T208" s="250"/>
      <c r="U208" s="298"/>
      <c r="V208" s="300"/>
      <c r="W208" s="298"/>
      <c r="X208" s="300"/>
      <c r="Y208" s="298"/>
      <c r="Z208" s="261"/>
      <c r="AA208" s="250"/>
      <c r="AB208" s="298"/>
      <c r="AC208" s="300"/>
      <c r="AD208" s="298"/>
      <c r="AE208" s="300"/>
      <c r="AF208" s="298"/>
      <c r="AG208" s="261"/>
      <c r="AH208" s="300"/>
      <c r="AI208" s="298"/>
      <c r="AJ208" s="300"/>
      <c r="AK208" s="298"/>
      <c r="AL208" s="300"/>
      <c r="AM208" s="298"/>
      <c r="AN208" s="261"/>
      <c r="AO208" s="506"/>
      <c r="AP208" s="298"/>
      <c r="AQ208" s="300"/>
      <c r="AR208" s="298"/>
      <c r="AS208" s="300"/>
      <c r="AT208" s="254" t="str">
        <f t="shared" si="42"/>
        <v/>
      </c>
      <c r="AU208" s="269"/>
      <c r="AV208" s="269"/>
    </row>
    <row r="209">
      <c r="A209" s="94"/>
      <c r="B209" s="301" t="s">
        <v>651</v>
      </c>
      <c r="C209" s="391" t="s">
        <v>652</v>
      </c>
      <c r="D209" s="323"/>
      <c r="E209" s="259"/>
      <c r="F209" s="304"/>
      <c r="G209" s="298"/>
      <c r="H209" s="304"/>
      <c r="I209" s="298"/>
      <c r="J209" s="304"/>
      <c r="K209" s="298"/>
      <c r="L209" s="261"/>
      <c r="M209" s="250"/>
      <c r="N209" s="298"/>
      <c r="O209" s="304"/>
      <c r="P209" s="298"/>
      <c r="Q209" s="304"/>
      <c r="R209" s="298"/>
      <c r="S209" s="261"/>
      <c r="T209" s="250"/>
      <c r="U209" s="298"/>
      <c r="V209" s="304"/>
      <c r="W209" s="298"/>
      <c r="X209" s="304"/>
      <c r="Y209" s="298"/>
      <c r="Z209" s="261"/>
      <c r="AA209" s="250"/>
      <c r="AB209" s="298"/>
      <c r="AC209" s="304"/>
      <c r="AD209" s="298"/>
      <c r="AE209" s="304"/>
      <c r="AF209" s="298"/>
      <c r="AG209" s="261"/>
      <c r="AH209" s="304"/>
      <c r="AI209" s="298"/>
      <c r="AJ209" s="304"/>
      <c r="AK209" s="298"/>
      <c r="AL209" s="304"/>
      <c r="AM209" s="298"/>
      <c r="AN209" s="261"/>
      <c r="AO209" s="506"/>
      <c r="AP209" s="298"/>
      <c r="AQ209" s="304"/>
      <c r="AR209" s="298"/>
      <c r="AS209" s="304"/>
      <c r="AT209" s="254" t="str">
        <f t="shared" ref="AT209:AT210" si="43">IF(COUNTIF($AO$79:$AT$81, #REF!) &gt; 0, "X", "")</f>
        <v/>
      </c>
      <c r="AU209" s="269"/>
      <c r="AV209" s="269"/>
    </row>
    <row r="210">
      <c r="A210" s="94"/>
      <c r="B210" s="392" t="s">
        <v>691</v>
      </c>
      <c r="C210" s="393" t="s">
        <v>652</v>
      </c>
      <c r="D210" s="330"/>
      <c r="E210" s="259"/>
      <c r="F210" s="307"/>
      <c r="G210" s="298"/>
      <c r="H210" s="307"/>
      <c r="I210" s="298"/>
      <c r="J210" s="307"/>
      <c r="K210" s="298"/>
      <c r="L210" s="261"/>
      <c r="M210" s="250"/>
      <c r="N210" s="298"/>
      <c r="O210" s="307"/>
      <c r="P210" s="298"/>
      <c r="Q210" s="307"/>
      <c r="R210" s="298"/>
      <c r="S210" s="261"/>
      <c r="T210" s="250"/>
      <c r="U210" s="298"/>
      <c r="V210" s="307"/>
      <c r="W210" s="298"/>
      <c r="X210" s="532" t="s">
        <v>839</v>
      </c>
      <c r="Y210" s="298"/>
      <c r="Z210" s="261"/>
      <c r="AA210" s="250"/>
      <c r="AB210" s="298"/>
      <c r="AC210" s="307"/>
      <c r="AD210" s="298"/>
      <c r="AE210" s="395" t="s">
        <v>430</v>
      </c>
      <c r="AF210" s="298"/>
      <c r="AG210" s="261"/>
      <c r="AH210" s="307"/>
      <c r="AI210" s="298"/>
      <c r="AJ210" s="307"/>
      <c r="AK210" s="298"/>
      <c r="AL210" s="308" t="s">
        <v>445</v>
      </c>
      <c r="AM210" s="298"/>
      <c r="AN210" s="261"/>
      <c r="AO210" s="506"/>
      <c r="AP210" s="298"/>
      <c r="AQ210" s="307"/>
      <c r="AR210" s="298"/>
      <c r="AS210" s="308" t="s">
        <v>445</v>
      </c>
      <c r="AT210" s="254" t="str">
        <f t="shared" si="43"/>
        <v/>
      </c>
      <c r="AU210" s="269"/>
      <c r="AV210" s="269"/>
    </row>
    <row r="211">
      <c r="A211" s="94"/>
      <c r="B211" s="328" t="s">
        <v>692</v>
      </c>
      <c r="C211" s="329" t="s">
        <v>652</v>
      </c>
      <c r="D211" s="369"/>
      <c r="E211" s="259"/>
      <c r="F211" s="371"/>
      <c r="G211" s="246"/>
      <c r="H211" s="371"/>
      <c r="I211" s="246"/>
      <c r="J211" s="371"/>
      <c r="K211" s="246"/>
      <c r="L211" s="261"/>
      <c r="M211" s="250"/>
      <c r="N211" s="246"/>
      <c r="O211" s="371"/>
      <c r="P211" s="246"/>
      <c r="Q211" s="371"/>
      <c r="R211" s="246"/>
      <c r="S211" s="261"/>
      <c r="T211" s="250"/>
      <c r="U211" s="246"/>
      <c r="V211" s="371"/>
      <c r="W211" s="246"/>
      <c r="X211" s="282"/>
      <c r="Y211" s="246"/>
      <c r="Z211" s="261"/>
      <c r="AA211" s="250"/>
      <c r="AB211" s="246"/>
      <c r="AC211" s="282"/>
      <c r="AD211" s="246"/>
      <c r="AE211" s="584"/>
      <c r="AF211" s="246"/>
      <c r="AG211" s="261"/>
      <c r="AH211" s="371"/>
      <c r="AI211" s="246"/>
      <c r="AK211" s="246"/>
      <c r="AL211" s="282"/>
      <c r="AM211" s="246"/>
      <c r="AN211" s="261"/>
      <c r="AO211" s="506"/>
      <c r="AP211" s="246"/>
      <c r="AQ211" s="371"/>
      <c r="AR211" s="246"/>
      <c r="AS211" s="282"/>
      <c r="AT211" s="254" t="str">
        <f t="shared" ref="AT211:AT214" si="44">IF(COUNTIF($AO$79:$AT$81, AS212) &gt; 0, "X", "")</f>
        <v/>
      </c>
      <c r="AU211" s="269"/>
      <c r="AV211" s="269"/>
    </row>
    <row r="212">
      <c r="A212" s="94"/>
      <c r="B212" s="397" t="s">
        <v>692</v>
      </c>
      <c r="C212" s="398" t="s">
        <v>687</v>
      </c>
      <c r="D212" s="404"/>
      <c r="E212" s="259"/>
      <c r="F212" s="399"/>
      <c r="G212" s="246"/>
      <c r="H212" s="399"/>
      <c r="I212" s="246"/>
      <c r="J212" s="399"/>
      <c r="K212" s="246"/>
      <c r="L212" s="261"/>
      <c r="M212" s="250"/>
      <c r="N212" s="246"/>
      <c r="O212" s="399"/>
      <c r="P212" s="246"/>
      <c r="R212" s="246"/>
      <c r="S212" s="261"/>
      <c r="T212" s="250"/>
      <c r="U212" s="246"/>
      <c r="V212" s="399"/>
      <c r="W212" s="246"/>
      <c r="X212" s="399"/>
      <c r="Y212" s="246"/>
      <c r="Z212" s="261"/>
      <c r="AA212" s="250"/>
      <c r="AB212" s="246"/>
      <c r="AC212" s="282"/>
      <c r="AD212" s="246"/>
      <c r="AE212" s="399"/>
      <c r="AF212" s="246"/>
      <c r="AG212" s="261"/>
      <c r="AH212" s="399"/>
      <c r="AI212" s="246"/>
      <c r="AJ212" s="399"/>
      <c r="AK212" s="246"/>
      <c r="AL212" s="399"/>
      <c r="AM212" s="246"/>
      <c r="AN212" s="261"/>
      <c r="AO212" s="506"/>
      <c r="AP212" s="246"/>
      <c r="AQ212" s="399"/>
      <c r="AR212" s="246"/>
      <c r="AS212" s="399"/>
      <c r="AT212" s="254" t="str">
        <f t="shared" si="44"/>
        <v/>
      </c>
      <c r="AU212" s="269"/>
      <c r="AV212" s="269"/>
    </row>
    <row r="213">
      <c r="A213" s="270"/>
      <c r="B213" s="402" t="s">
        <v>699</v>
      </c>
      <c r="C213" s="403" t="s">
        <v>649</v>
      </c>
      <c r="D213" s="330"/>
      <c r="E213" s="259"/>
      <c r="F213" s="294"/>
      <c r="G213" s="246"/>
      <c r="H213" s="294"/>
      <c r="I213" s="246"/>
      <c r="J213" s="294"/>
      <c r="K213" s="246"/>
      <c r="L213" s="261"/>
      <c r="M213" s="250"/>
      <c r="N213" s="246"/>
      <c r="O213" s="294"/>
      <c r="P213" s="246"/>
      <c r="Q213" s="293" t="s">
        <v>422</v>
      </c>
      <c r="R213" s="246"/>
      <c r="S213" s="261"/>
      <c r="T213" s="250"/>
      <c r="U213" s="246"/>
      <c r="V213" s="294"/>
      <c r="W213" s="246"/>
      <c r="X213" s="294"/>
      <c r="Y213" s="246"/>
      <c r="Z213" s="261"/>
      <c r="AA213" s="250"/>
      <c r="AB213" s="246"/>
      <c r="AC213" s="294"/>
      <c r="AD213" s="246"/>
      <c r="AE213" s="353" t="s">
        <v>426</v>
      </c>
      <c r="AF213" s="246"/>
      <c r="AG213" s="261"/>
      <c r="AH213" s="294"/>
      <c r="AI213" s="246"/>
      <c r="AJ213" s="294"/>
      <c r="AK213" s="246"/>
      <c r="AL213" s="294"/>
      <c r="AM213" s="246"/>
      <c r="AN213" s="261"/>
      <c r="AO213" s="506"/>
      <c r="AP213" s="246"/>
      <c r="AQ213" s="294"/>
      <c r="AR213" s="246"/>
      <c r="AS213" s="294"/>
      <c r="AT213" s="254" t="str">
        <f t="shared" si="44"/>
        <v/>
      </c>
      <c r="AU213" s="269"/>
      <c r="AV213" s="269"/>
    </row>
    <row r="214">
      <c r="A214" s="94"/>
      <c r="B214" s="328" t="s">
        <v>700</v>
      </c>
      <c r="C214" s="329" t="s">
        <v>657</v>
      </c>
      <c r="D214" s="330"/>
      <c r="E214" s="259"/>
      <c r="F214" s="371"/>
      <c r="G214" s="246"/>
      <c r="H214" s="282"/>
      <c r="I214" s="246"/>
      <c r="J214" s="371"/>
      <c r="K214" s="246"/>
      <c r="L214" s="261"/>
      <c r="M214" s="250"/>
      <c r="N214" s="246"/>
      <c r="O214" s="371"/>
      <c r="P214" s="246"/>
      <c r="Q214" s="274" t="s">
        <v>437</v>
      </c>
      <c r="R214" s="246"/>
      <c r="S214" s="261"/>
      <c r="T214" s="250"/>
      <c r="U214" s="246"/>
      <c r="V214" s="371"/>
      <c r="W214" s="246"/>
      <c r="X214" s="371"/>
      <c r="Y214" s="246"/>
      <c r="Z214" s="261"/>
      <c r="AA214" s="250"/>
      <c r="AB214" s="246"/>
      <c r="AD214" s="246"/>
      <c r="AE214" s="347" t="s">
        <v>437</v>
      </c>
      <c r="AF214" s="246"/>
      <c r="AG214" s="261"/>
      <c r="AH214" s="371"/>
      <c r="AI214" s="246"/>
      <c r="AJ214" s="371"/>
      <c r="AK214" s="246"/>
      <c r="AL214" s="371"/>
      <c r="AM214" s="246"/>
      <c r="AN214" s="261"/>
      <c r="AO214" s="506"/>
      <c r="AP214" s="246"/>
      <c r="AR214" s="246"/>
      <c r="AS214" s="371"/>
      <c r="AT214" s="254" t="str">
        <f t="shared" si="44"/>
        <v/>
      </c>
      <c r="AU214" s="269"/>
      <c r="AV214" s="269"/>
    </row>
    <row r="215">
      <c r="A215" s="94"/>
      <c r="B215" s="328" t="s">
        <v>700</v>
      </c>
      <c r="C215" s="329" t="s">
        <v>657</v>
      </c>
      <c r="D215" s="330"/>
      <c r="E215" s="259"/>
      <c r="F215" s="264"/>
      <c r="G215" s="246"/>
      <c r="I215" s="246"/>
      <c r="K215" s="246"/>
      <c r="L215" s="261"/>
      <c r="M215" s="262"/>
      <c r="N215" s="246"/>
      <c r="O215" s="265"/>
      <c r="P215" s="246"/>
      <c r="Q215" s="405" t="s">
        <v>462</v>
      </c>
      <c r="R215" s="246"/>
      <c r="S215" s="261"/>
      <c r="T215" s="262"/>
      <c r="U215" s="246"/>
      <c r="W215" s="246"/>
      <c r="X215" s="371"/>
      <c r="Y215" s="246"/>
      <c r="Z215" s="261"/>
      <c r="AA215" s="262"/>
      <c r="AB215" s="246"/>
      <c r="AC215" s="264"/>
      <c r="AD215" s="246"/>
      <c r="AE215" s="405" t="s">
        <v>462</v>
      </c>
      <c r="AF215" s="246"/>
      <c r="AG215" s="261"/>
      <c r="AH215" s="264"/>
      <c r="AI215" s="246"/>
      <c r="AJ215" s="264"/>
      <c r="AK215" s="246"/>
      <c r="AL215" s="264"/>
      <c r="AM215" s="246"/>
      <c r="AN215" s="261"/>
      <c r="AO215" s="506"/>
      <c r="AP215" s="246"/>
      <c r="AQ215" s="264"/>
      <c r="AR215" s="246"/>
      <c r="AS215" s="264"/>
      <c r="AT215" s="254" t="str">
        <f>IF(COUNTIF($AO$79:$AT$81, #REF!) &gt; 0, "X", "")</f>
        <v/>
      </c>
      <c r="AU215" s="269"/>
      <c r="AV215" s="269"/>
    </row>
    <row r="216">
      <c r="A216" s="94"/>
      <c r="B216" s="328" t="s">
        <v>700</v>
      </c>
      <c r="C216" s="329" t="s">
        <v>657</v>
      </c>
      <c r="D216" s="351"/>
      <c r="E216" s="259"/>
      <c r="G216" s="246"/>
      <c r="H216" s="282"/>
      <c r="I216" s="246"/>
      <c r="K216" s="246"/>
      <c r="L216" s="261"/>
      <c r="M216" s="250"/>
      <c r="N216" s="246"/>
      <c r="O216" s="282"/>
      <c r="P216" s="246"/>
      <c r="Q216" s="282"/>
      <c r="R216" s="246"/>
      <c r="S216" s="261"/>
      <c r="T216" s="250"/>
      <c r="U216" s="246"/>
      <c r="W216" s="246"/>
      <c r="Y216" s="246"/>
      <c r="Z216" s="261"/>
      <c r="AA216" s="250"/>
      <c r="AB216" s="246"/>
      <c r="AC216" s="282"/>
      <c r="AD216" s="246"/>
      <c r="AF216" s="246"/>
      <c r="AG216" s="261"/>
      <c r="AH216" s="371"/>
      <c r="AI216" s="246"/>
      <c r="AK216" s="246"/>
      <c r="AL216" s="399"/>
      <c r="AM216" s="246"/>
      <c r="AN216" s="261"/>
      <c r="AO216" s="506"/>
      <c r="AP216" s="246"/>
      <c r="AR216" s="246"/>
      <c r="AS216" s="282"/>
      <c r="AT216" s="254" t="str">
        <f t="shared" ref="AT216:AT217" si="45">IF(COUNTIF($AO$79:$AT$81, AS217) &gt; 0, "X", "")</f>
        <v/>
      </c>
      <c r="AU216" s="269"/>
      <c r="AV216" s="269"/>
    </row>
    <row r="217">
      <c r="A217" s="94"/>
      <c r="B217" s="408" t="s">
        <v>702</v>
      </c>
      <c r="C217" s="409" t="s">
        <v>652</v>
      </c>
      <c r="D217" s="323"/>
      <c r="E217" s="259"/>
      <c r="F217" s="411"/>
      <c r="G217" s="246"/>
      <c r="H217" s="411"/>
      <c r="I217" s="246"/>
      <c r="J217" s="411"/>
      <c r="K217" s="246"/>
      <c r="L217" s="261"/>
      <c r="M217" s="262"/>
      <c r="N217" s="246"/>
      <c r="O217" s="411"/>
      <c r="P217" s="246"/>
      <c r="Q217" s="411"/>
      <c r="R217" s="246"/>
      <c r="S217" s="261"/>
      <c r="T217" s="262"/>
      <c r="U217" s="246"/>
      <c r="V217" s="411"/>
      <c r="W217" s="246"/>
      <c r="X217" s="411"/>
      <c r="Y217" s="246"/>
      <c r="Z217" s="261"/>
      <c r="AA217" s="262"/>
      <c r="AB217" s="246"/>
      <c r="AC217" s="411"/>
      <c r="AD217" s="246"/>
      <c r="AE217" s="411"/>
      <c r="AF217" s="246"/>
      <c r="AG217" s="261"/>
      <c r="AH217" s="411"/>
      <c r="AI217" s="246"/>
      <c r="AJ217" s="411"/>
      <c r="AK217" s="246"/>
      <c r="AL217" s="411"/>
      <c r="AM217" s="246"/>
      <c r="AN217" s="261"/>
      <c r="AO217" s="506"/>
      <c r="AP217" s="246"/>
      <c r="AQ217" s="411"/>
      <c r="AR217" s="246"/>
      <c r="AS217" s="411"/>
      <c r="AT217" s="254" t="str">
        <f t="shared" si="45"/>
        <v/>
      </c>
      <c r="AU217" s="269"/>
      <c r="AV217" s="269"/>
    </row>
    <row r="218">
      <c r="A218" s="234"/>
      <c r="B218" s="401" t="s">
        <v>703</v>
      </c>
      <c r="C218" s="412" t="s">
        <v>704</v>
      </c>
      <c r="D218" s="330"/>
      <c r="E218" s="259"/>
      <c r="F218" s="413"/>
      <c r="G218" s="246"/>
      <c r="H218" s="413"/>
      <c r="I218" s="246"/>
      <c r="J218" s="413"/>
      <c r="K218" s="246"/>
      <c r="L218" s="261"/>
      <c r="M218" s="262"/>
      <c r="N218" s="246"/>
      <c r="O218" s="413"/>
      <c r="P218" s="246"/>
      <c r="Q218" s="413"/>
      <c r="R218" s="246"/>
      <c r="S218" s="261"/>
      <c r="T218" s="262"/>
      <c r="U218" s="246"/>
      <c r="V218" s="413"/>
      <c r="W218" s="246"/>
      <c r="X218" s="413"/>
      <c r="Y218" s="246"/>
      <c r="Z218" s="261"/>
      <c r="AA218" s="262"/>
      <c r="AB218" s="246"/>
      <c r="AC218" s="413"/>
      <c r="AD218" s="246"/>
      <c r="AE218" s="413"/>
      <c r="AF218" s="246"/>
      <c r="AG218" s="261"/>
      <c r="AH218" s="413"/>
      <c r="AI218" s="246"/>
      <c r="AJ218" s="413"/>
      <c r="AK218" s="246"/>
      <c r="AL218" s="413"/>
      <c r="AM218" s="246"/>
      <c r="AN218" s="261"/>
      <c r="AO218" s="506"/>
      <c r="AP218" s="246"/>
      <c r="AQ218" s="413"/>
      <c r="AR218" s="246"/>
      <c r="AS218" s="413"/>
      <c r="AT218" s="254" t="str">
        <f t="shared" ref="AT218:AT223" si="46">IF(COUNTIF($AO$79:$AT$81, #REF!) &gt; 0, "X", "")</f>
        <v/>
      </c>
      <c r="AU218" s="269"/>
      <c r="AV218" s="269"/>
    </row>
    <row r="219">
      <c r="A219" s="234"/>
      <c r="B219" s="414" t="s">
        <v>705</v>
      </c>
      <c r="C219" s="415" t="s">
        <v>704</v>
      </c>
      <c r="D219" s="330"/>
      <c r="E219" s="259"/>
      <c r="G219" s="246"/>
      <c r="H219" s="384" t="s">
        <v>405</v>
      </c>
      <c r="I219" s="246"/>
      <c r="J219" s="586" t="s">
        <v>452</v>
      </c>
      <c r="K219" s="246"/>
      <c r="L219" s="261"/>
      <c r="M219" s="341"/>
      <c r="N219" s="246"/>
      <c r="O219" s="251" t="s">
        <v>407</v>
      </c>
      <c r="P219" s="246"/>
      <c r="Q219" s="311" t="s">
        <v>410</v>
      </c>
      <c r="R219" s="246"/>
      <c r="S219" s="261"/>
      <c r="T219" s="341"/>
      <c r="U219" s="246"/>
      <c r="V219" s="311" t="s">
        <v>470</v>
      </c>
      <c r="W219" s="246"/>
      <c r="X219" s="311" t="s">
        <v>467</v>
      </c>
      <c r="Y219" s="246"/>
      <c r="Z219" s="261"/>
      <c r="AA219" s="341"/>
      <c r="AB219" s="246"/>
      <c r="AC219" s="733" t="s">
        <v>836</v>
      </c>
      <c r="AD219" s="246"/>
      <c r="AE219" s="251" t="s">
        <v>410</v>
      </c>
      <c r="AF219" s="246"/>
      <c r="AG219" s="261"/>
      <c r="AI219" s="246"/>
      <c r="AJ219" s="274" t="s">
        <v>406</v>
      </c>
      <c r="AK219" s="246"/>
      <c r="AL219" s="251" t="s">
        <v>432</v>
      </c>
      <c r="AM219" s="246"/>
      <c r="AN219" s="261"/>
      <c r="AO219" s="506"/>
      <c r="AP219" s="246"/>
      <c r="AQ219" s="251" t="s">
        <v>407</v>
      </c>
      <c r="AR219" s="246"/>
      <c r="AS219" s="374" t="s">
        <v>410</v>
      </c>
      <c r="AT219" s="254" t="str">
        <f t="shared" si="46"/>
        <v/>
      </c>
      <c r="AU219" s="269"/>
      <c r="AV219" s="269"/>
    </row>
    <row r="220">
      <c r="A220" s="94"/>
      <c r="B220" s="328" t="s">
        <v>705</v>
      </c>
      <c r="C220" s="257" t="s">
        <v>657</v>
      </c>
      <c r="D220" s="330"/>
      <c r="E220" s="259"/>
      <c r="F220" s="311" t="s">
        <v>467</v>
      </c>
      <c r="G220" s="246"/>
      <c r="H220" s="251" t="s">
        <v>440</v>
      </c>
      <c r="I220" s="246"/>
      <c r="J220" s="311" t="s">
        <v>410</v>
      </c>
      <c r="K220" s="246"/>
      <c r="L220" s="261"/>
      <c r="M220" s="341"/>
      <c r="N220" s="246"/>
      <c r="O220" s="311" t="s">
        <v>438</v>
      </c>
      <c r="P220" s="246"/>
      <c r="Q220" s="251" t="s">
        <v>432</v>
      </c>
      <c r="R220" s="246"/>
      <c r="S220" s="261"/>
      <c r="T220" s="341"/>
      <c r="U220" s="246"/>
      <c r="V220" s="339" t="s">
        <v>404</v>
      </c>
      <c r="W220" s="246"/>
      <c r="X220" s="384" t="s">
        <v>432</v>
      </c>
      <c r="Y220" s="246"/>
      <c r="Z220" s="261"/>
      <c r="AA220" s="341"/>
      <c r="AB220" s="246"/>
      <c r="AC220" s="251" t="s">
        <v>440</v>
      </c>
      <c r="AD220" s="246"/>
      <c r="AE220" s="311" t="s">
        <v>467</v>
      </c>
      <c r="AF220" s="246"/>
      <c r="AG220" s="261"/>
      <c r="AH220" s="311" t="s">
        <v>467</v>
      </c>
      <c r="AI220" s="246"/>
      <c r="AJ220" s="311" t="s">
        <v>438</v>
      </c>
      <c r="AK220" s="246"/>
      <c r="AL220" s="251" t="s">
        <v>405</v>
      </c>
      <c r="AM220" s="246"/>
      <c r="AN220" s="261"/>
      <c r="AO220" s="506"/>
      <c r="AP220" s="246"/>
      <c r="AQ220" s="274" t="s">
        <v>406</v>
      </c>
      <c r="AR220" s="246"/>
      <c r="AS220" s="311" t="s">
        <v>394</v>
      </c>
      <c r="AT220" s="254" t="str">
        <f t="shared" si="46"/>
        <v/>
      </c>
      <c r="AU220" s="269"/>
      <c r="AV220" s="269"/>
    </row>
    <row r="221">
      <c r="A221" s="94"/>
      <c r="B221" s="277" t="s">
        <v>705</v>
      </c>
      <c r="C221" s="329" t="s">
        <v>685</v>
      </c>
      <c r="D221" s="369"/>
      <c r="E221" s="259"/>
      <c r="F221" s="311" t="s">
        <v>470</v>
      </c>
      <c r="G221" s="246"/>
      <c r="H221" s="251" t="s">
        <v>407</v>
      </c>
      <c r="I221" s="246"/>
      <c r="J221" s="734" t="s">
        <v>1032</v>
      </c>
      <c r="K221" s="246"/>
      <c r="L221" s="261"/>
      <c r="M221" s="341"/>
      <c r="N221" s="246"/>
      <c r="O221" s="251" t="s">
        <v>440</v>
      </c>
      <c r="P221" s="246"/>
      <c r="Q221" s="251" t="s">
        <v>405</v>
      </c>
      <c r="R221" s="246"/>
      <c r="S221" s="261"/>
      <c r="T221" s="341"/>
      <c r="U221" s="246"/>
      <c r="V221" s="274" t="s">
        <v>406</v>
      </c>
      <c r="W221" s="246"/>
      <c r="X221" s="311" t="s">
        <v>410</v>
      </c>
      <c r="Y221" s="246"/>
      <c r="Z221" s="261"/>
      <c r="AA221" s="341"/>
      <c r="AB221" s="246"/>
      <c r="AC221" s="311" t="s">
        <v>470</v>
      </c>
      <c r="AD221" s="246"/>
      <c r="AE221" s="251" t="s">
        <v>405</v>
      </c>
      <c r="AF221" s="246"/>
      <c r="AG221" s="261"/>
      <c r="AH221" s="311" t="s">
        <v>470</v>
      </c>
      <c r="AI221" s="246"/>
      <c r="AJ221" s="251" t="s">
        <v>440</v>
      </c>
      <c r="AK221" s="246"/>
      <c r="AL221" s="251"/>
      <c r="AM221" s="246"/>
      <c r="AN221" s="261"/>
      <c r="AO221" s="506"/>
      <c r="AP221" s="246"/>
      <c r="AQ221" s="251" t="s">
        <v>440</v>
      </c>
      <c r="AR221" s="246"/>
      <c r="AS221" s="311" t="s">
        <v>470</v>
      </c>
      <c r="AT221" s="254" t="str">
        <f t="shared" si="46"/>
        <v/>
      </c>
      <c r="AU221" s="269"/>
      <c r="AV221" s="269"/>
    </row>
    <row r="222">
      <c r="A222" s="94"/>
      <c r="B222" s="271" t="s">
        <v>705</v>
      </c>
      <c r="C222" s="272" t="s">
        <v>687</v>
      </c>
      <c r="D222" s="330"/>
      <c r="E222" s="259"/>
      <c r="G222" s="246"/>
      <c r="I222" s="246"/>
      <c r="J222" s="339" t="s">
        <v>1033</v>
      </c>
      <c r="K222" s="246"/>
      <c r="L222" s="261"/>
      <c r="M222" s="341"/>
      <c r="N222" s="246"/>
      <c r="O222" s="282"/>
      <c r="P222" s="246"/>
      <c r="Q222" s="339" t="s">
        <v>1033</v>
      </c>
      <c r="R222" s="246"/>
      <c r="S222" s="261"/>
      <c r="T222" s="341"/>
      <c r="U222" s="246"/>
      <c r="W222" s="246"/>
      <c r="X222" s="339" t="s">
        <v>1033</v>
      </c>
      <c r="Y222" s="246"/>
      <c r="Z222" s="261"/>
      <c r="AA222" s="341"/>
      <c r="AB222" s="246"/>
      <c r="AC222" s="282"/>
      <c r="AD222" s="246"/>
      <c r="AE222" s="339" t="s">
        <v>1033</v>
      </c>
      <c r="AF222" s="246"/>
      <c r="AG222" s="261"/>
      <c r="AH222" s="282"/>
      <c r="AI222" s="246"/>
      <c r="AJ222" s="276"/>
      <c r="AK222" s="246"/>
      <c r="AL222" s="282"/>
      <c r="AM222" s="246"/>
      <c r="AN222" s="261"/>
      <c r="AO222" s="506"/>
      <c r="AP222" s="246"/>
      <c r="AQ222" s="282"/>
      <c r="AR222" s="246"/>
      <c r="AT222" s="254" t="str">
        <f t="shared" si="46"/>
        <v/>
      </c>
      <c r="AU222" s="269"/>
      <c r="AV222" s="269"/>
    </row>
    <row r="223">
      <c r="A223" s="270"/>
      <c r="B223" s="397" t="s">
        <v>708</v>
      </c>
      <c r="C223" s="398" t="s">
        <v>654</v>
      </c>
      <c r="D223" s="330"/>
      <c r="E223" s="259"/>
      <c r="F223" s="275"/>
      <c r="G223" s="246"/>
      <c r="H223" s="311" t="s">
        <v>441</v>
      </c>
      <c r="I223" s="246"/>
      <c r="J223" s="374" t="s">
        <v>446</v>
      </c>
      <c r="K223" s="246"/>
      <c r="L223" s="261"/>
      <c r="M223" s="341"/>
      <c r="N223" s="246"/>
      <c r="O223" s="311" t="s">
        <v>441</v>
      </c>
      <c r="P223" s="246"/>
      <c r="Q223" s="374" t="s">
        <v>446</v>
      </c>
      <c r="R223" s="246"/>
      <c r="S223" s="261"/>
      <c r="T223" s="341"/>
      <c r="U223" s="246"/>
      <c r="V223" s="365" t="s">
        <v>469</v>
      </c>
      <c r="W223" s="246"/>
      <c r="X223" s="325" t="s">
        <v>1007</v>
      </c>
      <c r="Y223" s="246"/>
      <c r="Z223" s="261"/>
      <c r="AA223" s="341"/>
      <c r="AB223" s="246"/>
      <c r="AC223" s="311" t="s">
        <v>441</v>
      </c>
      <c r="AD223" s="246"/>
      <c r="AE223" s="374" t="s">
        <v>446</v>
      </c>
      <c r="AF223" s="246"/>
      <c r="AG223" s="261"/>
      <c r="AH223" s="275"/>
      <c r="AI223" s="246"/>
      <c r="AJ223" s="311" t="s">
        <v>441</v>
      </c>
      <c r="AK223" s="246"/>
      <c r="AL223" s="374" t="s">
        <v>446</v>
      </c>
      <c r="AM223" s="246"/>
      <c r="AN223" s="261"/>
      <c r="AO223" s="506"/>
      <c r="AP223" s="246"/>
      <c r="AQ223" s="365" t="s">
        <v>469</v>
      </c>
      <c r="AR223" s="246"/>
      <c r="AS223" s="374" t="s">
        <v>446</v>
      </c>
      <c r="AT223" s="254" t="str">
        <f t="shared" si="46"/>
        <v/>
      </c>
      <c r="AU223" s="269"/>
      <c r="AV223" s="269"/>
    </row>
    <row r="224">
      <c r="A224" s="94"/>
      <c r="B224" s="277" t="s">
        <v>709</v>
      </c>
      <c r="C224" s="278" t="s">
        <v>710</v>
      </c>
      <c r="D224" s="323"/>
      <c r="E224" s="259"/>
      <c r="F224" s="281"/>
      <c r="G224" s="246"/>
      <c r="H224" s="282"/>
      <c r="I224" s="246"/>
      <c r="K224" s="246"/>
      <c r="L224" s="261"/>
      <c r="M224" s="286"/>
      <c r="N224" s="246"/>
      <c r="O224" s="281"/>
      <c r="P224" s="246"/>
      <c r="R224" s="246"/>
      <c r="S224" s="261"/>
      <c r="T224" s="286"/>
      <c r="U224" s="246"/>
      <c r="V224" s="282"/>
      <c r="W224" s="246"/>
      <c r="X224" s="282"/>
      <c r="Y224" s="246"/>
      <c r="Z224" s="261"/>
      <c r="AA224" s="286"/>
      <c r="AB224" s="246"/>
      <c r="AC224" s="282"/>
      <c r="AD224" s="246"/>
      <c r="AE224" s="282"/>
      <c r="AF224" s="246"/>
      <c r="AG224" s="261"/>
      <c r="AH224" s="281"/>
      <c r="AI224" s="246"/>
      <c r="AJ224" s="364" t="s">
        <v>836</v>
      </c>
      <c r="AK224" s="246"/>
      <c r="AL224" s="282"/>
      <c r="AM224" s="246"/>
      <c r="AN224" s="261"/>
      <c r="AO224" s="506"/>
      <c r="AP224" s="246"/>
      <c r="AQ224" s="281"/>
      <c r="AR224" s="246"/>
      <c r="AT224" s="254" t="str">
        <f>IF(COUNTIF($AO$79:$AT$81, AS225) &gt; 0, "X", "")</f>
        <v/>
      </c>
      <c r="AU224" s="269"/>
      <c r="AV224" s="269"/>
    </row>
    <row r="225">
      <c r="A225" s="94"/>
      <c r="B225" s="673" t="s">
        <v>944</v>
      </c>
      <c r="C225" s="272" t="s">
        <v>639</v>
      </c>
      <c r="D225" s="431"/>
      <c r="E225" s="259"/>
      <c r="F225" s="282"/>
      <c r="G225" s="246"/>
      <c r="H225" s="282"/>
      <c r="I225" s="246"/>
      <c r="J225" s="282"/>
      <c r="K225" s="246"/>
      <c r="L225" s="261"/>
      <c r="M225" s="341"/>
      <c r="N225" s="246"/>
      <c r="O225" s="282"/>
      <c r="P225" s="246"/>
      <c r="Q225" s="282"/>
      <c r="R225" s="246"/>
      <c r="S225" s="261"/>
      <c r="T225" s="341"/>
      <c r="U225" s="246"/>
      <c r="V225" s="251"/>
      <c r="W225" s="246"/>
      <c r="X225" s="282"/>
      <c r="Y225" s="246"/>
      <c r="Z225" s="261"/>
      <c r="AA225" s="341"/>
      <c r="AB225" s="246"/>
      <c r="AC225" s="251" t="s">
        <v>432</v>
      </c>
      <c r="AD225" s="246"/>
      <c r="AE225" s="282"/>
      <c r="AF225" s="246"/>
      <c r="AG225" s="261"/>
      <c r="AH225" s="282"/>
      <c r="AI225" s="246"/>
      <c r="AJ225" s="282"/>
      <c r="AK225" s="246"/>
      <c r="AL225" s="282"/>
      <c r="AM225" s="246"/>
      <c r="AN225" s="261"/>
      <c r="AO225" s="506"/>
      <c r="AP225" s="246"/>
      <c r="AQ225" s="282"/>
      <c r="AR225" s="246"/>
      <c r="AS225" s="282"/>
      <c r="AT225" s="430"/>
      <c r="AU225" s="269"/>
      <c r="AV225" s="269"/>
    </row>
    <row r="226">
      <c r="A226" s="94"/>
      <c r="B226" s="429" t="s">
        <v>714</v>
      </c>
      <c r="C226" s="430"/>
      <c r="D226" s="323"/>
      <c r="E226" s="259"/>
      <c r="F226" s="432"/>
      <c r="G226" s="432"/>
      <c r="H226" s="432"/>
      <c r="I226" s="432"/>
      <c r="J226" s="432"/>
      <c r="K226" s="432"/>
      <c r="L226" s="261"/>
      <c r="M226" s="432"/>
      <c r="N226" s="433"/>
      <c r="O226" s="432"/>
      <c r="P226" s="432"/>
      <c r="Q226" s="432"/>
      <c r="R226" s="432"/>
      <c r="S226" s="261"/>
      <c r="T226" s="432"/>
      <c r="U226" s="433"/>
      <c r="V226" s="432"/>
      <c r="W226" s="432"/>
      <c r="X226" s="432"/>
      <c r="Y226" s="432"/>
      <c r="Z226" s="261"/>
      <c r="AA226" s="432"/>
      <c r="AB226" s="433"/>
      <c r="AC226" s="432"/>
      <c r="AD226" s="432"/>
      <c r="AE226" s="432"/>
      <c r="AF226" s="432"/>
      <c r="AG226" s="261"/>
      <c r="AH226" s="432"/>
      <c r="AI226" s="433"/>
      <c r="AJ226" s="432"/>
      <c r="AK226" s="432"/>
      <c r="AL226" s="432"/>
      <c r="AM226" s="432"/>
      <c r="AN226" s="261"/>
      <c r="AO226" s="432"/>
      <c r="AP226" s="433"/>
      <c r="AQ226" s="432"/>
      <c r="AR226" s="432"/>
      <c r="AS226" s="432"/>
      <c r="AT226" s="254" t="str">
        <f t="shared" ref="AT226:AT231" si="47">IF(COUNTIF($AO$79:$AT$81, AS227) &gt; 0, "X", "")</f>
        <v/>
      </c>
      <c r="AU226" s="269"/>
      <c r="AV226" s="269"/>
    </row>
    <row r="227">
      <c r="A227" s="94"/>
      <c r="B227" s="401" t="s">
        <v>715</v>
      </c>
      <c r="C227" s="412" t="s">
        <v>716</v>
      </c>
      <c r="D227" s="323"/>
      <c r="E227" s="259"/>
      <c r="F227" s="434" t="s">
        <v>465</v>
      </c>
      <c r="G227" s="246"/>
      <c r="H227" s="434" t="s">
        <v>403</v>
      </c>
      <c r="I227" s="246"/>
      <c r="J227" s="434"/>
      <c r="K227" s="246"/>
      <c r="L227" s="261"/>
      <c r="M227" s="434" t="s">
        <v>465</v>
      </c>
      <c r="N227" s="246"/>
      <c r="O227" s="434" t="s">
        <v>403</v>
      </c>
      <c r="P227" s="246"/>
      <c r="Q227" s="434"/>
      <c r="R227" s="246"/>
      <c r="S227" s="261"/>
      <c r="T227" s="434"/>
      <c r="U227" s="246"/>
      <c r="V227" s="434" t="s">
        <v>403</v>
      </c>
      <c r="W227" s="246"/>
      <c r="X227" s="434"/>
      <c r="Y227" s="246"/>
      <c r="Z227" s="261"/>
      <c r="AA227" s="434" t="s">
        <v>465</v>
      </c>
      <c r="AB227" s="246"/>
      <c r="AC227" s="434" t="s">
        <v>403</v>
      </c>
      <c r="AD227" s="246"/>
      <c r="AE227" s="434"/>
      <c r="AF227" s="246"/>
      <c r="AG227" s="261"/>
      <c r="AH227" s="434" t="s">
        <v>465</v>
      </c>
      <c r="AI227" s="246"/>
      <c r="AJ227" s="434" t="s">
        <v>403</v>
      </c>
      <c r="AK227" s="246"/>
      <c r="AL227" s="434"/>
      <c r="AM227" s="246"/>
      <c r="AN227" s="261"/>
      <c r="AO227" s="434" t="s">
        <v>465</v>
      </c>
      <c r="AP227" s="246"/>
      <c r="AQ227" s="434"/>
      <c r="AR227" s="246"/>
      <c r="AS227" s="434"/>
      <c r="AT227" s="254" t="str">
        <f t="shared" si="47"/>
        <v/>
      </c>
      <c r="AU227" s="269"/>
      <c r="AV227" s="269"/>
    </row>
    <row r="228">
      <c r="A228" s="94"/>
      <c r="B228" s="435" t="s">
        <v>717</v>
      </c>
      <c r="C228" s="415" t="s">
        <v>718</v>
      </c>
      <c r="D228" s="363"/>
      <c r="E228" s="259"/>
      <c r="F228" s="434"/>
      <c r="G228" s="246"/>
      <c r="H228" s="406" t="s">
        <v>442</v>
      </c>
      <c r="I228" s="246"/>
      <c r="J228" s="434"/>
      <c r="K228" s="246"/>
      <c r="L228" s="261"/>
      <c r="M228" s="434"/>
      <c r="N228" s="246"/>
      <c r="O228" s="406" t="s">
        <v>442</v>
      </c>
      <c r="P228" s="246"/>
      <c r="Q228" s="434"/>
      <c r="R228" s="246"/>
      <c r="S228" s="261"/>
      <c r="T228" s="434"/>
      <c r="U228" s="246"/>
      <c r="V228" s="406" t="s">
        <v>442</v>
      </c>
      <c r="W228" s="246"/>
      <c r="X228" s="434"/>
      <c r="Y228" s="246"/>
      <c r="Z228" s="261"/>
      <c r="AA228" s="434"/>
      <c r="AB228" s="246"/>
      <c r="AC228" s="406" t="s">
        <v>442</v>
      </c>
      <c r="AD228" s="246"/>
      <c r="AE228" s="434"/>
      <c r="AF228" s="246"/>
      <c r="AG228" s="261"/>
      <c r="AH228" s="434"/>
      <c r="AI228" s="246"/>
      <c r="AJ228" s="406" t="s">
        <v>442</v>
      </c>
      <c r="AK228" s="246"/>
      <c r="AL228" s="434"/>
      <c r="AM228" s="246"/>
      <c r="AN228" s="261"/>
      <c r="AO228" s="434"/>
      <c r="AP228" s="246"/>
      <c r="AQ228" s="406" t="s">
        <v>463</v>
      </c>
      <c r="AR228" s="246"/>
      <c r="AS228" s="434"/>
      <c r="AT228" s="254" t="str">
        <f t="shared" si="47"/>
        <v/>
      </c>
      <c r="AU228" s="269"/>
      <c r="AV228" s="269"/>
    </row>
    <row r="229">
      <c r="A229" s="94"/>
      <c r="B229" s="436" t="s">
        <v>719</v>
      </c>
      <c r="C229" s="437" t="s">
        <v>720</v>
      </c>
      <c r="D229" s="330"/>
      <c r="E229" s="259"/>
      <c r="F229" s="406"/>
      <c r="G229" s="246"/>
      <c r="H229" s="406" t="s">
        <v>463</v>
      </c>
      <c r="I229" s="246"/>
      <c r="J229" s="406"/>
      <c r="K229" s="246"/>
      <c r="L229" s="261"/>
      <c r="M229" s="406"/>
      <c r="N229" s="246"/>
      <c r="O229" s="406" t="s">
        <v>463</v>
      </c>
      <c r="P229" s="246"/>
      <c r="Q229" s="406"/>
      <c r="R229" s="246"/>
      <c r="S229" s="261"/>
      <c r="T229" s="406"/>
      <c r="U229" s="246"/>
      <c r="V229" s="406" t="s">
        <v>463</v>
      </c>
      <c r="W229" s="246"/>
      <c r="X229" s="406"/>
      <c r="Y229" s="246"/>
      <c r="Z229" s="261"/>
      <c r="AA229" s="406"/>
      <c r="AB229" s="246"/>
      <c r="AC229" s="406" t="s">
        <v>970</v>
      </c>
      <c r="AD229" s="246"/>
      <c r="AE229" s="406"/>
      <c r="AF229" s="246"/>
      <c r="AG229" s="261"/>
      <c r="AH229" s="406"/>
      <c r="AI229" s="246"/>
      <c r="AJ229" s="406" t="s">
        <v>946</v>
      </c>
      <c r="AK229" s="246"/>
      <c r="AL229" s="406"/>
      <c r="AM229" s="246"/>
      <c r="AN229" s="261"/>
      <c r="AO229" s="406"/>
      <c r="AP229" s="246"/>
      <c r="AQ229" s="406" t="s">
        <v>970</v>
      </c>
      <c r="AR229" s="246"/>
      <c r="AS229" s="406"/>
      <c r="AT229" s="254" t="str">
        <f t="shared" si="47"/>
        <v/>
      </c>
      <c r="AU229" s="269"/>
      <c r="AV229" s="269"/>
    </row>
    <row r="230">
      <c r="A230" s="94"/>
      <c r="B230" s="439" t="s">
        <v>721</v>
      </c>
      <c r="C230" s="440" t="s">
        <v>722</v>
      </c>
      <c r="D230" s="330"/>
      <c r="E230" s="259"/>
      <c r="F230" s="406"/>
      <c r="G230" s="246"/>
      <c r="H230" s="406" t="s">
        <v>454</v>
      </c>
      <c r="I230" s="246"/>
      <c r="J230" s="406"/>
      <c r="K230" s="246"/>
      <c r="L230" s="261"/>
      <c r="M230" s="406"/>
      <c r="N230" s="246"/>
      <c r="O230" s="592" t="s">
        <v>915</v>
      </c>
      <c r="P230" s="246"/>
      <c r="Q230" s="406"/>
      <c r="R230" s="246"/>
      <c r="S230" s="261"/>
      <c r="T230" s="406"/>
      <c r="U230" s="246"/>
      <c r="V230" s="406" t="s">
        <v>454</v>
      </c>
      <c r="W230" s="246"/>
      <c r="X230" s="406"/>
      <c r="Y230" s="246"/>
      <c r="Z230" s="261"/>
      <c r="AA230" s="406"/>
      <c r="AB230" s="246"/>
      <c r="AC230" s="406" t="s">
        <v>454</v>
      </c>
      <c r="AD230" s="246"/>
      <c r="AE230" s="406"/>
      <c r="AF230" s="246"/>
      <c r="AG230" s="261"/>
      <c r="AH230" s="406"/>
      <c r="AI230" s="246"/>
      <c r="AJ230" s="406" t="s">
        <v>454</v>
      </c>
      <c r="AK230" s="246"/>
      <c r="AL230" s="406"/>
      <c r="AM230" s="246"/>
      <c r="AN230" s="261"/>
      <c r="AO230" s="406"/>
      <c r="AP230" s="246"/>
      <c r="AQ230" s="406"/>
      <c r="AR230" s="246"/>
      <c r="AS230" s="406"/>
      <c r="AT230" s="254" t="str">
        <f t="shared" si="47"/>
        <v/>
      </c>
      <c r="AU230" s="269"/>
      <c r="AV230" s="269"/>
    </row>
    <row r="231">
      <c r="A231" s="94"/>
      <c r="B231" s="439" t="s">
        <v>723</v>
      </c>
      <c r="C231" s="440" t="s">
        <v>724</v>
      </c>
      <c r="D231" s="330"/>
      <c r="E231" s="259"/>
      <c r="F231" s="406"/>
      <c r="G231" s="246"/>
      <c r="H231" s="406" t="s">
        <v>946</v>
      </c>
      <c r="I231" s="246"/>
      <c r="J231" s="406"/>
      <c r="K231" s="246"/>
      <c r="L231" s="261"/>
      <c r="M231" s="406"/>
      <c r="N231" s="246"/>
      <c r="O231" s="406" t="s">
        <v>970</v>
      </c>
      <c r="P231" s="246"/>
      <c r="Q231" s="406"/>
      <c r="R231" s="246"/>
      <c r="S231" s="261"/>
      <c r="T231" s="406"/>
      <c r="U231" s="246"/>
      <c r="V231" s="406" t="s">
        <v>460</v>
      </c>
      <c r="W231" s="246"/>
      <c r="X231" s="406"/>
      <c r="Y231" s="246"/>
      <c r="Z231" s="261"/>
      <c r="AA231" s="406"/>
      <c r="AB231" s="246"/>
      <c r="AC231" s="406" t="s">
        <v>946</v>
      </c>
      <c r="AD231" s="246"/>
      <c r="AE231" s="406"/>
      <c r="AF231" s="246"/>
      <c r="AG231" s="261"/>
      <c r="AH231" s="406"/>
      <c r="AI231" s="246"/>
      <c r="AJ231" s="406" t="s">
        <v>463</v>
      </c>
      <c r="AK231" s="246"/>
      <c r="AL231" s="406"/>
      <c r="AM231" s="246"/>
      <c r="AN231" s="261"/>
      <c r="AO231" s="406"/>
      <c r="AP231" s="246"/>
      <c r="AQ231" s="406"/>
      <c r="AR231" s="246"/>
      <c r="AS231" s="406"/>
      <c r="AT231" s="254" t="str">
        <f t="shared" si="47"/>
        <v/>
      </c>
      <c r="AU231" s="269"/>
      <c r="AV231" s="269"/>
    </row>
    <row r="232">
      <c r="A232" s="94"/>
      <c r="B232" s="439" t="s">
        <v>725</v>
      </c>
      <c r="C232" s="442" t="s">
        <v>726</v>
      </c>
      <c r="D232" s="330"/>
      <c r="E232" s="259"/>
      <c r="F232" s="441"/>
      <c r="G232" s="246"/>
      <c r="H232" s="406" t="s">
        <v>456</v>
      </c>
      <c r="I232" s="246"/>
      <c r="J232" s="441"/>
      <c r="K232" s="246"/>
      <c r="L232" s="261"/>
      <c r="M232" s="441"/>
      <c r="N232" s="246"/>
      <c r="O232" s="406" t="s">
        <v>946</v>
      </c>
      <c r="P232" s="246"/>
      <c r="Q232" s="441"/>
      <c r="R232" s="246"/>
      <c r="S232" s="261"/>
      <c r="T232" s="441"/>
      <c r="U232" s="246"/>
      <c r="V232" s="206" t="s">
        <v>847</v>
      </c>
      <c r="W232" s="246"/>
      <c r="X232" s="441"/>
      <c r="Y232" s="246"/>
      <c r="Z232" s="261"/>
      <c r="AA232" s="441"/>
      <c r="AB232" s="246"/>
      <c r="AC232" s="406" t="s">
        <v>456</v>
      </c>
      <c r="AD232" s="246"/>
      <c r="AE232" s="441"/>
      <c r="AF232" s="246"/>
      <c r="AG232" s="261"/>
      <c r="AH232" s="441"/>
      <c r="AI232" s="246"/>
      <c r="AJ232" s="406" t="s">
        <v>970</v>
      </c>
      <c r="AK232" s="246"/>
      <c r="AL232" s="441"/>
      <c r="AM232" s="246"/>
      <c r="AN232" s="261"/>
      <c r="AO232" s="441"/>
      <c r="AP232" s="246"/>
      <c r="AQ232" s="406" t="s">
        <v>456</v>
      </c>
      <c r="AR232" s="246"/>
      <c r="AS232" s="441"/>
      <c r="AT232" s="254" t="str">
        <f>IF(COUNTIF($AO$79:$AT$81, #REF!) &gt; 0, "X", "")</f>
        <v/>
      </c>
      <c r="AU232" s="269"/>
      <c r="AV232" s="269"/>
    </row>
    <row r="233">
      <c r="A233" s="94"/>
      <c r="B233" s="447" t="s">
        <v>729</v>
      </c>
      <c r="C233" s="448" t="s">
        <v>730</v>
      </c>
      <c r="D233" s="330"/>
      <c r="E233" s="259"/>
      <c r="F233" s="441"/>
      <c r="G233" s="246"/>
      <c r="H233" s="406" t="s">
        <v>970</v>
      </c>
      <c r="I233" s="246"/>
      <c r="J233" s="441"/>
      <c r="K233" s="246"/>
      <c r="L233" s="261"/>
      <c r="M233" s="441"/>
      <c r="N233" s="246"/>
      <c r="O233" s="406" t="s">
        <v>456</v>
      </c>
      <c r="P233" s="246"/>
      <c r="Q233" s="441"/>
      <c r="R233" s="246"/>
      <c r="S233" s="261"/>
      <c r="T233" s="441"/>
      <c r="U233" s="246"/>
      <c r="V233" s="406" t="s">
        <v>456</v>
      </c>
      <c r="W233" s="246"/>
      <c r="X233" s="441"/>
      <c r="Y233" s="246"/>
      <c r="Z233" s="261"/>
      <c r="AA233" s="441"/>
      <c r="AB233" s="246"/>
      <c r="AC233" s="406"/>
      <c r="AD233" s="246"/>
      <c r="AE233" s="441"/>
      <c r="AF233" s="246"/>
      <c r="AG233" s="261"/>
      <c r="AH233" s="441"/>
      <c r="AI233" s="246"/>
      <c r="AJ233" s="406"/>
      <c r="AK233" s="246"/>
      <c r="AL233" s="441"/>
      <c r="AM233" s="246"/>
      <c r="AN233" s="261"/>
      <c r="AO233" s="441"/>
      <c r="AP233" s="246"/>
      <c r="AQ233" s="406"/>
      <c r="AR233" s="246"/>
      <c r="AS233" s="441"/>
      <c r="AT233" s="254" t="str">
        <f t="shared" ref="AT233:AT235" si="48">IF(COUNTIF($AO$79:$AT$81, AS233) &gt; 0, "X", "")</f>
        <v/>
      </c>
      <c r="AU233" s="269"/>
      <c r="AV233" s="269"/>
    </row>
    <row r="234">
      <c r="A234" s="94"/>
      <c r="B234" s="450" t="s">
        <v>731</v>
      </c>
      <c r="C234" s="451" t="s">
        <v>732</v>
      </c>
      <c r="D234" s="363"/>
      <c r="E234" s="259"/>
      <c r="F234" s="206"/>
      <c r="G234" s="246"/>
      <c r="H234" s="406" t="s">
        <v>460</v>
      </c>
      <c r="I234" s="246"/>
      <c r="J234" s="206"/>
      <c r="K234" s="246"/>
      <c r="L234" s="261"/>
      <c r="M234" s="206"/>
      <c r="N234" s="246"/>
      <c r="O234" s="406" t="s">
        <v>460</v>
      </c>
      <c r="P234" s="246"/>
      <c r="Q234" s="206"/>
      <c r="R234" s="246"/>
      <c r="S234" s="261"/>
      <c r="T234" s="206"/>
      <c r="U234" s="246"/>
      <c r="V234" s="406" t="s">
        <v>946</v>
      </c>
      <c r="W234" s="246"/>
      <c r="X234" s="206"/>
      <c r="Y234" s="246"/>
      <c r="Z234" s="261"/>
      <c r="AA234" s="206"/>
      <c r="AB234" s="246"/>
      <c r="AC234" s="206" t="s">
        <v>847</v>
      </c>
      <c r="AD234" s="246"/>
      <c r="AE234" s="206"/>
      <c r="AF234" s="246"/>
      <c r="AG234" s="261"/>
      <c r="AH234" s="206"/>
      <c r="AI234" s="246"/>
      <c r="AJ234" s="206" t="s">
        <v>847</v>
      </c>
      <c r="AK234" s="246"/>
      <c r="AL234" s="206"/>
      <c r="AM234" s="246"/>
      <c r="AN234" s="261"/>
      <c r="AO234" s="206"/>
      <c r="AP234" s="246"/>
      <c r="AQ234" s="406"/>
      <c r="AR234" s="246"/>
      <c r="AS234" s="206"/>
      <c r="AT234" s="254" t="str">
        <f t="shared" si="48"/>
        <v/>
      </c>
      <c r="AU234" s="269"/>
      <c r="AV234" s="269"/>
    </row>
    <row r="235">
      <c r="A235" s="94"/>
      <c r="B235" s="452" t="s">
        <v>733</v>
      </c>
      <c r="C235" s="453" t="s">
        <v>734</v>
      </c>
      <c r="D235" s="363"/>
      <c r="E235" s="259"/>
      <c r="F235" s="74"/>
      <c r="G235" s="246"/>
      <c r="H235" s="594" t="s">
        <v>395</v>
      </c>
      <c r="I235" s="246"/>
      <c r="J235" s="74"/>
      <c r="K235" s="246"/>
      <c r="L235" s="261"/>
      <c r="M235" s="74"/>
      <c r="N235" s="246"/>
      <c r="O235" s="594" t="s">
        <v>395</v>
      </c>
      <c r="P235" s="246"/>
      <c r="Q235" s="74"/>
      <c r="R235" s="246"/>
      <c r="S235" s="261"/>
      <c r="T235" s="74"/>
      <c r="U235" s="246"/>
      <c r="V235" s="594" t="s">
        <v>395</v>
      </c>
      <c r="W235" s="246"/>
      <c r="X235" s="74"/>
      <c r="Y235" s="246"/>
      <c r="Z235" s="261"/>
      <c r="AA235" s="74"/>
      <c r="AB235" s="246"/>
      <c r="AC235" s="594" t="s">
        <v>395</v>
      </c>
      <c r="AD235" s="246"/>
      <c r="AE235" s="74"/>
      <c r="AF235" s="246"/>
      <c r="AG235" s="261"/>
      <c r="AH235" s="74"/>
      <c r="AI235" s="246"/>
      <c r="AJ235" s="594" t="s">
        <v>395</v>
      </c>
      <c r="AK235" s="246"/>
      <c r="AL235" s="74"/>
      <c r="AM235" s="246"/>
      <c r="AN235" s="261"/>
      <c r="AO235" s="74"/>
      <c r="AP235" s="246"/>
      <c r="AQ235" s="206" t="s">
        <v>847</v>
      </c>
      <c r="AR235" s="246"/>
      <c r="AS235" s="654"/>
      <c r="AT235" s="254" t="str">
        <f t="shared" si="48"/>
        <v/>
      </c>
      <c r="AU235" s="269"/>
      <c r="AV235" s="269"/>
    </row>
    <row r="236">
      <c r="A236" s="94"/>
      <c r="B236" s="636"/>
      <c r="C236" s="637"/>
      <c r="D236" s="269"/>
      <c r="E236" s="638"/>
      <c r="F236" s="446"/>
      <c r="G236" s="246"/>
      <c r="H236" s="446"/>
      <c r="I236" s="246"/>
      <c r="J236" s="446"/>
      <c r="K236" s="246"/>
      <c r="L236" s="462"/>
      <c r="M236" s="446"/>
      <c r="N236" s="246"/>
      <c r="O236" s="446"/>
      <c r="P236" s="246"/>
      <c r="Q236" s="446"/>
      <c r="R236" s="246"/>
      <c r="S236" s="462"/>
      <c r="T236" s="446"/>
      <c r="U236" s="246"/>
      <c r="V236" s="446"/>
      <c r="W236" s="246"/>
      <c r="X236" s="446"/>
      <c r="Y236" s="246"/>
      <c r="Z236" s="462"/>
      <c r="AA236" s="446"/>
      <c r="AB236" s="246"/>
      <c r="AC236" s="446"/>
      <c r="AD236" s="246"/>
      <c r="AE236" s="446"/>
      <c r="AF236" s="246"/>
      <c r="AG236" s="462"/>
      <c r="AH236" s="446"/>
      <c r="AI236" s="246"/>
      <c r="AJ236" s="446"/>
      <c r="AK236" s="246"/>
      <c r="AL236" s="446"/>
      <c r="AM236" s="246"/>
      <c r="AN236" s="462"/>
      <c r="AO236" s="446"/>
      <c r="AP236" s="246"/>
      <c r="AQ236" s="446"/>
      <c r="AR236" s="246"/>
      <c r="AS236" s="446"/>
      <c r="AT236" s="254"/>
      <c r="AU236" s="269"/>
      <c r="AV236" s="269"/>
    </row>
    <row r="237">
      <c r="A237" s="94"/>
      <c r="B237" s="454" t="s">
        <v>735</v>
      </c>
      <c r="C237" s="455" t="s">
        <v>736</v>
      </c>
      <c r="D237" s="363"/>
      <c r="E237" s="259"/>
      <c r="F237" s="405" t="s">
        <v>462</v>
      </c>
      <c r="G237" s="246"/>
      <c r="H237" s="441"/>
      <c r="I237" s="246"/>
      <c r="J237" s="405"/>
      <c r="K237" s="246"/>
      <c r="L237" s="261"/>
      <c r="M237" s="441"/>
      <c r="N237" s="246"/>
      <c r="O237" s="441"/>
      <c r="P237" s="246"/>
      <c r="Q237" s="441"/>
      <c r="R237" s="246"/>
      <c r="S237" s="261"/>
      <c r="T237" s="441"/>
      <c r="U237" s="246"/>
      <c r="V237" s="441"/>
      <c r="W237" s="246"/>
      <c r="X237" s="405" t="s">
        <v>462</v>
      </c>
      <c r="Y237" s="246"/>
      <c r="Z237" s="261"/>
      <c r="AA237" s="441"/>
      <c r="AB237" s="246"/>
      <c r="AC237" s="441"/>
      <c r="AD237" s="246"/>
      <c r="AE237" s="441"/>
      <c r="AF237" s="246"/>
      <c r="AG237" s="261"/>
      <c r="AH237" s="441"/>
      <c r="AI237" s="246"/>
      <c r="AJ237" s="441"/>
      <c r="AK237" s="246"/>
      <c r="AL237" s="405" t="s">
        <v>462</v>
      </c>
      <c r="AM237" s="246"/>
      <c r="AN237" s="261"/>
      <c r="AO237" s="441"/>
      <c r="AP237" s="246"/>
      <c r="AQ237" s="441"/>
      <c r="AR237" s="246"/>
      <c r="AS237" s="441"/>
      <c r="AT237" s="254" t="str">
        <f t="shared" ref="AT237:AT239" si="49">IF(COUNTIF($AO$79:$AT$81, AS237) &gt; 0, "X", "")</f>
        <v/>
      </c>
      <c r="AU237" s="269"/>
      <c r="AV237" s="269"/>
    </row>
    <row r="238">
      <c r="A238" s="94"/>
      <c r="B238" s="454" t="s">
        <v>735</v>
      </c>
      <c r="C238" s="442" t="s">
        <v>736</v>
      </c>
      <c r="D238" s="363"/>
      <c r="E238" s="259"/>
      <c r="F238" s="456"/>
      <c r="G238" s="246"/>
      <c r="H238" s="456"/>
      <c r="I238" s="246"/>
      <c r="J238" s="456"/>
      <c r="K238" s="246"/>
      <c r="L238" s="261"/>
      <c r="M238" s="456"/>
      <c r="N238" s="246"/>
      <c r="O238" s="456"/>
      <c r="P238" s="246"/>
      <c r="Q238" s="456"/>
      <c r="R238" s="246"/>
      <c r="S238" s="261"/>
      <c r="T238" s="456"/>
      <c r="U238" s="246"/>
      <c r="V238" s="456"/>
      <c r="W238" s="246"/>
      <c r="X238" s="456"/>
      <c r="Y238" s="246"/>
      <c r="Z238" s="261"/>
      <c r="AA238" s="456"/>
      <c r="AB238" s="246"/>
      <c r="AC238" s="456"/>
      <c r="AD238" s="246"/>
      <c r="AE238" s="456"/>
      <c r="AF238" s="246"/>
      <c r="AG238" s="261"/>
      <c r="AH238" s="456"/>
      <c r="AI238" s="246"/>
      <c r="AJ238" s="456"/>
      <c r="AK238" s="246"/>
      <c r="AL238" s="456"/>
      <c r="AM238" s="246"/>
      <c r="AN238" s="261"/>
      <c r="AO238" s="456"/>
      <c r="AP238" s="246"/>
      <c r="AQ238" s="456"/>
      <c r="AR238" s="246"/>
      <c r="AS238" s="456"/>
      <c r="AT238" s="254" t="str">
        <f t="shared" si="49"/>
        <v/>
      </c>
      <c r="AU238" s="269"/>
      <c r="AV238" s="269"/>
    </row>
    <row r="239">
      <c r="A239" s="94"/>
      <c r="B239" s="457" t="s">
        <v>735</v>
      </c>
      <c r="C239" s="458" t="s">
        <v>737</v>
      </c>
      <c r="D239" s="363"/>
      <c r="E239" s="259"/>
      <c r="F239" s="406"/>
      <c r="G239" s="246"/>
      <c r="H239" s="406"/>
      <c r="I239" s="246"/>
      <c r="J239" s="406"/>
      <c r="K239" s="246"/>
      <c r="L239" s="261"/>
      <c r="M239" s="406"/>
      <c r="N239" s="246"/>
      <c r="O239" s="406"/>
      <c r="P239" s="246"/>
      <c r="Q239" s="406"/>
      <c r="R239" s="246"/>
      <c r="S239" s="261"/>
      <c r="T239" s="406"/>
      <c r="U239" s="246"/>
      <c r="V239" s="406"/>
      <c r="W239" s="246"/>
      <c r="X239" s="406"/>
      <c r="Y239" s="246"/>
      <c r="Z239" s="261"/>
      <c r="AA239" s="406"/>
      <c r="AB239" s="246"/>
      <c r="AC239" s="406"/>
      <c r="AD239" s="246"/>
      <c r="AE239" s="406"/>
      <c r="AF239" s="246"/>
      <c r="AG239" s="261"/>
      <c r="AH239" s="406"/>
      <c r="AI239" s="246"/>
      <c r="AJ239" s="406"/>
      <c r="AK239" s="246"/>
      <c r="AL239" s="406"/>
      <c r="AM239" s="246"/>
      <c r="AN239" s="261"/>
      <c r="AO239" s="406"/>
      <c r="AP239" s="246"/>
      <c r="AQ239" s="406"/>
      <c r="AR239" s="246"/>
      <c r="AS239" s="406"/>
      <c r="AT239" s="254" t="str">
        <f t="shared" si="49"/>
        <v/>
      </c>
      <c r="AU239" s="269"/>
      <c r="AV239" s="269"/>
    </row>
    <row r="240">
      <c r="A240" s="94"/>
      <c r="B240" s="459"/>
      <c r="C240" s="460" t="s">
        <v>738</v>
      </c>
      <c r="D240" s="612" t="s">
        <v>505</v>
      </c>
      <c r="E240" s="259"/>
      <c r="F240" s="461" t="s">
        <v>1034</v>
      </c>
      <c r="G240" s="246"/>
      <c r="H240" s="132"/>
      <c r="I240" s="246"/>
      <c r="J240" s="132"/>
      <c r="K240" s="246"/>
      <c r="L240" s="462"/>
      <c r="M240" s="461" t="s">
        <v>1035</v>
      </c>
      <c r="N240" s="246"/>
      <c r="O240" s="132"/>
      <c r="P240" s="246"/>
      <c r="Q240" s="132"/>
      <c r="R240" s="246"/>
      <c r="S240" s="462"/>
      <c r="T240" s="461" t="s">
        <v>1036</v>
      </c>
      <c r="U240" s="246"/>
      <c r="V240" s="132"/>
      <c r="W240" s="246"/>
      <c r="X240" s="132"/>
      <c r="Y240" s="246"/>
      <c r="Z240" s="462"/>
      <c r="AA240" s="461" t="s">
        <v>1037</v>
      </c>
      <c r="AB240" s="246"/>
      <c r="AC240" s="132"/>
      <c r="AD240" s="246"/>
      <c r="AE240" s="132"/>
      <c r="AF240" s="246"/>
      <c r="AG240" s="462"/>
      <c r="AH240" s="461" t="s">
        <v>1038</v>
      </c>
      <c r="AI240" s="246"/>
      <c r="AJ240" s="132"/>
      <c r="AK240" s="246"/>
      <c r="AL240" s="132"/>
      <c r="AM240" s="246"/>
      <c r="AN240" s="462"/>
      <c r="AO240" s="461" t="s">
        <v>1039</v>
      </c>
      <c r="AP240" s="246"/>
      <c r="AQ240" s="132"/>
      <c r="AR240" s="246"/>
      <c r="AS240" s="132"/>
      <c r="AT240" s="460"/>
      <c r="AU240" s="269"/>
      <c r="AV240" s="269"/>
    </row>
    <row r="241">
      <c r="A241" s="270"/>
      <c r="B241" s="459"/>
      <c r="C241" s="460" t="s">
        <v>738</v>
      </c>
      <c r="D241" s="363"/>
      <c r="E241" s="259"/>
      <c r="F241" s="461"/>
      <c r="G241" s="246"/>
      <c r="H241" s="132"/>
      <c r="I241" s="246"/>
      <c r="J241" s="132"/>
      <c r="K241" s="246"/>
      <c r="L241" s="462"/>
      <c r="M241" s="461"/>
      <c r="N241" s="246"/>
      <c r="O241" s="132"/>
      <c r="P241" s="246"/>
      <c r="Q241" s="132"/>
      <c r="R241" s="246"/>
      <c r="S241" s="462"/>
      <c r="T241" s="461"/>
      <c r="U241" s="246"/>
      <c r="V241" s="132"/>
      <c r="W241" s="246"/>
      <c r="X241" s="132"/>
      <c r="Y241" s="246"/>
      <c r="Z241" s="462"/>
      <c r="AA241" s="461" t="s">
        <v>570</v>
      </c>
      <c r="AB241" s="246"/>
      <c r="AC241" s="132"/>
      <c r="AD241" s="246"/>
      <c r="AE241" s="132"/>
      <c r="AF241" s="246"/>
      <c r="AG241" s="462"/>
      <c r="AH241" s="461" t="s">
        <v>570</v>
      </c>
      <c r="AI241" s="246"/>
      <c r="AJ241" s="132"/>
      <c r="AK241" s="246"/>
      <c r="AL241" s="132"/>
      <c r="AM241" s="246"/>
      <c r="AN241" s="462"/>
      <c r="AO241" s="461" t="s">
        <v>570</v>
      </c>
      <c r="AP241" s="246"/>
      <c r="AQ241" s="132"/>
      <c r="AR241" s="246"/>
      <c r="AS241" s="132"/>
      <c r="AT241" s="460"/>
      <c r="AU241" s="236"/>
      <c r="AV241" s="236"/>
    </row>
    <row r="242">
      <c r="A242" s="236"/>
      <c r="B242" s="459"/>
      <c r="C242" s="460" t="s">
        <v>738</v>
      </c>
      <c r="D242" s="363"/>
      <c r="E242" s="259"/>
      <c r="F242" s="461" t="s">
        <v>570</v>
      </c>
      <c r="G242" s="246"/>
      <c r="H242" s="132"/>
      <c r="I242" s="246"/>
      <c r="J242" s="132"/>
      <c r="K242" s="246"/>
      <c r="L242" s="462"/>
      <c r="M242" s="461" t="s">
        <v>570</v>
      </c>
      <c r="N242" s="246"/>
      <c r="O242" s="132"/>
      <c r="P242" s="246"/>
      <c r="Q242" s="132"/>
      <c r="R242" s="246"/>
      <c r="S242" s="462"/>
      <c r="T242" s="461" t="s">
        <v>570</v>
      </c>
      <c r="U242" s="246"/>
      <c r="V242" s="132"/>
      <c r="W242" s="246"/>
      <c r="X242" s="132"/>
      <c r="Y242" s="246"/>
      <c r="Z242" s="462"/>
      <c r="AA242" s="461" t="s">
        <v>564</v>
      </c>
      <c r="AB242" s="246"/>
      <c r="AC242" s="132"/>
      <c r="AD242" s="246"/>
      <c r="AE242" s="132"/>
      <c r="AF242" s="246"/>
      <c r="AG242" s="462"/>
      <c r="AH242" s="461" t="s">
        <v>564</v>
      </c>
      <c r="AI242" s="246"/>
      <c r="AJ242" s="132"/>
      <c r="AK242" s="246"/>
      <c r="AL242" s="132"/>
      <c r="AM242" s="246"/>
      <c r="AN242" s="462"/>
      <c r="AO242" s="461" t="s">
        <v>1040</v>
      </c>
      <c r="AP242" s="246"/>
      <c r="AQ242" s="132"/>
      <c r="AR242" s="246"/>
      <c r="AS242" s="132"/>
      <c r="AT242" s="460"/>
      <c r="AU242" s="236"/>
      <c r="AV242" s="236"/>
    </row>
    <row r="243">
      <c r="A243" s="182"/>
      <c r="B243" s="183" t="s">
        <v>791</v>
      </c>
      <c r="C243" s="184" t="s">
        <v>605</v>
      </c>
      <c r="D243" s="185" t="s">
        <v>486</v>
      </c>
      <c r="E243" s="186"/>
      <c r="F243" s="185" t="s">
        <v>487</v>
      </c>
      <c r="M243" s="185" t="s">
        <v>488</v>
      </c>
      <c r="T243" s="185" t="s">
        <v>489</v>
      </c>
      <c r="AA243" s="185" t="s">
        <v>490</v>
      </c>
      <c r="AH243" s="185" t="s">
        <v>491</v>
      </c>
      <c r="AO243" s="185" t="s">
        <v>492</v>
      </c>
      <c r="AU243" s="182"/>
      <c r="AV243" s="182"/>
    </row>
    <row r="244">
      <c r="A244" s="182"/>
      <c r="B244" s="187"/>
      <c r="C244" s="187"/>
      <c r="D244" s="188">
        <f>AO163+1</f>
        <v>24</v>
      </c>
      <c r="E244" s="189"/>
      <c r="F244" s="188">
        <f>D244+1</f>
        <v>25</v>
      </c>
      <c r="M244" s="188">
        <f>F244+1</f>
        <v>26</v>
      </c>
      <c r="T244" s="188">
        <f>M244+1</f>
        <v>27</v>
      </c>
      <c r="AA244" s="188">
        <f>T244+1</f>
        <v>28</v>
      </c>
      <c r="AH244" s="188">
        <f>AA244+1</f>
        <v>29</v>
      </c>
      <c r="AO244" s="188">
        <f>AH244+1</f>
        <v>30</v>
      </c>
      <c r="AU244" s="182"/>
      <c r="AV244" s="182"/>
    </row>
    <row r="245">
      <c r="A245" s="182"/>
      <c r="B245" s="193" t="s">
        <v>608</v>
      </c>
      <c r="C245" s="193" t="s">
        <v>609</v>
      </c>
      <c r="D245" s="187"/>
      <c r="E245" s="189"/>
      <c r="F245" s="194" t="s">
        <v>610</v>
      </c>
      <c r="G245" s="195"/>
      <c r="H245" s="193" t="s">
        <v>611</v>
      </c>
      <c r="J245" s="194" t="s">
        <v>612</v>
      </c>
      <c r="M245" s="194" t="s">
        <v>610</v>
      </c>
      <c r="N245" s="195"/>
      <c r="O245" s="193" t="s">
        <v>611</v>
      </c>
      <c r="P245" s="195"/>
      <c r="Q245" s="194" t="s">
        <v>612</v>
      </c>
      <c r="S245" s="193"/>
      <c r="T245" s="194" t="s">
        <v>610</v>
      </c>
      <c r="U245" s="195"/>
      <c r="V245" s="193" t="s">
        <v>611</v>
      </c>
      <c r="W245" s="195"/>
      <c r="X245" s="194" t="s">
        <v>612</v>
      </c>
      <c r="Z245" s="193"/>
      <c r="AA245" s="194" t="s">
        <v>610</v>
      </c>
      <c r="AB245" s="195"/>
      <c r="AC245" s="193" t="s">
        <v>611</v>
      </c>
      <c r="AD245" s="195"/>
      <c r="AE245" s="194" t="s">
        <v>612</v>
      </c>
      <c r="AG245" s="193"/>
      <c r="AH245" s="194" t="s">
        <v>610</v>
      </c>
      <c r="AI245" s="195"/>
      <c r="AJ245" s="193" t="s">
        <v>611</v>
      </c>
      <c r="AK245" s="195"/>
      <c r="AL245" s="194" t="s">
        <v>612</v>
      </c>
      <c r="AN245" s="193"/>
      <c r="AO245" s="194" t="s">
        <v>610</v>
      </c>
      <c r="AP245" s="195"/>
      <c r="AQ245" s="193" t="s">
        <v>611</v>
      </c>
      <c r="AR245" s="195"/>
      <c r="AS245" s="194" t="s">
        <v>612</v>
      </c>
      <c r="AU245" s="182"/>
      <c r="AV245" s="182"/>
    </row>
    <row r="246">
      <c r="A246" s="199"/>
      <c r="B246" s="200" t="s">
        <v>620</v>
      </c>
      <c r="C246" s="201"/>
      <c r="D246" s="201"/>
      <c r="E246" s="202"/>
      <c r="F246" s="203" t="s">
        <v>886</v>
      </c>
      <c r="G246" s="204"/>
      <c r="H246" s="203" t="s">
        <v>1041</v>
      </c>
      <c r="I246" s="204"/>
      <c r="J246" s="203" t="s">
        <v>1042</v>
      </c>
      <c r="K246" s="204"/>
      <c r="L246" s="205"/>
      <c r="M246" s="203"/>
      <c r="N246" s="204"/>
      <c r="O246" s="203"/>
      <c r="P246" s="204"/>
      <c r="Q246" s="203"/>
      <c r="R246" s="204"/>
      <c r="S246" s="205"/>
      <c r="T246" s="203"/>
      <c r="U246" s="204"/>
      <c r="V246" s="203"/>
      <c r="W246" s="204"/>
      <c r="X246" s="203"/>
      <c r="Y246" s="204"/>
      <c r="Z246" s="205"/>
      <c r="AA246" s="203"/>
      <c r="AB246" s="204"/>
      <c r="AC246" s="203"/>
      <c r="AD246" s="204"/>
      <c r="AE246" s="203"/>
      <c r="AF246" s="204"/>
      <c r="AG246" s="205"/>
      <c r="AH246" s="203"/>
      <c r="AI246" s="204"/>
      <c r="AJ246" s="203"/>
      <c r="AK246" s="204"/>
      <c r="AL246" s="203" t="s">
        <v>749</v>
      </c>
      <c r="AM246" s="204"/>
      <c r="AN246" s="205"/>
      <c r="AO246" s="203"/>
      <c r="AP246" s="204"/>
      <c r="AQ246" s="203"/>
      <c r="AR246" s="204"/>
      <c r="AS246" s="203"/>
      <c r="AT246" s="204"/>
      <c r="AU246" s="199"/>
      <c r="AV246" s="199"/>
    </row>
    <row r="247">
      <c r="A247" s="234"/>
      <c r="B247" s="235" t="s">
        <v>608</v>
      </c>
      <c r="C247" s="195" t="s">
        <v>609</v>
      </c>
      <c r="D247" s="236"/>
      <c r="E247" s="237"/>
      <c r="F247" s="238"/>
      <c r="G247" s="182"/>
      <c r="H247" s="238"/>
      <c r="I247" s="239"/>
      <c r="J247" s="238"/>
      <c r="K247" s="239"/>
      <c r="L247" s="237"/>
      <c r="M247" s="238"/>
      <c r="N247" s="182"/>
      <c r="O247" s="238"/>
      <c r="P247" s="239"/>
      <c r="Q247" s="238"/>
      <c r="R247" s="239"/>
      <c r="S247" s="237"/>
      <c r="T247" s="238"/>
      <c r="U247" s="182"/>
      <c r="V247" s="238"/>
      <c r="W247" s="239"/>
      <c r="X247" s="238"/>
      <c r="Y247" s="239"/>
      <c r="Z247" s="237"/>
      <c r="AA247" s="238"/>
      <c r="AB247" s="182"/>
      <c r="AC247" s="238"/>
      <c r="AD247" s="239"/>
      <c r="AE247" s="238"/>
      <c r="AF247" s="239"/>
      <c r="AG247" s="237"/>
      <c r="AH247" s="238"/>
      <c r="AI247" s="182"/>
      <c r="AJ247" s="238"/>
      <c r="AK247" s="239"/>
      <c r="AL247" s="238"/>
      <c r="AM247" s="239"/>
      <c r="AN247" s="237"/>
      <c r="AO247" s="238"/>
      <c r="AP247" s="182"/>
      <c r="AQ247" s="238"/>
      <c r="AR247" s="239"/>
      <c r="AS247" s="238"/>
      <c r="AT247" s="239"/>
      <c r="AU247" s="236"/>
      <c r="AV247" s="236"/>
    </row>
    <row r="248">
      <c r="A248" s="240"/>
      <c r="B248" s="241" t="s">
        <v>638</v>
      </c>
      <c r="C248" s="242" t="s">
        <v>639</v>
      </c>
      <c r="D248" s="243"/>
      <c r="E248" s="244"/>
      <c r="F248" s="250"/>
      <c r="G248" s="246"/>
      <c r="H248" s="250"/>
      <c r="I248" s="246"/>
      <c r="J248" s="250"/>
      <c r="K248" s="246"/>
      <c r="L248" s="249"/>
      <c r="M248" s="250"/>
      <c r="N248" s="246"/>
      <c r="O248" s="282"/>
      <c r="P248" s="246"/>
      <c r="Q248" s="661" t="s">
        <v>414</v>
      </c>
      <c r="R248" s="246"/>
      <c r="S248" s="249"/>
      <c r="T248" s="250"/>
      <c r="U248" s="246"/>
      <c r="V248" s="282"/>
      <c r="W248" s="246"/>
      <c r="Y248" s="246"/>
      <c r="Z248" s="249"/>
      <c r="AA248" s="250"/>
      <c r="AB248" s="246"/>
      <c r="AC248" s="282"/>
      <c r="AD248" s="246"/>
      <c r="AE248" s="251" t="s">
        <v>405</v>
      </c>
      <c r="AF248" s="246"/>
      <c r="AG248" s="249"/>
      <c r="AH248" s="371"/>
      <c r="AI248" s="246"/>
      <c r="AJ248" s="282"/>
      <c r="AK248" s="246"/>
      <c r="AM248" s="246"/>
      <c r="AN248" s="249"/>
      <c r="AO248" s="371"/>
      <c r="AP248" s="246"/>
      <c r="AQ248" s="276"/>
      <c r="AR248" s="246"/>
      <c r="AS248" s="661" t="s">
        <v>414</v>
      </c>
      <c r="AT248" s="254" t="str">
        <f>IF(COUNTIF($AO$79:$AT$81, #REF!) &gt; 0, "X", "")</f>
        <v/>
      </c>
      <c r="AU248" s="255"/>
      <c r="AV248" s="255"/>
    </row>
    <row r="249">
      <c r="A249" s="94"/>
      <c r="B249" s="256" t="s">
        <v>638</v>
      </c>
      <c r="C249" s="257" t="s">
        <v>639</v>
      </c>
      <c r="D249" s="243"/>
      <c r="E249" s="259"/>
      <c r="F249" s="250"/>
      <c r="G249" s="246"/>
      <c r="H249" s="250"/>
      <c r="I249" s="246"/>
      <c r="J249" s="250"/>
      <c r="K249" s="246"/>
      <c r="L249" s="249"/>
      <c r="M249" s="250"/>
      <c r="N249" s="246"/>
      <c r="P249" s="246"/>
      <c r="Q249" s="251" t="s">
        <v>405</v>
      </c>
      <c r="R249" s="246"/>
      <c r="S249" s="249"/>
      <c r="T249" s="250"/>
      <c r="U249" s="246"/>
      <c r="V249" s="282"/>
      <c r="W249" s="246"/>
      <c r="X249" s="251" t="s">
        <v>405</v>
      </c>
      <c r="Y249" s="246"/>
      <c r="Z249" s="249"/>
      <c r="AA249" s="250"/>
      <c r="AB249" s="246"/>
      <c r="AD249" s="246"/>
      <c r="AE249" s="353" t="s">
        <v>421</v>
      </c>
      <c r="AF249" s="246"/>
      <c r="AG249" s="249"/>
      <c r="AH249" s="371"/>
      <c r="AI249" s="246"/>
      <c r="AJ249" s="282"/>
      <c r="AK249" s="246"/>
      <c r="AM249" s="246"/>
      <c r="AN249" s="249"/>
      <c r="AO249" s="371"/>
      <c r="AP249" s="246"/>
      <c r="AR249" s="246"/>
      <c r="AT249" s="254" t="str">
        <f>IF(COUNTIF($AO$79:$AT$81, AS255) &gt; 0, "X", "")</f>
        <v/>
      </c>
      <c r="AU249" s="269"/>
      <c r="AV249" s="269"/>
    </row>
    <row r="250">
      <c r="A250" s="270"/>
      <c r="B250" s="271" t="s">
        <v>642</v>
      </c>
      <c r="C250" s="272" t="s">
        <v>639</v>
      </c>
      <c r="D250" s="243"/>
      <c r="E250" s="259"/>
      <c r="F250" s="250"/>
      <c r="G250" s="246"/>
      <c r="H250" s="250"/>
      <c r="I250" s="246"/>
      <c r="J250" s="250"/>
      <c r="K250" s="246"/>
      <c r="L250" s="261"/>
      <c r="M250" s="262"/>
      <c r="N250" s="246"/>
      <c r="O250" s="281"/>
      <c r="P250" s="246"/>
      <c r="R250" s="246"/>
      <c r="S250" s="261"/>
      <c r="T250" s="262"/>
      <c r="U250" s="246"/>
      <c r="W250" s="246"/>
      <c r="Y250" s="246"/>
      <c r="Z250" s="261"/>
      <c r="AA250" s="262"/>
      <c r="AB250" s="246"/>
      <c r="AD250" s="246"/>
      <c r="AF250" s="246"/>
      <c r="AG250" s="261"/>
      <c r="AH250" s="426"/>
      <c r="AI250" s="246"/>
      <c r="AK250" s="246"/>
      <c r="AL250" s="289"/>
      <c r="AM250" s="246"/>
      <c r="AN250" s="261"/>
      <c r="AO250" s="426"/>
      <c r="AP250" s="246"/>
      <c r="AQ250" s="598"/>
      <c r="AR250" s="246"/>
      <c r="AS250" s="598"/>
      <c r="AT250" s="254" t="str">
        <f>IF(COUNTIF($AO$79:$AT$81, #REF!) &gt; 0, "X", "")</f>
        <v/>
      </c>
      <c r="AU250" s="269"/>
      <c r="AV250" s="269"/>
    </row>
    <row r="251">
      <c r="A251" s="234"/>
      <c r="B251" s="277" t="s">
        <v>644</v>
      </c>
      <c r="C251" s="278" t="s">
        <v>645</v>
      </c>
      <c r="D251" s="243"/>
      <c r="E251" s="259"/>
      <c r="F251" s="250"/>
      <c r="G251" s="246"/>
      <c r="H251" s="250"/>
      <c r="I251" s="246"/>
      <c r="J251" s="250"/>
      <c r="K251" s="246"/>
      <c r="L251" s="261"/>
      <c r="M251" s="250"/>
      <c r="N251" s="246"/>
      <c r="O251" s="281"/>
      <c r="P251" s="246"/>
      <c r="R251" s="246"/>
      <c r="S251" s="261"/>
      <c r="T251" s="250"/>
      <c r="U251" s="246"/>
      <c r="W251" s="246"/>
      <c r="X251" s="280" t="s">
        <v>400</v>
      </c>
      <c r="Y251" s="246"/>
      <c r="Z251" s="261"/>
      <c r="AA251" s="250"/>
      <c r="AB251" s="246"/>
      <c r="AC251" s="281"/>
      <c r="AD251" s="246"/>
      <c r="AE251" s="280" t="s">
        <v>400</v>
      </c>
      <c r="AF251" s="246"/>
      <c r="AG251" s="261"/>
      <c r="AH251" s="282"/>
      <c r="AI251" s="246"/>
      <c r="AJ251" s="280" t="s">
        <v>400</v>
      </c>
      <c r="AK251" s="246"/>
      <c r="AL251" s="281"/>
      <c r="AM251" s="246"/>
      <c r="AN251" s="261"/>
      <c r="AO251" s="282"/>
      <c r="AP251" s="246"/>
      <c r="AQ251" s="276"/>
      <c r="AR251" s="246"/>
      <c r="AS251" s="280" t="s">
        <v>400</v>
      </c>
      <c r="AT251" s="254" t="str">
        <f t="shared" ref="AT251:AT253" si="50">IF(COUNTIF($AO$79:$AT$81, AS252) &gt; 0, "X", "")</f>
        <v/>
      </c>
      <c r="AU251" s="269"/>
      <c r="AV251" s="269"/>
    </row>
    <row r="252">
      <c r="A252" s="94"/>
      <c r="B252" s="256" t="s">
        <v>757</v>
      </c>
      <c r="C252" s="257" t="s">
        <v>645</v>
      </c>
      <c r="D252" s="243"/>
      <c r="E252" s="259"/>
      <c r="F252" s="250"/>
      <c r="G252" s="246"/>
      <c r="H252" s="250"/>
      <c r="I252" s="246"/>
      <c r="J252" s="250"/>
      <c r="K252" s="246"/>
      <c r="L252" s="261"/>
      <c r="M252" s="250"/>
      <c r="N252" s="246"/>
      <c r="O252" s="280" t="s">
        <v>400</v>
      </c>
      <c r="P252" s="246"/>
      <c r="R252" s="246"/>
      <c r="S252" s="261"/>
      <c r="T252" s="250"/>
      <c r="U252" s="246"/>
      <c r="V252" s="371"/>
      <c r="W252" s="246"/>
      <c r="X252" s="371"/>
      <c r="Y252" s="246"/>
      <c r="Z252" s="261"/>
      <c r="AA252" s="250"/>
      <c r="AB252" s="246"/>
      <c r="AC252" s="282"/>
      <c r="AD252" s="246"/>
      <c r="AE252" s="282"/>
      <c r="AF252" s="246"/>
      <c r="AG252" s="261"/>
      <c r="AH252" s="371"/>
      <c r="AI252" s="246"/>
      <c r="AJ252" s="371"/>
      <c r="AK252" s="246"/>
      <c r="AL252" s="371"/>
      <c r="AM252" s="246"/>
      <c r="AN252" s="261"/>
      <c r="AO252" s="371"/>
      <c r="AP252" s="246"/>
      <c r="AQ252" s="252"/>
      <c r="AR252" s="246"/>
      <c r="AS252" s="252"/>
      <c r="AT252" s="254" t="str">
        <f t="shared" si="50"/>
        <v/>
      </c>
      <c r="AU252" s="269"/>
      <c r="AV252" s="269"/>
    </row>
    <row r="253">
      <c r="A253" s="94"/>
      <c r="B253" s="284" t="s">
        <v>646</v>
      </c>
      <c r="C253" s="285" t="s">
        <v>647</v>
      </c>
      <c r="D253" s="243"/>
      <c r="E253" s="259"/>
      <c r="F253" s="250"/>
      <c r="G253" s="246"/>
      <c r="H253" s="250"/>
      <c r="I253" s="246"/>
      <c r="J253" s="250"/>
      <c r="K253" s="246"/>
      <c r="L253" s="261"/>
      <c r="M253" s="324"/>
      <c r="N253" s="246"/>
      <c r="O253" s="399"/>
      <c r="P253" s="246"/>
      <c r="Q253" s="251" t="s">
        <v>427</v>
      </c>
      <c r="R253" s="246"/>
      <c r="S253" s="261"/>
      <c r="T253" s="324"/>
      <c r="U253" s="246"/>
      <c r="W253" s="246"/>
      <c r="X253" s="251" t="s">
        <v>427</v>
      </c>
      <c r="Y253" s="246"/>
      <c r="Z253" s="261"/>
      <c r="AA253" s="324"/>
      <c r="AB253" s="246"/>
      <c r="AC253" s="282"/>
      <c r="AD253" s="246"/>
      <c r="AE253" s="251" t="s">
        <v>427</v>
      </c>
      <c r="AF253" s="246"/>
      <c r="AG253" s="261"/>
      <c r="AH253" s="251" t="s">
        <v>427</v>
      </c>
      <c r="AI253" s="246"/>
      <c r="AJ253" s="282"/>
      <c r="AK253" s="246"/>
      <c r="AL253" s="282"/>
      <c r="AM253" s="246"/>
      <c r="AN253" s="261"/>
      <c r="AO253" s="251"/>
      <c r="AP253" s="246"/>
      <c r="AQ253" s="252"/>
      <c r="AR253" s="246"/>
      <c r="AS253" s="251" t="s">
        <v>427</v>
      </c>
      <c r="AT253" s="254" t="str">
        <f t="shared" si="50"/>
        <v/>
      </c>
      <c r="AU253" s="269"/>
      <c r="AV253" s="269"/>
    </row>
    <row r="254">
      <c r="A254" s="270"/>
      <c r="B254" s="291" t="s">
        <v>648</v>
      </c>
      <c r="C254" s="292" t="s">
        <v>649</v>
      </c>
      <c r="D254" s="243"/>
      <c r="E254" s="259"/>
      <c r="F254" s="250"/>
      <c r="G254" s="246"/>
      <c r="H254" s="250"/>
      <c r="I254" s="246"/>
      <c r="J254" s="250"/>
      <c r="K254" s="246"/>
      <c r="L254" s="261"/>
      <c r="M254" s="250"/>
      <c r="N254" s="246"/>
      <c r="O254" s="293" t="s">
        <v>418</v>
      </c>
      <c r="P254" s="246"/>
      <c r="Q254" s="294"/>
      <c r="R254" s="246"/>
      <c r="S254" s="261"/>
      <c r="T254" s="250"/>
      <c r="U254" s="246"/>
      <c r="V254" s="294"/>
      <c r="W254" s="246"/>
      <c r="X254" s="293" t="s">
        <v>418</v>
      </c>
      <c r="Y254" s="246"/>
      <c r="Z254" s="261"/>
      <c r="AA254" s="250"/>
      <c r="AB254" s="246"/>
      <c r="AC254" s="294"/>
      <c r="AD254" s="246"/>
      <c r="AE254" s="293" t="s">
        <v>418</v>
      </c>
      <c r="AF254" s="246"/>
      <c r="AG254" s="261"/>
      <c r="AH254" s="294"/>
      <c r="AI254" s="246"/>
      <c r="AJ254" s="293" t="s">
        <v>418</v>
      </c>
      <c r="AK254" s="246"/>
      <c r="AL254" s="294"/>
      <c r="AM254" s="246"/>
      <c r="AN254" s="261"/>
      <c r="AO254" s="294"/>
      <c r="AP254" s="246"/>
      <c r="AQ254" s="293" t="s">
        <v>418</v>
      </c>
      <c r="AR254" s="246"/>
      <c r="AS254" s="294"/>
      <c r="AT254" s="254" t="str">
        <f t="shared" ref="AT254:AT255" si="51">IF(COUNTIF($AO$79:$AT$81, #REF!) &gt; 0, "X", "")</f>
        <v/>
      </c>
      <c r="AU254" s="269"/>
      <c r="AV254" s="269"/>
    </row>
    <row r="255">
      <c r="A255" s="94"/>
      <c r="B255" s="296" t="s">
        <v>650</v>
      </c>
      <c r="C255" s="297" t="s">
        <v>649</v>
      </c>
      <c r="D255" s="243"/>
      <c r="E255" s="259"/>
      <c r="F255" s="250"/>
      <c r="G255" s="298"/>
      <c r="H255" s="250"/>
      <c r="I255" s="298"/>
      <c r="J255" s="250"/>
      <c r="K255" s="298"/>
      <c r="L255" s="261"/>
      <c r="M255" s="250"/>
      <c r="N255" s="298"/>
      <c r="O255" s="299"/>
      <c r="P255" s="298"/>
      <c r="Q255" s="299"/>
      <c r="R255" s="298"/>
      <c r="S255" s="261"/>
      <c r="T255" s="250"/>
      <c r="U255" s="298"/>
      <c r="V255" s="299"/>
      <c r="W255" s="298"/>
      <c r="X255" s="299"/>
      <c r="Y255" s="298"/>
      <c r="Z255" s="261"/>
      <c r="AA255" s="250"/>
      <c r="AB255" s="298"/>
      <c r="AC255" s="299"/>
      <c r="AD255" s="298"/>
      <c r="AE255" s="299"/>
      <c r="AF255" s="298"/>
      <c r="AG255" s="261"/>
      <c r="AH255" s="299"/>
      <c r="AI255" s="298"/>
      <c r="AJ255" s="299"/>
      <c r="AK255" s="298"/>
      <c r="AL255" s="299"/>
      <c r="AM255" s="298"/>
      <c r="AN255" s="261"/>
      <c r="AO255" s="299"/>
      <c r="AP255" s="298"/>
      <c r="AQ255" s="300"/>
      <c r="AR255" s="298"/>
      <c r="AS255" s="300"/>
      <c r="AT255" s="254" t="str">
        <f t="shared" si="51"/>
        <v/>
      </c>
      <c r="AU255" s="269"/>
      <c r="AV255" s="269"/>
    </row>
    <row r="256">
      <c r="A256" s="94"/>
      <c r="B256" s="301" t="s">
        <v>651</v>
      </c>
      <c r="C256" s="302" t="s">
        <v>652</v>
      </c>
      <c r="D256" s="243"/>
      <c r="E256" s="259"/>
      <c r="F256" s="250"/>
      <c r="G256" s="298"/>
      <c r="H256" s="250"/>
      <c r="I256" s="298"/>
      <c r="J256" s="250"/>
      <c r="K256" s="298"/>
      <c r="L256" s="261"/>
      <c r="M256" s="250"/>
      <c r="N256" s="298"/>
      <c r="O256" s="303"/>
      <c r="P256" s="298"/>
      <c r="Q256" s="303"/>
      <c r="R256" s="298"/>
      <c r="S256" s="261"/>
      <c r="T256" s="250"/>
      <c r="U256" s="298"/>
      <c r="V256" s="303"/>
      <c r="W256" s="298"/>
      <c r="X256" s="303"/>
      <c r="Y256" s="298"/>
      <c r="Z256" s="261"/>
      <c r="AA256" s="250"/>
      <c r="AB256" s="298"/>
      <c r="AC256" s="303"/>
      <c r="AD256" s="298"/>
      <c r="AE256" s="303"/>
      <c r="AF256" s="298"/>
      <c r="AG256" s="261"/>
      <c r="AH256" s="303"/>
      <c r="AI256" s="298"/>
      <c r="AJ256" s="303"/>
      <c r="AK256" s="298"/>
      <c r="AL256" s="303"/>
      <c r="AM256" s="298"/>
      <c r="AN256" s="261"/>
      <c r="AO256" s="303"/>
      <c r="AP256" s="298"/>
      <c r="AQ256" s="304"/>
      <c r="AR256" s="298"/>
      <c r="AS256" s="304"/>
      <c r="AT256" s="254" t="str">
        <f t="shared" ref="AT256:AT257" si="52">IF(COUNTIF($AO$79:$AT$81, AS257) &gt; 0, "X", "")</f>
        <v/>
      </c>
      <c r="AU256" s="269"/>
      <c r="AV256" s="269"/>
    </row>
    <row r="257">
      <c r="A257" s="94"/>
      <c r="B257" s="305" t="s">
        <v>653</v>
      </c>
      <c r="C257" s="306" t="s">
        <v>654</v>
      </c>
      <c r="D257" s="243"/>
      <c r="E257" s="259"/>
      <c r="F257" s="250"/>
      <c r="G257" s="298"/>
      <c r="H257" s="250"/>
      <c r="I257" s="298"/>
      <c r="J257" s="250"/>
      <c r="K257" s="298"/>
      <c r="L257" s="261"/>
      <c r="M257" s="250"/>
      <c r="N257" s="298"/>
      <c r="O257" s="307"/>
      <c r="P257" s="298"/>
      <c r="Q257" s="307"/>
      <c r="R257" s="298"/>
      <c r="S257" s="261"/>
      <c r="T257" s="250"/>
      <c r="U257" s="298"/>
      <c r="V257" s="307"/>
      <c r="W257" s="298"/>
      <c r="X257" s="307"/>
      <c r="Y257" s="298"/>
      <c r="Z257" s="261"/>
      <c r="AA257" s="250"/>
      <c r="AB257" s="298"/>
      <c r="AC257" s="307"/>
      <c r="AD257" s="298"/>
      <c r="AE257" s="309" t="s">
        <v>449</v>
      </c>
      <c r="AF257" s="298"/>
      <c r="AG257" s="261"/>
      <c r="AH257" s="307"/>
      <c r="AI257" s="298"/>
      <c r="AJ257" s="307"/>
      <c r="AK257" s="298"/>
      <c r="AL257" s="307"/>
      <c r="AM257" s="298"/>
      <c r="AN257" s="261"/>
      <c r="AO257" s="307"/>
      <c r="AP257" s="298"/>
      <c r="AQ257" s="307"/>
      <c r="AR257" s="298"/>
      <c r="AS257" s="307"/>
      <c r="AT257" s="254" t="str">
        <f t="shared" si="52"/>
        <v/>
      </c>
      <c r="AU257" s="269"/>
      <c r="AV257" s="269"/>
    </row>
    <row r="258">
      <c r="A258" s="94"/>
      <c r="B258" s="310" t="s">
        <v>656</v>
      </c>
      <c r="C258" s="278" t="s">
        <v>657</v>
      </c>
      <c r="D258" s="243"/>
      <c r="E258" s="259"/>
      <c r="F258" s="250"/>
      <c r="G258" s="246"/>
      <c r="H258" s="250"/>
      <c r="I258" s="246"/>
      <c r="J258" s="250"/>
      <c r="K258" s="246"/>
      <c r="L258" s="261"/>
      <c r="M258" s="250"/>
      <c r="N258" s="246"/>
      <c r="O258" s="274" t="s">
        <v>458</v>
      </c>
      <c r="P258" s="246"/>
      <c r="R258" s="246"/>
      <c r="S258" s="261"/>
      <c r="T258" s="250"/>
      <c r="U258" s="246"/>
      <c r="V258" s="735"/>
      <c r="W258" s="246"/>
      <c r="X258" s="282"/>
      <c r="Y258" s="246"/>
      <c r="Z258" s="261"/>
      <c r="AA258" s="250"/>
      <c r="AB258" s="246"/>
      <c r="AC258" s="282"/>
      <c r="AD258" s="246"/>
      <c r="AE258" s="311" t="s">
        <v>434</v>
      </c>
      <c r="AF258" s="246"/>
      <c r="AG258" s="261"/>
      <c r="AH258" s="282"/>
      <c r="AI258" s="246"/>
      <c r="AJ258" s="282"/>
      <c r="AK258" s="246"/>
      <c r="AM258" s="246"/>
      <c r="AN258" s="261"/>
      <c r="AO258" s="282"/>
      <c r="AP258" s="246"/>
      <c r="AQ258" s="276"/>
      <c r="AR258" s="246"/>
      <c r="AS258" s="276"/>
      <c r="AT258" s="254" t="str">
        <f t="shared" ref="AT258:AT260" si="53">IF(COUNTIF($AO$79:$AT$81, #REF!) &gt; 0, "X", "")</f>
        <v/>
      </c>
      <c r="AU258" s="269"/>
      <c r="AV258" s="269"/>
    </row>
    <row r="259">
      <c r="A259" s="94"/>
      <c r="B259" s="277" t="s">
        <v>658</v>
      </c>
      <c r="C259" s="278" t="s">
        <v>657</v>
      </c>
      <c r="D259" s="243"/>
      <c r="E259" s="259"/>
      <c r="F259" s="250"/>
      <c r="G259" s="246"/>
      <c r="H259" s="250"/>
      <c r="I259" s="246"/>
      <c r="J259" s="250"/>
      <c r="K259" s="246"/>
      <c r="L259" s="261"/>
      <c r="M259" s="250"/>
      <c r="N259" s="246"/>
      <c r="O259" s="311" t="s">
        <v>459</v>
      </c>
      <c r="P259" s="246"/>
      <c r="R259" s="246"/>
      <c r="S259" s="261"/>
      <c r="T259" s="250"/>
      <c r="U259" s="246"/>
      <c r="W259" s="246"/>
      <c r="X259" s="692" t="s">
        <v>419</v>
      </c>
      <c r="Y259" s="246"/>
      <c r="Z259" s="261"/>
      <c r="AA259" s="250"/>
      <c r="AB259" s="246"/>
      <c r="AD259" s="246"/>
      <c r="AF259" s="246"/>
      <c r="AG259" s="261"/>
      <c r="AH259" s="282"/>
      <c r="AI259" s="246"/>
      <c r="AK259" s="246"/>
      <c r="AL259" s="692" t="s">
        <v>419</v>
      </c>
      <c r="AM259" s="246"/>
      <c r="AN259" s="261"/>
      <c r="AO259" s="282"/>
      <c r="AP259" s="246"/>
      <c r="AQ259" s="276"/>
      <c r="AR259" s="246"/>
      <c r="AS259" s="282"/>
      <c r="AT259" s="254" t="str">
        <f t="shared" si="53"/>
        <v/>
      </c>
      <c r="AU259" s="269"/>
      <c r="AV259" s="269"/>
    </row>
    <row r="260">
      <c r="A260" s="94"/>
      <c r="B260" s="314" t="s">
        <v>660</v>
      </c>
      <c r="C260" s="315" t="s">
        <v>649</v>
      </c>
      <c r="D260" s="243"/>
      <c r="E260" s="259"/>
      <c r="F260" s="250"/>
      <c r="G260" s="246"/>
      <c r="H260" s="250"/>
      <c r="I260" s="246"/>
      <c r="J260" s="250"/>
      <c r="K260" s="246"/>
      <c r="L260" s="261"/>
      <c r="M260" s="316"/>
      <c r="N260" s="246"/>
      <c r="O260" s="293" t="s">
        <v>416</v>
      </c>
      <c r="P260" s="246"/>
      <c r="Q260" s="353" t="s">
        <v>421</v>
      </c>
      <c r="R260" s="246"/>
      <c r="S260" s="261"/>
      <c r="T260" s="250"/>
      <c r="U260" s="246"/>
      <c r="V260" s="293" t="s">
        <v>416</v>
      </c>
      <c r="W260" s="246"/>
      <c r="X260" s="353" t="s">
        <v>421</v>
      </c>
      <c r="Y260" s="246"/>
      <c r="Z260" s="261"/>
      <c r="AA260" s="250"/>
      <c r="AB260" s="246"/>
      <c r="AC260" s="293" t="s">
        <v>416</v>
      </c>
      <c r="AD260" s="246"/>
      <c r="AE260" s="356" t="s">
        <v>423</v>
      </c>
      <c r="AF260" s="246"/>
      <c r="AG260" s="261"/>
      <c r="AH260" s="286"/>
      <c r="AI260" s="246"/>
      <c r="AJ260" s="293" t="s">
        <v>416</v>
      </c>
      <c r="AK260" s="246"/>
      <c r="AL260" s="356" t="s">
        <v>423</v>
      </c>
      <c r="AM260" s="246"/>
      <c r="AN260" s="261"/>
      <c r="AO260" s="479"/>
      <c r="AP260" s="246"/>
      <c r="AQ260" s="293" t="s">
        <v>416</v>
      </c>
      <c r="AR260" s="246"/>
      <c r="AS260" s="353" t="s">
        <v>421</v>
      </c>
      <c r="AT260" s="254" t="str">
        <f t="shared" si="53"/>
        <v/>
      </c>
      <c r="AU260" s="269"/>
      <c r="AV260" s="269"/>
    </row>
    <row r="261">
      <c r="A261" s="94"/>
      <c r="B261" s="296" t="s">
        <v>650</v>
      </c>
      <c r="C261" s="297" t="s">
        <v>649</v>
      </c>
      <c r="D261" s="243"/>
      <c r="E261" s="259"/>
      <c r="F261" s="250"/>
      <c r="G261" s="298"/>
      <c r="H261" s="250"/>
      <c r="I261" s="298"/>
      <c r="J261" s="250"/>
      <c r="K261" s="298"/>
      <c r="L261" s="261"/>
      <c r="M261" s="250"/>
      <c r="N261" s="298"/>
      <c r="O261" s="300"/>
      <c r="P261" s="298"/>
      <c r="Q261" s="300"/>
      <c r="R261" s="298"/>
      <c r="S261" s="261"/>
      <c r="T261" s="250"/>
      <c r="U261" s="298"/>
      <c r="V261" s="253" t="s">
        <v>417</v>
      </c>
      <c r="W261" s="298"/>
      <c r="X261" s="632" t="s">
        <v>423</v>
      </c>
      <c r="Y261" s="298"/>
      <c r="Z261" s="261"/>
      <c r="AA261" s="250"/>
      <c r="AB261" s="298"/>
      <c r="AC261" s="319"/>
      <c r="AD261" s="298"/>
      <c r="AE261" s="293" t="s">
        <v>424</v>
      </c>
      <c r="AF261" s="298"/>
      <c r="AG261" s="261"/>
      <c r="AH261" s="279"/>
      <c r="AI261" s="298"/>
      <c r="AJ261" s="300"/>
      <c r="AK261" s="298"/>
      <c r="AL261" s="353" t="s">
        <v>421</v>
      </c>
      <c r="AM261" s="298"/>
      <c r="AN261" s="261"/>
      <c r="AO261" s="320"/>
      <c r="AP261" s="298"/>
      <c r="AQ261" s="299"/>
      <c r="AR261" s="298"/>
      <c r="AS261" s="356" t="s">
        <v>423</v>
      </c>
      <c r="AT261" s="254" t="str">
        <f>IF(COUNTIF($AO$79:$AT$81, AS262) &gt; 0, "X", "")</f>
        <v/>
      </c>
      <c r="AU261" s="269"/>
      <c r="AV261" s="269"/>
    </row>
    <row r="262">
      <c r="A262" s="94"/>
      <c r="B262" s="301" t="s">
        <v>651</v>
      </c>
      <c r="C262" s="302" t="s">
        <v>652</v>
      </c>
      <c r="D262" s="323"/>
      <c r="E262" s="259"/>
      <c r="F262" s="250"/>
      <c r="G262" s="298"/>
      <c r="H262" s="250"/>
      <c r="I262" s="298"/>
      <c r="J262" s="250"/>
      <c r="K262" s="298"/>
      <c r="L262" s="261"/>
      <c r="M262" s="250"/>
      <c r="N262" s="298"/>
      <c r="O262" s="303"/>
      <c r="P262" s="298"/>
      <c r="Q262" s="303"/>
      <c r="R262" s="298"/>
      <c r="S262" s="261"/>
      <c r="T262" s="250"/>
      <c r="U262" s="298"/>
      <c r="V262" s="303"/>
      <c r="W262" s="298"/>
      <c r="X262" s="484"/>
      <c r="Y262" s="298"/>
      <c r="Z262" s="261"/>
      <c r="AA262" s="250"/>
      <c r="AB262" s="298"/>
      <c r="AC262" s="303"/>
      <c r="AD262" s="298"/>
      <c r="AE262" s="303"/>
      <c r="AF262" s="298"/>
      <c r="AG262" s="261"/>
      <c r="AH262" s="279"/>
      <c r="AI262" s="298"/>
      <c r="AJ262" s="303"/>
      <c r="AK262" s="298"/>
      <c r="AL262" s="303"/>
      <c r="AM262" s="298"/>
      <c r="AN262" s="261"/>
      <c r="AO262" s="320"/>
      <c r="AP262" s="298"/>
      <c r="AQ262" s="303"/>
      <c r="AR262" s="298"/>
      <c r="AS262" s="303"/>
      <c r="AT262" s="254" t="str">
        <f t="shared" ref="AT262:AT263" si="54">IF(COUNTIF($AO$79:$AT$81, #REF!) &gt; 0, "X", "")</f>
        <v/>
      </c>
      <c r="AU262" s="269"/>
      <c r="AV262" s="269"/>
    </row>
    <row r="263">
      <c r="A263" s="94"/>
      <c r="B263" s="322" t="s">
        <v>662</v>
      </c>
      <c r="C263" s="306" t="s">
        <v>663</v>
      </c>
      <c r="D263" s="330"/>
      <c r="E263" s="259"/>
      <c r="F263" s="250"/>
      <c r="G263" s="298"/>
      <c r="H263" s="250"/>
      <c r="I263" s="298"/>
      <c r="J263" s="250"/>
      <c r="K263" s="298"/>
      <c r="L263" s="261"/>
      <c r="M263" s="324"/>
      <c r="N263" s="298"/>
      <c r="O263" s="307"/>
      <c r="P263" s="298"/>
      <c r="Q263" s="307"/>
      <c r="R263" s="298"/>
      <c r="S263" s="261"/>
      <c r="T263" s="250"/>
      <c r="U263" s="298"/>
      <c r="V263" s="307"/>
      <c r="W263" s="298"/>
      <c r="X263" s="693" t="s">
        <v>414</v>
      </c>
      <c r="Y263" s="298"/>
      <c r="Z263" s="261"/>
      <c r="AA263" s="250"/>
      <c r="AB263" s="298"/>
      <c r="AC263" s="307"/>
      <c r="AD263" s="298"/>
      <c r="AE263" s="693" t="s">
        <v>409</v>
      </c>
      <c r="AF263" s="298"/>
      <c r="AG263" s="261"/>
      <c r="AH263" s="250"/>
      <c r="AI263" s="298"/>
      <c r="AJ263" s="307"/>
      <c r="AK263" s="298"/>
      <c r="AL263" s="693" t="s">
        <v>414</v>
      </c>
      <c r="AM263" s="298"/>
      <c r="AN263" s="261"/>
      <c r="AO263" s="317"/>
      <c r="AP263" s="298"/>
      <c r="AQ263" s="307"/>
      <c r="AR263" s="298"/>
      <c r="AS263" s="307"/>
      <c r="AT263" s="254" t="str">
        <f t="shared" si="54"/>
        <v/>
      </c>
      <c r="AU263" s="269"/>
      <c r="AV263" s="269"/>
    </row>
    <row r="264">
      <c r="A264" s="94"/>
      <c r="B264" s="328" t="s">
        <v>665</v>
      </c>
      <c r="C264" s="329" t="s">
        <v>654</v>
      </c>
      <c r="D264" s="330"/>
      <c r="E264" s="259"/>
      <c r="F264" s="250"/>
      <c r="G264" s="246"/>
      <c r="H264" s="250"/>
      <c r="I264" s="246"/>
      <c r="J264" s="250"/>
      <c r="K264" s="246"/>
      <c r="L264" s="261"/>
      <c r="M264" s="333"/>
      <c r="N264" s="246"/>
      <c r="O264" s="311" t="s">
        <v>439</v>
      </c>
      <c r="P264" s="246"/>
      <c r="Q264" s="274" t="s">
        <v>449</v>
      </c>
      <c r="R264" s="246"/>
      <c r="S264" s="261"/>
      <c r="T264" s="250"/>
      <c r="U264" s="246"/>
      <c r="V264" s="274" t="s">
        <v>458</v>
      </c>
      <c r="W264" s="246"/>
      <c r="X264" s="274" t="s">
        <v>443</v>
      </c>
      <c r="Y264" s="246"/>
      <c r="Z264" s="261"/>
      <c r="AA264" s="250"/>
      <c r="AB264" s="246"/>
      <c r="AC264" s="274" t="s">
        <v>458</v>
      </c>
      <c r="AD264" s="246"/>
      <c r="AE264" s="274" t="s">
        <v>443</v>
      </c>
      <c r="AF264" s="246"/>
      <c r="AG264" s="261"/>
      <c r="AH264" s="286"/>
      <c r="AI264" s="246"/>
      <c r="AJ264" s="274" t="s">
        <v>439</v>
      </c>
      <c r="AK264" s="246"/>
      <c r="AL264" s="274" t="s">
        <v>443</v>
      </c>
      <c r="AM264" s="246"/>
      <c r="AN264" s="261"/>
      <c r="AO264" s="479"/>
      <c r="AP264" s="246"/>
      <c r="AQ264" s="274" t="s">
        <v>458</v>
      </c>
      <c r="AR264" s="246"/>
      <c r="AS264" s="311" t="s">
        <v>434</v>
      </c>
      <c r="AT264" s="254" t="str">
        <f>IF(COUNTIF($AO$79:$AT$81, AL264) &gt; 0, "X", "")</f>
        <v/>
      </c>
      <c r="AU264" s="269"/>
      <c r="AV264" s="269"/>
    </row>
    <row r="265">
      <c r="A265" s="94"/>
      <c r="B265" s="337" t="s">
        <v>665</v>
      </c>
      <c r="C265" s="338" t="s">
        <v>657</v>
      </c>
      <c r="D265" s="330"/>
      <c r="E265" s="259"/>
      <c r="F265" s="250"/>
      <c r="G265" s="246"/>
      <c r="H265" s="250"/>
      <c r="I265" s="246"/>
      <c r="J265" s="250"/>
      <c r="K265" s="246"/>
      <c r="L265" s="261"/>
      <c r="M265" s="324"/>
      <c r="N265" s="246"/>
      <c r="O265" s="311"/>
      <c r="P265" s="246"/>
      <c r="Q265" s="311" t="s">
        <v>434</v>
      </c>
      <c r="R265" s="246"/>
      <c r="S265" s="261"/>
      <c r="T265" s="250"/>
      <c r="U265" s="246"/>
      <c r="V265" s="311" t="s">
        <v>459</v>
      </c>
      <c r="W265" s="246"/>
      <c r="X265" s="311" t="s">
        <v>434</v>
      </c>
      <c r="Y265" s="246"/>
      <c r="Z265" s="261"/>
      <c r="AA265" s="250"/>
      <c r="AB265" s="246"/>
      <c r="AC265" s="311" t="s">
        <v>459</v>
      </c>
      <c r="AD265" s="246"/>
      <c r="AE265" s="339" t="s">
        <v>468</v>
      </c>
      <c r="AF265" s="246"/>
      <c r="AG265" s="261"/>
      <c r="AH265" s="286"/>
      <c r="AI265" s="246"/>
      <c r="AJ265" s="311" t="s">
        <v>459</v>
      </c>
      <c r="AK265" s="246"/>
      <c r="AL265" s="311" t="s">
        <v>434</v>
      </c>
      <c r="AM265" s="246"/>
      <c r="AN265" s="261"/>
      <c r="AO265" s="479"/>
      <c r="AP265" s="246"/>
      <c r="AQ265" s="311" t="s">
        <v>459</v>
      </c>
      <c r="AR265" s="246"/>
      <c r="AS265" s="339" t="s">
        <v>447</v>
      </c>
      <c r="AT265" s="254" t="str">
        <f t="shared" ref="AT265:AT269" si="55">IF(COUNTIF($AO$79:$AT$81, #REF!) &gt; 0, "X", "")</f>
        <v/>
      </c>
      <c r="AU265" s="269"/>
      <c r="AV265" s="269"/>
    </row>
    <row r="266">
      <c r="A266" s="94"/>
      <c r="B266" s="256" t="s">
        <v>665</v>
      </c>
      <c r="C266" s="257" t="s">
        <v>663</v>
      </c>
      <c r="D266" s="330"/>
      <c r="E266" s="259"/>
      <c r="F266" s="250"/>
      <c r="G266" s="246"/>
      <c r="H266" s="250"/>
      <c r="I266" s="246"/>
      <c r="J266" s="250"/>
      <c r="K266" s="246"/>
      <c r="L266" s="261"/>
      <c r="M266" s="341"/>
      <c r="N266" s="246"/>
      <c r="O266" s="336" t="s">
        <v>450</v>
      </c>
      <c r="P266" s="246"/>
      <c r="Q266" s="339" t="s">
        <v>468</v>
      </c>
      <c r="R266" s="246"/>
      <c r="S266" s="261"/>
      <c r="T266" s="250"/>
      <c r="U266" s="246"/>
      <c r="V266" s="336" t="s">
        <v>450</v>
      </c>
      <c r="W266" s="246"/>
      <c r="X266" s="661" t="s">
        <v>409</v>
      </c>
      <c r="Y266" s="246"/>
      <c r="Z266" s="261"/>
      <c r="AA266" s="250"/>
      <c r="AB266" s="246"/>
      <c r="AD266" s="246"/>
      <c r="AE266" s="661" t="s">
        <v>414</v>
      </c>
      <c r="AF266" s="246"/>
      <c r="AG266" s="261"/>
      <c r="AH266" s="286"/>
      <c r="AI266" s="246"/>
      <c r="AJ266" s="336" t="s">
        <v>450</v>
      </c>
      <c r="AK266" s="246"/>
      <c r="AL266" s="661" t="s">
        <v>409</v>
      </c>
      <c r="AM266" s="246"/>
      <c r="AN266" s="261"/>
      <c r="AO266" s="479"/>
      <c r="AP266" s="246"/>
      <c r="AQ266" s="339" t="s">
        <v>431</v>
      </c>
      <c r="AR266" s="246"/>
      <c r="AS266" s="274" t="s">
        <v>448</v>
      </c>
      <c r="AT266" s="254" t="str">
        <f t="shared" si="55"/>
        <v/>
      </c>
      <c r="AU266" s="269"/>
      <c r="AV266" s="269"/>
    </row>
    <row r="267">
      <c r="A267" s="94"/>
      <c r="B267" s="328" t="s">
        <v>665</v>
      </c>
      <c r="C267" s="329" t="s">
        <v>645</v>
      </c>
      <c r="D267" s="323"/>
      <c r="E267" s="261"/>
      <c r="F267" s="250"/>
      <c r="G267" s="246"/>
      <c r="H267" s="250"/>
      <c r="I267" s="246"/>
      <c r="J267" s="250"/>
      <c r="K267" s="246"/>
      <c r="L267" s="261"/>
      <c r="M267" s="341"/>
      <c r="N267" s="246"/>
      <c r="O267" s="336" t="s">
        <v>398</v>
      </c>
      <c r="P267" s="246"/>
      <c r="Q267" s="661" t="s">
        <v>409</v>
      </c>
      <c r="R267" s="246"/>
      <c r="S267" s="261"/>
      <c r="T267" s="250"/>
      <c r="U267" s="246"/>
      <c r="V267" s="311" t="s">
        <v>439</v>
      </c>
      <c r="W267" s="246"/>
      <c r="X267" s="339" t="s">
        <v>468</v>
      </c>
      <c r="Y267" s="246"/>
      <c r="Z267" s="261"/>
      <c r="AA267" s="250"/>
      <c r="AB267" s="246"/>
      <c r="AC267" s="336" t="s">
        <v>450</v>
      </c>
      <c r="AD267" s="246"/>
      <c r="AE267" s="339" t="s">
        <v>431</v>
      </c>
      <c r="AF267" s="246"/>
      <c r="AG267" s="261"/>
      <c r="AH267" s="286"/>
      <c r="AI267" s="246"/>
      <c r="AJ267" s="339" t="s">
        <v>431</v>
      </c>
      <c r="AK267" s="246"/>
      <c r="AL267" s="339" t="s">
        <v>468</v>
      </c>
      <c r="AM267" s="246"/>
      <c r="AN267" s="261"/>
      <c r="AO267" s="479"/>
      <c r="AP267" s="246"/>
      <c r="AQ267" s="336" t="s">
        <v>450</v>
      </c>
      <c r="AR267" s="246"/>
      <c r="AS267" s="661" t="s">
        <v>409</v>
      </c>
      <c r="AT267" s="254" t="str">
        <f t="shared" si="55"/>
        <v/>
      </c>
      <c r="AU267" s="269"/>
      <c r="AV267" s="269"/>
    </row>
    <row r="268">
      <c r="A268" s="94"/>
      <c r="B268" s="342" t="s">
        <v>667</v>
      </c>
      <c r="C268" s="343" t="s">
        <v>657</v>
      </c>
      <c r="D268" s="351"/>
      <c r="E268" s="259"/>
      <c r="F268" s="250"/>
      <c r="G268" s="246"/>
      <c r="H268" s="250"/>
      <c r="I268" s="246"/>
      <c r="J268" s="250"/>
      <c r="K268" s="246"/>
      <c r="L268" s="261"/>
      <c r="M268" s="346"/>
      <c r="N268" s="246"/>
      <c r="O268" s="345" t="s">
        <v>401</v>
      </c>
      <c r="P268" s="246"/>
      <c r="Q268" s="736"/>
      <c r="R268" s="246"/>
      <c r="S268" s="261"/>
      <c r="T268" s="347" t="s">
        <v>401</v>
      </c>
      <c r="U268" s="246"/>
      <c r="W268" s="246"/>
      <c r="Y268" s="246"/>
      <c r="Z268" s="261"/>
      <c r="AA268" s="347" t="s">
        <v>401</v>
      </c>
      <c r="AB268" s="246"/>
      <c r="AD268" s="246"/>
      <c r="AE268" s="336" t="s">
        <v>398</v>
      </c>
      <c r="AF268" s="246"/>
      <c r="AG268" s="261"/>
      <c r="AI268" s="246"/>
      <c r="AJ268" s="345" t="s">
        <v>401</v>
      </c>
      <c r="AK268" s="246"/>
      <c r="AM268" s="246"/>
      <c r="AN268" s="261"/>
      <c r="AP268" s="246"/>
      <c r="AR268" s="246"/>
      <c r="AT268" s="254" t="str">
        <f t="shared" si="55"/>
        <v/>
      </c>
      <c r="AU268" s="269"/>
      <c r="AV268" s="269"/>
    </row>
    <row r="269">
      <c r="A269" s="94"/>
      <c r="B269" s="349" t="s">
        <v>669</v>
      </c>
      <c r="C269" s="350" t="s">
        <v>649</v>
      </c>
      <c r="D269" s="323"/>
      <c r="E269" s="259"/>
      <c r="F269" s="250"/>
      <c r="G269" s="246"/>
      <c r="H269" s="250"/>
      <c r="I269" s="246"/>
      <c r="J269" s="250"/>
      <c r="K269" s="246"/>
      <c r="L269" s="261"/>
      <c r="M269" s="354"/>
      <c r="N269" s="246"/>
      <c r="O269" s="253" t="s">
        <v>417</v>
      </c>
      <c r="P269" s="246"/>
      <c r="Q269" s="293" t="s">
        <v>426</v>
      </c>
      <c r="R269" s="246"/>
      <c r="S269" s="261"/>
      <c r="T269" s="353" t="s">
        <v>422</v>
      </c>
      <c r="U269" s="246"/>
      <c r="V269" s="355" t="s">
        <v>670</v>
      </c>
      <c r="W269" s="246"/>
      <c r="X269" s="293" t="s">
        <v>424</v>
      </c>
      <c r="Y269" s="246"/>
      <c r="Z269" s="261"/>
      <c r="AA269" s="354"/>
      <c r="AB269" s="246"/>
      <c r="AC269" s="253" t="s">
        <v>417</v>
      </c>
      <c r="AD269" s="246"/>
      <c r="AE269" s="633" t="s">
        <v>420</v>
      </c>
      <c r="AF269" s="246"/>
      <c r="AG269" s="261"/>
      <c r="AH269" s="353" t="s">
        <v>426</v>
      </c>
      <c r="AI269" s="246"/>
      <c r="AJ269" s="633" t="s">
        <v>420</v>
      </c>
      <c r="AK269" s="246"/>
      <c r="AL269" s="293" t="s">
        <v>424</v>
      </c>
      <c r="AM269" s="246"/>
      <c r="AN269" s="261"/>
      <c r="AO269" s="353" t="s">
        <v>426</v>
      </c>
      <c r="AP269" s="246"/>
      <c r="AQ269" s="633" t="s">
        <v>420</v>
      </c>
      <c r="AR269" s="246"/>
      <c r="AS269" s="353" t="s">
        <v>422</v>
      </c>
      <c r="AT269" s="254" t="str">
        <f t="shared" si="55"/>
        <v/>
      </c>
      <c r="AU269" s="269"/>
      <c r="AV269" s="269"/>
    </row>
    <row r="270">
      <c r="A270" s="234"/>
      <c r="B270" s="296" t="s">
        <v>650</v>
      </c>
      <c r="C270" s="297" t="s">
        <v>649</v>
      </c>
      <c r="D270" s="330"/>
      <c r="E270" s="259"/>
      <c r="F270" s="250"/>
      <c r="G270" s="298"/>
      <c r="H270" s="250"/>
      <c r="I270" s="298"/>
      <c r="J270" s="250"/>
      <c r="K270" s="298"/>
      <c r="L270" s="261"/>
      <c r="M270" s="324"/>
      <c r="N270" s="298"/>
      <c r="O270" s="617" t="s">
        <v>397</v>
      </c>
      <c r="P270" s="298"/>
      <c r="Q270" s="300"/>
      <c r="R270" s="298"/>
      <c r="S270" s="261"/>
      <c r="T270" s="300"/>
      <c r="U270" s="298"/>
      <c r="V270" s="293" t="s">
        <v>426</v>
      </c>
      <c r="W270" s="298"/>
      <c r="X270" s="300"/>
      <c r="Y270" s="298"/>
      <c r="Z270" s="261"/>
      <c r="AA270" s="324"/>
      <c r="AB270" s="298"/>
      <c r="AC270" s="300"/>
      <c r="AD270" s="298"/>
      <c r="AE270" s="353" t="s">
        <v>422</v>
      </c>
      <c r="AF270" s="298"/>
      <c r="AG270" s="261"/>
      <c r="AH270" s="319"/>
      <c r="AI270" s="298"/>
      <c r="AJ270" s="253" t="s">
        <v>417</v>
      </c>
      <c r="AK270" s="298"/>
      <c r="AL270" s="353" t="s">
        <v>422</v>
      </c>
      <c r="AM270" s="298"/>
      <c r="AN270" s="261"/>
      <c r="AO270" s="319"/>
      <c r="AP270" s="298"/>
      <c r="AQ270" s="253" t="s">
        <v>417</v>
      </c>
      <c r="AR270" s="298"/>
      <c r="AS270" s="359"/>
      <c r="AT270" s="254" t="str">
        <f>IF(COUNTIF($AO$79:$AT$81, AS271) &gt; 0, "X", "")</f>
        <v/>
      </c>
      <c r="AU270" s="269"/>
      <c r="AV270" s="269"/>
    </row>
    <row r="271">
      <c r="A271" s="94"/>
      <c r="B271" s="301" t="s">
        <v>651</v>
      </c>
      <c r="C271" s="302" t="s">
        <v>652</v>
      </c>
      <c r="D271" s="363"/>
      <c r="E271" s="259"/>
      <c r="F271" s="250"/>
      <c r="G271" s="298"/>
      <c r="H271" s="250"/>
      <c r="I271" s="298"/>
      <c r="J271" s="250"/>
      <c r="K271" s="298"/>
      <c r="L271" s="261"/>
      <c r="M271" s="250"/>
      <c r="N271" s="298"/>
      <c r="O271" s="360" t="s">
        <v>1030</v>
      </c>
      <c r="P271" s="298"/>
      <c r="Q271" s="303"/>
      <c r="R271" s="298"/>
      <c r="S271" s="261"/>
      <c r="T271" s="303"/>
      <c r="U271" s="298"/>
      <c r="V271" s="303"/>
      <c r="W271" s="298"/>
      <c r="X271" s="303"/>
      <c r="Y271" s="298"/>
      <c r="Z271" s="261"/>
      <c r="AA271" s="250"/>
      <c r="AB271" s="298"/>
      <c r="AC271" s="304"/>
      <c r="AD271" s="298"/>
      <c r="AE271" s="303"/>
      <c r="AF271" s="298"/>
      <c r="AG271" s="261"/>
      <c r="AH271" s="303"/>
      <c r="AI271" s="298"/>
      <c r="AJ271" s="304"/>
      <c r="AK271" s="298"/>
      <c r="AL271" s="304"/>
      <c r="AM271" s="298"/>
      <c r="AN271" s="261"/>
      <c r="AO271" s="303"/>
      <c r="AP271" s="298"/>
      <c r="AQ271" s="303"/>
      <c r="AR271" s="298"/>
      <c r="AS271" s="303"/>
      <c r="AT271" s="254" t="str">
        <f t="shared" ref="AT271:AT272" si="56">IF(COUNTIF($AO$79:$AT$81, #REF!) &gt; 0, "X", "")</f>
        <v/>
      </c>
      <c r="AU271" s="269"/>
      <c r="AV271" s="269"/>
    </row>
    <row r="272">
      <c r="A272" s="94"/>
      <c r="B272" s="361" t="s">
        <v>673</v>
      </c>
      <c r="C272" s="362" t="s">
        <v>674</v>
      </c>
      <c r="D272" s="369"/>
      <c r="E272" s="259"/>
      <c r="F272" s="250"/>
      <c r="G272" s="298"/>
      <c r="H272" s="250"/>
      <c r="I272" s="298"/>
      <c r="J272" s="250"/>
      <c r="K272" s="298"/>
      <c r="L272" s="261"/>
      <c r="M272" s="324"/>
      <c r="N272" s="298"/>
      <c r="O272" s="336" t="s">
        <v>412</v>
      </c>
      <c r="P272" s="298"/>
      <c r="Q272" s="325" t="s">
        <v>701</v>
      </c>
      <c r="R272" s="298"/>
      <c r="S272" s="261"/>
      <c r="T272" s="365" t="s">
        <v>433</v>
      </c>
      <c r="U272" s="298"/>
      <c r="V272" s="336" t="s">
        <v>412</v>
      </c>
      <c r="W272" s="298"/>
      <c r="X272" s="336" t="s">
        <v>398</v>
      </c>
      <c r="Y272" s="298"/>
      <c r="Z272" s="261"/>
      <c r="AA272" s="324"/>
      <c r="AB272" s="298"/>
      <c r="AC272" s="336" t="s">
        <v>412</v>
      </c>
      <c r="AD272" s="298"/>
      <c r="AE272" s="251" t="s">
        <v>457</v>
      </c>
      <c r="AF272" s="298"/>
      <c r="AG272" s="261"/>
      <c r="AH272" s="365" t="s">
        <v>433</v>
      </c>
      <c r="AI272" s="298"/>
      <c r="AJ272" s="336" t="s">
        <v>412</v>
      </c>
      <c r="AK272" s="298"/>
      <c r="AL272" s="311" t="s">
        <v>394</v>
      </c>
      <c r="AM272" s="298"/>
      <c r="AN272" s="261"/>
      <c r="AO272" s="365" t="s">
        <v>433</v>
      </c>
      <c r="AP272" s="298"/>
      <c r="AQ272" s="251" t="s">
        <v>457</v>
      </c>
      <c r="AR272" s="298"/>
      <c r="AS272" s="311" t="s">
        <v>394</v>
      </c>
      <c r="AT272" s="254" t="str">
        <f t="shared" si="56"/>
        <v/>
      </c>
      <c r="AU272" s="269"/>
      <c r="AV272" s="269"/>
    </row>
    <row r="273">
      <c r="A273" s="94"/>
      <c r="B273" s="367" t="s">
        <v>677</v>
      </c>
      <c r="C273" s="368" t="s">
        <v>674</v>
      </c>
      <c r="D273" s="330"/>
      <c r="E273" s="259"/>
      <c r="F273" s="250"/>
      <c r="G273" s="246"/>
      <c r="H273" s="250"/>
      <c r="I273" s="246"/>
      <c r="J273" s="250"/>
      <c r="K273" s="246"/>
      <c r="L273" s="261"/>
      <c r="M273" s="250"/>
      <c r="N273" s="246"/>
      <c r="P273" s="246"/>
      <c r="Q273" s="274" t="s">
        <v>443</v>
      </c>
      <c r="R273" s="246"/>
      <c r="S273" s="261"/>
      <c r="U273" s="246"/>
      <c r="V273" s="311" t="s">
        <v>438</v>
      </c>
      <c r="W273" s="246"/>
      <c r="Y273" s="246"/>
      <c r="Z273" s="261"/>
      <c r="AA273" s="250"/>
      <c r="AB273" s="246"/>
      <c r="AD273" s="246"/>
      <c r="AF273" s="246"/>
      <c r="AG273" s="261"/>
      <c r="AI273" s="246"/>
      <c r="AK273" s="246"/>
      <c r="AM273" s="246"/>
      <c r="AN273" s="261"/>
      <c r="AO273" s="252"/>
      <c r="AP273" s="246"/>
      <c r="AR273" s="246"/>
      <c r="AS273" s="282"/>
      <c r="AT273" s="254" t="str">
        <f>IF(COUNTIF($AO$79:$AT$81, AS273) &gt; 0, "X", "")</f>
        <v/>
      </c>
      <c r="AU273" s="269"/>
      <c r="AV273" s="269"/>
    </row>
    <row r="274">
      <c r="A274" s="94"/>
      <c r="B274" s="256" t="s">
        <v>679</v>
      </c>
      <c r="C274" s="257" t="s">
        <v>680</v>
      </c>
      <c r="D274" s="330"/>
      <c r="E274" s="259"/>
      <c r="F274" s="250"/>
      <c r="G274" s="246"/>
      <c r="H274" s="250"/>
      <c r="I274" s="246"/>
      <c r="J274" s="250"/>
      <c r="K274" s="246"/>
      <c r="L274" s="261"/>
      <c r="M274" s="333"/>
      <c r="N274" s="246"/>
      <c r="O274" s="374" t="s">
        <v>436</v>
      </c>
      <c r="P274" s="246"/>
      <c r="Q274" s="365" t="s">
        <v>433</v>
      </c>
      <c r="R274" s="246"/>
      <c r="S274" s="261"/>
      <c r="T274" s="311" t="s">
        <v>393</v>
      </c>
      <c r="U274" s="246"/>
      <c r="V274" s="311" t="s">
        <v>436</v>
      </c>
      <c r="W274" s="246"/>
      <c r="X274" s="274" t="s">
        <v>437</v>
      </c>
      <c r="Y274" s="246"/>
      <c r="Z274" s="261"/>
      <c r="AA274" s="333"/>
      <c r="AB274" s="246"/>
      <c r="AC274" s="311" t="s">
        <v>436</v>
      </c>
      <c r="AD274" s="246"/>
      <c r="AE274" s="365" t="s">
        <v>433</v>
      </c>
      <c r="AF274" s="246"/>
      <c r="AG274" s="261"/>
      <c r="AH274" s="311" t="s">
        <v>393</v>
      </c>
      <c r="AI274" s="246"/>
      <c r="AJ274" s="311" t="s">
        <v>436</v>
      </c>
      <c r="AK274" s="246"/>
      <c r="AL274" s="274" t="s">
        <v>437</v>
      </c>
      <c r="AM274" s="246"/>
      <c r="AN274" s="261"/>
      <c r="AO274" s="311" t="s">
        <v>436</v>
      </c>
      <c r="AP274" s="246"/>
      <c r="AQ274" s="274" t="s">
        <v>406</v>
      </c>
      <c r="AR274" s="246"/>
      <c r="AS274" s="274" t="s">
        <v>449</v>
      </c>
      <c r="AT274" s="254" t="str">
        <f t="shared" ref="AT274:AT278" si="57">IF(COUNTIF($AO$79:$AT$81, #REF!) &gt; 0, "X", "")</f>
        <v/>
      </c>
      <c r="AU274" s="269"/>
      <c r="AV274" s="269"/>
    </row>
    <row r="275">
      <c r="A275" s="372"/>
      <c r="B275" s="328" t="s">
        <v>679</v>
      </c>
      <c r="C275" s="329" t="s">
        <v>652</v>
      </c>
      <c r="D275" s="330"/>
      <c r="E275" s="259"/>
      <c r="F275" s="250"/>
      <c r="G275" s="246"/>
      <c r="H275" s="250"/>
      <c r="I275" s="246"/>
      <c r="J275" s="250"/>
      <c r="K275" s="246"/>
      <c r="L275" s="261"/>
      <c r="M275" s="346"/>
      <c r="N275" s="246"/>
      <c r="O275" s="311" t="s">
        <v>438</v>
      </c>
      <c r="P275" s="246"/>
      <c r="Q275" s="274"/>
      <c r="R275" s="246"/>
      <c r="S275" s="261"/>
      <c r="U275" s="246"/>
      <c r="W275" s="246"/>
      <c r="Y275" s="246"/>
      <c r="Z275" s="261"/>
      <c r="AA275" s="346"/>
      <c r="AB275" s="246"/>
      <c r="AC275" s="274" t="s">
        <v>406</v>
      </c>
      <c r="AD275" s="246"/>
      <c r="AF275" s="246"/>
      <c r="AG275" s="261"/>
      <c r="AH275" s="282"/>
      <c r="AI275" s="246"/>
      <c r="AK275" s="246"/>
      <c r="AM275" s="246"/>
      <c r="AN275" s="261"/>
      <c r="AO275" s="737"/>
      <c r="AP275" s="246"/>
      <c r="AR275" s="246"/>
      <c r="AT275" s="254" t="str">
        <f t="shared" si="57"/>
        <v/>
      </c>
      <c r="AU275" s="269"/>
      <c r="AV275" s="269"/>
    </row>
    <row r="276">
      <c r="A276" s="94"/>
      <c r="B276" s="328" t="s">
        <v>679</v>
      </c>
      <c r="C276" s="329" t="s">
        <v>683</v>
      </c>
      <c r="D276" s="379"/>
      <c r="E276" s="380"/>
      <c r="F276" s="250"/>
      <c r="G276" s="246"/>
      <c r="H276" s="250"/>
      <c r="I276" s="246"/>
      <c r="J276" s="250"/>
      <c r="K276" s="246"/>
      <c r="L276" s="261"/>
      <c r="M276" s="341"/>
      <c r="N276" s="246"/>
      <c r="P276" s="246"/>
      <c r="Q276" s="376" t="s">
        <v>466</v>
      </c>
      <c r="R276" s="246"/>
      <c r="S276" s="261"/>
      <c r="T276" s="738" t="s">
        <v>466</v>
      </c>
      <c r="U276" s="246"/>
      <c r="V276" s="274" t="s">
        <v>406</v>
      </c>
      <c r="W276" s="246"/>
      <c r="X276" s="376"/>
      <c r="Y276" s="246"/>
      <c r="Z276" s="261"/>
      <c r="AA276" s="341"/>
      <c r="AB276" s="246"/>
      <c r="AC276" s="311" t="s">
        <v>439</v>
      </c>
      <c r="AD276" s="246"/>
      <c r="AE276" s="376" t="s">
        <v>453</v>
      </c>
      <c r="AF276" s="246"/>
      <c r="AG276" s="261"/>
      <c r="AH276" s="376" t="s">
        <v>453</v>
      </c>
      <c r="AI276" s="246"/>
      <c r="AJ276" s="586" t="s">
        <v>397</v>
      </c>
      <c r="AK276" s="246"/>
      <c r="AL276" s="251" t="s">
        <v>457</v>
      </c>
      <c r="AM276" s="246"/>
      <c r="AN276" s="261"/>
      <c r="AO276" s="274" t="s">
        <v>437</v>
      </c>
      <c r="AP276" s="246"/>
      <c r="AQ276" s="586" t="s">
        <v>397</v>
      </c>
      <c r="AR276" s="246"/>
      <c r="AS276" s="348" t="s">
        <v>759</v>
      </c>
      <c r="AT276" s="254" t="str">
        <f t="shared" si="57"/>
        <v/>
      </c>
      <c r="AU276" s="269"/>
      <c r="AV276" s="269"/>
    </row>
    <row r="277">
      <c r="A277" s="94"/>
      <c r="B277" s="377" t="s">
        <v>684</v>
      </c>
      <c r="C277" s="378" t="s">
        <v>685</v>
      </c>
      <c r="D277" s="363"/>
      <c r="E277" s="259"/>
      <c r="F277" s="250"/>
      <c r="G277" s="246"/>
      <c r="H277" s="250"/>
      <c r="I277" s="246"/>
      <c r="J277" s="250"/>
      <c r="K277" s="246"/>
      <c r="L277" s="381"/>
      <c r="M277" s="341"/>
      <c r="N277" s="246"/>
      <c r="O277" s="274" t="s">
        <v>406</v>
      </c>
      <c r="P277" s="246"/>
      <c r="R277" s="246"/>
      <c r="S277" s="381"/>
      <c r="T277" s="311"/>
      <c r="U277" s="246"/>
      <c r="W277" s="246"/>
      <c r="X277" s="311" t="s">
        <v>455</v>
      </c>
      <c r="Y277" s="246"/>
      <c r="Z277" s="381"/>
      <c r="AA277" s="341"/>
      <c r="AB277" s="246"/>
      <c r="AD277" s="246"/>
      <c r="AF277" s="246"/>
      <c r="AG277" s="381"/>
      <c r="AI277" s="246"/>
      <c r="AJ277" s="282"/>
      <c r="AK277" s="246"/>
      <c r="AM277" s="246"/>
      <c r="AN277" s="381"/>
      <c r="AO277" s="739"/>
      <c r="AP277" s="246"/>
      <c r="AR277" s="246"/>
      <c r="AT277" s="254" t="str">
        <f t="shared" si="57"/>
        <v/>
      </c>
      <c r="AU277" s="269"/>
      <c r="AV277" s="269"/>
    </row>
    <row r="278">
      <c r="A278" s="270"/>
      <c r="B278" s="382" t="s">
        <v>686</v>
      </c>
      <c r="C278" s="242" t="s">
        <v>652</v>
      </c>
      <c r="D278" s="330"/>
      <c r="E278" s="259"/>
      <c r="F278" s="250"/>
      <c r="G278" s="246"/>
      <c r="H278" s="250"/>
      <c r="I278" s="246"/>
      <c r="J278" s="250"/>
      <c r="K278" s="246"/>
      <c r="L278" s="261"/>
      <c r="M278" s="341"/>
      <c r="N278" s="246"/>
      <c r="O278" s="251" t="s">
        <v>435</v>
      </c>
      <c r="P278" s="246"/>
      <c r="Q278" s="376" t="s">
        <v>453</v>
      </c>
      <c r="R278" s="246"/>
      <c r="S278" s="261"/>
      <c r="T278" s="376" t="s">
        <v>453</v>
      </c>
      <c r="U278" s="246"/>
      <c r="V278" s="251" t="s">
        <v>435</v>
      </c>
      <c r="W278" s="246"/>
      <c r="X278" s="251" t="s">
        <v>429</v>
      </c>
      <c r="Y278" s="246"/>
      <c r="Z278" s="261"/>
      <c r="AA278" s="341"/>
      <c r="AB278" s="246"/>
      <c r="AC278" s="251" t="s">
        <v>435</v>
      </c>
      <c r="AD278" s="246"/>
      <c r="AE278" s="251" t="s">
        <v>429</v>
      </c>
      <c r="AF278" s="246"/>
      <c r="AG278" s="261"/>
      <c r="AH278" s="251" t="s">
        <v>429</v>
      </c>
      <c r="AI278" s="246"/>
      <c r="AJ278" s="251" t="s">
        <v>435</v>
      </c>
      <c r="AK278" s="246"/>
      <c r="AL278" s="376" t="s">
        <v>466</v>
      </c>
      <c r="AM278" s="246"/>
      <c r="AN278" s="261"/>
      <c r="AO278" s="311" t="s">
        <v>455</v>
      </c>
      <c r="AP278" s="246"/>
      <c r="AQ278" s="251" t="s">
        <v>435</v>
      </c>
      <c r="AR278" s="246"/>
      <c r="AS278" s="251" t="s">
        <v>429</v>
      </c>
      <c r="AT278" s="254" t="str">
        <f t="shared" si="57"/>
        <v/>
      </c>
      <c r="AU278" s="269"/>
      <c r="AV278" s="269"/>
    </row>
    <row r="279">
      <c r="A279" s="234"/>
      <c r="B279" s="337" t="s">
        <v>686</v>
      </c>
      <c r="C279" s="338" t="s">
        <v>687</v>
      </c>
      <c r="D279" s="330"/>
      <c r="E279" s="259"/>
      <c r="F279" s="250"/>
      <c r="G279" s="246"/>
      <c r="H279" s="250"/>
      <c r="I279" s="246"/>
      <c r="J279" s="250"/>
      <c r="K279" s="246"/>
      <c r="L279" s="261"/>
      <c r="M279" s="250"/>
      <c r="N279" s="246"/>
      <c r="O279" s="385" t="s">
        <v>428</v>
      </c>
      <c r="P279" s="246"/>
      <c r="Q279" s="251" t="s">
        <v>429</v>
      </c>
      <c r="R279" s="246"/>
      <c r="S279" s="261"/>
      <c r="U279" s="246"/>
      <c r="V279" s="383" t="s">
        <v>428</v>
      </c>
      <c r="W279" s="246"/>
      <c r="Y279" s="246"/>
      <c r="Z279" s="261"/>
      <c r="AA279" s="250"/>
      <c r="AB279" s="246"/>
      <c r="AC279" s="383" t="s">
        <v>428</v>
      </c>
      <c r="AD279" s="246"/>
      <c r="AE279" s="376" t="s">
        <v>466</v>
      </c>
      <c r="AF279" s="246"/>
      <c r="AG279" s="261"/>
      <c r="AI279" s="246"/>
      <c r="AJ279" s="385" t="s">
        <v>428</v>
      </c>
      <c r="AK279" s="246"/>
      <c r="AL279" s="311" t="s">
        <v>455</v>
      </c>
      <c r="AM279" s="246"/>
      <c r="AN279" s="261"/>
      <c r="AP279" s="246"/>
      <c r="AQ279" s="385" t="s">
        <v>428</v>
      </c>
      <c r="AR279" s="246"/>
      <c r="AS279" s="376" t="s">
        <v>453</v>
      </c>
      <c r="AT279" s="254" t="str">
        <f>IF(COUNTIF($AO$79:$AT$81, AS278) &gt; 0, "X", "")</f>
        <v/>
      </c>
      <c r="AU279" s="269"/>
      <c r="AV279" s="269"/>
    </row>
    <row r="280">
      <c r="A280" s="94"/>
      <c r="B280" s="337" t="s">
        <v>688</v>
      </c>
      <c r="C280" s="285" t="s">
        <v>687</v>
      </c>
      <c r="D280" s="389"/>
      <c r="E280" s="259"/>
      <c r="F280" s="250"/>
      <c r="G280" s="246"/>
      <c r="H280" s="250"/>
      <c r="I280" s="246"/>
      <c r="J280" s="250"/>
      <c r="K280" s="246"/>
      <c r="L280" s="261"/>
      <c r="M280" s="262"/>
      <c r="N280" s="246"/>
      <c r="P280" s="246"/>
      <c r="R280" s="246"/>
      <c r="S280" s="261"/>
      <c r="U280" s="246"/>
      <c r="W280" s="246"/>
      <c r="Y280" s="246"/>
      <c r="Z280" s="261"/>
      <c r="AA280" s="262"/>
      <c r="AB280" s="246"/>
      <c r="AC280" s="265"/>
      <c r="AD280" s="246"/>
      <c r="AF280" s="246"/>
      <c r="AG280" s="261"/>
      <c r="AH280" s="265"/>
      <c r="AI280" s="246"/>
      <c r="AJ280" s="265"/>
      <c r="AK280" s="246"/>
      <c r="AL280" s="265"/>
      <c r="AM280" s="246"/>
      <c r="AN280" s="261"/>
      <c r="AO280" s="266"/>
      <c r="AP280" s="246"/>
      <c r="AR280" s="246"/>
      <c r="AS280" s="265"/>
      <c r="AT280" s="254" t="str">
        <f>IF(COUNTIF($AO$79:$AT$81, #REF!) &gt; 0, "X", "")</f>
        <v/>
      </c>
      <c r="AU280" s="269"/>
      <c r="AV280" s="269"/>
    </row>
    <row r="281">
      <c r="A281" s="94"/>
      <c r="B281" s="387" t="s">
        <v>690</v>
      </c>
      <c r="C281" s="388" t="s">
        <v>649</v>
      </c>
      <c r="D281" s="323"/>
      <c r="E281" s="259"/>
      <c r="F281" s="250"/>
      <c r="G281" s="246"/>
      <c r="H281" s="250"/>
      <c r="I281" s="246"/>
      <c r="J281" s="250"/>
      <c r="K281" s="246"/>
      <c r="L281" s="261"/>
      <c r="M281" s="250"/>
      <c r="N281" s="246"/>
      <c r="O281" s="357"/>
      <c r="P281" s="246"/>
      <c r="Q281" s="390"/>
      <c r="R281" s="246"/>
      <c r="S281" s="261"/>
      <c r="T281" s="390"/>
      <c r="U281" s="246"/>
      <c r="V281" s="633" t="s">
        <v>420</v>
      </c>
      <c r="W281" s="246"/>
      <c r="X281" s="390"/>
      <c r="Y281" s="246"/>
      <c r="Z281" s="261"/>
      <c r="AA281" s="250"/>
      <c r="AB281" s="246"/>
      <c r="AC281" s="390"/>
      <c r="AD281" s="246"/>
      <c r="AE281" s="355" t="s">
        <v>670</v>
      </c>
      <c r="AF281" s="246"/>
      <c r="AG281" s="261"/>
      <c r="AH281" s="390"/>
      <c r="AI281" s="246"/>
      <c r="AJ281" s="355" t="s">
        <v>670</v>
      </c>
      <c r="AK281" s="246"/>
      <c r="AL281" s="390"/>
      <c r="AM281" s="246"/>
      <c r="AN281" s="261"/>
      <c r="AO281" s="390"/>
      <c r="AP281" s="246"/>
      <c r="AQ281" s="390"/>
      <c r="AR281" s="246"/>
      <c r="AS281" s="390"/>
      <c r="AT281" s="254" t="str">
        <f t="shared" ref="AT281:AT288" si="58">IF(COUNTIF($AO$79:$AT$81, AS282) &gt; 0, "X", "")</f>
        <v/>
      </c>
      <c r="AU281" s="269"/>
      <c r="AV281" s="269"/>
    </row>
    <row r="282">
      <c r="A282" s="94"/>
      <c r="B282" s="296" t="s">
        <v>650</v>
      </c>
      <c r="C282" s="297" t="s">
        <v>649</v>
      </c>
      <c r="D282" s="323"/>
      <c r="E282" s="261"/>
      <c r="F282" s="250"/>
      <c r="G282" s="246"/>
      <c r="H282" s="250"/>
      <c r="I282" s="246"/>
      <c r="J282" s="250"/>
      <c r="K282" s="246"/>
      <c r="L282" s="261"/>
      <c r="M282" s="250"/>
      <c r="N282" s="246"/>
      <c r="O282" s="300"/>
      <c r="P282" s="246"/>
      <c r="Q282" s="300"/>
      <c r="R282" s="246"/>
      <c r="S282" s="261"/>
      <c r="T282" s="300"/>
      <c r="U282" s="246"/>
      <c r="V282" s="300"/>
      <c r="W282" s="246"/>
      <c r="X282" s="300"/>
      <c r="Y282" s="246"/>
      <c r="Z282" s="261"/>
      <c r="AA282" s="250"/>
      <c r="AB282" s="246"/>
      <c r="AC282" s="300"/>
      <c r="AD282" s="246"/>
      <c r="AE282" s="300"/>
      <c r="AF282" s="246"/>
      <c r="AG282" s="261"/>
      <c r="AH282" s="300"/>
      <c r="AI282" s="246"/>
      <c r="AJ282" s="300"/>
      <c r="AK282" s="246"/>
      <c r="AL282" s="300"/>
      <c r="AM282" s="246"/>
      <c r="AN282" s="261"/>
      <c r="AO282" s="300"/>
      <c r="AP282" s="246"/>
      <c r="AQ282" s="300"/>
      <c r="AR282" s="246"/>
      <c r="AS282" s="300"/>
      <c r="AT282" s="254" t="str">
        <f t="shared" si="58"/>
        <v/>
      </c>
      <c r="AU282" s="269"/>
      <c r="AV282" s="269"/>
    </row>
    <row r="283">
      <c r="A283" s="94"/>
      <c r="B283" s="301" t="s">
        <v>651</v>
      </c>
      <c r="C283" s="391" t="s">
        <v>652</v>
      </c>
      <c r="D283" s="323"/>
      <c r="E283" s="259"/>
      <c r="F283" s="250"/>
      <c r="G283" s="246"/>
      <c r="H283" s="250"/>
      <c r="I283" s="246"/>
      <c r="J283" s="250"/>
      <c r="K283" s="246"/>
      <c r="L283" s="261"/>
      <c r="M283" s="250"/>
      <c r="N283" s="246"/>
      <c r="O283" s="304"/>
      <c r="P283" s="246"/>
      <c r="Q283" s="304"/>
      <c r="R283" s="246"/>
      <c r="S283" s="261"/>
      <c r="T283" s="304"/>
      <c r="U283" s="246"/>
      <c r="V283" s="360" t="s">
        <v>1030</v>
      </c>
      <c r="W283" s="246"/>
      <c r="X283" s="304"/>
      <c r="Y283" s="246"/>
      <c r="Z283" s="261"/>
      <c r="AA283" s="250"/>
      <c r="AB283" s="246"/>
      <c r="AC283" s="304"/>
      <c r="AD283" s="246"/>
      <c r="AE283" s="360" t="s">
        <v>1030</v>
      </c>
      <c r="AF283" s="246"/>
      <c r="AG283" s="261"/>
      <c r="AH283" s="304"/>
      <c r="AI283" s="246"/>
      <c r="AJ283" s="360" t="s">
        <v>1030</v>
      </c>
      <c r="AK283" s="246"/>
      <c r="AL283" s="304"/>
      <c r="AM283" s="246"/>
      <c r="AN283" s="261"/>
      <c r="AO283" s="304"/>
      <c r="AP283" s="246"/>
      <c r="AQ283" s="304"/>
      <c r="AR283" s="246"/>
      <c r="AS283" s="304"/>
      <c r="AT283" s="254" t="str">
        <f t="shared" si="58"/>
        <v/>
      </c>
      <c r="AU283" s="269"/>
      <c r="AV283" s="269"/>
    </row>
    <row r="284">
      <c r="A284" s="94"/>
      <c r="B284" s="392" t="s">
        <v>691</v>
      </c>
      <c r="C284" s="393" t="s">
        <v>652</v>
      </c>
      <c r="D284" s="330"/>
      <c r="E284" s="259"/>
      <c r="F284" s="250"/>
      <c r="G284" s="246"/>
      <c r="H284" s="250"/>
      <c r="I284" s="246"/>
      <c r="J284" s="250"/>
      <c r="K284" s="246"/>
      <c r="L284" s="261"/>
      <c r="M284" s="250"/>
      <c r="N284" s="246"/>
      <c r="O284" s="307"/>
      <c r="P284" s="246"/>
      <c r="Q284" s="307"/>
      <c r="R284" s="246"/>
      <c r="S284" s="261"/>
      <c r="T284" s="307"/>
      <c r="U284" s="246"/>
      <c r="V284" s="647" t="s">
        <v>397</v>
      </c>
      <c r="W284" s="246"/>
      <c r="X284" s="307"/>
      <c r="Y284" s="246"/>
      <c r="Z284" s="261"/>
      <c r="AA284" s="250"/>
      <c r="AB284" s="246"/>
      <c r="AC284" s="307"/>
      <c r="AD284" s="246"/>
      <c r="AE284" s="647" t="s">
        <v>397</v>
      </c>
      <c r="AF284" s="246"/>
      <c r="AG284" s="261"/>
      <c r="AH284" s="307"/>
      <c r="AI284" s="246"/>
      <c r="AJ284" s="336" t="s">
        <v>398</v>
      </c>
      <c r="AK284" s="246"/>
      <c r="AL284" s="307"/>
      <c r="AM284" s="246"/>
      <c r="AN284" s="261"/>
      <c r="AO284" s="307"/>
      <c r="AP284" s="246"/>
      <c r="AQ284" s="307"/>
      <c r="AR284" s="246"/>
      <c r="AS284" s="307"/>
      <c r="AT284" s="254" t="str">
        <f t="shared" si="58"/>
        <v/>
      </c>
      <c r="AU284" s="269"/>
      <c r="AV284" s="269"/>
    </row>
    <row r="285">
      <c r="A285" s="94"/>
      <c r="B285" s="328" t="s">
        <v>692</v>
      </c>
      <c r="C285" s="329" t="s">
        <v>652</v>
      </c>
      <c r="D285" s="369"/>
      <c r="E285" s="259"/>
      <c r="F285" s="250"/>
      <c r="G285" s="246"/>
      <c r="H285" s="250"/>
      <c r="I285" s="246"/>
      <c r="J285" s="250"/>
      <c r="K285" s="246"/>
      <c r="L285" s="261"/>
      <c r="M285" s="250"/>
      <c r="N285" s="246"/>
      <c r="O285" s="371"/>
      <c r="P285" s="246"/>
      <c r="R285" s="246"/>
      <c r="S285" s="261"/>
      <c r="T285" s="282"/>
      <c r="U285" s="246"/>
      <c r="W285" s="246"/>
      <c r="X285" s="371"/>
      <c r="Y285" s="246"/>
      <c r="Z285" s="261"/>
      <c r="AA285" s="250"/>
      <c r="AB285" s="246"/>
      <c r="AD285" s="246"/>
      <c r="AF285" s="246"/>
      <c r="AG285" s="261"/>
      <c r="AH285" s="371"/>
      <c r="AI285" s="246"/>
      <c r="AJ285" s="371"/>
      <c r="AK285" s="246"/>
      <c r="AL285" s="371"/>
      <c r="AM285" s="246"/>
      <c r="AN285" s="261"/>
      <c r="AO285" s="371"/>
      <c r="AP285" s="246"/>
      <c r="AQ285" s="371"/>
      <c r="AR285" s="246"/>
      <c r="AS285" s="282"/>
      <c r="AT285" s="254" t="str">
        <f t="shared" si="58"/>
        <v/>
      </c>
      <c r="AU285" s="269"/>
      <c r="AV285" s="269"/>
    </row>
    <row r="286">
      <c r="A286" s="94"/>
      <c r="B286" s="397" t="s">
        <v>692</v>
      </c>
      <c r="C286" s="398" t="s">
        <v>687</v>
      </c>
      <c r="D286" s="389"/>
      <c r="E286" s="259"/>
      <c r="F286" s="250"/>
      <c r="G286" s="246"/>
      <c r="H286" s="250"/>
      <c r="I286" s="246"/>
      <c r="J286" s="250"/>
      <c r="K286" s="246"/>
      <c r="L286" s="261"/>
      <c r="M286" s="250"/>
      <c r="N286" s="246"/>
      <c r="O286" s="282"/>
      <c r="P286" s="246"/>
      <c r="R286" s="246"/>
      <c r="S286" s="261"/>
      <c r="T286" s="282"/>
      <c r="U286" s="246"/>
      <c r="V286" s="282"/>
      <c r="W286" s="246"/>
      <c r="X286" s="399"/>
      <c r="Y286" s="246"/>
      <c r="Z286" s="261"/>
      <c r="AA286" s="250"/>
      <c r="AB286" s="246"/>
      <c r="AC286" s="399"/>
      <c r="AD286" s="246"/>
      <c r="AF286" s="246"/>
      <c r="AG286" s="261"/>
      <c r="AH286" s="399"/>
      <c r="AI286" s="246"/>
      <c r="AJ286" s="399"/>
      <c r="AK286" s="246"/>
      <c r="AL286" s="399"/>
      <c r="AM286" s="246"/>
      <c r="AN286" s="261"/>
      <c r="AO286" s="399"/>
      <c r="AP286" s="246"/>
      <c r="AQ286" s="399"/>
      <c r="AR286" s="246"/>
      <c r="AS286" s="399"/>
      <c r="AT286" s="254" t="str">
        <f t="shared" si="58"/>
        <v/>
      </c>
      <c r="AU286" s="269"/>
      <c r="AV286" s="269"/>
    </row>
    <row r="287">
      <c r="A287" s="94"/>
      <c r="B287" s="387" t="s">
        <v>694</v>
      </c>
      <c r="C287" s="388" t="s">
        <v>649</v>
      </c>
      <c r="D287" s="323"/>
      <c r="E287" s="259"/>
      <c r="F287" s="250"/>
      <c r="G287" s="246"/>
      <c r="H287" s="250"/>
      <c r="I287" s="246"/>
      <c r="J287" s="250"/>
      <c r="K287" s="246"/>
      <c r="L287" s="261"/>
      <c r="M287" s="250"/>
      <c r="N287" s="246"/>
      <c r="O287" s="390"/>
      <c r="P287" s="246"/>
      <c r="Q287" s="357"/>
      <c r="R287" s="246"/>
      <c r="S287" s="261"/>
      <c r="T287" s="390"/>
      <c r="U287" s="246"/>
      <c r="V287" s="390"/>
      <c r="W287" s="246"/>
      <c r="X287" s="357"/>
      <c r="Y287" s="246"/>
      <c r="Z287" s="261"/>
      <c r="AA287" s="250"/>
      <c r="AB287" s="246"/>
      <c r="AC287" s="390"/>
      <c r="AD287" s="246"/>
      <c r="AE287" s="357" t="s">
        <v>425</v>
      </c>
      <c r="AF287" s="246"/>
      <c r="AG287" s="261"/>
      <c r="AH287" s="390"/>
      <c r="AI287" s="246"/>
      <c r="AJ287" s="390"/>
      <c r="AK287" s="246"/>
      <c r="AL287" s="357" t="s">
        <v>425</v>
      </c>
      <c r="AM287" s="246"/>
      <c r="AN287" s="261"/>
      <c r="AO287" s="390"/>
      <c r="AP287" s="246"/>
      <c r="AQ287" s="390"/>
      <c r="AR287" s="246"/>
      <c r="AS287" s="357" t="s">
        <v>425</v>
      </c>
      <c r="AT287" s="254" t="str">
        <f t="shared" si="58"/>
        <v/>
      </c>
      <c r="AU287" s="269"/>
      <c r="AV287" s="269"/>
    </row>
    <row r="288">
      <c r="A288" s="94"/>
      <c r="B288" s="296" t="s">
        <v>650</v>
      </c>
      <c r="C288" s="297" t="s">
        <v>649</v>
      </c>
      <c r="D288" s="323"/>
      <c r="E288" s="261"/>
      <c r="F288" s="250"/>
      <c r="G288" s="298"/>
      <c r="H288" s="250"/>
      <c r="I288" s="298"/>
      <c r="J288" s="250"/>
      <c r="K288" s="298"/>
      <c r="L288" s="261"/>
      <c r="M288" s="250"/>
      <c r="N288" s="298"/>
      <c r="O288" s="300"/>
      <c r="P288" s="298"/>
      <c r="Q288" s="319"/>
      <c r="R288" s="298"/>
      <c r="S288" s="261"/>
      <c r="T288" s="300"/>
      <c r="U288" s="298"/>
      <c r="V288" s="300"/>
      <c r="W288" s="298"/>
      <c r="X288" s="300"/>
      <c r="Y288" s="298"/>
      <c r="Z288" s="261"/>
      <c r="AA288" s="250"/>
      <c r="AB288" s="298"/>
      <c r="AC288" s="300"/>
      <c r="AD288" s="298"/>
      <c r="AE288" s="300"/>
      <c r="AF288" s="298"/>
      <c r="AG288" s="261"/>
      <c r="AH288" s="300"/>
      <c r="AI288" s="298"/>
      <c r="AJ288" s="300"/>
      <c r="AK288" s="298"/>
      <c r="AL288" s="300"/>
      <c r="AM288" s="298"/>
      <c r="AN288" s="261"/>
      <c r="AO288" s="300"/>
      <c r="AP288" s="298"/>
      <c r="AQ288" s="300"/>
      <c r="AR288" s="298"/>
      <c r="AS288" s="300"/>
      <c r="AT288" s="254" t="str">
        <f t="shared" si="58"/>
        <v/>
      </c>
      <c r="AU288" s="269"/>
      <c r="AV288" s="269"/>
    </row>
    <row r="289">
      <c r="A289" s="94"/>
      <c r="B289" s="301" t="s">
        <v>651</v>
      </c>
      <c r="C289" s="391" t="s">
        <v>652</v>
      </c>
      <c r="D289" s="323"/>
      <c r="E289" s="259"/>
      <c r="F289" s="250"/>
      <c r="G289" s="298"/>
      <c r="H289" s="250"/>
      <c r="I289" s="298"/>
      <c r="J289" s="250"/>
      <c r="K289" s="298"/>
      <c r="L289" s="261"/>
      <c r="M289" s="250"/>
      <c r="N289" s="298"/>
      <c r="O289" s="304"/>
      <c r="P289" s="298"/>
      <c r="Q289" s="304"/>
      <c r="R289" s="298"/>
      <c r="S289" s="261"/>
      <c r="T289" s="304"/>
      <c r="U289" s="298"/>
      <c r="V289" s="304"/>
      <c r="W289" s="298"/>
      <c r="X289" s="304"/>
      <c r="Y289" s="298"/>
      <c r="Z289" s="261"/>
      <c r="AA289" s="250"/>
      <c r="AB289" s="298"/>
      <c r="AC289" s="304"/>
      <c r="AD289" s="298"/>
      <c r="AE289" s="304"/>
      <c r="AF289" s="298"/>
      <c r="AG289" s="261"/>
      <c r="AH289" s="304"/>
      <c r="AI289" s="298"/>
      <c r="AJ289" s="304"/>
      <c r="AK289" s="298"/>
      <c r="AL289" s="304"/>
      <c r="AM289" s="298"/>
      <c r="AN289" s="261"/>
      <c r="AO289" s="304"/>
      <c r="AP289" s="298"/>
      <c r="AQ289" s="304"/>
      <c r="AR289" s="298"/>
      <c r="AS289" s="304"/>
      <c r="AT289" s="254" t="str">
        <f t="shared" ref="AT289:AT290" si="59">IF(COUNTIF($AO$79:$AT$81, #REF!) &gt; 0, "X", "")</f>
        <v/>
      </c>
      <c r="AU289" s="269"/>
      <c r="AV289" s="269"/>
    </row>
    <row r="290">
      <c r="A290" s="94"/>
      <c r="B290" s="392" t="s">
        <v>691</v>
      </c>
      <c r="C290" s="393" t="s">
        <v>652</v>
      </c>
      <c r="D290" s="330"/>
      <c r="E290" s="259"/>
      <c r="F290" s="250"/>
      <c r="G290" s="298"/>
      <c r="H290" s="250"/>
      <c r="I290" s="298"/>
      <c r="J290" s="250"/>
      <c r="K290" s="298"/>
      <c r="L290" s="261"/>
      <c r="M290" s="250"/>
      <c r="N290" s="298"/>
      <c r="O290" s="307"/>
      <c r="P290" s="298"/>
      <c r="R290" s="298"/>
      <c r="S290" s="261"/>
      <c r="T290" s="307"/>
      <c r="U290" s="298"/>
      <c r="V290" s="307"/>
      <c r="W290" s="298"/>
      <c r="X290" s="395"/>
      <c r="Y290" s="298"/>
      <c r="Z290" s="261"/>
      <c r="AA290" s="250"/>
      <c r="AB290" s="298"/>
      <c r="AC290" s="307"/>
      <c r="AD290" s="298"/>
      <c r="AE290" s="395" t="s">
        <v>430</v>
      </c>
      <c r="AF290" s="298"/>
      <c r="AG290" s="261"/>
      <c r="AH290" s="307"/>
      <c r="AI290" s="298"/>
      <c r="AJ290" s="307"/>
      <c r="AK290" s="298"/>
      <c r="AL290" s="308" t="s">
        <v>445</v>
      </c>
      <c r="AM290" s="298"/>
      <c r="AN290" s="261"/>
      <c r="AO290" s="307"/>
      <c r="AP290" s="298"/>
      <c r="AQ290" s="307"/>
      <c r="AR290" s="298"/>
      <c r="AS290" s="308" t="s">
        <v>445</v>
      </c>
      <c r="AT290" s="254" t="str">
        <f t="shared" si="59"/>
        <v/>
      </c>
      <c r="AU290" s="269"/>
      <c r="AV290" s="269"/>
    </row>
    <row r="291">
      <c r="A291" s="94"/>
      <c r="B291" s="328" t="s">
        <v>692</v>
      </c>
      <c r="C291" s="329" t="s">
        <v>652</v>
      </c>
      <c r="D291" s="369"/>
      <c r="E291" s="259"/>
      <c r="F291" s="250"/>
      <c r="G291" s="246"/>
      <c r="H291" s="250"/>
      <c r="I291" s="246"/>
      <c r="J291" s="250"/>
      <c r="K291" s="246"/>
      <c r="L291" s="261"/>
      <c r="M291" s="250"/>
      <c r="N291" s="246"/>
      <c r="O291" s="371"/>
      <c r="P291" s="246"/>
      <c r="Q291" s="371"/>
      <c r="R291" s="246"/>
      <c r="S291" s="261"/>
      <c r="T291" s="371"/>
      <c r="U291" s="246"/>
      <c r="V291" s="371"/>
      <c r="W291" s="246"/>
      <c r="X291" s="282"/>
      <c r="Y291" s="246"/>
      <c r="Z291" s="261"/>
      <c r="AA291" s="250"/>
      <c r="AB291" s="246"/>
      <c r="AC291" s="282"/>
      <c r="AD291" s="246"/>
      <c r="AE291" s="584"/>
      <c r="AF291" s="246"/>
      <c r="AG291" s="261"/>
      <c r="AH291" s="371"/>
      <c r="AI291" s="246"/>
      <c r="AK291" s="246"/>
      <c r="AL291" s="282"/>
      <c r="AM291" s="246"/>
      <c r="AN291" s="261"/>
      <c r="AO291" s="371"/>
      <c r="AP291" s="246"/>
      <c r="AQ291" s="371"/>
      <c r="AR291" s="246"/>
      <c r="AS291" s="282"/>
      <c r="AT291" s="254" t="str">
        <f t="shared" ref="AT291:AT294" si="60">IF(COUNTIF($AO$79:$AT$81, AS292) &gt; 0, "X", "")</f>
        <v/>
      </c>
      <c r="AU291" s="269"/>
      <c r="AV291" s="269"/>
    </row>
    <row r="292">
      <c r="A292" s="94"/>
      <c r="B292" s="397" t="s">
        <v>692</v>
      </c>
      <c r="C292" s="398" t="s">
        <v>687</v>
      </c>
      <c r="D292" s="404"/>
      <c r="E292" s="259"/>
      <c r="F292" s="250"/>
      <c r="G292" s="246"/>
      <c r="H292" s="250"/>
      <c r="I292" s="246"/>
      <c r="J292" s="250"/>
      <c r="K292" s="246"/>
      <c r="L292" s="261"/>
      <c r="M292" s="250"/>
      <c r="N292" s="246"/>
      <c r="O292" s="399"/>
      <c r="P292" s="246"/>
      <c r="Q292" s="282"/>
      <c r="R292" s="246"/>
      <c r="S292" s="261"/>
      <c r="T292" s="399"/>
      <c r="U292" s="246"/>
      <c r="V292" s="399"/>
      <c r="W292" s="246"/>
      <c r="X292" s="399"/>
      <c r="Y292" s="246"/>
      <c r="Z292" s="261"/>
      <c r="AA292" s="250"/>
      <c r="AB292" s="246"/>
      <c r="AC292" s="282"/>
      <c r="AD292" s="246"/>
      <c r="AE292" s="399"/>
      <c r="AF292" s="246"/>
      <c r="AG292" s="261"/>
      <c r="AH292" s="399"/>
      <c r="AI292" s="246"/>
      <c r="AJ292" s="399"/>
      <c r="AK292" s="246"/>
      <c r="AL292" s="399"/>
      <c r="AM292" s="246"/>
      <c r="AN292" s="261"/>
      <c r="AO292" s="399"/>
      <c r="AP292" s="246"/>
      <c r="AQ292" s="399"/>
      <c r="AR292" s="246"/>
      <c r="AS292" s="399"/>
      <c r="AT292" s="254" t="str">
        <f t="shared" si="60"/>
        <v/>
      </c>
      <c r="AU292" s="269"/>
      <c r="AV292" s="269"/>
    </row>
    <row r="293">
      <c r="A293" s="270"/>
      <c r="B293" s="402" t="s">
        <v>699</v>
      </c>
      <c r="C293" s="403" t="s">
        <v>649</v>
      </c>
      <c r="D293" s="330"/>
      <c r="E293" s="259"/>
      <c r="F293" s="250"/>
      <c r="G293" s="246"/>
      <c r="H293" s="250"/>
      <c r="I293" s="246"/>
      <c r="J293" s="250"/>
      <c r="K293" s="246"/>
      <c r="L293" s="261"/>
      <c r="M293" s="250"/>
      <c r="N293" s="246"/>
      <c r="O293" s="294"/>
      <c r="P293" s="246"/>
      <c r="Q293" s="353" t="s">
        <v>422</v>
      </c>
      <c r="R293" s="246"/>
      <c r="S293" s="261"/>
      <c r="T293" s="294"/>
      <c r="U293" s="246"/>
      <c r="V293" s="294"/>
      <c r="W293" s="246"/>
      <c r="X293" s="294"/>
      <c r="Y293" s="246"/>
      <c r="Z293" s="261"/>
      <c r="AA293" s="250"/>
      <c r="AB293" s="246"/>
      <c r="AC293" s="294"/>
      <c r="AD293" s="246"/>
      <c r="AE293" s="293" t="s">
        <v>426</v>
      </c>
      <c r="AF293" s="246"/>
      <c r="AG293" s="261"/>
      <c r="AH293" s="294"/>
      <c r="AI293" s="246"/>
      <c r="AJ293" s="294"/>
      <c r="AK293" s="246"/>
      <c r="AL293" s="294"/>
      <c r="AM293" s="246"/>
      <c r="AN293" s="261"/>
      <c r="AO293" s="294"/>
      <c r="AP293" s="246"/>
      <c r="AQ293" s="294"/>
      <c r="AR293" s="246"/>
      <c r="AS293" s="294"/>
      <c r="AT293" s="254" t="str">
        <f t="shared" si="60"/>
        <v/>
      </c>
      <c r="AU293" s="269"/>
      <c r="AV293" s="269"/>
    </row>
    <row r="294">
      <c r="A294" s="94"/>
      <c r="B294" s="328" t="s">
        <v>700</v>
      </c>
      <c r="C294" s="329" t="s">
        <v>657</v>
      </c>
      <c r="D294" s="330"/>
      <c r="E294" s="259"/>
      <c r="F294" s="250"/>
      <c r="G294" s="246"/>
      <c r="H294" s="250"/>
      <c r="I294" s="246"/>
      <c r="J294" s="250"/>
      <c r="K294" s="246"/>
      <c r="L294" s="261"/>
      <c r="M294" s="250"/>
      <c r="N294" s="246"/>
      <c r="O294" s="371"/>
      <c r="P294" s="246"/>
      <c r="Q294" s="311" t="s">
        <v>455</v>
      </c>
      <c r="R294" s="246"/>
      <c r="S294" s="261"/>
      <c r="T294" s="371"/>
      <c r="U294" s="246"/>
      <c r="V294" s="371"/>
      <c r="W294" s="246"/>
      <c r="X294" s="371"/>
      <c r="Y294" s="246"/>
      <c r="Z294" s="261"/>
      <c r="AA294" s="250"/>
      <c r="AB294" s="246"/>
      <c r="AC294" s="371"/>
      <c r="AD294" s="246"/>
      <c r="AE294" s="311" t="s">
        <v>455</v>
      </c>
      <c r="AF294" s="246"/>
      <c r="AG294" s="261"/>
      <c r="AH294" s="371"/>
      <c r="AI294" s="246"/>
      <c r="AJ294" s="371"/>
      <c r="AK294" s="246"/>
      <c r="AL294" s="371"/>
      <c r="AM294" s="246"/>
      <c r="AN294" s="261"/>
      <c r="AO294" s="371"/>
      <c r="AP294" s="246"/>
      <c r="AQ294" s="282"/>
      <c r="AR294" s="246"/>
      <c r="AS294" s="371"/>
      <c r="AT294" s="254" t="str">
        <f t="shared" si="60"/>
        <v/>
      </c>
      <c r="AU294" s="269"/>
      <c r="AV294" s="269"/>
    </row>
    <row r="295">
      <c r="A295" s="94"/>
      <c r="B295" s="328" t="s">
        <v>700</v>
      </c>
      <c r="C295" s="329" t="s">
        <v>657</v>
      </c>
      <c r="D295" s="330"/>
      <c r="E295" s="259"/>
      <c r="F295" s="250"/>
      <c r="G295" s="246"/>
      <c r="H295" s="250"/>
      <c r="I295" s="246"/>
      <c r="J295" s="250"/>
      <c r="K295" s="246"/>
      <c r="L295" s="261"/>
      <c r="M295" s="262"/>
      <c r="N295" s="246"/>
      <c r="P295" s="246"/>
      <c r="Q295" s="405" t="s">
        <v>462</v>
      </c>
      <c r="R295" s="246"/>
      <c r="S295" s="261"/>
      <c r="U295" s="246"/>
      <c r="W295" s="246"/>
      <c r="Y295" s="246"/>
      <c r="Z295" s="261"/>
      <c r="AA295" s="262"/>
      <c r="AB295" s="246"/>
      <c r="AC295" s="264"/>
      <c r="AD295" s="246"/>
      <c r="AE295" s="405" t="s">
        <v>462</v>
      </c>
      <c r="AF295" s="246"/>
      <c r="AG295" s="261"/>
      <c r="AH295" s="264"/>
      <c r="AI295" s="246"/>
      <c r="AJ295" s="264"/>
      <c r="AK295" s="246"/>
      <c r="AM295" s="246"/>
      <c r="AN295" s="261"/>
      <c r="AO295" s="264"/>
      <c r="AP295" s="246"/>
      <c r="AQ295" s="264"/>
      <c r="AR295" s="246"/>
      <c r="AS295" s="264"/>
      <c r="AT295" s="254" t="str">
        <f>IF(COUNTIF($AO$79:$AT$81, #REF!) &gt; 0, "X", "")</f>
        <v/>
      </c>
      <c r="AU295" s="269"/>
      <c r="AV295" s="269"/>
    </row>
    <row r="296">
      <c r="A296" s="94"/>
      <c r="B296" s="328" t="s">
        <v>700</v>
      </c>
      <c r="C296" s="329" t="s">
        <v>657</v>
      </c>
      <c r="D296" s="351"/>
      <c r="E296" s="259"/>
      <c r="F296" s="250"/>
      <c r="G296" s="246"/>
      <c r="H296" s="250"/>
      <c r="I296" s="246"/>
      <c r="J296" s="250"/>
      <c r="K296" s="246"/>
      <c r="L296" s="261"/>
      <c r="M296" s="250"/>
      <c r="N296" s="246"/>
      <c r="O296" s="282"/>
      <c r="P296" s="246"/>
      <c r="Q296" s="282"/>
      <c r="R296" s="246"/>
      <c r="S296" s="261"/>
      <c r="T296" s="282"/>
      <c r="U296" s="246"/>
      <c r="V296" s="282"/>
      <c r="W296" s="246"/>
      <c r="Y296" s="246"/>
      <c r="Z296" s="261"/>
      <c r="AA296" s="250"/>
      <c r="AB296" s="246"/>
      <c r="AD296" s="246"/>
      <c r="AE296" s="282"/>
      <c r="AF296" s="246"/>
      <c r="AG296" s="261"/>
      <c r="AH296" s="371"/>
      <c r="AI296" s="246"/>
      <c r="AJ296" s="282"/>
      <c r="AK296" s="246"/>
      <c r="AM296" s="246"/>
      <c r="AN296" s="261"/>
      <c r="AO296" s="282"/>
      <c r="AP296" s="246"/>
      <c r="AQ296" s="371"/>
      <c r="AR296" s="246"/>
      <c r="AT296" s="254" t="str">
        <f t="shared" ref="AT296:AT297" si="61">IF(COUNTIF($AO$79:$AT$81, AS297) &gt; 0, "X", "")</f>
        <v/>
      </c>
      <c r="AU296" s="269"/>
      <c r="AV296" s="269"/>
    </row>
    <row r="297">
      <c r="A297" s="94"/>
      <c r="B297" s="408" t="s">
        <v>702</v>
      </c>
      <c r="C297" s="409" t="s">
        <v>652</v>
      </c>
      <c r="D297" s="323"/>
      <c r="E297" s="259"/>
      <c r="F297" s="250"/>
      <c r="G297" s="246"/>
      <c r="H297" s="250"/>
      <c r="I297" s="246"/>
      <c r="J297" s="250"/>
      <c r="K297" s="246"/>
      <c r="L297" s="261"/>
      <c r="M297" s="262"/>
      <c r="N297" s="246"/>
      <c r="O297" s="411"/>
      <c r="P297" s="246"/>
      <c r="Q297" s="411"/>
      <c r="R297" s="246"/>
      <c r="S297" s="261"/>
      <c r="T297" s="411"/>
      <c r="U297" s="246"/>
      <c r="V297" s="411"/>
      <c r="W297" s="246"/>
      <c r="X297" s="411"/>
      <c r="Y297" s="246"/>
      <c r="Z297" s="261"/>
      <c r="AA297" s="262"/>
      <c r="AB297" s="246"/>
      <c r="AC297" s="411"/>
      <c r="AD297" s="246"/>
      <c r="AE297" s="411"/>
      <c r="AF297" s="246"/>
      <c r="AG297" s="261"/>
      <c r="AH297" s="411"/>
      <c r="AI297" s="246"/>
      <c r="AJ297" s="411"/>
      <c r="AK297" s="246"/>
      <c r="AL297" s="411"/>
      <c r="AM297" s="246"/>
      <c r="AN297" s="261"/>
      <c r="AO297" s="411"/>
      <c r="AP297" s="246"/>
      <c r="AQ297" s="411"/>
      <c r="AR297" s="246"/>
      <c r="AS297" s="411"/>
      <c r="AT297" s="254" t="str">
        <f t="shared" si="61"/>
        <v/>
      </c>
      <c r="AU297" s="269"/>
      <c r="AV297" s="269"/>
    </row>
    <row r="298">
      <c r="A298" s="234"/>
      <c r="B298" s="401" t="s">
        <v>703</v>
      </c>
      <c r="C298" s="412" t="s">
        <v>704</v>
      </c>
      <c r="D298" s="330"/>
      <c r="E298" s="259"/>
      <c r="F298" s="250"/>
      <c r="G298" s="246"/>
      <c r="H298" s="250"/>
      <c r="I298" s="246"/>
      <c r="J298" s="250"/>
      <c r="K298" s="246"/>
      <c r="L298" s="261"/>
      <c r="M298" s="262"/>
      <c r="N298" s="246"/>
      <c r="O298" s="413"/>
      <c r="P298" s="246"/>
      <c r="Q298" s="413"/>
      <c r="R298" s="246"/>
      <c r="S298" s="261"/>
      <c r="T298" s="413"/>
      <c r="U298" s="246"/>
      <c r="V298" s="413"/>
      <c r="W298" s="246"/>
      <c r="X298" s="413"/>
      <c r="Y298" s="246"/>
      <c r="Z298" s="261"/>
      <c r="AA298" s="262"/>
      <c r="AB298" s="246"/>
      <c r="AC298" s="413"/>
      <c r="AD298" s="246"/>
      <c r="AE298" s="413"/>
      <c r="AF298" s="246"/>
      <c r="AG298" s="261"/>
      <c r="AH298" s="413"/>
      <c r="AI298" s="246"/>
      <c r="AJ298" s="413"/>
      <c r="AK298" s="246"/>
      <c r="AL298" s="413"/>
      <c r="AM298" s="246"/>
      <c r="AN298" s="261"/>
      <c r="AO298" s="413"/>
      <c r="AP298" s="246"/>
      <c r="AQ298" s="413"/>
      <c r="AR298" s="246"/>
      <c r="AS298" s="413"/>
      <c r="AT298" s="254" t="str">
        <f t="shared" ref="AT298:AT303" si="62">IF(COUNTIF($AO$79:$AT$81, #REF!) &gt; 0, "X", "")</f>
        <v/>
      </c>
      <c r="AU298" s="269"/>
      <c r="AV298" s="269"/>
    </row>
    <row r="299">
      <c r="A299" s="234"/>
      <c r="B299" s="414" t="s">
        <v>705</v>
      </c>
      <c r="C299" s="415" t="s">
        <v>704</v>
      </c>
      <c r="D299" s="330"/>
      <c r="E299" s="259"/>
      <c r="F299" s="250"/>
      <c r="G299" s="246"/>
      <c r="H299" s="250"/>
      <c r="I299" s="246"/>
      <c r="J299" s="250"/>
      <c r="K299" s="246"/>
      <c r="L299" s="261"/>
      <c r="M299" s="341"/>
      <c r="N299" s="246"/>
      <c r="O299" s="251" t="s">
        <v>407</v>
      </c>
      <c r="P299" s="246"/>
      <c r="Q299" s="290" t="s">
        <v>432</v>
      </c>
      <c r="R299" s="246"/>
      <c r="S299" s="261"/>
      <c r="T299" s="282"/>
      <c r="U299" s="246"/>
      <c r="V299" s="251" t="s">
        <v>407</v>
      </c>
      <c r="W299" s="246"/>
      <c r="X299" s="311" t="s">
        <v>410</v>
      </c>
      <c r="Y299" s="246"/>
      <c r="Z299" s="261"/>
      <c r="AA299" s="262"/>
      <c r="AB299" s="246"/>
      <c r="AC299" s="311" t="s">
        <v>438</v>
      </c>
      <c r="AD299" s="246"/>
      <c r="AE299" s="311" t="s">
        <v>394</v>
      </c>
      <c r="AF299" s="246"/>
      <c r="AG299" s="261"/>
      <c r="AH299" s="282"/>
      <c r="AI299" s="246"/>
      <c r="AJ299" s="311" t="s">
        <v>438</v>
      </c>
      <c r="AK299" s="246"/>
      <c r="AL299" s="311" t="s">
        <v>410</v>
      </c>
      <c r="AM299" s="246"/>
      <c r="AN299" s="261"/>
      <c r="AP299" s="246"/>
      <c r="AQ299" s="251" t="s">
        <v>407</v>
      </c>
      <c r="AR299" s="246"/>
      <c r="AS299" s="586" t="s">
        <v>452</v>
      </c>
      <c r="AT299" s="254" t="str">
        <f t="shared" si="62"/>
        <v/>
      </c>
      <c r="AU299" s="269"/>
      <c r="AV299" s="269"/>
    </row>
    <row r="300">
      <c r="A300" s="94"/>
      <c r="B300" s="328" t="s">
        <v>705</v>
      </c>
      <c r="C300" s="257" t="s">
        <v>657</v>
      </c>
      <c r="D300" s="330"/>
      <c r="E300" s="259"/>
      <c r="F300" s="250"/>
      <c r="G300" s="246"/>
      <c r="H300" s="250"/>
      <c r="I300" s="246"/>
      <c r="J300" s="250"/>
      <c r="K300" s="246"/>
      <c r="L300" s="261"/>
      <c r="M300" s="341"/>
      <c r="N300" s="246"/>
      <c r="O300" s="251" t="s">
        <v>440</v>
      </c>
      <c r="P300" s="246"/>
      <c r="Q300" s="311" t="s">
        <v>410</v>
      </c>
      <c r="R300" s="246"/>
      <c r="S300" s="261"/>
      <c r="T300" s="311" t="s">
        <v>467</v>
      </c>
      <c r="U300" s="246"/>
      <c r="V300" s="339" t="s">
        <v>404</v>
      </c>
      <c r="W300" s="246"/>
      <c r="X300" s="586" t="s">
        <v>452</v>
      </c>
      <c r="Y300" s="246"/>
      <c r="Z300" s="261"/>
      <c r="AA300" s="262"/>
      <c r="AB300" s="246"/>
      <c r="AC300" s="251" t="s">
        <v>440</v>
      </c>
      <c r="AD300" s="246"/>
      <c r="AE300" s="311" t="s">
        <v>410</v>
      </c>
      <c r="AF300" s="246"/>
      <c r="AG300" s="261"/>
      <c r="AH300" s="586" t="s">
        <v>452</v>
      </c>
      <c r="AI300" s="246"/>
      <c r="AJ300" s="274" t="s">
        <v>406</v>
      </c>
      <c r="AK300" s="246"/>
      <c r="AL300" s="251" t="s">
        <v>432</v>
      </c>
      <c r="AM300" s="246"/>
      <c r="AN300" s="261"/>
      <c r="AO300" s="374" t="s">
        <v>410</v>
      </c>
      <c r="AP300" s="246"/>
      <c r="AQ300" s="339" t="s">
        <v>404</v>
      </c>
      <c r="AR300" s="246"/>
      <c r="AS300" s="311" t="s">
        <v>438</v>
      </c>
      <c r="AT300" s="254" t="str">
        <f t="shared" si="62"/>
        <v/>
      </c>
      <c r="AU300" s="269"/>
      <c r="AV300" s="269"/>
    </row>
    <row r="301">
      <c r="A301" s="94"/>
      <c r="B301" s="277" t="s">
        <v>705</v>
      </c>
      <c r="C301" s="329" t="s">
        <v>685</v>
      </c>
      <c r="D301" s="369"/>
      <c r="E301" s="259"/>
      <c r="F301" s="250"/>
      <c r="G301" s="246"/>
      <c r="H301" s="250"/>
      <c r="I301" s="246"/>
      <c r="J301" s="250"/>
      <c r="K301" s="246"/>
      <c r="L301" s="261"/>
      <c r="M301" s="341"/>
      <c r="N301" s="246"/>
      <c r="O301" s="311" t="s">
        <v>470</v>
      </c>
      <c r="P301" s="246"/>
      <c r="Q301" s="311" t="s">
        <v>467</v>
      </c>
      <c r="R301" s="246"/>
      <c r="S301" s="261"/>
      <c r="T301" s="311" t="s">
        <v>470</v>
      </c>
      <c r="U301" s="246"/>
      <c r="V301" s="251" t="s">
        <v>440</v>
      </c>
      <c r="W301" s="246"/>
      <c r="X301" s="311" t="s">
        <v>394</v>
      </c>
      <c r="Y301" s="246"/>
      <c r="Z301" s="261"/>
      <c r="AA301" s="262"/>
      <c r="AB301" s="246"/>
      <c r="AC301" s="251" t="s">
        <v>407</v>
      </c>
      <c r="AD301" s="246"/>
      <c r="AE301" s="311" t="s">
        <v>470</v>
      </c>
      <c r="AF301" s="246"/>
      <c r="AG301" s="261"/>
      <c r="AH301" s="311" t="s">
        <v>467</v>
      </c>
      <c r="AI301" s="246"/>
      <c r="AJ301" s="251" t="s">
        <v>440</v>
      </c>
      <c r="AK301" s="246"/>
      <c r="AL301" s="251" t="s">
        <v>405</v>
      </c>
      <c r="AM301" s="246"/>
      <c r="AN301" s="261"/>
      <c r="AO301" s="251" t="s">
        <v>432</v>
      </c>
      <c r="AP301" s="246"/>
      <c r="AQ301" s="251" t="s">
        <v>440</v>
      </c>
      <c r="AR301" s="246"/>
      <c r="AS301" s="251" t="s">
        <v>405</v>
      </c>
      <c r="AT301" s="254" t="str">
        <f t="shared" si="62"/>
        <v/>
      </c>
      <c r="AU301" s="269"/>
      <c r="AV301" s="269"/>
    </row>
    <row r="302">
      <c r="A302" s="94"/>
      <c r="B302" s="271" t="s">
        <v>705</v>
      </c>
      <c r="C302" s="272" t="s">
        <v>687</v>
      </c>
      <c r="D302" s="330"/>
      <c r="E302" s="259"/>
      <c r="F302" s="250"/>
      <c r="G302" s="246"/>
      <c r="H302" s="250"/>
      <c r="I302" s="246"/>
      <c r="J302" s="250"/>
      <c r="K302" s="246"/>
      <c r="L302" s="261"/>
      <c r="M302" s="341"/>
      <c r="N302" s="246"/>
      <c r="O302" s="282"/>
      <c r="P302" s="246"/>
      <c r="Q302" s="339" t="s">
        <v>1033</v>
      </c>
      <c r="R302" s="246"/>
      <c r="S302" s="261"/>
      <c r="U302" s="246"/>
      <c r="V302" s="311"/>
      <c r="W302" s="246"/>
      <c r="X302" s="339" t="s">
        <v>1033</v>
      </c>
      <c r="Y302" s="246"/>
      <c r="Z302" s="261"/>
      <c r="AA302" s="341"/>
      <c r="AB302" s="246"/>
      <c r="AC302" s="282"/>
      <c r="AD302" s="246"/>
      <c r="AE302" s="339" t="s">
        <v>1033</v>
      </c>
      <c r="AF302" s="246"/>
      <c r="AG302" s="261"/>
      <c r="AI302" s="246"/>
      <c r="AJ302" s="282"/>
      <c r="AK302" s="246"/>
      <c r="AL302" s="282"/>
      <c r="AM302" s="246"/>
      <c r="AN302" s="261"/>
      <c r="AP302" s="246"/>
      <c r="AR302" s="246"/>
      <c r="AT302" s="254" t="str">
        <f t="shared" si="62"/>
        <v/>
      </c>
      <c r="AU302" s="269"/>
      <c r="AV302" s="269"/>
    </row>
    <row r="303">
      <c r="A303" s="270"/>
      <c r="B303" s="397" t="s">
        <v>708</v>
      </c>
      <c r="C303" s="398" t="s">
        <v>654</v>
      </c>
      <c r="D303" s="330"/>
      <c r="E303" s="259"/>
      <c r="F303" s="250"/>
      <c r="G303" s="246"/>
      <c r="H303" s="250"/>
      <c r="I303" s="246"/>
      <c r="J303" s="250"/>
      <c r="K303" s="246"/>
      <c r="L303" s="261"/>
      <c r="M303" s="341"/>
      <c r="N303" s="246"/>
      <c r="O303" s="311" t="s">
        <v>441</v>
      </c>
      <c r="P303" s="246"/>
      <c r="Q303" s="374"/>
      <c r="R303" s="246"/>
      <c r="S303" s="261"/>
      <c r="T303" s="374" t="s">
        <v>446</v>
      </c>
      <c r="U303" s="246"/>
      <c r="V303" s="365" t="s">
        <v>469</v>
      </c>
      <c r="W303" s="246"/>
      <c r="X303" s="311" t="s">
        <v>441</v>
      </c>
      <c r="Y303" s="246"/>
      <c r="Z303" s="261"/>
      <c r="AA303" s="341"/>
      <c r="AB303" s="246"/>
      <c r="AC303" s="311" t="s">
        <v>441</v>
      </c>
      <c r="AD303" s="246"/>
      <c r="AE303" s="311" t="s">
        <v>446</v>
      </c>
      <c r="AF303" s="246"/>
      <c r="AG303" s="261"/>
      <c r="AH303" s="275"/>
      <c r="AI303" s="246"/>
      <c r="AJ303" s="311" t="s">
        <v>441</v>
      </c>
      <c r="AK303" s="246"/>
      <c r="AL303" s="374" t="s">
        <v>446</v>
      </c>
      <c r="AM303" s="246"/>
      <c r="AN303" s="261"/>
      <c r="AP303" s="246"/>
      <c r="AQ303" s="311" t="s">
        <v>441</v>
      </c>
      <c r="AR303" s="246"/>
      <c r="AS303" s="374" t="s">
        <v>446</v>
      </c>
      <c r="AT303" s="254" t="str">
        <f t="shared" si="62"/>
        <v/>
      </c>
      <c r="AU303" s="269"/>
      <c r="AV303" s="269"/>
    </row>
    <row r="304">
      <c r="A304" s="94"/>
      <c r="B304" s="277" t="s">
        <v>709</v>
      </c>
      <c r="C304" s="278" t="s">
        <v>710</v>
      </c>
      <c r="D304" s="323"/>
      <c r="E304" s="259"/>
      <c r="F304" s="250"/>
      <c r="G304" s="246"/>
      <c r="H304" s="250"/>
      <c r="I304" s="246"/>
      <c r="J304" s="250"/>
      <c r="K304" s="246"/>
      <c r="L304" s="261"/>
      <c r="M304" s="286"/>
      <c r="N304" s="246"/>
      <c r="O304" s="281"/>
      <c r="P304" s="246"/>
      <c r="Q304" s="282"/>
      <c r="R304" s="246"/>
      <c r="S304" s="261"/>
      <c r="U304" s="246"/>
      <c r="V304" s="282"/>
      <c r="W304" s="246"/>
      <c r="X304" s="124"/>
      <c r="Y304" s="246"/>
      <c r="Z304" s="261"/>
      <c r="AA304" s="286"/>
      <c r="AB304" s="246"/>
      <c r="AC304" s="282"/>
      <c r="AD304" s="246"/>
      <c r="AE304" s="282"/>
      <c r="AF304" s="246"/>
      <c r="AG304" s="261"/>
      <c r="AH304" s="281"/>
      <c r="AI304" s="246"/>
      <c r="AJ304" s="281"/>
      <c r="AK304" s="246"/>
      <c r="AL304" s="282"/>
      <c r="AM304" s="246"/>
      <c r="AN304" s="261"/>
      <c r="AP304" s="246"/>
      <c r="AQ304" s="281"/>
      <c r="AR304" s="246"/>
      <c r="AT304" s="254" t="str">
        <f>IF(COUNTIF($AO$79:$AT$81, AS305) &gt; 0, "X", "")</f>
        <v/>
      </c>
      <c r="AU304" s="269"/>
      <c r="AV304" s="269"/>
    </row>
    <row r="305">
      <c r="A305" s="94"/>
      <c r="B305" s="673" t="s">
        <v>944</v>
      </c>
      <c r="C305" s="272" t="s">
        <v>639</v>
      </c>
      <c r="D305" s="431"/>
      <c r="E305" s="259"/>
      <c r="F305" s="250"/>
      <c r="G305" s="246"/>
      <c r="H305" s="250"/>
      <c r="I305" s="246"/>
      <c r="J305" s="250"/>
      <c r="K305" s="246"/>
      <c r="L305" s="261"/>
      <c r="M305" s="341"/>
      <c r="N305" s="246"/>
      <c r="O305" s="282"/>
      <c r="P305" s="246"/>
      <c r="Q305" s="282"/>
      <c r="R305" s="246"/>
      <c r="S305" s="261"/>
      <c r="U305" s="246"/>
      <c r="V305" s="290" t="s">
        <v>432</v>
      </c>
      <c r="W305" s="246"/>
      <c r="X305" s="282"/>
      <c r="Y305" s="246"/>
      <c r="Z305" s="261"/>
      <c r="AA305" s="341"/>
      <c r="AB305" s="246"/>
      <c r="AC305" s="290" t="s">
        <v>432</v>
      </c>
      <c r="AD305" s="246"/>
      <c r="AE305" s="282"/>
      <c r="AF305" s="246"/>
      <c r="AG305" s="261"/>
      <c r="AH305" s="282"/>
      <c r="AI305" s="246"/>
      <c r="AJ305" s="282"/>
      <c r="AK305" s="246"/>
      <c r="AL305" s="282"/>
      <c r="AM305" s="246"/>
      <c r="AN305" s="261"/>
      <c r="AP305" s="246"/>
      <c r="AQ305" s="282"/>
      <c r="AR305" s="246"/>
      <c r="AS305" s="282"/>
      <c r="AT305" s="430"/>
      <c r="AU305" s="269"/>
      <c r="AV305" s="269"/>
    </row>
    <row r="306">
      <c r="A306" s="94"/>
      <c r="B306" s="429" t="s">
        <v>714</v>
      </c>
      <c r="C306" s="430"/>
      <c r="D306" s="323"/>
      <c r="E306" s="259"/>
      <c r="F306" s="250"/>
      <c r="G306" s="432"/>
      <c r="H306" s="250"/>
      <c r="I306" s="432"/>
      <c r="J306" s="250"/>
      <c r="K306" s="432"/>
      <c r="L306" s="261"/>
      <c r="M306" s="432"/>
      <c r="N306" s="433"/>
      <c r="O306" s="432"/>
      <c r="P306" s="432"/>
      <c r="Q306" s="432"/>
      <c r="R306" s="432"/>
      <c r="S306" s="261"/>
      <c r="T306" s="432"/>
      <c r="U306" s="433"/>
      <c r="V306" s="432"/>
      <c r="W306" s="432"/>
      <c r="X306" s="432"/>
      <c r="Y306" s="432"/>
      <c r="Z306" s="261"/>
      <c r="AA306" s="432"/>
      <c r="AB306" s="433"/>
      <c r="AC306" s="432"/>
      <c r="AD306" s="432"/>
      <c r="AE306" s="432"/>
      <c r="AF306" s="432"/>
      <c r="AG306" s="261"/>
      <c r="AH306" s="432"/>
      <c r="AI306" s="433"/>
      <c r="AJ306" s="432"/>
      <c r="AK306" s="432"/>
      <c r="AL306" s="432"/>
      <c r="AM306" s="432"/>
      <c r="AN306" s="261"/>
      <c r="AO306" s="432"/>
      <c r="AP306" s="433"/>
      <c r="AQ306" s="432"/>
      <c r="AR306" s="432"/>
      <c r="AS306" s="432"/>
      <c r="AT306" s="254" t="str">
        <f t="shared" ref="AT306:AT311" si="63">IF(COUNTIF($AO$79:$AT$81, AS307) &gt; 0, "X", "")</f>
        <v/>
      </c>
      <c r="AU306" s="269"/>
      <c r="AV306" s="269"/>
    </row>
    <row r="307">
      <c r="A307" s="94"/>
      <c r="B307" s="401" t="s">
        <v>715</v>
      </c>
      <c r="C307" s="412" t="s">
        <v>716</v>
      </c>
      <c r="D307" s="323"/>
      <c r="E307" s="259"/>
      <c r="F307" s="250"/>
      <c r="G307" s="246"/>
      <c r="H307" s="250"/>
      <c r="I307" s="246"/>
      <c r="J307" s="250"/>
      <c r="K307" s="246"/>
      <c r="L307" s="261"/>
      <c r="M307" s="434"/>
      <c r="N307" s="246"/>
      <c r="O307" s="434" t="s">
        <v>465</v>
      </c>
      <c r="P307" s="246"/>
      <c r="Q307" s="434"/>
      <c r="R307" s="246"/>
      <c r="S307" s="261"/>
      <c r="T307" s="434"/>
      <c r="U307" s="246"/>
      <c r="V307" s="434"/>
      <c r="W307" s="246"/>
      <c r="X307" s="434"/>
      <c r="Y307" s="246"/>
      <c r="Z307" s="261"/>
      <c r="AA307" s="434"/>
      <c r="AB307" s="246"/>
      <c r="AC307" s="434" t="s">
        <v>465</v>
      </c>
      <c r="AD307" s="246"/>
      <c r="AE307" s="434"/>
      <c r="AF307" s="246"/>
      <c r="AG307" s="261"/>
      <c r="AH307" s="434"/>
      <c r="AI307" s="246"/>
      <c r="AJ307" s="434" t="s">
        <v>465</v>
      </c>
      <c r="AK307" s="246"/>
      <c r="AL307" s="434"/>
      <c r="AM307" s="246"/>
      <c r="AN307" s="261"/>
      <c r="AO307" s="434"/>
      <c r="AP307" s="246"/>
      <c r="AQ307" s="434" t="s">
        <v>465</v>
      </c>
      <c r="AR307" s="246"/>
      <c r="AS307" s="434"/>
      <c r="AT307" s="254" t="str">
        <f t="shared" si="63"/>
        <v/>
      </c>
      <c r="AU307" s="269"/>
      <c r="AV307" s="269"/>
    </row>
    <row r="308">
      <c r="A308" s="94"/>
      <c r="B308" s="435" t="s">
        <v>717</v>
      </c>
      <c r="C308" s="415" t="s">
        <v>718</v>
      </c>
      <c r="D308" s="363"/>
      <c r="E308" s="259"/>
      <c r="F308" s="250"/>
      <c r="G308" s="246"/>
      <c r="H308" s="250"/>
      <c r="I308" s="246"/>
      <c r="J308" s="250"/>
      <c r="K308" s="246"/>
      <c r="L308" s="261"/>
      <c r="M308" s="434"/>
      <c r="N308" s="246"/>
      <c r="O308" s="406" t="s">
        <v>442</v>
      </c>
      <c r="P308" s="246"/>
      <c r="Q308" s="434"/>
      <c r="R308" s="246"/>
      <c r="S308" s="261"/>
      <c r="T308" s="434"/>
      <c r="U308" s="246"/>
      <c r="V308" s="406" t="s">
        <v>442</v>
      </c>
      <c r="W308" s="246"/>
      <c r="X308" s="434"/>
      <c r="Y308" s="246"/>
      <c r="Z308" s="261"/>
      <c r="AA308" s="434"/>
      <c r="AB308" s="246"/>
      <c r="AC308" s="406" t="s">
        <v>442</v>
      </c>
      <c r="AD308" s="246"/>
      <c r="AE308" s="434"/>
      <c r="AF308" s="246"/>
      <c r="AG308" s="261"/>
      <c r="AH308" s="434"/>
      <c r="AI308" s="246"/>
      <c r="AJ308" s="406" t="s">
        <v>442</v>
      </c>
      <c r="AK308" s="246"/>
      <c r="AL308" s="434"/>
      <c r="AM308" s="246"/>
      <c r="AN308" s="261"/>
      <c r="AO308" s="434"/>
      <c r="AP308" s="246"/>
      <c r="AQ308" s="406" t="s">
        <v>442</v>
      </c>
      <c r="AR308" s="246"/>
      <c r="AS308" s="434"/>
      <c r="AT308" s="254" t="str">
        <f t="shared" si="63"/>
        <v/>
      </c>
      <c r="AU308" s="269"/>
      <c r="AV308" s="269"/>
    </row>
    <row r="309">
      <c r="A309" s="94"/>
      <c r="B309" s="436" t="s">
        <v>719</v>
      </c>
      <c r="C309" s="437" t="s">
        <v>720</v>
      </c>
      <c r="D309" s="330"/>
      <c r="E309" s="259"/>
      <c r="F309" s="250"/>
      <c r="G309" s="246"/>
      <c r="H309" s="250"/>
      <c r="I309" s="246"/>
      <c r="J309" s="250"/>
      <c r="K309" s="246"/>
      <c r="L309" s="261"/>
      <c r="M309" s="406"/>
      <c r="N309" s="246"/>
      <c r="O309" s="406" t="s">
        <v>463</v>
      </c>
      <c r="P309" s="246"/>
      <c r="Q309" s="406"/>
      <c r="R309" s="246"/>
      <c r="S309" s="261"/>
      <c r="T309" s="406"/>
      <c r="U309" s="246"/>
      <c r="V309" s="406" t="s">
        <v>463</v>
      </c>
      <c r="W309" s="246"/>
      <c r="X309" s="406"/>
      <c r="Y309" s="246"/>
      <c r="Z309" s="261"/>
      <c r="AA309" s="406"/>
      <c r="AB309" s="246"/>
      <c r="AC309" s="406" t="s">
        <v>847</v>
      </c>
      <c r="AD309" s="246"/>
      <c r="AE309" s="406"/>
      <c r="AF309" s="246"/>
      <c r="AG309" s="261"/>
      <c r="AH309" s="406"/>
      <c r="AI309" s="246"/>
      <c r="AJ309" s="406" t="s">
        <v>946</v>
      </c>
      <c r="AK309" s="246"/>
      <c r="AL309" s="406"/>
      <c r="AM309" s="246"/>
      <c r="AN309" s="261"/>
      <c r="AO309" s="406"/>
      <c r="AP309" s="246"/>
      <c r="AQ309" s="406" t="s">
        <v>463</v>
      </c>
      <c r="AR309" s="246"/>
      <c r="AS309" s="406"/>
      <c r="AT309" s="254" t="str">
        <f t="shared" si="63"/>
        <v/>
      </c>
      <c r="AU309" s="269"/>
      <c r="AV309" s="269"/>
    </row>
    <row r="310">
      <c r="A310" s="94"/>
      <c r="B310" s="439" t="s">
        <v>721</v>
      </c>
      <c r="C310" s="440" t="s">
        <v>722</v>
      </c>
      <c r="D310" s="330"/>
      <c r="E310" s="259"/>
      <c r="F310" s="250"/>
      <c r="G310" s="246"/>
      <c r="H310" s="250"/>
      <c r="I310" s="246"/>
      <c r="J310" s="250"/>
      <c r="K310" s="246"/>
      <c r="L310" s="261"/>
      <c r="M310" s="406"/>
      <c r="N310" s="246"/>
      <c r="O310" s="406" t="s">
        <v>454</v>
      </c>
      <c r="P310" s="246"/>
      <c r="Q310" s="406"/>
      <c r="R310" s="246"/>
      <c r="S310" s="261"/>
      <c r="T310" s="406"/>
      <c r="U310" s="246"/>
      <c r="V310" s="406" t="s">
        <v>454</v>
      </c>
      <c r="W310" s="246"/>
      <c r="X310" s="406"/>
      <c r="Y310" s="246"/>
      <c r="Z310" s="261"/>
      <c r="AA310" s="406"/>
      <c r="AB310" s="246"/>
      <c r="AC310" s="406" t="s">
        <v>454</v>
      </c>
      <c r="AD310" s="246"/>
      <c r="AE310" s="406"/>
      <c r="AF310" s="246"/>
      <c r="AG310" s="261"/>
      <c r="AH310" s="406"/>
      <c r="AI310" s="246"/>
      <c r="AJ310" s="406" t="s">
        <v>454</v>
      </c>
      <c r="AK310" s="246"/>
      <c r="AL310" s="406"/>
      <c r="AM310" s="246"/>
      <c r="AN310" s="261"/>
      <c r="AO310" s="406"/>
      <c r="AP310" s="246"/>
      <c r="AQ310" s="406"/>
      <c r="AR310" s="246"/>
      <c r="AS310" s="406"/>
      <c r="AT310" s="254" t="str">
        <f t="shared" si="63"/>
        <v/>
      </c>
      <c r="AU310" s="269"/>
      <c r="AV310" s="269"/>
    </row>
    <row r="311">
      <c r="A311" s="94"/>
      <c r="B311" s="439" t="s">
        <v>723</v>
      </c>
      <c r="C311" s="440" t="s">
        <v>724</v>
      </c>
      <c r="D311" s="330"/>
      <c r="E311" s="259"/>
      <c r="F311" s="250"/>
      <c r="G311" s="246"/>
      <c r="H311" s="250"/>
      <c r="I311" s="246"/>
      <c r="J311" s="250"/>
      <c r="K311" s="246"/>
      <c r="L311" s="261"/>
      <c r="M311" s="406"/>
      <c r="N311" s="246"/>
      <c r="O311" s="406" t="s">
        <v>946</v>
      </c>
      <c r="P311" s="246"/>
      <c r="Q311" s="406"/>
      <c r="R311" s="246"/>
      <c r="S311" s="261"/>
      <c r="T311" s="406"/>
      <c r="U311" s="246"/>
      <c r="V311" s="406" t="s">
        <v>970</v>
      </c>
      <c r="W311" s="246"/>
      <c r="X311" s="406"/>
      <c r="Y311" s="246"/>
      <c r="Z311" s="261"/>
      <c r="AA311" s="406"/>
      <c r="AB311" s="246"/>
      <c r="AC311" s="406" t="s">
        <v>946</v>
      </c>
      <c r="AD311" s="246"/>
      <c r="AE311" s="406"/>
      <c r="AF311" s="246"/>
      <c r="AG311" s="261"/>
      <c r="AH311" s="406"/>
      <c r="AI311" s="246"/>
      <c r="AJ311" s="406" t="s">
        <v>970</v>
      </c>
      <c r="AK311" s="246"/>
      <c r="AL311" s="406"/>
      <c r="AM311" s="246"/>
      <c r="AN311" s="261"/>
      <c r="AO311" s="406"/>
      <c r="AP311" s="246"/>
      <c r="AQ311" s="406"/>
      <c r="AR311" s="246"/>
      <c r="AS311" s="406"/>
      <c r="AT311" s="254" t="str">
        <f t="shared" si="63"/>
        <v/>
      </c>
      <c r="AU311" s="269"/>
      <c r="AV311" s="269"/>
    </row>
    <row r="312">
      <c r="A312" s="94"/>
      <c r="B312" s="439" t="s">
        <v>725</v>
      </c>
      <c r="C312" s="442" t="s">
        <v>726</v>
      </c>
      <c r="D312" s="330"/>
      <c r="E312" s="259"/>
      <c r="F312" s="250"/>
      <c r="G312" s="246"/>
      <c r="H312" s="250"/>
      <c r="I312" s="246"/>
      <c r="J312" s="250"/>
      <c r="K312" s="246"/>
      <c r="L312" s="261"/>
      <c r="M312" s="441"/>
      <c r="N312" s="246"/>
      <c r="O312" s="406" t="s">
        <v>456</v>
      </c>
      <c r="P312" s="246"/>
      <c r="Q312" s="441"/>
      <c r="R312" s="246"/>
      <c r="S312" s="261"/>
      <c r="T312" s="441"/>
      <c r="U312" s="246"/>
      <c r="V312" s="406" t="s">
        <v>456</v>
      </c>
      <c r="W312" s="246"/>
      <c r="X312" s="441"/>
      <c r="Y312" s="246"/>
      <c r="Z312" s="261"/>
      <c r="AA312" s="441"/>
      <c r="AB312" s="246"/>
      <c r="AC312" s="406" t="s">
        <v>456</v>
      </c>
      <c r="AD312" s="246"/>
      <c r="AE312" s="441"/>
      <c r="AF312" s="246"/>
      <c r="AG312" s="261"/>
      <c r="AH312" s="441"/>
      <c r="AI312" s="246"/>
      <c r="AJ312" s="406" t="s">
        <v>463</v>
      </c>
      <c r="AK312" s="246"/>
      <c r="AL312" s="441"/>
      <c r="AM312" s="246"/>
      <c r="AN312" s="261"/>
      <c r="AO312" s="441"/>
      <c r="AP312" s="246"/>
      <c r="AQ312" s="434" t="s">
        <v>946</v>
      </c>
      <c r="AR312" s="246"/>
      <c r="AS312" s="441"/>
      <c r="AT312" s="254" t="str">
        <f>IF(COUNTIF($AO$79:$AT$81, #REF!) &gt; 0, "X", "")</f>
        <v/>
      </c>
      <c r="AU312" s="269"/>
      <c r="AV312" s="269"/>
    </row>
    <row r="313">
      <c r="A313" s="94"/>
      <c r="B313" s="447" t="s">
        <v>729</v>
      </c>
      <c r="C313" s="448" t="s">
        <v>730</v>
      </c>
      <c r="D313" s="330"/>
      <c r="E313" s="259"/>
      <c r="F313" s="250"/>
      <c r="G313" s="246"/>
      <c r="H313" s="250"/>
      <c r="I313" s="246"/>
      <c r="J313" s="250"/>
      <c r="K313" s="246"/>
      <c r="L313" s="261"/>
      <c r="M313" s="441"/>
      <c r="N313" s="246"/>
      <c r="O313" s="406" t="s">
        <v>970</v>
      </c>
      <c r="P313" s="246"/>
      <c r="Q313" s="441"/>
      <c r="R313" s="246"/>
      <c r="S313" s="261"/>
      <c r="T313" s="441"/>
      <c r="U313" s="246"/>
      <c r="V313" s="406"/>
      <c r="W313" s="246"/>
      <c r="X313" s="441"/>
      <c r="Y313" s="246"/>
      <c r="Z313" s="261"/>
      <c r="AA313" s="441"/>
      <c r="AB313" s="246"/>
      <c r="AC313" s="406" t="s">
        <v>970</v>
      </c>
      <c r="AD313" s="246"/>
      <c r="AE313" s="441"/>
      <c r="AF313" s="246"/>
      <c r="AG313" s="261"/>
      <c r="AH313" s="441"/>
      <c r="AI313" s="246"/>
      <c r="AJ313" s="406" t="s">
        <v>456</v>
      </c>
      <c r="AK313" s="246"/>
      <c r="AL313" s="441"/>
      <c r="AM313" s="246"/>
      <c r="AN313" s="261"/>
      <c r="AO313" s="441"/>
      <c r="AP313" s="246"/>
      <c r="AQ313" s="406"/>
      <c r="AR313" s="246"/>
      <c r="AS313" s="441"/>
      <c r="AT313" s="254" t="str">
        <f t="shared" ref="AT313:AT315" si="64">IF(COUNTIF($AO$79:$AT$81, AS313) &gt; 0, "X", "")</f>
        <v/>
      </c>
      <c r="AU313" s="269"/>
      <c r="AV313" s="269"/>
    </row>
    <row r="314">
      <c r="A314" s="94"/>
      <c r="B314" s="450" t="s">
        <v>731</v>
      </c>
      <c r="C314" s="451" t="s">
        <v>732</v>
      </c>
      <c r="D314" s="363"/>
      <c r="E314" s="259"/>
      <c r="F314" s="250"/>
      <c r="G314" s="246"/>
      <c r="H314" s="250"/>
      <c r="I314" s="246"/>
      <c r="J314" s="250"/>
      <c r="K314" s="246"/>
      <c r="L314" s="261"/>
      <c r="M314" s="206"/>
      <c r="N314" s="246"/>
      <c r="O314" s="406" t="s">
        <v>847</v>
      </c>
      <c r="P314" s="246"/>
      <c r="Q314" s="206"/>
      <c r="R314" s="246"/>
      <c r="S314" s="261"/>
      <c r="T314" s="206"/>
      <c r="U314" s="246"/>
      <c r="V314" s="406" t="s">
        <v>460</v>
      </c>
      <c r="W314" s="246"/>
      <c r="X314" s="206"/>
      <c r="Y314" s="246"/>
      <c r="Z314" s="261"/>
      <c r="AA314" s="206"/>
      <c r="AB314" s="246"/>
      <c r="AC314" s="406" t="s">
        <v>460</v>
      </c>
      <c r="AD314" s="246"/>
      <c r="AE314" s="206"/>
      <c r="AF314" s="246"/>
      <c r="AG314" s="261"/>
      <c r="AH314" s="206"/>
      <c r="AI314" s="246"/>
      <c r="AJ314" s="608" t="s">
        <v>767</v>
      </c>
      <c r="AK314" s="246"/>
      <c r="AL314" s="206"/>
      <c r="AM314" s="246"/>
      <c r="AN314" s="261"/>
      <c r="AO314" s="206"/>
      <c r="AP314" s="246"/>
      <c r="AQ314" s="406"/>
      <c r="AR314" s="246"/>
      <c r="AS314" s="206"/>
      <c r="AT314" s="254" t="str">
        <f t="shared" si="64"/>
        <v/>
      </c>
      <c r="AU314" s="269"/>
      <c r="AV314" s="269"/>
    </row>
    <row r="315">
      <c r="A315" s="94"/>
      <c r="B315" s="452" t="s">
        <v>733</v>
      </c>
      <c r="C315" s="453" t="s">
        <v>734</v>
      </c>
      <c r="D315" s="363"/>
      <c r="E315" s="259"/>
      <c r="F315" s="250"/>
      <c r="G315" s="246"/>
      <c r="H315" s="250"/>
      <c r="I315" s="246"/>
      <c r="J315" s="250"/>
      <c r="K315" s="246"/>
      <c r="L315" s="261"/>
      <c r="M315" s="74"/>
      <c r="N315" s="246"/>
      <c r="O315" s="740" t="s">
        <v>395</v>
      </c>
      <c r="P315" s="246"/>
      <c r="Q315" s="74"/>
      <c r="R315" s="246"/>
      <c r="S315" s="261"/>
      <c r="T315" s="74"/>
      <c r="U315" s="246"/>
      <c r="V315" s="611" t="s">
        <v>863</v>
      </c>
      <c r="W315" s="246"/>
      <c r="X315" s="74"/>
      <c r="Y315" s="246"/>
      <c r="Z315" s="261"/>
      <c r="AA315" s="74"/>
      <c r="AB315" s="246"/>
      <c r="AC315" s="611" t="s">
        <v>863</v>
      </c>
      <c r="AD315" s="246"/>
      <c r="AE315" s="74"/>
      <c r="AF315" s="246"/>
      <c r="AG315" s="261"/>
      <c r="AH315" s="674" t="s">
        <v>460</v>
      </c>
      <c r="AI315" s="246"/>
      <c r="AJ315" s="611" t="s">
        <v>863</v>
      </c>
      <c r="AK315" s="246"/>
      <c r="AL315" s="74"/>
      <c r="AM315" s="246"/>
      <c r="AN315" s="261"/>
      <c r="AO315" s="74"/>
      <c r="AP315" s="246"/>
      <c r="AQ315" s="406" t="s">
        <v>460</v>
      </c>
      <c r="AR315" s="246"/>
      <c r="AS315" s="74"/>
      <c r="AT315" s="254" t="str">
        <f t="shared" si="64"/>
        <v/>
      </c>
      <c r="AU315" s="269"/>
      <c r="AV315" s="269"/>
    </row>
    <row r="316">
      <c r="A316" s="94"/>
      <c r="B316" s="636"/>
      <c r="C316" s="637"/>
      <c r="D316" s="269"/>
      <c r="E316" s="638"/>
      <c r="F316" s="250"/>
      <c r="G316" s="246"/>
      <c r="H316" s="250"/>
      <c r="I316" s="246"/>
      <c r="J316" s="250"/>
      <c r="K316" s="246"/>
      <c r="L316" s="462"/>
      <c r="M316" s="446"/>
      <c r="N316" s="246"/>
      <c r="O316" s="446"/>
      <c r="P316" s="246"/>
      <c r="Q316" s="446"/>
      <c r="R316" s="246"/>
      <c r="S316" s="462"/>
      <c r="T316" s="446"/>
      <c r="U316" s="246"/>
      <c r="V316" s="446"/>
      <c r="W316" s="246"/>
      <c r="X316" s="446"/>
      <c r="Y316" s="246"/>
      <c r="Z316" s="462"/>
      <c r="AA316" s="446"/>
      <c r="AB316" s="246"/>
      <c r="AC316" s="446"/>
      <c r="AD316" s="246"/>
      <c r="AE316" s="446"/>
      <c r="AF316" s="246"/>
      <c r="AG316" s="462"/>
      <c r="AH316" s="446"/>
      <c r="AI316" s="246"/>
      <c r="AJ316" s="446"/>
      <c r="AK316" s="246"/>
      <c r="AL316" s="446"/>
      <c r="AM316" s="246"/>
      <c r="AN316" s="462"/>
      <c r="AO316" s="446"/>
      <c r="AP316" s="246"/>
      <c r="AQ316" s="446"/>
      <c r="AR316" s="246"/>
      <c r="AS316" s="446"/>
      <c r="AT316" s="254"/>
      <c r="AU316" s="269"/>
      <c r="AV316" s="269"/>
    </row>
    <row r="317">
      <c r="A317" s="94"/>
      <c r="B317" s="454" t="s">
        <v>735</v>
      </c>
      <c r="C317" s="455" t="s">
        <v>736</v>
      </c>
      <c r="D317" s="363"/>
      <c r="E317" s="259"/>
      <c r="F317" s="250"/>
      <c r="G317" s="246"/>
      <c r="H317" s="250"/>
      <c r="I317" s="246"/>
      <c r="J317" s="250"/>
      <c r="K317" s="246"/>
      <c r="L317" s="261"/>
      <c r="M317" s="441"/>
      <c r="N317" s="246"/>
      <c r="O317" s="441"/>
      <c r="P317" s="246"/>
      <c r="Q317" s="441"/>
      <c r="R317" s="246"/>
      <c r="S317" s="261"/>
      <c r="T317" s="441"/>
      <c r="U317" s="246"/>
      <c r="V317" s="441"/>
      <c r="W317" s="246"/>
      <c r="X317" s="405" t="s">
        <v>462</v>
      </c>
      <c r="Y317" s="246"/>
      <c r="Z317" s="261"/>
      <c r="AA317" s="441"/>
      <c r="AB317" s="246"/>
      <c r="AC317" s="441"/>
      <c r="AD317" s="246"/>
      <c r="AE317" s="441"/>
      <c r="AF317" s="246"/>
      <c r="AG317" s="261"/>
      <c r="AH317" s="441"/>
      <c r="AI317" s="246"/>
      <c r="AJ317" s="441"/>
      <c r="AK317" s="246"/>
      <c r="AL317" s="405" t="s">
        <v>462</v>
      </c>
      <c r="AM317" s="246"/>
      <c r="AN317" s="261"/>
      <c r="AP317" s="246"/>
      <c r="AQ317" s="441"/>
      <c r="AR317" s="246"/>
      <c r="AS317" s="405" t="s">
        <v>462</v>
      </c>
      <c r="AT317" s="254" t="str">
        <f>IF(COUNTIF($AO$79:$AT$81, #REF!) &gt; 0, "X", "")</f>
        <v/>
      </c>
      <c r="AU317" s="269"/>
      <c r="AV317" s="269"/>
    </row>
    <row r="318">
      <c r="A318" s="94"/>
      <c r="B318" s="454" t="s">
        <v>735</v>
      </c>
      <c r="C318" s="442" t="s">
        <v>736</v>
      </c>
      <c r="D318" s="363"/>
      <c r="E318" s="259"/>
      <c r="F318" s="250"/>
      <c r="G318" s="246"/>
      <c r="H318" s="250"/>
      <c r="I318" s="246"/>
      <c r="J318" s="250"/>
      <c r="K318" s="246"/>
      <c r="L318" s="261"/>
      <c r="M318" s="456"/>
      <c r="N318" s="246"/>
      <c r="O318" s="456"/>
      <c r="P318" s="246"/>
      <c r="Q318" s="456"/>
      <c r="R318" s="246"/>
      <c r="S318" s="261"/>
      <c r="T318" s="456"/>
      <c r="U318" s="246"/>
      <c r="V318" s="456"/>
      <c r="W318" s="246"/>
      <c r="X318" s="456"/>
      <c r="Y318" s="246"/>
      <c r="Z318" s="261"/>
      <c r="AA318" s="456"/>
      <c r="AB318" s="246"/>
      <c r="AC318" s="456"/>
      <c r="AD318" s="246"/>
      <c r="AE318" s="456"/>
      <c r="AF318" s="246"/>
      <c r="AG318" s="261"/>
      <c r="AH318" s="456"/>
      <c r="AI318" s="246"/>
      <c r="AJ318" s="456"/>
      <c r="AK318" s="246"/>
      <c r="AL318" s="456"/>
      <c r="AM318" s="246"/>
      <c r="AN318" s="261"/>
      <c r="AO318" s="456"/>
      <c r="AP318" s="246"/>
      <c r="AQ318" s="456"/>
      <c r="AR318" s="246"/>
      <c r="AS318" s="456"/>
      <c r="AT318" s="254" t="str">
        <f t="shared" ref="AT318:AT319" si="65">IF(COUNTIF($AO$79:$AT$81, AS318) &gt; 0, "X", "")</f>
        <v/>
      </c>
      <c r="AU318" s="269"/>
      <c r="AV318" s="269"/>
    </row>
    <row r="319">
      <c r="A319" s="94"/>
      <c r="B319" s="457" t="s">
        <v>735</v>
      </c>
      <c r="C319" s="458" t="s">
        <v>737</v>
      </c>
      <c r="D319" s="363"/>
      <c r="E319" s="259"/>
      <c r="F319" s="250"/>
      <c r="G319" s="246"/>
      <c r="H319" s="250"/>
      <c r="I319" s="246"/>
      <c r="J319" s="250"/>
      <c r="K319" s="246"/>
      <c r="L319" s="261"/>
      <c r="M319" s="406"/>
      <c r="N319" s="246"/>
      <c r="O319" s="406"/>
      <c r="P319" s="246"/>
      <c r="Q319" s="406"/>
      <c r="R319" s="246"/>
      <c r="S319" s="261"/>
      <c r="T319" s="406"/>
      <c r="U319" s="246"/>
      <c r="V319" s="406"/>
      <c r="W319" s="246"/>
      <c r="X319" s="406"/>
      <c r="Y319" s="246"/>
      <c r="Z319" s="261"/>
      <c r="AA319" s="406"/>
      <c r="AB319" s="246"/>
      <c r="AC319" s="406"/>
      <c r="AD319" s="246"/>
      <c r="AE319" s="406"/>
      <c r="AF319" s="246"/>
      <c r="AG319" s="261"/>
      <c r="AH319" s="406"/>
      <c r="AI319" s="246"/>
      <c r="AJ319" s="406"/>
      <c r="AK319" s="246"/>
      <c r="AL319" s="406"/>
      <c r="AM319" s="246"/>
      <c r="AN319" s="261"/>
      <c r="AO319" s="406"/>
      <c r="AP319" s="246"/>
      <c r="AQ319" s="406"/>
      <c r="AR319" s="246"/>
      <c r="AS319" s="406"/>
      <c r="AT319" s="254" t="str">
        <f t="shared" si="65"/>
        <v/>
      </c>
      <c r="AU319" s="269"/>
      <c r="AV319" s="269"/>
    </row>
    <row r="320">
      <c r="A320" s="94"/>
      <c r="B320" s="459"/>
      <c r="C320" s="460" t="s">
        <v>738</v>
      </c>
      <c r="D320" s="363"/>
      <c r="E320" s="259"/>
      <c r="F320" s="461" t="s">
        <v>1043</v>
      </c>
      <c r="G320" s="246"/>
      <c r="H320" s="132"/>
      <c r="I320" s="246"/>
      <c r="J320" s="132"/>
      <c r="K320" s="246"/>
      <c r="L320" s="462"/>
      <c r="M320" s="461" t="s">
        <v>1044</v>
      </c>
      <c r="N320" s="246"/>
      <c r="O320" s="132"/>
      <c r="P320" s="246"/>
      <c r="Q320" s="132"/>
      <c r="R320" s="246"/>
      <c r="S320" s="462"/>
      <c r="T320" s="461" t="s">
        <v>1045</v>
      </c>
      <c r="U320" s="246"/>
      <c r="V320" s="132"/>
      <c r="W320" s="246"/>
      <c r="X320" s="132"/>
      <c r="Y320" s="246"/>
      <c r="Z320" s="462"/>
      <c r="AA320" s="461" t="s">
        <v>1046</v>
      </c>
      <c r="AB320" s="246"/>
      <c r="AC320" s="132"/>
      <c r="AD320" s="246"/>
      <c r="AE320" s="132"/>
      <c r="AF320" s="246"/>
      <c r="AG320" s="462"/>
      <c r="AH320" s="461" t="s">
        <v>1047</v>
      </c>
      <c r="AI320" s="246"/>
      <c r="AJ320" s="132"/>
      <c r="AK320" s="246"/>
      <c r="AL320" s="132"/>
      <c r="AM320" s="246"/>
      <c r="AN320" s="462"/>
      <c r="AO320" s="461" t="s">
        <v>1048</v>
      </c>
      <c r="AP320" s="246"/>
      <c r="AQ320" s="132"/>
      <c r="AR320" s="246"/>
      <c r="AS320" s="132"/>
      <c r="AT320" s="460"/>
      <c r="AU320" s="269"/>
      <c r="AV320" s="269"/>
    </row>
    <row r="321">
      <c r="A321" s="270"/>
      <c r="B321" s="459"/>
      <c r="C321" s="460" t="s">
        <v>738</v>
      </c>
      <c r="D321" s="363"/>
      <c r="E321" s="259"/>
      <c r="F321" s="461" t="s">
        <v>570</v>
      </c>
      <c r="G321" s="246"/>
      <c r="H321" s="132"/>
      <c r="I321" s="246"/>
      <c r="J321" s="132"/>
      <c r="K321" s="246"/>
      <c r="L321" s="462"/>
      <c r="M321" s="461" t="s">
        <v>570</v>
      </c>
      <c r="N321" s="246"/>
      <c r="O321" s="132"/>
      <c r="P321" s="246"/>
      <c r="Q321" s="132"/>
      <c r="R321" s="246"/>
      <c r="S321" s="462"/>
      <c r="T321" s="132"/>
      <c r="U321" s="246"/>
      <c r="V321" s="132"/>
      <c r="W321" s="246"/>
      <c r="X321" s="132"/>
      <c r="Y321" s="246"/>
      <c r="Z321" s="462"/>
      <c r="AA321" s="132"/>
      <c r="AB321" s="246"/>
      <c r="AC321" s="132"/>
      <c r="AD321" s="246"/>
      <c r="AE321" s="132"/>
      <c r="AF321" s="246"/>
      <c r="AG321" s="462"/>
      <c r="AH321" s="132"/>
      <c r="AI321" s="246"/>
      <c r="AJ321" s="132"/>
      <c r="AK321" s="246"/>
      <c r="AL321" s="132"/>
      <c r="AM321" s="246"/>
      <c r="AN321" s="462"/>
      <c r="AO321" s="461"/>
      <c r="AP321" s="246"/>
      <c r="AQ321" s="132"/>
      <c r="AR321" s="246"/>
      <c r="AS321" s="132"/>
      <c r="AT321" s="460"/>
      <c r="AU321" s="236"/>
      <c r="AV321" s="236"/>
    </row>
    <row r="322">
      <c r="A322" s="236"/>
      <c r="B322" s="459"/>
      <c r="C322" s="460" t="s">
        <v>738</v>
      </c>
      <c r="D322" s="363"/>
      <c r="E322" s="259"/>
      <c r="F322" s="461" t="s">
        <v>1049</v>
      </c>
      <c r="G322" s="246"/>
      <c r="H322" s="132"/>
      <c r="I322" s="246"/>
      <c r="J322" s="132"/>
      <c r="K322" s="246"/>
      <c r="L322" s="462"/>
      <c r="M322" s="461" t="s">
        <v>1049</v>
      </c>
      <c r="N322" s="246"/>
      <c r="O322" s="132"/>
      <c r="P322" s="246"/>
      <c r="Q322" s="132"/>
      <c r="R322" s="246"/>
      <c r="S322" s="462"/>
      <c r="T322" s="461" t="s">
        <v>565</v>
      </c>
      <c r="U322" s="246"/>
      <c r="V322" s="132"/>
      <c r="W322" s="246"/>
      <c r="X322" s="132"/>
      <c r="Y322" s="246"/>
      <c r="Z322" s="462"/>
      <c r="AA322" s="461" t="s">
        <v>565</v>
      </c>
      <c r="AB322" s="246"/>
      <c r="AC322" s="132"/>
      <c r="AD322" s="246"/>
      <c r="AE322" s="132"/>
      <c r="AF322" s="246"/>
      <c r="AG322" s="462"/>
      <c r="AH322" s="461" t="s">
        <v>565</v>
      </c>
      <c r="AI322" s="246"/>
      <c r="AJ322" s="132"/>
      <c r="AK322" s="246"/>
      <c r="AL322" s="132"/>
      <c r="AM322" s="246"/>
      <c r="AN322" s="462"/>
      <c r="AO322" s="461" t="s">
        <v>565</v>
      </c>
      <c r="AP322" s="246"/>
      <c r="AQ322" s="132"/>
      <c r="AR322" s="246"/>
      <c r="AS322" s="132"/>
      <c r="AT322" s="460"/>
      <c r="AU322" s="236"/>
      <c r="AV322" s="236"/>
    </row>
    <row r="323">
      <c r="A323" s="182"/>
      <c r="B323" s="183"/>
      <c r="C323" s="184" t="s">
        <v>809</v>
      </c>
      <c r="D323" s="185" t="s">
        <v>486</v>
      </c>
      <c r="E323" s="186"/>
      <c r="F323" s="185" t="s">
        <v>487</v>
      </c>
      <c r="M323" s="185" t="s">
        <v>488</v>
      </c>
      <c r="T323" s="185" t="s">
        <v>489</v>
      </c>
      <c r="AA323" s="185" t="s">
        <v>490</v>
      </c>
      <c r="AH323" s="185" t="s">
        <v>491</v>
      </c>
      <c r="AO323" s="185" t="s">
        <v>492</v>
      </c>
      <c r="AU323" s="182"/>
      <c r="AV323" s="182"/>
    </row>
    <row r="324">
      <c r="A324" s="182"/>
      <c r="B324" s="187"/>
      <c r="C324" s="187"/>
      <c r="D324" s="188">
        <v>26.0</v>
      </c>
      <c r="E324" s="189"/>
      <c r="F324" s="188">
        <f>D324+1</f>
        <v>27</v>
      </c>
      <c r="M324" s="188">
        <f>F324+1</f>
        <v>28</v>
      </c>
      <c r="T324" s="188">
        <f>M324+1</f>
        <v>29</v>
      </c>
      <c r="AA324" s="188">
        <f>T324+1</f>
        <v>30</v>
      </c>
      <c r="AH324" s="188">
        <v>1.0</v>
      </c>
      <c r="AO324" s="188">
        <f>AH324+1</f>
        <v>2</v>
      </c>
      <c r="AU324" s="182"/>
      <c r="AV324" s="182"/>
    </row>
    <row r="325">
      <c r="A325" s="182"/>
      <c r="B325" s="193" t="s">
        <v>608</v>
      </c>
      <c r="C325" s="193" t="s">
        <v>609</v>
      </c>
      <c r="D325" s="187"/>
      <c r="E325" s="189"/>
      <c r="F325" s="194" t="s">
        <v>610</v>
      </c>
      <c r="G325" s="195"/>
      <c r="H325" s="193" t="s">
        <v>611</v>
      </c>
      <c r="J325" s="194" t="s">
        <v>612</v>
      </c>
      <c r="M325" s="194" t="s">
        <v>610</v>
      </c>
      <c r="N325" s="195"/>
      <c r="O325" s="193" t="s">
        <v>611</v>
      </c>
      <c r="P325" s="195"/>
      <c r="Q325" s="194" t="s">
        <v>612</v>
      </c>
      <c r="S325" s="193"/>
      <c r="T325" s="194" t="s">
        <v>610</v>
      </c>
      <c r="U325" s="195"/>
      <c r="V325" s="193" t="s">
        <v>611</v>
      </c>
      <c r="W325" s="195"/>
      <c r="X325" s="194" t="s">
        <v>612</v>
      </c>
      <c r="Z325" s="193"/>
      <c r="AA325" s="194" t="s">
        <v>610</v>
      </c>
      <c r="AB325" s="195"/>
      <c r="AC325" s="193" t="s">
        <v>611</v>
      </c>
      <c r="AD325" s="195"/>
      <c r="AE325" s="194" t="s">
        <v>612</v>
      </c>
      <c r="AG325" s="193"/>
      <c r="AH325" s="194" t="s">
        <v>610</v>
      </c>
      <c r="AI325" s="195"/>
      <c r="AJ325" s="193" t="s">
        <v>611</v>
      </c>
      <c r="AK325" s="195"/>
      <c r="AL325" s="194" t="s">
        <v>612</v>
      </c>
      <c r="AN325" s="193"/>
      <c r="AO325" s="194" t="s">
        <v>610</v>
      </c>
      <c r="AP325" s="195"/>
      <c r="AQ325" s="193" t="s">
        <v>611</v>
      </c>
      <c r="AR325" s="195"/>
      <c r="AS325" s="194" t="s">
        <v>612</v>
      </c>
      <c r="AU325" s="182"/>
      <c r="AV325" s="182"/>
    </row>
    <row r="326">
      <c r="A326" s="199"/>
      <c r="B326" s="200" t="s">
        <v>620</v>
      </c>
      <c r="C326" s="201"/>
      <c r="D326" s="201"/>
      <c r="E326" s="202"/>
      <c r="F326" s="203"/>
      <c r="G326" s="204"/>
      <c r="H326" s="203"/>
      <c r="I326" s="204"/>
      <c r="J326" s="203"/>
      <c r="K326" s="204"/>
      <c r="L326" s="205"/>
      <c r="M326" s="203"/>
      <c r="N326" s="204"/>
      <c r="O326" s="203"/>
      <c r="P326" s="204"/>
      <c r="Q326" s="203"/>
      <c r="R326" s="204"/>
      <c r="S326" s="205"/>
      <c r="T326" s="203"/>
      <c r="U326" s="204"/>
      <c r="V326" s="203"/>
      <c r="W326" s="204"/>
      <c r="X326" s="203"/>
      <c r="Y326" s="204"/>
      <c r="Z326" s="205"/>
      <c r="AA326" s="203"/>
      <c r="AB326" s="204"/>
      <c r="AC326" s="203"/>
      <c r="AD326" s="204"/>
      <c r="AE326" s="203"/>
      <c r="AF326" s="204"/>
      <c r="AG326" s="205"/>
      <c r="AH326" s="203"/>
      <c r="AI326" s="204"/>
      <c r="AJ326" s="203"/>
      <c r="AK326" s="204"/>
      <c r="AL326" s="203"/>
      <c r="AM326" s="204"/>
      <c r="AN326" s="205"/>
      <c r="AO326" s="203"/>
      <c r="AP326" s="204"/>
      <c r="AQ326" s="203"/>
      <c r="AR326" s="204"/>
      <c r="AS326" s="203"/>
      <c r="AT326" s="204"/>
      <c r="AU326" s="199"/>
      <c r="AV326" s="199"/>
    </row>
    <row r="327">
      <c r="A327" s="199"/>
      <c r="B327" s="213" t="s">
        <v>623</v>
      </c>
      <c r="C327" s="214"/>
      <c r="D327" s="215"/>
      <c r="E327" s="216"/>
      <c r="F327" s="215"/>
      <c r="G327" s="218"/>
      <c r="H327" s="215"/>
      <c r="I327" s="220"/>
      <c r="J327" s="215"/>
      <c r="K327" s="221"/>
      <c r="L327" s="216"/>
      <c r="M327" s="217"/>
      <c r="N327" s="218"/>
      <c r="O327" s="215"/>
      <c r="P327" s="220"/>
      <c r="Q327" s="215"/>
      <c r="R327" s="221"/>
      <c r="S327" s="216"/>
      <c r="T327" s="217"/>
      <c r="U327" s="218"/>
      <c r="V327" s="215"/>
      <c r="W327" s="220"/>
      <c r="X327" s="215"/>
      <c r="Y327" s="221"/>
      <c r="Z327" s="216"/>
      <c r="AA327" s="217"/>
      <c r="AB327" s="218"/>
      <c r="AC327" s="215"/>
      <c r="AD327" s="220"/>
      <c r="AE327" s="215"/>
      <c r="AF327" s="221"/>
      <c r="AG327" s="216"/>
      <c r="AH327" s="561"/>
      <c r="AI327" s="218"/>
      <c r="AJ327" s="215"/>
      <c r="AK327" s="220"/>
      <c r="AL327" s="215"/>
      <c r="AM327" s="221"/>
      <c r="AN327" s="216"/>
      <c r="AO327" s="217"/>
      <c r="AP327" s="218"/>
      <c r="AQ327" s="215"/>
      <c r="AR327" s="220"/>
      <c r="AS327" s="215"/>
      <c r="AT327" s="221"/>
      <c r="AU327" s="225">
        <f>counta(F327:AT327)*20</f>
        <v>0</v>
      </c>
    </row>
    <row r="328">
      <c r="A328" s="199"/>
      <c r="B328" s="226" t="s">
        <v>629</v>
      </c>
      <c r="C328" s="214"/>
      <c r="D328" s="215"/>
      <c r="E328" s="216"/>
      <c r="F328" s="215"/>
      <c r="G328" s="218"/>
      <c r="H328" s="215"/>
      <c r="I328" s="220"/>
      <c r="J328" s="215"/>
      <c r="K328" s="221"/>
      <c r="L328" s="216"/>
      <c r="M328" s="227"/>
      <c r="N328" s="218"/>
      <c r="O328" s="215"/>
      <c r="P328" s="220"/>
      <c r="Q328" s="215"/>
      <c r="R328" s="221"/>
      <c r="S328" s="216"/>
      <c r="T328" s="227"/>
      <c r="U328" s="218"/>
      <c r="V328" s="215"/>
      <c r="W328" s="220"/>
      <c r="X328" s="215"/>
      <c r="Y328" s="221"/>
      <c r="Z328" s="216"/>
      <c r="AA328" s="227"/>
      <c r="AB328" s="218"/>
      <c r="AC328" s="215"/>
      <c r="AD328" s="220"/>
      <c r="AE328" s="215"/>
      <c r="AF328" s="221"/>
      <c r="AG328" s="216"/>
      <c r="AH328" s="227"/>
      <c r="AI328" s="218"/>
      <c r="AJ328" s="215"/>
      <c r="AK328" s="220"/>
      <c r="AL328" s="215"/>
      <c r="AM328" s="221"/>
      <c r="AN328" s="216"/>
      <c r="AO328" s="227"/>
      <c r="AP328" s="218"/>
      <c r="AQ328" s="215"/>
      <c r="AR328" s="220"/>
      <c r="AS328" s="215"/>
      <c r="AT328" s="221"/>
      <c r="AU328" s="225">
        <f>sum(F328:AK328)</f>
        <v>0</v>
      </c>
    </row>
    <row r="329">
      <c r="A329" s="199"/>
      <c r="B329" s="213" t="s">
        <v>630</v>
      </c>
      <c r="C329" s="214"/>
      <c r="D329" s="215"/>
      <c r="E329" s="216"/>
      <c r="F329" s="215"/>
      <c r="G329" s="218"/>
      <c r="H329" s="215"/>
      <c r="I329" s="220"/>
      <c r="J329" s="215"/>
      <c r="K329" s="221"/>
      <c r="L329" s="216"/>
      <c r="M329" s="215"/>
      <c r="N329" s="218"/>
      <c r="O329" s="215"/>
      <c r="P329" s="220"/>
      <c r="Q329" s="215"/>
      <c r="R329" s="221"/>
      <c r="S329" s="216"/>
      <c r="T329" s="215"/>
      <c r="U329" s="218"/>
      <c r="V329" s="215"/>
      <c r="W329" s="220"/>
      <c r="X329" s="215"/>
      <c r="Y329" s="221"/>
      <c r="Z329" s="216"/>
      <c r="AA329" s="215"/>
      <c r="AB329" s="218"/>
      <c r="AC329" s="215"/>
      <c r="AD329" s="220"/>
      <c r="AE329" s="215"/>
      <c r="AF329" s="221"/>
      <c r="AG329" s="216"/>
      <c r="AH329" s="215"/>
      <c r="AI329" s="218"/>
      <c r="AJ329" s="215"/>
      <c r="AK329" s="220"/>
      <c r="AL329" s="215"/>
      <c r="AM329" s="221"/>
      <c r="AN329" s="216"/>
      <c r="AO329" s="215"/>
      <c r="AP329" s="218"/>
      <c r="AQ329" s="215"/>
      <c r="AR329" s="220"/>
      <c r="AS329" s="215"/>
      <c r="AT329" s="221"/>
      <c r="AU329" s="225">
        <f>countA(F329:AJ329)*5</f>
        <v>0</v>
      </c>
    </row>
    <row r="330">
      <c r="A330" s="199"/>
      <c r="B330" s="229" t="s">
        <v>632</v>
      </c>
      <c r="C330" s="214"/>
      <c r="D330" s="215"/>
      <c r="E330" s="216"/>
      <c r="F330" s="215"/>
      <c r="G330" s="221"/>
      <c r="H330" s="215"/>
      <c r="I330" s="220"/>
      <c r="J330" s="215"/>
      <c r="K330" s="221"/>
      <c r="L330" s="216"/>
      <c r="M330" s="215"/>
      <c r="N330" s="221"/>
      <c r="O330" s="215"/>
      <c r="P330" s="220"/>
      <c r="Q330" s="215"/>
      <c r="R330" s="221"/>
      <c r="S330" s="216"/>
      <c r="T330" s="215"/>
      <c r="U330" s="221"/>
      <c r="V330" s="215"/>
      <c r="W330" s="220"/>
      <c r="X330" s="215"/>
      <c r="Y330" s="221"/>
      <c r="Z330" s="216"/>
      <c r="AA330" s="215"/>
      <c r="AB330" s="221"/>
      <c r="AC330" s="215"/>
      <c r="AD330" s="220"/>
      <c r="AE330" s="215"/>
      <c r="AF330" s="221"/>
      <c r="AG330" s="216"/>
      <c r="AH330" s="215"/>
      <c r="AI330" s="221"/>
      <c r="AJ330" s="215"/>
      <c r="AK330" s="220"/>
      <c r="AL330" s="215"/>
      <c r="AM330" s="221"/>
      <c r="AN330" s="216"/>
      <c r="AO330" s="215"/>
      <c r="AP330" s="221"/>
      <c r="AQ330" s="215"/>
      <c r="AR330" s="220"/>
      <c r="AS330" s="215"/>
      <c r="AT330" s="221"/>
      <c r="AU330" s="225">
        <f>countA(F330:AK330)*12</f>
        <v>0</v>
      </c>
    </row>
    <row r="331">
      <c r="A331" s="199"/>
      <c r="B331" s="213" t="s">
        <v>633</v>
      </c>
      <c r="C331" s="214"/>
      <c r="D331" s="215"/>
      <c r="E331" s="216"/>
      <c r="F331" s="215"/>
      <c r="G331" s="230"/>
      <c r="H331" s="215"/>
      <c r="I331" s="231"/>
      <c r="J331" s="215"/>
      <c r="K331" s="216"/>
      <c r="L331" s="216"/>
      <c r="M331" s="215"/>
      <c r="N331" s="230"/>
      <c r="O331" s="215"/>
      <c r="P331" s="231"/>
      <c r="Q331" s="215"/>
      <c r="R331" s="216"/>
      <c r="S331" s="216"/>
      <c r="T331" s="215"/>
      <c r="U331" s="230"/>
      <c r="V331" s="215"/>
      <c r="W331" s="231"/>
      <c r="X331" s="215"/>
      <c r="Y331" s="216"/>
      <c r="Z331" s="216"/>
      <c r="AA331" s="215"/>
      <c r="AB331" s="230"/>
      <c r="AC331" s="215"/>
      <c r="AD331" s="231"/>
      <c r="AE331" s="215"/>
      <c r="AF331" s="216"/>
      <c r="AG331" s="216"/>
      <c r="AH331" s="215"/>
      <c r="AI331" s="230"/>
      <c r="AJ331" s="215"/>
      <c r="AK331" s="231"/>
      <c r="AL331" s="215"/>
      <c r="AM331" s="216"/>
      <c r="AN331" s="216"/>
      <c r="AO331" s="215"/>
      <c r="AP331" s="230"/>
      <c r="AQ331" s="215"/>
      <c r="AR331" s="231"/>
      <c r="AS331" s="215"/>
      <c r="AT331" s="216"/>
      <c r="AU331" s="225">
        <f>counta(F331:AT331)*4</f>
        <v>0</v>
      </c>
    </row>
    <row r="332">
      <c r="A332" s="199"/>
      <c r="B332" s="213" t="s">
        <v>637</v>
      </c>
      <c r="C332" s="214"/>
      <c r="D332" s="215"/>
      <c r="E332" s="216"/>
      <c r="F332" s="215"/>
      <c r="G332" s="230"/>
      <c r="H332" s="215"/>
      <c r="I332" s="231"/>
      <c r="J332" s="215"/>
      <c r="K332" s="216"/>
      <c r="L332" s="216"/>
      <c r="M332" s="215"/>
      <c r="N332" s="230"/>
      <c r="O332" s="215"/>
      <c r="P332" s="231"/>
      <c r="Q332" s="215"/>
      <c r="R332" s="216"/>
      <c r="S332" s="216"/>
      <c r="T332" s="215"/>
      <c r="U332" s="230"/>
      <c r="V332" s="215"/>
      <c r="W332" s="231"/>
      <c r="X332" s="215"/>
      <c r="Y332" s="216"/>
      <c r="Z332" s="216"/>
      <c r="AA332" s="215"/>
      <c r="AB332" s="230"/>
      <c r="AC332" s="215"/>
      <c r="AD332" s="231"/>
      <c r="AE332" s="215"/>
      <c r="AF332" s="216"/>
      <c r="AG332" s="216"/>
      <c r="AH332" s="215"/>
      <c r="AI332" s="230"/>
      <c r="AJ332" s="215"/>
      <c r="AK332" s="231"/>
      <c r="AL332" s="215"/>
      <c r="AM332" s="216"/>
      <c r="AN332" s="216"/>
      <c r="AO332" s="215"/>
      <c r="AP332" s="230"/>
      <c r="AQ332" s="215"/>
      <c r="AR332" s="231"/>
      <c r="AS332" s="215"/>
      <c r="AT332" s="216"/>
      <c r="AU332" s="225">
        <f>sum(F332:AT332)</f>
        <v>0</v>
      </c>
    </row>
    <row r="333">
      <c r="A333" s="234"/>
      <c r="B333" s="235" t="s">
        <v>608</v>
      </c>
      <c r="C333" s="195" t="s">
        <v>609</v>
      </c>
      <c r="D333" s="236"/>
      <c r="E333" s="237"/>
      <c r="F333" s="238"/>
      <c r="G333" s="182"/>
      <c r="H333" s="238"/>
      <c r="I333" s="239"/>
      <c r="J333" s="238"/>
      <c r="K333" s="239"/>
      <c r="L333" s="237"/>
      <c r="M333" s="238"/>
      <c r="N333" s="182"/>
      <c r="O333" s="238"/>
      <c r="P333" s="239"/>
      <c r="Q333" s="238"/>
      <c r="R333" s="239"/>
      <c r="S333" s="237"/>
      <c r="T333" s="238"/>
      <c r="U333" s="182"/>
      <c r="V333" s="238"/>
      <c r="W333" s="239"/>
      <c r="X333" s="238"/>
      <c r="Y333" s="239"/>
      <c r="Z333" s="237"/>
      <c r="AA333" s="238"/>
      <c r="AB333" s="182"/>
      <c r="AC333" s="238"/>
      <c r="AD333" s="239"/>
      <c r="AE333" s="238"/>
      <c r="AF333" s="239"/>
      <c r="AG333" s="237"/>
      <c r="AH333" s="238"/>
      <c r="AI333" s="182"/>
      <c r="AJ333" s="238"/>
      <c r="AK333" s="239"/>
      <c r="AL333" s="238"/>
      <c r="AM333" s="239"/>
      <c r="AN333" s="237"/>
      <c r="AO333" s="238"/>
      <c r="AP333" s="182"/>
      <c r="AQ333" s="238"/>
      <c r="AR333" s="239"/>
      <c r="AS333" s="238"/>
      <c r="AT333" s="239"/>
      <c r="AU333" s="236"/>
      <c r="AV333" s="236"/>
    </row>
    <row r="334">
      <c r="A334" s="240"/>
      <c r="B334" s="241" t="s">
        <v>638</v>
      </c>
      <c r="C334" s="242" t="s">
        <v>639</v>
      </c>
      <c r="D334" s="243"/>
      <c r="E334" s="244"/>
      <c r="F334" s="741"/>
      <c r="G334" s="246"/>
      <c r="H334" s="742"/>
      <c r="I334" s="246"/>
      <c r="J334" s="741"/>
      <c r="K334" s="246"/>
      <c r="L334" s="249"/>
      <c r="M334" s="741"/>
      <c r="N334" s="246"/>
      <c r="O334" s="741"/>
      <c r="P334" s="246"/>
      <c r="Q334" s="741"/>
      <c r="R334" s="246"/>
      <c r="S334" s="249"/>
      <c r="T334" s="741"/>
      <c r="U334" s="246"/>
      <c r="V334" s="741"/>
      <c r="W334" s="246"/>
      <c r="X334" s="741"/>
      <c r="Y334" s="246"/>
      <c r="Z334" s="249"/>
      <c r="AA334" s="741"/>
      <c r="AB334" s="246"/>
      <c r="AC334" s="741"/>
      <c r="AD334" s="246"/>
      <c r="AE334" s="741"/>
      <c r="AF334" s="246"/>
      <c r="AG334" s="249"/>
      <c r="AH334" s="741"/>
      <c r="AI334" s="246"/>
      <c r="AJ334" s="741"/>
      <c r="AK334" s="246"/>
      <c r="AL334" s="741"/>
      <c r="AM334" s="246"/>
      <c r="AN334" s="249"/>
      <c r="AO334" s="741"/>
      <c r="AP334" s="246"/>
      <c r="AQ334" s="741"/>
      <c r="AR334" s="246"/>
      <c r="AS334" s="741"/>
      <c r="AT334" s="254" t="str">
        <f>IF(COUNTIF($AO$79:$AT$81, #REF!) &gt; 0, "X", "")</f>
        <v/>
      </c>
      <c r="AU334" s="255"/>
      <c r="AV334" s="255"/>
    </row>
    <row r="335">
      <c r="A335" s="94"/>
      <c r="B335" s="256" t="s">
        <v>638</v>
      </c>
      <c r="C335" s="257" t="s">
        <v>639</v>
      </c>
      <c r="D335" s="243"/>
      <c r="E335" s="259"/>
      <c r="F335" s="741"/>
      <c r="G335" s="246"/>
      <c r="H335" s="607"/>
      <c r="I335" s="246"/>
      <c r="J335" s="741"/>
      <c r="K335" s="246"/>
      <c r="L335" s="249"/>
      <c r="M335" s="741"/>
      <c r="N335" s="246"/>
      <c r="O335" s="741"/>
      <c r="P335" s="246"/>
      <c r="Q335" s="741"/>
      <c r="R335" s="246"/>
      <c r="S335" s="249"/>
      <c r="T335" s="741"/>
      <c r="U335" s="246"/>
      <c r="V335" s="741"/>
      <c r="W335" s="246"/>
      <c r="X335" s="741"/>
      <c r="Y335" s="246"/>
      <c r="Z335" s="249"/>
      <c r="AA335" s="741"/>
      <c r="AB335" s="246"/>
      <c r="AC335" s="741"/>
      <c r="AD335" s="246"/>
      <c r="AE335" s="741"/>
      <c r="AF335" s="246"/>
      <c r="AG335" s="249"/>
      <c r="AH335" s="741"/>
      <c r="AI335" s="246"/>
      <c r="AJ335" s="741"/>
      <c r="AK335" s="246"/>
      <c r="AL335" s="741"/>
      <c r="AM335" s="246"/>
      <c r="AN335" s="249"/>
      <c r="AO335" s="741"/>
      <c r="AP335" s="246"/>
      <c r="AQ335" s="741"/>
      <c r="AR335" s="246"/>
      <c r="AS335" s="741"/>
      <c r="AT335" s="254" t="str">
        <f>IF(COUNTIF($AO$79:$AT$81, AS341) &gt; 0, "X", "")</f>
        <v/>
      </c>
      <c r="AU335" s="269"/>
      <c r="AV335" s="269"/>
    </row>
    <row r="336">
      <c r="A336" s="270"/>
      <c r="B336" s="271" t="s">
        <v>642</v>
      </c>
      <c r="C336" s="272" t="s">
        <v>639</v>
      </c>
      <c r="D336" s="243"/>
      <c r="E336" s="259"/>
      <c r="F336" s="589"/>
      <c r="G336" s="246"/>
      <c r="H336" s="589"/>
      <c r="I336" s="246"/>
      <c r="J336" s="5"/>
      <c r="K336" s="246"/>
      <c r="L336" s="261"/>
      <c r="M336" s="5"/>
      <c r="N336" s="246"/>
      <c r="O336" s="5"/>
      <c r="P336" s="246"/>
      <c r="Q336" s="5"/>
      <c r="R336" s="246"/>
      <c r="S336" s="261"/>
      <c r="T336" s="5"/>
      <c r="U336" s="246"/>
      <c r="V336" s="5"/>
      <c r="W336" s="246"/>
      <c r="X336" s="5"/>
      <c r="Y336" s="246"/>
      <c r="Z336" s="261"/>
      <c r="AA336" s="5"/>
      <c r="AB336" s="246"/>
      <c r="AC336" s="5"/>
      <c r="AD336" s="246"/>
      <c r="AE336" s="5"/>
      <c r="AF336" s="246"/>
      <c r="AG336" s="261"/>
      <c r="AH336" s="5"/>
      <c r="AI336" s="246"/>
      <c r="AJ336" s="5"/>
      <c r="AK336" s="246"/>
      <c r="AL336" s="5"/>
      <c r="AM336" s="246"/>
      <c r="AN336" s="261"/>
      <c r="AO336" s="5"/>
      <c r="AP336" s="246"/>
      <c r="AQ336" s="5"/>
      <c r="AR336" s="246"/>
      <c r="AS336" s="5"/>
      <c r="AT336" s="254" t="str">
        <f>IF(COUNTIF($AO$79:$AT$81, #REF!) &gt; 0, "X", "")</f>
        <v/>
      </c>
      <c r="AU336" s="269"/>
      <c r="AV336" s="269"/>
    </row>
    <row r="337">
      <c r="A337" s="234"/>
      <c r="B337" s="277" t="s">
        <v>644</v>
      </c>
      <c r="C337" s="278" t="s">
        <v>645</v>
      </c>
      <c r="D337" s="243"/>
      <c r="E337" s="259"/>
      <c r="F337" s="741"/>
      <c r="G337" s="246"/>
      <c r="H337" s="742"/>
      <c r="I337" s="246"/>
      <c r="J337" s="590"/>
      <c r="K337" s="246"/>
      <c r="L337" s="261"/>
      <c r="M337" s="590"/>
      <c r="N337" s="246"/>
      <c r="O337" s="590"/>
      <c r="P337" s="246"/>
      <c r="Q337" s="590"/>
      <c r="R337" s="246"/>
      <c r="S337" s="261"/>
      <c r="T337" s="590"/>
      <c r="U337" s="246"/>
      <c r="V337" s="590"/>
      <c r="W337" s="246"/>
      <c r="X337" s="590"/>
      <c r="Y337" s="246"/>
      <c r="Z337" s="261"/>
      <c r="AA337" s="590"/>
      <c r="AB337" s="246"/>
      <c r="AC337" s="590"/>
      <c r="AD337" s="246"/>
      <c r="AE337" s="590"/>
      <c r="AF337" s="246"/>
      <c r="AG337" s="261"/>
      <c r="AH337" s="590"/>
      <c r="AI337" s="246"/>
      <c r="AJ337" s="590"/>
      <c r="AK337" s="246"/>
      <c r="AL337" s="590"/>
      <c r="AM337" s="246"/>
      <c r="AN337" s="261"/>
      <c r="AO337" s="590"/>
      <c r="AP337" s="246"/>
      <c r="AQ337" s="590"/>
      <c r="AR337" s="246"/>
      <c r="AS337" s="590"/>
      <c r="AT337" s="254" t="str">
        <f t="shared" ref="AT337:AT339" si="66">IF(COUNTIF($AO$79:$AT$81, AS338) &gt; 0, "X", "")</f>
        <v/>
      </c>
      <c r="AU337" s="269"/>
      <c r="AV337" s="269"/>
    </row>
    <row r="338">
      <c r="A338" s="94"/>
      <c r="B338" s="256" t="s">
        <v>757</v>
      </c>
      <c r="C338" s="257" t="s">
        <v>645</v>
      </c>
      <c r="D338" s="243"/>
      <c r="E338" s="259"/>
      <c r="F338" s="741"/>
      <c r="G338" s="246"/>
      <c r="H338" s="741"/>
      <c r="I338" s="246"/>
      <c r="J338" s="741"/>
      <c r="K338" s="246"/>
      <c r="L338" s="261"/>
      <c r="M338" s="741"/>
      <c r="N338" s="246"/>
      <c r="O338" s="741"/>
      <c r="P338" s="246"/>
      <c r="Q338" s="741"/>
      <c r="R338" s="246"/>
      <c r="S338" s="261"/>
      <c r="T338" s="741"/>
      <c r="U338" s="246"/>
      <c r="V338" s="741"/>
      <c r="W338" s="246"/>
      <c r="X338" s="741"/>
      <c r="Y338" s="246"/>
      <c r="Z338" s="261"/>
      <c r="AA338" s="741"/>
      <c r="AB338" s="246"/>
      <c r="AC338" s="741"/>
      <c r="AD338" s="246"/>
      <c r="AE338" s="741"/>
      <c r="AF338" s="246"/>
      <c r="AG338" s="261"/>
      <c r="AH338" s="741"/>
      <c r="AI338" s="246"/>
      <c r="AJ338" s="741"/>
      <c r="AK338" s="246"/>
      <c r="AL338" s="741"/>
      <c r="AM338" s="246"/>
      <c r="AN338" s="261"/>
      <c r="AO338" s="741"/>
      <c r="AP338" s="246"/>
      <c r="AQ338" s="741"/>
      <c r="AR338" s="246"/>
      <c r="AS338" s="741"/>
      <c r="AT338" s="254" t="str">
        <f t="shared" si="66"/>
        <v/>
      </c>
      <c r="AU338" s="269"/>
      <c r="AV338" s="269"/>
    </row>
    <row r="339">
      <c r="A339" s="94"/>
      <c r="B339" s="284" t="s">
        <v>646</v>
      </c>
      <c r="C339" s="285" t="s">
        <v>647</v>
      </c>
      <c r="D339" s="243"/>
      <c r="E339" s="259"/>
      <c r="F339" s="743"/>
      <c r="G339" s="246"/>
      <c r="H339" s="744"/>
      <c r="I339" s="246"/>
      <c r="J339" s="744"/>
      <c r="K339" s="246"/>
      <c r="L339" s="261"/>
      <c r="M339" s="744"/>
      <c r="N339" s="246"/>
      <c r="O339" s="744"/>
      <c r="P339" s="246"/>
      <c r="Q339" s="744"/>
      <c r="R339" s="246"/>
      <c r="S339" s="261"/>
      <c r="T339" s="744"/>
      <c r="U339" s="246"/>
      <c r="V339" s="744"/>
      <c r="W339" s="246"/>
      <c r="X339" s="744"/>
      <c r="Y339" s="246"/>
      <c r="Z339" s="261"/>
      <c r="AA339" s="744"/>
      <c r="AB339" s="246"/>
      <c r="AC339" s="744"/>
      <c r="AD339" s="246"/>
      <c r="AE339" s="744"/>
      <c r="AF339" s="246"/>
      <c r="AG339" s="261"/>
      <c r="AH339" s="744"/>
      <c r="AI339" s="246"/>
      <c r="AJ339" s="744"/>
      <c r="AK339" s="246"/>
      <c r="AL339" s="744"/>
      <c r="AM339" s="246"/>
      <c r="AN339" s="261"/>
      <c r="AO339" s="744"/>
      <c r="AP339" s="246"/>
      <c r="AQ339" s="744"/>
      <c r="AR339" s="246"/>
      <c r="AS339" s="744"/>
      <c r="AT339" s="254" t="str">
        <f t="shared" si="66"/>
        <v/>
      </c>
      <c r="AU339" s="269"/>
      <c r="AV339" s="269"/>
    </row>
    <row r="340">
      <c r="A340" s="270"/>
      <c r="B340" s="291" t="s">
        <v>648</v>
      </c>
      <c r="C340" s="292" t="s">
        <v>649</v>
      </c>
      <c r="D340" s="243"/>
      <c r="E340" s="259"/>
      <c r="F340" s="298"/>
      <c r="G340" s="246"/>
      <c r="H340" s="543"/>
      <c r="I340" s="246"/>
      <c r="J340" s="298"/>
      <c r="K340" s="246"/>
      <c r="L340" s="261"/>
      <c r="M340" s="298"/>
      <c r="N340" s="246"/>
      <c r="O340" s="298"/>
      <c r="P340" s="246"/>
      <c r="Q340" s="298"/>
      <c r="R340" s="246"/>
      <c r="S340" s="261"/>
      <c r="T340" s="298"/>
      <c r="U340" s="246"/>
      <c r="V340" s="298"/>
      <c r="W340" s="246"/>
      <c r="X340" s="298"/>
      <c r="Y340" s="246"/>
      <c r="Z340" s="261"/>
      <c r="AA340" s="298"/>
      <c r="AB340" s="246"/>
      <c r="AC340" s="298"/>
      <c r="AD340" s="246"/>
      <c r="AE340" s="298"/>
      <c r="AF340" s="246"/>
      <c r="AG340" s="261"/>
      <c r="AH340" s="298"/>
      <c r="AI340" s="246"/>
      <c r="AJ340" s="298"/>
      <c r="AK340" s="246"/>
      <c r="AL340" s="298"/>
      <c r="AM340" s="246"/>
      <c r="AN340" s="261"/>
      <c r="AO340" s="298"/>
      <c r="AP340" s="246"/>
      <c r="AQ340" s="298"/>
      <c r="AR340" s="246"/>
      <c r="AS340" s="298"/>
      <c r="AT340" s="254" t="str">
        <f t="shared" ref="AT340:AT341" si="67">IF(COUNTIF($AO$79:$AT$81, #REF!) &gt; 0, "X", "")</f>
        <v/>
      </c>
      <c r="AU340" s="269"/>
      <c r="AV340" s="269"/>
    </row>
    <row r="341">
      <c r="A341" s="94"/>
      <c r="B341" s="296" t="s">
        <v>650</v>
      </c>
      <c r="C341" s="297" t="s">
        <v>649</v>
      </c>
      <c r="D341" s="243"/>
      <c r="E341" s="259"/>
      <c r="F341" s="745"/>
      <c r="G341" s="298"/>
      <c r="H341" s="745"/>
      <c r="I341" s="298"/>
      <c r="J341" s="745"/>
      <c r="K341" s="298"/>
      <c r="L341" s="261"/>
      <c r="M341" s="745"/>
      <c r="N341" s="298"/>
      <c r="O341" s="745"/>
      <c r="P341" s="298"/>
      <c r="Q341" s="745"/>
      <c r="R341" s="298"/>
      <c r="S341" s="261"/>
      <c r="T341" s="745"/>
      <c r="U341" s="298"/>
      <c r="V341" s="745"/>
      <c r="W341" s="298"/>
      <c r="X341" s="745"/>
      <c r="Y341" s="298"/>
      <c r="Z341" s="261"/>
      <c r="AA341" s="745"/>
      <c r="AB341" s="298"/>
      <c r="AC341" s="745"/>
      <c r="AD341" s="298"/>
      <c r="AE341" s="745"/>
      <c r="AF341" s="298"/>
      <c r="AG341" s="261"/>
      <c r="AH341" s="745"/>
      <c r="AI341" s="298"/>
      <c r="AJ341" s="745"/>
      <c r="AK341" s="298"/>
      <c r="AL341" s="745"/>
      <c r="AM341" s="298"/>
      <c r="AN341" s="261"/>
      <c r="AO341" s="745"/>
      <c r="AP341" s="298"/>
      <c r="AQ341" s="745"/>
      <c r="AR341" s="298"/>
      <c r="AS341" s="745"/>
      <c r="AT341" s="254" t="str">
        <f t="shared" si="67"/>
        <v/>
      </c>
      <c r="AU341" s="269"/>
      <c r="AV341" s="269"/>
    </row>
    <row r="342">
      <c r="A342" s="94"/>
      <c r="B342" s="301" t="s">
        <v>651</v>
      </c>
      <c r="C342" s="302" t="s">
        <v>652</v>
      </c>
      <c r="D342" s="243"/>
      <c r="E342" s="259"/>
      <c r="F342" s="741"/>
      <c r="G342" s="298"/>
      <c r="H342" s="741"/>
      <c r="I342" s="298"/>
      <c r="J342" s="741"/>
      <c r="K342" s="298"/>
      <c r="L342" s="261"/>
      <c r="M342" s="741"/>
      <c r="N342" s="298"/>
      <c r="O342" s="741"/>
      <c r="P342" s="298"/>
      <c r="Q342" s="741"/>
      <c r="R342" s="298"/>
      <c r="S342" s="261"/>
      <c r="T342" s="741"/>
      <c r="U342" s="298"/>
      <c r="V342" s="741"/>
      <c r="W342" s="298"/>
      <c r="X342" s="741"/>
      <c r="Y342" s="298"/>
      <c r="Z342" s="261"/>
      <c r="AA342" s="741"/>
      <c r="AB342" s="298"/>
      <c r="AC342" s="741"/>
      <c r="AD342" s="298"/>
      <c r="AE342" s="741"/>
      <c r="AF342" s="298"/>
      <c r="AG342" s="261"/>
      <c r="AH342" s="741"/>
      <c r="AI342" s="298"/>
      <c r="AJ342" s="741"/>
      <c r="AK342" s="298"/>
      <c r="AL342" s="741"/>
      <c r="AM342" s="298"/>
      <c r="AN342" s="261"/>
      <c r="AO342" s="741"/>
      <c r="AP342" s="298"/>
      <c r="AQ342" s="741"/>
      <c r="AR342" s="298"/>
      <c r="AS342" s="741"/>
      <c r="AT342" s="254" t="str">
        <f t="shared" ref="AT342:AT343" si="68">IF(COUNTIF($AO$79:$AT$81, AS343) &gt; 0, "X", "")</f>
        <v/>
      </c>
      <c r="AU342" s="269"/>
      <c r="AV342" s="269"/>
    </row>
    <row r="343">
      <c r="A343" s="94"/>
      <c r="B343" s="305" t="s">
        <v>653</v>
      </c>
      <c r="C343" s="306" t="s">
        <v>654</v>
      </c>
      <c r="D343" s="243"/>
      <c r="E343" s="259"/>
      <c r="F343" s="298"/>
      <c r="G343" s="298"/>
      <c r="H343" s="298"/>
      <c r="I343" s="298"/>
      <c r="J343" s="298"/>
      <c r="K343" s="298"/>
      <c r="L343" s="261"/>
      <c r="M343" s="298"/>
      <c r="N343" s="298"/>
      <c r="O343" s="298"/>
      <c r="P343" s="298"/>
      <c r="Q343" s="298"/>
      <c r="R343" s="298"/>
      <c r="S343" s="261"/>
      <c r="T343" s="298"/>
      <c r="U343" s="298"/>
      <c r="V343" s="298"/>
      <c r="W343" s="298"/>
      <c r="X343" s="298"/>
      <c r="Y343" s="298"/>
      <c r="Z343" s="261"/>
      <c r="AA343" s="298"/>
      <c r="AB343" s="298"/>
      <c r="AC343" s="298"/>
      <c r="AD343" s="298"/>
      <c r="AE343" s="298"/>
      <c r="AF343" s="298"/>
      <c r="AG343" s="261"/>
      <c r="AH343" s="298"/>
      <c r="AI343" s="298"/>
      <c r="AJ343" s="298"/>
      <c r="AK343" s="298"/>
      <c r="AL343" s="298"/>
      <c r="AM343" s="298"/>
      <c r="AN343" s="261"/>
      <c r="AO343" s="298"/>
      <c r="AP343" s="298"/>
      <c r="AQ343" s="298"/>
      <c r="AR343" s="298"/>
      <c r="AS343" s="298"/>
      <c r="AT343" s="254" t="str">
        <f t="shared" si="68"/>
        <v/>
      </c>
      <c r="AU343" s="269"/>
      <c r="AV343" s="269"/>
    </row>
    <row r="344">
      <c r="A344" s="94"/>
      <c r="B344" s="310" t="s">
        <v>656</v>
      </c>
      <c r="C344" s="278" t="s">
        <v>657</v>
      </c>
      <c r="D344" s="243"/>
      <c r="E344" s="259"/>
      <c r="F344" s="741"/>
      <c r="G344" s="246"/>
      <c r="H344" s="590"/>
      <c r="I344" s="246"/>
      <c r="J344" s="590"/>
      <c r="K344" s="246"/>
      <c r="L344" s="261"/>
      <c r="M344" s="590"/>
      <c r="N344" s="246"/>
      <c r="O344" s="590"/>
      <c r="P344" s="246"/>
      <c r="Q344" s="590"/>
      <c r="R344" s="246"/>
      <c r="S344" s="261"/>
      <c r="T344" s="590"/>
      <c r="U344" s="246"/>
      <c r="V344" s="590"/>
      <c r="W344" s="246"/>
      <c r="X344" s="590"/>
      <c r="Y344" s="246"/>
      <c r="Z344" s="261"/>
      <c r="AA344" s="590"/>
      <c r="AB344" s="246"/>
      <c r="AC344" s="590"/>
      <c r="AD344" s="246"/>
      <c r="AE344" s="590"/>
      <c r="AF344" s="246"/>
      <c r="AG344" s="261"/>
      <c r="AH344" s="590"/>
      <c r="AI344" s="246"/>
      <c r="AJ344" s="590"/>
      <c r="AK344" s="246"/>
      <c r="AL344" s="590"/>
      <c r="AM344" s="246"/>
      <c r="AN344" s="261"/>
      <c r="AO344" s="590"/>
      <c r="AP344" s="246"/>
      <c r="AQ344" s="590"/>
      <c r="AR344" s="246"/>
      <c r="AS344" s="590"/>
      <c r="AT344" s="254" t="str">
        <f t="shared" ref="AT344:AT346" si="69">IF(COUNTIF($AO$79:$AT$81, #REF!) &gt; 0, "X", "")</f>
        <v/>
      </c>
      <c r="AU344" s="269"/>
      <c r="AV344" s="269"/>
    </row>
    <row r="345">
      <c r="A345" s="94"/>
      <c r="B345" s="277" t="s">
        <v>658</v>
      </c>
      <c r="C345" s="278" t="s">
        <v>657</v>
      </c>
      <c r="D345" s="243"/>
      <c r="E345" s="259"/>
      <c r="F345" s="590"/>
      <c r="G345" s="246"/>
      <c r="H345" s="607"/>
      <c r="I345" s="246"/>
      <c r="J345" s="607"/>
      <c r="K345" s="246"/>
      <c r="L345" s="261"/>
      <c r="M345" s="607"/>
      <c r="N345" s="246"/>
      <c r="O345" s="607"/>
      <c r="P345" s="246"/>
      <c r="Q345" s="607"/>
      <c r="R345" s="246"/>
      <c r="S345" s="261"/>
      <c r="T345" s="607"/>
      <c r="U345" s="246"/>
      <c r="V345" s="607"/>
      <c r="W345" s="246"/>
      <c r="X345" s="607"/>
      <c r="Y345" s="246"/>
      <c r="Z345" s="261"/>
      <c r="AA345" s="607"/>
      <c r="AB345" s="246"/>
      <c r="AC345" s="607"/>
      <c r="AD345" s="246"/>
      <c r="AE345" s="607"/>
      <c r="AF345" s="246"/>
      <c r="AG345" s="261"/>
      <c r="AH345" s="607"/>
      <c r="AI345" s="246"/>
      <c r="AJ345" s="607"/>
      <c r="AK345" s="246"/>
      <c r="AL345" s="607"/>
      <c r="AM345" s="246"/>
      <c r="AN345" s="261"/>
      <c r="AO345" s="607"/>
      <c r="AP345" s="246"/>
      <c r="AQ345" s="607"/>
      <c r="AR345" s="246"/>
      <c r="AS345" s="607"/>
      <c r="AT345" s="254" t="str">
        <f t="shared" si="69"/>
        <v/>
      </c>
      <c r="AU345" s="269"/>
      <c r="AV345" s="269"/>
    </row>
    <row r="346">
      <c r="A346" s="94"/>
      <c r="B346" s="314" t="s">
        <v>660</v>
      </c>
      <c r="C346" s="315" t="s">
        <v>649</v>
      </c>
      <c r="D346" s="243"/>
      <c r="E346" s="259"/>
      <c r="F346" s="746"/>
      <c r="G346" s="246"/>
      <c r="H346" s="543"/>
      <c r="I346" s="246"/>
      <c r="J346" s="543"/>
      <c r="K346" s="246"/>
      <c r="L346" s="261"/>
      <c r="M346" s="543"/>
      <c r="N346" s="246"/>
      <c r="O346" s="543"/>
      <c r="P346" s="246"/>
      <c r="Q346" s="543"/>
      <c r="R346" s="246"/>
      <c r="S346" s="261"/>
      <c r="T346" s="543"/>
      <c r="U346" s="246"/>
      <c r="V346" s="543"/>
      <c r="W346" s="246"/>
      <c r="X346" s="543"/>
      <c r="Y346" s="246"/>
      <c r="Z346" s="261"/>
      <c r="AA346" s="543"/>
      <c r="AB346" s="246"/>
      <c r="AC346" s="543"/>
      <c r="AD346" s="246"/>
      <c r="AE346" s="543"/>
      <c r="AF346" s="246"/>
      <c r="AG346" s="261"/>
      <c r="AH346" s="543"/>
      <c r="AI346" s="246"/>
      <c r="AJ346" s="543"/>
      <c r="AK346" s="246"/>
      <c r="AL346" s="543"/>
      <c r="AM346" s="246"/>
      <c r="AN346" s="261"/>
      <c r="AO346" s="543"/>
      <c r="AP346" s="246"/>
      <c r="AQ346" s="543"/>
      <c r="AR346" s="246"/>
      <c r="AS346" s="543"/>
      <c r="AT346" s="254" t="str">
        <f t="shared" si="69"/>
        <v/>
      </c>
      <c r="AU346" s="269"/>
      <c r="AV346" s="269"/>
    </row>
    <row r="347">
      <c r="A347" s="94"/>
      <c r="B347" s="296" t="s">
        <v>650</v>
      </c>
      <c r="C347" s="297" t="s">
        <v>649</v>
      </c>
      <c r="D347" s="243"/>
      <c r="E347" s="259"/>
      <c r="F347" s="298"/>
      <c r="G347" s="298"/>
      <c r="H347" s="298"/>
      <c r="I347" s="298"/>
      <c r="J347" s="298"/>
      <c r="K347" s="298"/>
      <c r="L347" s="261"/>
      <c r="M347" s="298"/>
      <c r="N347" s="298"/>
      <c r="O347" s="298"/>
      <c r="P347" s="298"/>
      <c r="Q347" s="298"/>
      <c r="R347" s="298"/>
      <c r="S347" s="261"/>
      <c r="T347" s="298"/>
      <c r="U347" s="298"/>
      <c r="V347" s="298"/>
      <c r="W347" s="298"/>
      <c r="X347" s="298"/>
      <c r="Y347" s="298"/>
      <c r="Z347" s="261"/>
      <c r="AA347" s="298"/>
      <c r="AB347" s="298"/>
      <c r="AC347" s="298"/>
      <c r="AD347" s="298"/>
      <c r="AE347" s="298"/>
      <c r="AF347" s="298"/>
      <c r="AG347" s="261"/>
      <c r="AH347" s="298"/>
      <c r="AI347" s="298"/>
      <c r="AJ347" s="298"/>
      <c r="AK347" s="298"/>
      <c r="AL347" s="298"/>
      <c r="AM347" s="298"/>
      <c r="AN347" s="261"/>
      <c r="AO347" s="298"/>
      <c r="AP347" s="298"/>
      <c r="AQ347" s="298"/>
      <c r="AR347" s="298"/>
      <c r="AS347" s="298"/>
      <c r="AT347" s="254" t="str">
        <f>IF(COUNTIF($AO$79:$AT$81, AS348) &gt; 0, "X", "")</f>
        <v/>
      </c>
      <c r="AU347" s="269"/>
      <c r="AV347" s="269"/>
    </row>
    <row r="348">
      <c r="A348" s="94"/>
      <c r="B348" s="301" t="s">
        <v>651</v>
      </c>
      <c r="C348" s="302" t="s">
        <v>652</v>
      </c>
      <c r="D348" s="323"/>
      <c r="E348" s="259"/>
      <c r="F348" s="741"/>
      <c r="G348" s="298"/>
      <c r="H348" s="741"/>
      <c r="I348" s="298"/>
      <c r="J348" s="741"/>
      <c r="K348" s="298"/>
      <c r="L348" s="261"/>
      <c r="M348" s="741"/>
      <c r="N348" s="298"/>
      <c r="O348" s="741"/>
      <c r="P348" s="298"/>
      <c r="Q348" s="741"/>
      <c r="R348" s="298"/>
      <c r="S348" s="261"/>
      <c r="T348" s="741"/>
      <c r="U348" s="298"/>
      <c r="V348" s="741"/>
      <c r="W348" s="298"/>
      <c r="X348" s="741"/>
      <c r="Y348" s="298"/>
      <c r="Z348" s="261"/>
      <c r="AA348" s="741"/>
      <c r="AB348" s="298"/>
      <c r="AC348" s="741"/>
      <c r="AD348" s="298"/>
      <c r="AE348" s="741"/>
      <c r="AF348" s="298"/>
      <c r="AG348" s="261"/>
      <c r="AH348" s="741"/>
      <c r="AI348" s="298"/>
      <c r="AJ348" s="741"/>
      <c r="AK348" s="298"/>
      <c r="AL348" s="741"/>
      <c r="AM348" s="298"/>
      <c r="AN348" s="261"/>
      <c r="AO348" s="741"/>
      <c r="AP348" s="298"/>
      <c r="AQ348" s="741"/>
      <c r="AR348" s="298"/>
      <c r="AS348" s="741"/>
      <c r="AT348" s="254" t="str">
        <f t="shared" ref="AT348:AT349" si="70">IF(COUNTIF($AO$79:$AT$81, #REF!) &gt; 0, "X", "")</f>
        <v/>
      </c>
      <c r="AU348" s="269"/>
      <c r="AV348" s="269"/>
    </row>
    <row r="349">
      <c r="A349" s="94"/>
      <c r="B349" s="322" t="s">
        <v>662</v>
      </c>
      <c r="C349" s="306" t="s">
        <v>663</v>
      </c>
      <c r="D349" s="330"/>
      <c r="E349" s="259"/>
      <c r="F349" s="298"/>
      <c r="G349" s="298"/>
      <c r="H349" s="298"/>
      <c r="I349" s="298"/>
      <c r="J349" s="742"/>
      <c r="K349" s="298"/>
      <c r="L349" s="261"/>
      <c r="M349" s="742"/>
      <c r="N349" s="298"/>
      <c r="O349" s="742"/>
      <c r="P349" s="298"/>
      <c r="Q349" s="742"/>
      <c r="R349" s="298"/>
      <c r="S349" s="261"/>
      <c r="T349" s="742"/>
      <c r="U349" s="298"/>
      <c r="V349" s="742"/>
      <c r="W349" s="298"/>
      <c r="X349" s="742"/>
      <c r="Y349" s="298"/>
      <c r="Z349" s="261"/>
      <c r="AA349" s="742"/>
      <c r="AB349" s="298"/>
      <c r="AC349" s="742"/>
      <c r="AD349" s="298"/>
      <c r="AE349" s="742"/>
      <c r="AF349" s="298"/>
      <c r="AG349" s="261"/>
      <c r="AH349" s="742"/>
      <c r="AI349" s="298"/>
      <c r="AJ349" s="742"/>
      <c r="AK349" s="298"/>
      <c r="AL349" s="742"/>
      <c r="AM349" s="298"/>
      <c r="AN349" s="261"/>
      <c r="AO349" s="742"/>
      <c r="AP349" s="298"/>
      <c r="AQ349" s="742"/>
      <c r="AR349" s="298"/>
      <c r="AS349" s="742"/>
      <c r="AT349" s="254" t="str">
        <f t="shared" si="70"/>
        <v/>
      </c>
      <c r="AU349" s="269"/>
      <c r="AV349" s="269"/>
    </row>
    <row r="350">
      <c r="A350" s="94"/>
      <c r="B350" s="328" t="s">
        <v>665</v>
      </c>
      <c r="C350" s="329" t="s">
        <v>654</v>
      </c>
      <c r="D350" s="330"/>
      <c r="E350" s="259"/>
      <c r="F350" s="742"/>
      <c r="G350" s="246"/>
      <c r="H350" s="742"/>
      <c r="I350" s="246"/>
      <c r="J350" s="747"/>
      <c r="K350" s="246"/>
      <c r="L350" s="261"/>
      <c r="M350" s="747"/>
      <c r="N350" s="246"/>
      <c r="O350" s="747"/>
      <c r="P350" s="246"/>
      <c r="Q350" s="747"/>
      <c r="R350" s="246"/>
      <c r="S350" s="261"/>
      <c r="T350" s="747"/>
      <c r="U350" s="246"/>
      <c r="V350" s="747"/>
      <c r="W350" s="246"/>
      <c r="X350" s="747"/>
      <c r="Y350" s="246"/>
      <c r="Z350" s="261"/>
      <c r="AA350" s="747"/>
      <c r="AB350" s="246"/>
      <c r="AC350" s="747"/>
      <c r="AD350" s="246"/>
      <c r="AE350" s="747"/>
      <c r="AF350" s="246"/>
      <c r="AG350" s="261"/>
      <c r="AH350" s="747"/>
      <c r="AI350" s="246"/>
      <c r="AJ350" s="747"/>
      <c r="AK350" s="246"/>
      <c r="AL350" s="747"/>
      <c r="AM350" s="246"/>
      <c r="AN350" s="261"/>
      <c r="AO350" s="747"/>
      <c r="AP350" s="246"/>
      <c r="AQ350" s="747"/>
      <c r="AR350" s="246"/>
      <c r="AS350" s="747"/>
      <c r="AT350" s="254" t="str">
        <f>IF(COUNTIF($AO$79:$AT$81, AL362) &gt; 0, "X", "")</f>
        <v/>
      </c>
      <c r="AU350" s="269"/>
      <c r="AV350" s="269"/>
    </row>
    <row r="351">
      <c r="A351" s="94"/>
      <c r="B351" s="337" t="s">
        <v>665</v>
      </c>
      <c r="C351" s="338" t="s">
        <v>657</v>
      </c>
      <c r="D351" s="330"/>
      <c r="E351" s="259"/>
      <c r="F351" s="747"/>
      <c r="G351" s="246"/>
      <c r="H351" s="747"/>
      <c r="I351" s="246"/>
      <c r="J351" s="748"/>
      <c r="K351" s="246"/>
      <c r="L351" s="261"/>
      <c r="M351" s="748"/>
      <c r="N351" s="246"/>
      <c r="O351" s="748"/>
      <c r="P351" s="246"/>
      <c r="Q351" s="748"/>
      <c r="R351" s="246"/>
      <c r="S351" s="261"/>
      <c r="T351" s="748"/>
      <c r="U351" s="246"/>
      <c r="V351" s="748"/>
      <c r="W351" s="246"/>
      <c r="X351" s="748"/>
      <c r="Y351" s="246"/>
      <c r="Z351" s="261"/>
      <c r="AA351" s="748"/>
      <c r="AB351" s="246"/>
      <c r="AC351" s="748"/>
      <c r="AD351" s="246"/>
      <c r="AE351" s="748"/>
      <c r="AF351" s="246"/>
      <c r="AG351" s="261"/>
      <c r="AH351" s="748"/>
      <c r="AI351" s="246"/>
      <c r="AJ351" s="748"/>
      <c r="AK351" s="246"/>
      <c r="AL351" s="748"/>
      <c r="AM351" s="246"/>
      <c r="AN351" s="261"/>
      <c r="AO351" s="748"/>
      <c r="AP351" s="246"/>
      <c r="AQ351" s="748"/>
      <c r="AR351" s="246"/>
      <c r="AS351" s="748"/>
      <c r="AT351" s="254" t="str">
        <f t="shared" ref="AT351:AT355" si="71">IF(COUNTIF($AO$79:$AT$81, #REF!) &gt; 0, "X", "")</f>
        <v/>
      </c>
      <c r="AU351" s="269"/>
      <c r="AV351" s="269"/>
    </row>
    <row r="352">
      <c r="A352" s="94"/>
      <c r="B352" s="256" t="s">
        <v>665</v>
      </c>
      <c r="C352" s="257" t="s">
        <v>663</v>
      </c>
      <c r="D352" s="330"/>
      <c r="E352" s="259"/>
      <c r="F352" s="607"/>
      <c r="G352" s="246"/>
      <c r="H352" s="607"/>
      <c r="I352" s="246"/>
      <c r="J352" s="742"/>
      <c r="K352" s="246"/>
      <c r="L352" s="261"/>
      <c r="M352" s="742"/>
      <c r="N352" s="246"/>
      <c r="O352" s="742"/>
      <c r="P352" s="246"/>
      <c r="Q352" s="742"/>
      <c r="R352" s="246"/>
      <c r="S352" s="261"/>
      <c r="T352" s="742"/>
      <c r="U352" s="246"/>
      <c r="V352" s="742"/>
      <c r="W352" s="246"/>
      <c r="X352" s="742"/>
      <c r="Y352" s="246"/>
      <c r="Z352" s="261"/>
      <c r="AA352" s="742"/>
      <c r="AB352" s="246"/>
      <c r="AC352" s="742"/>
      <c r="AD352" s="246"/>
      <c r="AE352" s="742"/>
      <c r="AF352" s="246"/>
      <c r="AG352" s="261"/>
      <c r="AH352" s="742"/>
      <c r="AI352" s="246"/>
      <c r="AJ352" s="742"/>
      <c r="AK352" s="246"/>
      <c r="AL352" s="742"/>
      <c r="AM352" s="246"/>
      <c r="AN352" s="261"/>
      <c r="AO352" s="742"/>
      <c r="AP352" s="246"/>
      <c r="AQ352" s="742"/>
      <c r="AR352" s="246"/>
      <c r="AS352" s="742"/>
      <c r="AT352" s="254" t="str">
        <f t="shared" si="71"/>
        <v/>
      </c>
      <c r="AU352" s="269"/>
      <c r="AV352" s="269"/>
    </row>
    <row r="353">
      <c r="A353" s="94"/>
      <c r="B353" s="328" t="s">
        <v>665</v>
      </c>
      <c r="C353" s="329" t="s">
        <v>645</v>
      </c>
      <c r="D353" s="323"/>
      <c r="E353" s="261"/>
      <c r="F353" s="742"/>
      <c r="G353" s="246"/>
      <c r="H353" s="542"/>
      <c r="I353" s="246"/>
      <c r="J353" s="748"/>
      <c r="K353" s="246"/>
      <c r="L353" s="261"/>
      <c r="M353" s="748"/>
      <c r="N353" s="246"/>
      <c r="O353" s="748"/>
      <c r="P353" s="246"/>
      <c r="Q353" s="748"/>
      <c r="R353" s="246"/>
      <c r="S353" s="261"/>
      <c r="T353" s="748"/>
      <c r="U353" s="246"/>
      <c r="V353" s="748"/>
      <c r="W353" s="246"/>
      <c r="X353" s="748"/>
      <c r="Y353" s="246"/>
      <c r="Z353" s="261"/>
      <c r="AA353" s="748"/>
      <c r="AB353" s="246"/>
      <c r="AC353" s="748"/>
      <c r="AD353" s="246"/>
      <c r="AE353" s="748"/>
      <c r="AF353" s="246"/>
      <c r="AG353" s="261"/>
      <c r="AH353" s="748"/>
      <c r="AI353" s="246"/>
      <c r="AJ353" s="748"/>
      <c r="AK353" s="246"/>
      <c r="AL353" s="748"/>
      <c r="AM353" s="246"/>
      <c r="AN353" s="261"/>
      <c r="AO353" s="748"/>
      <c r="AP353" s="246"/>
      <c r="AQ353" s="748"/>
      <c r="AR353" s="246"/>
      <c r="AS353" s="748"/>
      <c r="AT353" s="254" t="str">
        <f t="shared" si="71"/>
        <v/>
      </c>
      <c r="AU353" s="269"/>
      <c r="AV353" s="269"/>
    </row>
    <row r="354">
      <c r="A354" s="94"/>
      <c r="B354" s="342" t="s">
        <v>667</v>
      </c>
      <c r="C354" s="343" t="s">
        <v>657</v>
      </c>
      <c r="D354" s="351"/>
      <c r="E354" s="259"/>
      <c r="F354" s="749"/>
      <c r="G354" s="246"/>
      <c r="H354" s="607"/>
      <c r="I354" s="246"/>
      <c r="J354" s="607"/>
      <c r="K354" s="246"/>
      <c r="L354" s="261"/>
      <c r="M354" s="607"/>
      <c r="N354" s="246"/>
      <c r="O354" s="607"/>
      <c r="P354" s="246"/>
      <c r="Q354" s="607"/>
      <c r="R354" s="246"/>
      <c r="S354" s="261"/>
      <c r="T354" s="607"/>
      <c r="U354" s="246"/>
      <c r="V354" s="607"/>
      <c r="W354" s="246"/>
      <c r="X354" s="607"/>
      <c r="Y354" s="246"/>
      <c r="Z354" s="261"/>
      <c r="AA354" s="607"/>
      <c r="AB354" s="246"/>
      <c r="AC354" s="607"/>
      <c r="AD354" s="246"/>
      <c r="AE354" s="607"/>
      <c r="AF354" s="246"/>
      <c r="AG354" s="261"/>
      <c r="AH354" s="607"/>
      <c r="AI354" s="246"/>
      <c r="AJ354" s="607"/>
      <c r="AK354" s="246"/>
      <c r="AL354" s="607"/>
      <c r="AM354" s="246"/>
      <c r="AN354" s="261"/>
      <c r="AO354" s="607"/>
      <c r="AP354" s="246"/>
      <c r="AQ354" s="607"/>
      <c r="AR354" s="246"/>
      <c r="AS354" s="607"/>
      <c r="AT354" s="254" t="str">
        <f t="shared" si="71"/>
        <v/>
      </c>
      <c r="AU354" s="269"/>
      <c r="AV354" s="269"/>
    </row>
    <row r="355">
      <c r="A355" s="94"/>
      <c r="B355" s="349" t="s">
        <v>669</v>
      </c>
      <c r="C355" s="350" t="s">
        <v>649</v>
      </c>
      <c r="D355" s="323"/>
      <c r="E355" s="259"/>
      <c r="F355" s="750"/>
      <c r="G355" s="246"/>
      <c r="H355" s="751"/>
      <c r="I355" s="246"/>
      <c r="J355" s="752"/>
      <c r="K355" s="246"/>
      <c r="L355" s="261"/>
      <c r="M355" s="752"/>
      <c r="N355" s="246"/>
      <c r="O355" s="752"/>
      <c r="P355" s="246"/>
      <c r="Q355" s="752"/>
      <c r="R355" s="246"/>
      <c r="S355" s="261"/>
      <c r="T355" s="752"/>
      <c r="U355" s="246"/>
      <c r="V355" s="752"/>
      <c r="W355" s="246"/>
      <c r="X355" s="752"/>
      <c r="Y355" s="246"/>
      <c r="Z355" s="261"/>
      <c r="AA355" s="752"/>
      <c r="AB355" s="246"/>
      <c r="AC355" s="752"/>
      <c r="AD355" s="246"/>
      <c r="AE355" s="752"/>
      <c r="AF355" s="246"/>
      <c r="AG355" s="261"/>
      <c r="AH355" s="752"/>
      <c r="AI355" s="246"/>
      <c r="AJ355" s="752"/>
      <c r="AK355" s="246"/>
      <c r="AL355" s="752"/>
      <c r="AM355" s="246"/>
      <c r="AN355" s="261"/>
      <c r="AO355" s="752"/>
      <c r="AP355" s="246"/>
      <c r="AQ355" s="752"/>
      <c r="AR355" s="246"/>
      <c r="AS355" s="752"/>
      <c r="AT355" s="254" t="str">
        <f t="shared" si="71"/>
        <v/>
      </c>
      <c r="AU355" s="269"/>
      <c r="AV355" s="269"/>
    </row>
    <row r="356">
      <c r="A356" s="234"/>
      <c r="B356" s="296" t="s">
        <v>650</v>
      </c>
      <c r="C356" s="297" t="s">
        <v>649</v>
      </c>
      <c r="D356" s="330"/>
      <c r="E356" s="259"/>
      <c r="F356" s="745"/>
      <c r="G356" s="298"/>
      <c r="H356" s="753"/>
      <c r="I356" s="298"/>
      <c r="J356" s="745"/>
      <c r="K356" s="298"/>
      <c r="L356" s="261"/>
      <c r="M356" s="745"/>
      <c r="N356" s="298"/>
      <c r="O356" s="745"/>
      <c r="P356" s="298"/>
      <c r="Q356" s="745"/>
      <c r="R356" s="298"/>
      <c r="S356" s="261"/>
      <c r="T356" s="745"/>
      <c r="U356" s="298"/>
      <c r="V356" s="745"/>
      <c r="W356" s="298"/>
      <c r="X356" s="745"/>
      <c r="Y356" s="298"/>
      <c r="Z356" s="261"/>
      <c r="AA356" s="745"/>
      <c r="AB356" s="298"/>
      <c r="AC356" s="745"/>
      <c r="AD356" s="298"/>
      <c r="AE356" s="745"/>
      <c r="AF356" s="298"/>
      <c r="AG356" s="261"/>
      <c r="AH356" s="745"/>
      <c r="AI356" s="298"/>
      <c r="AJ356" s="745"/>
      <c r="AK356" s="298"/>
      <c r="AL356" s="745"/>
      <c r="AM356" s="298"/>
      <c r="AN356" s="261"/>
      <c r="AO356" s="745"/>
      <c r="AP356" s="298"/>
      <c r="AQ356" s="745"/>
      <c r="AR356" s="298"/>
      <c r="AS356" s="745"/>
      <c r="AT356" s="254" t="str">
        <f>IF(COUNTIF($AO$79:$AT$81, AS357) &gt; 0, "X", "")</f>
        <v/>
      </c>
      <c r="AU356" s="269"/>
      <c r="AV356" s="269"/>
    </row>
    <row r="357">
      <c r="A357" s="94"/>
      <c r="B357" s="301" t="s">
        <v>651</v>
      </c>
      <c r="C357" s="302" t="s">
        <v>652</v>
      </c>
      <c r="D357" s="363"/>
      <c r="E357" s="259"/>
      <c r="F357" s="741"/>
      <c r="G357" s="298"/>
      <c r="H357" s="298"/>
      <c r="I357" s="298"/>
      <c r="J357" s="741"/>
      <c r="K357" s="298"/>
      <c r="L357" s="261"/>
      <c r="M357" s="741"/>
      <c r="N357" s="298"/>
      <c r="O357" s="741"/>
      <c r="P357" s="298"/>
      <c r="Q357" s="741"/>
      <c r="R357" s="298"/>
      <c r="S357" s="261"/>
      <c r="T357" s="741"/>
      <c r="U357" s="298"/>
      <c r="V357" s="741"/>
      <c r="W357" s="298"/>
      <c r="X357" s="741"/>
      <c r="Y357" s="298"/>
      <c r="Z357" s="261"/>
      <c r="AA357" s="741"/>
      <c r="AB357" s="298"/>
      <c r="AC357" s="741"/>
      <c r="AD357" s="298"/>
      <c r="AE357" s="741"/>
      <c r="AF357" s="298"/>
      <c r="AG357" s="261"/>
      <c r="AH357" s="741"/>
      <c r="AI357" s="298"/>
      <c r="AJ357" s="741"/>
      <c r="AK357" s="298"/>
      <c r="AL357" s="741"/>
      <c r="AM357" s="298"/>
      <c r="AN357" s="261"/>
      <c r="AO357" s="741"/>
      <c r="AP357" s="298"/>
      <c r="AQ357" s="741"/>
      <c r="AR357" s="298"/>
      <c r="AS357" s="741"/>
      <c r="AT357" s="254" t="str">
        <f t="shared" ref="AT357:AT358" si="72">IF(COUNTIF($AO$79:$AT$81, #REF!) &gt; 0, "X", "")</f>
        <v/>
      </c>
      <c r="AU357" s="269"/>
      <c r="AV357" s="269"/>
    </row>
    <row r="358">
      <c r="A358" s="94"/>
      <c r="B358" s="361" t="s">
        <v>673</v>
      </c>
      <c r="C358" s="362" t="s">
        <v>674</v>
      </c>
      <c r="D358" s="369"/>
      <c r="E358" s="259"/>
      <c r="F358" s="743"/>
      <c r="G358" s="298"/>
      <c r="H358" s="542"/>
      <c r="I358" s="298"/>
      <c r="J358" s="542"/>
      <c r="K358" s="298"/>
      <c r="L358" s="261"/>
      <c r="M358" s="542"/>
      <c r="N358" s="298"/>
      <c r="O358" s="542"/>
      <c r="P358" s="298"/>
      <c r="Q358" s="542"/>
      <c r="R358" s="298"/>
      <c r="S358" s="261"/>
      <c r="T358" s="542"/>
      <c r="U358" s="298"/>
      <c r="V358" s="542"/>
      <c r="W358" s="298"/>
      <c r="X358" s="542"/>
      <c r="Y358" s="298"/>
      <c r="Z358" s="261"/>
      <c r="AA358" s="542"/>
      <c r="AB358" s="298"/>
      <c r="AC358" s="542"/>
      <c r="AD358" s="298"/>
      <c r="AE358" s="542"/>
      <c r="AF358" s="298"/>
      <c r="AG358" s="261"/>
      <c r="AH358" s="542"/>
      <c r="AI358" s="298"/>
      <c r="AJ358" s="542"/>
      <c r="AK358" s="298"/>
      <c r="AL358" s="542"/>
      <c r="AM358" s="298"/>
      <c r="AN358" s="261"/>
      <c r="AO358" s="542"/>
      <c r="AP358" s="298"/>
      <c r="AQ358" s="542"/>
      <c r="AR358" s="298"/>
      <c r="AS358" s="542"/>
      <c r="AT358" s="254" t="str">
        <f t="shared" si="72"/>
        <v/>
      </c>
      <c r="AU358" s="269"/>
      <c r="AV358" s="269"/>
    </row>
    <row r="359">
      <c r="A359" s="94"/>
      <c r="B359" s="367" t="s">
        <v>677</v>
      </c>
      <c r="C359" s="368" t="s">
        <v>674</v>
      </c>
      <c r="D359" s="330"/>
      <c r="E359" s="259"/>
      <c r="F359" s="590"/>
      <c r="G359" s="246"/>
      <c r="H359" s="590"/>
      <c r="I359" s="246"/>
      <c r="J359" s="590"/>
      <c r="K359" s="246"/>
      <c r="L359" s="261"/>
      <c r="M359" s="590"/>
      <c r="N359" s="246"/>
      <c r="O359" s="590"/>
      <c r="P359" s="246"/>
      <c r="Q359" s="590"/>
      <c r="R359" s="246"/>
      <c r="S359" s="261"/>
      <c r="T359" s="590"/>
      <c r="U359" s="246"/>
      <c r="V359" s="590"/>
      <c r="W359" s="246"/>
      <c r="X359" s="590"/>
      <c r="Y359" s="246"/>
      <c r="Z359" s="261"/>
      <c r="AA359" s="590"/>
      <c r="AB359" s="246"/>
      <c r="AC359" s="590"/>
      <c r="AD359" s="246"/>
      <c r="AE359" s="590"/>
      <c r="AF359" s="246"/>
      <c r="AG359" s="261"/>
      <c r="AH359" s="590"/>
      <c r="AI359" s="246"/>
      <c r="AJ359" s="590"/>
      <c r="AK359" s="246"/>
      <c r="AL359" s="590"/>
      <c r="AM359" s="246"/>
      <c r="AN359" s="261"/>
      <c r="AO359" s="590"/>
      <c r="AP359" s="246"/>
      <c r="AQ359" s="590"/>
      <c r="AR359" s="246"/>
      <c r="AS359" s="590"/>
      <c r="AT359" s="254" t="str">
        <f>IF(COUNTIF($AO$79:$AT$81, AS359) &gt; 0, "X", "")</f>
        <v/>
      </c>
      <c r="AU359" s="269"/>
      <c r="AV359" s="269"/>
    </row>
    <row r="360">
      <c r="A360" s="94"/>
      <c r="B360" s="256" t="s">
        <v>679</v>
      </c>
      <c r="C360" s="257" t="s">
        <v>680</v>
      </c>
      <c r="D360" s="330"/>
      <c r="E360" s="259"/>
      <c r="F360" s="747"/>
      <c r="G360" s="246"/>
      <c r="H360" s="743"/>
      <c r="I360" s="246"/>
      <c r="J360" s="742"/>
      <c r="K360" s="246"/>
      <c r="L360" s="261"/>
      <c r="M360" s="742"/>
      <c r="N360" s="246"/>
      <c r="O360" s="742"/>
      <c r="P360" s="246"/>
      <c r="Q360" s="742"/>
      <c r="R360" s="246"/>
      <c r="S360" s="261"/>
      <c r="T360" s="742"/>
      <c r="U360" s="246"/>
      <c r="V360" s="742"/>
      <c r="W360" s="246"/>
      <c r="X360" s="742"/>
      <c r="Y360" s="246"/>
      <c r="Z360" s="261"/>
      <c r="AA360" s="742"/>
      <c r="AB360" s="246"/>
      <c r="AC360" s="742"/>
      <c r="AD360" s="246"/>
      <c r="AE360" s="742"/>
      <c r="AF360" s="246"/>
      <c r="AG360" s="261"/>
      <c r="AH360" s="742"/>
      <c r="AI360" s="246"/>
      <c r="AJ360" s="742"/>
      <c r="AK360" s="246"/>
      <c r="AL360" s="742"/>
      <c r="AM360" s="246"/>
      <c r="AN360" s="261"/>
      <c r="AO360" s="742"/>
      <c r="AP360" s="246"/>
      <c r="AQ360" s="742"/>
      <c r="AR360" s="246"/>
      <c r="AS360" s="742"/>
      <c r="AT360" s="254" t="str">
        <f t="shared" ref="AT360:AT364" si="73">IF(COUNTIF($AO$79:$AT$81, #REF!) &gt; 0, "X", "")</f>
        <v/>
      </c>
      <c r="AU360" s="269"/>
      <c r="AV360" s="269"/>
    </row>
    <row r="361">
      <c r="A361" s="372"/>
      <c r="B361" s="328" t="s">
        <v>679</v>
      </c>
      <c r="C361" s="329" t="s">
        <v>652</v>
      </c>
      <c r="D361" s="330"/>
      <c r="E361" s="259"/>
      <c r="F361" s="590"/>
      <c r="G361" s="246"/>
      <c r="H361" s="590"/>
      <c r="I361" s="246"/>
      <c r="J361" s="590"/>
      <c r="K361" s="246"/>
      <c r="L361" s="261"/>
      <c r="M361" s="590"/>
      <c r="N361" s="246"/>
      <c r="O361" s="590"/>
      <c r="P361" s="246"/>
      <c r="Q361" s="590"/>
      <c r="R361" s="246"/>
      <c r="S361" s="261"/>
      <c r="T361" s="590"/>
      <c r="U361" s="246"/>
      <c r="V361" s="590"/>
      <c r="W361" s="246"/>
      <c r="X361" s="590"/>
      <c r="Y361" s="246"/>
      <c r="Z361" s="261"/>
      <c r="AA361" s="590"/>
      <c r="AB361" s="246"/>
      <c r="AC361" s="590"/>
      <c r="AD361" s="246"/>
      <c r="AE361" s="590"/>
      <c r="AF361" s="246"/>
      <c r="AG361" s="261"/>
      <c r="AH361" s="590"/>
      <c r="AI361" s="246"/>
      <c r="AJ361" s="590"/>
      <c r="AK361" s="246"/>
      <c r="AL361" s="590"/>
      <c r="AM361" s="246"/>
      <c r="AN361" s="261"/>
      <c r="AO361" s="590"/>
      <c r="AP361" s="246"/>
      <c r="AQ361" s="590"/>
      <c r="AR361" s="246"/>
      <c r="AS361" s="590"/>
      <c r="AT361" s="254" t="str">
        <f t="shared" si="73"/>
        <v/>
      </c>
      <c r="AU361" s="269"/>
      <c r="AV361" s="269"/>
    </row>
    <row r="362">
      <c r="A362" s="94"/>
      <c r="B362" s="328" t="s">
        <v>679</v>
      </c>
      <c r="C362" s="329" t="s">
        <v>683</v>
      </c>
      <c r="D362" s="379"/>
      <c r="E362" s="380"/>
      <c r="F362" s="754"/>
      <c r="G362" s="246"/>
      <c r="H362" s="742"/>
      <c r="I362" s="246"/>
      <c r="J362" s="742"/>
      <c r="K362" s="246"/>
      <c r="L362" s="261"/>
      <c r="M362" s="742"/>
      <c r="N362" s="246"/>
      <c r="O362" s="742"/>
      <c r="P362" s="246"/>
      <c r="Q362" s="742"/>
      <c r="R362" s="246"/>
      <c r="S362" s="261"/>
      <c r="T362" s="742"/>
      <c r="U362" s="246"/>
      <c r="V362" s="742"/>
      <c r="W362" s="246"/>
      <c r="X362" s="742"/>
      <c r="Y362" s="246"/>
      <c r="Z362" s="261"/>
      <c r="AA362" s="742"/>
      <c r="AB362" s="246"/>
      <c r="AC362" s="742"/>
      <c r="AD362" s="246"/>
      <c r="AE362" s="742"/>
      <c r="AF362" s="246"/>
      <c r="AG362" s="261"/>
      <c r="AH362" s="742"/>
      <c r="AI362" s="246"/>
      <c r="AJ362" s="742"/>
      <c r="AK362" s="246"/>
      <c r="AL362" s="742"/>
      <c r="AM362" s="246"/>
      <c r="AN362" s="261"/>
      <c r="AO362" s="742"/>
      <c r="AP362" s="246"/>
      <c r="AQ362" s="742"/>
      <c r="AR362" s="246"/>
      <c r="AS362" s="742"/>
      <c r="AT362" s="254" t="str">
        <f t="shared" si="73"/>
        <v/>
      </c>
      <c r="AU362" s="269"/>
      <c r="AV362" s="269"/>
    </row>
    <row r="363">
      <c r="A363" s="94"/>
      <c r="B363" s="377" t="s">
        <v>684</v>
      </c>
      <c r="C363" s="378" t="s">
        <v>685</v>
      </c>
      <c r="D363" s="363"/>
      <c r="E363" s="259"/>
      <c r="F363" s="743"/>
      <c r="G363" s="246"/>
      <c r="H363" s="607"/>
      <c r="I363" s="246"/>
      <c r="J363" s="747"/>
      <c r="K363" s="246"/>
      <c r="L363" s="381"/>
      <c r="M363" s="747"/>
      <c r="N363" s="246"/>
      <c r="O363" s="747"/>
      <c r="P363" s="246"/>
      <c r="Q363" s="747"/>
      <c r="R363" s="246"/>
      <c r="S363" s="381"/>
      <c r="T363" s="747"/>
      <c r="U363" s="246"/>
      <c r="V363" s="747"/>
      <c r="W363" s="246"/>
      <c r="X363" s="747"/>
      <c r="Y363" s="246"/>
      <c r="Z363" s="381"/>
      <c r="AA363" s="747"/>
      <c r="AB363" s="246"/>
      <c r="AC363" s="747"/>
      <c r="AD363" s="246"/>
      <c r="AE363" s="747"/>
      <c r="AF363" s="246"/>
      <c r="AG363" s="381"/>
      <c r="AH363" s="747"/>
      <c r="AI363" s="246"/>
      <c r="AJ363" s="747"/>
      <c r="AK363" s="246"/>
      <c r="AL363" s="747"/>
      <c r="AM363" s="246"/>
      <c r="AN363" s="381"/>
      <c r="AO363" s="747"/>
      <c r="AP363" s="246"/>
      <c r="AQ363" s="747"/>
      <c r="AR363" s="246"/>
      <c r="AS363" s="747"/>
      <c r="AT363" s="254" t="str">
        <f t="shared" si="73"/>
        <v/>
      </c>
      <c r="AU363" s="269"/>
      <c r="AV363" s="269"/>
    </row>
    <row r="364">
      <c r="A364" s="270"/>
      <c r="B364" s="382" t="s">
        <v>686</v>
      </c>
      <c r="C364" s="242" t="s">
        <v>652</v>
      </c>
      <c r="D364" s="330"/>
      <c r="E364" s="259"/>
      <c r="F364" s="743"/>
      <c r="G364" s="246"/>
      <c r="H364" s="743"/>
      <c r="I364" s="246"/>
      <c r="J364" s="747"/>
      <c r="K364" s="246"/>
      <c r="L364" s="261"/>
      <c r="M364" s="747"/>
      <c r="N364" s="246"/>
      <c r="O364" s="747"/>
      <c r="P364" s="246"/>
      <c r="Q364" s="747"/>
      <c r="R364" s="246"/>
      <c r="S364" s="261"/>
      <c r="T364" s="747"/>
      <c r="U364" s="246"/>
      <c r="V364" s="747"/>
      <c r="W364" s="246"/>
      <c r="X364" s="747"/>
      <c r="Y364" s="246"/>
      <c r="Z364" s="261"/>
      <c r="AA364" s="747"/>
      <c r="AB364" s="246"/>
      <c r="AC364" s="747"/>
      <c r="AD364" s="246"/>
      <c r="AE364" s="747"/>
      <c r="AF364" s="246"/>
      <c r="AG364" s="261"/>
      <c r="AH364" s="747"/>
      <c r="AI364" s="246"/>
      <c r="AJ364" s="747"/>
      <c r="AK364" s="246"/>
      <c r="AL364" s="747"/>
      <c r="AM364" s="246"/>
      <c r="AN364" s="261"/>
      <c r="AO364" s="747"/>
      <c r="AP364" s="246"/>
      <c r="AQ364" s="747"/>
      <c r="AR364" s="246"/>
      <c r="AS364" s="747"/>
      <c r="AT364" s="254" t="str">
        <f t="shared" si="73"/>
        <v/>
      </c>
      <c r="AU364" s="269"/>
      <c r="AV364" s="269"/>
    </row>
    <row r="365">
      <c r="A365" s="234"/>
      <c r="B365" s="337" t="s">
        <v>686</v>
      </c>
      <c r="C365" s="338" t="s">
        <v>687</v>
      </c>
      <c r="D365" s="330"/>
      <c r="E365" s="259"/>
      <c r="F365" s="607"/>
      <c r="G365" s="246"/>
      <c r="H365" s="755"/>
      <c r="I365" s="246"/>
      <c r="J365" s="607"/>
      <c r="K365" s="246"/>
      <c r="L365" s="261"/>
      <c r="M365" s="607"/>
      <c r="N365" s="246"/>
      <c r="O365" s="607"/>
      <c r="P365" s="246"/>
      <c r="Q365" s="607"/>
      <c r="R365" s="246"/>
      <c r="S365" s="261"/>
      <c r="T365" s="607"/>
      <c r="U365" s="246"/>
      <c r="V365" s="607"/>
      <c r="W365" s="246"/>
      <c r="X365" s="607"/>
      <c r="Y365" s="246"/>
      <c r="Z365" s="261"/>
      <c r="AA365" s="607"/>
      <c r="AB365" s="246"/>
      <c r="AC365" s="607"/>
      <c r="AD365" s="246"/>
      <c r="AE365" s="607"/>
      <c r="AF365" s="246"/>
      <c r="AG365" s="261"/>
      <c r="AH365" s="607"/>
      <c r="AI365" s="246"/>
      <c r="AJ365" s="607"/>
      <c r="AK365" s="246"/>
      <c r="AL365" s="607"/>
      <c r="AM365" s="246"/>
      <c r="AN365" s="261"/>
      <c r="AO365" s="607"/>
      <c r="AP365" s="246"/>
      <c r="AQ365" s="607"/>
      <c r="AR365" s="246"/>
      <c r="AS365" s="607"/>
      <c r="AT365" s="254" t="str">
        <f>IF(COUNTIF($AO$79:$AT$81, AS364) &gt; 0, "X", "")</f>
        <v/>
      </c>
      <c r="AU365" s="269"/>
      <c r="AV365" s="269"/>
    </row>
    <row r="366">
      <c r="A366" s="94"/>
      <c r="B366" s="337" t="s">
        <v>688</v>
      </c>
      <c r="C366" s="285" t="s">
        <v>687</v>
      </c>
      <c r="D366" s="389"/>
      <c r="E366" s="259"/>
      <c r="F366" s="5"/>
      <c r="G366" s="246"/>
      <c r="H366" s="5"/>
      <c r="I366" s="246"/>
      <c r="J366" s="5"/>
      <c r="K366" s="246"/>
      <c r="L366" s="261"/>
      <c r="M366" s="5"/>
      <c r="N366" s="246"/>
      <c r="O366" s="5"/>
      <c r="P366" s="246"/>
      <c r="Q366" s="5"/>
      <c r="R366" s="246"/>
      <c r="S366" s="261"/>
      <c r="T366" s="5"/>
      <c r="U366" s="246"/>
      <c r="V366" s="5"/>
      <c r="W366" s="246"/>
      <c r="X366" s="5"/>
      <c r="Y366" s="246"/>
      <c r="Z366" s="261"/>
      <c r="AA366" s="5"/>
      <c r="AB366" s="246"/>
      <c r="AC366" s="5"/>
      <c r="AD366" s="246"/>
      <c r="AE366" s="5"/>
      <c r="AF366" s="246"/>
      <c r="AG366" s="261"/>
      <c r="AH366" s="5"/>
      <c r="AI366" s="246"/>
      <c r="AJ366" s="5"/>
      <c r="AK366" s="246"/>
      <c r="AL366" s="5"/>
      <c r="AM366" s="246"/>
      <c r="AN366" s="261"/>
      <c r="AO366" s="5"/>
      <c r="AP366" s="246"/>
      <c r="AQ366" s="5"/>
      <c r="AR366" s="246"/>
      <c r="AS366" s="5"/>
      <c r="AT366" s="254" t="str">
        <f>IF(COUNTIF($AO$79:$AT$81, #REF!) &gt; 0, "X", "")</f>
        <v/>
      </c>
      <c r="AU366" s="269"/>
      <c r="AV366" s="269"/>
    </row>
    <row r="367">
      <c r="A367" s="94"/>
      <c r="B367" s="387" t="s">
        <v>690</v>
      </c>
      <c r="C367" s="388" t="s">
        <v>649</v>
      </c>
      <c r="D367" s="323"/>
      <c r="E367" s="259"/>
      <c r="F367" s="741"/>
      <c r="G367" s="246"/>
      <c r="H367" s="741"/>
      <c r="I367" s="246"/>
      <c r="J367" s="741"/>
      <c r="K367" s="246"/>
      <c r="L367" s="261"/>
      <c r="M367" s="741"/>
      <c r="N367" s="246"/>
      <c r="O367" s="741"/>
      <c r="P367" s="246"/>
      <c r="Q367" s="741"/>
      <c r="R367" s="246"/>
      <c r="S367" s="261"/>
      <c r="T367" s="741"/>
      <c r="U367" s="246"/>
      <c r="V367" s="741"/>
      <c r="W367" s="246"/>
      <c r="X367" s="741"/>
      <c r="Y367" s="246"/>
      <c r="Z367" s="261"/>
      <c r="AA367" s="741"/>
      <c r="AB367" s="246"/>
      <c r="AC367" s="741"/>
      <c r="AD367" s="246"/>
      <c r="AE367" s="741"/>
      <c r="AF367" s="246"/>
      <c r="AG367" s="261"/>
      <c r="AH367" s="741"/>
      <c r="AI367" s="246"/>
      <c r="AJ367" s="741"/>
      <c r="AK367" s="246"/>
      <c r="AL367" s="741"/>
      <c r="AM367" s="246"/>
      <c r="AN367" s="261"/>
      <c r="AO367" s="741"/>
      <c r="AP367" s="246"/>
      <c r="AQ367" s="741"/>
      <c r="AR367" s="246"/>
      <c r="AS367" s="741"/>
      <c r="AT367" s="254" t="str">
        <f t="shared" ref="AT367:AT374" si="74">IF(COUNTIF($AO$79:$AT$81, AS368) &gt; 0, "X", "")</f>
        <v/>
      </c>
      <c r="AU367" s="269"/>
      <c r="AV367" s="269"/>
    </row>
    <row r="368">
      <c r="A368" s="94"/>
      <c r="B368" s="296" t="s">
        <v>650</v>
      </c>
      <c r="C368" s="297" t="s">
        <v>649</v>
      </c>
      <c r="D368" s="323"/>
      <c r="E368" s="261"/>
      <c r="F368" s="298"/>
      <c r="G368" s="246"/>
      <c r="H368" s="741"/>
      <c r="I368" s="246"/>
      <c r="J368" s="298"/>
      <c r="K368" s="246"/>
      <c r="L368" s="261"/>
      <c r="M368" s="298"/>
      <c r="N368" s="246"/>
      <c r="O368" s="298"/>
      <c r="P368" s="246"/>
      <c r="Q368" s="298"/>
      <c r="R368" s="246"/>
      <c r="S368" s="261"/>
      <c r="T368" s="298"/>
      <c r="U368" s="246"/>
      <c r="V368" s="298"/>
      <c r="W368" s="246"/>
      <c r="X368" s="298"/>
      <c r="Y368" s="246"/>
      <c r="Z368" s="261"/>
      <c r="AA368" s="298"/>
      <c r="AB368" s="246"/>
      <c r="AC368" s="298"/>
      <c r="AD368" s="246"/>
      <c r="AE368" s="298"/>
      <c r="AF368" s="246"/>
      <c r="AG368" s="261"/>
      <c r="AH368" s="298"/>
      <c r="AI368" s="246"/>
      <c r="AJ368" s="298"/>
      <c r="AK368" s="246"/>
      <c r="AL368" s="298"/>
      <c r="AM368" s="246"/>
      <c r="AN368" s="261"/>
      <c r="AO368" s="298"/>
      <c r="AP368" s="246"/>
      <c r="AQ368" s="298"/>
      <c r="AR368" s="246"/>
      <c r="AS368" s="298"/>
      <c r="AT368" s="254" t="str">
        <f t="shared" si="74"/>
        <v/>
      </c>
      <c r="AU368" s="269"/>
      <c r="AV368" s="269"/>
    </row>
    <row r="369">
      <c r="A369" s="94"/>
      <c r="B369" s="301" t="s">
        <v>651</v>
      </c>
      <c r="C369" s="391" t="s">
        <v>652</v>
      </c>
      <c r="D369" s="323"/>
      <c r="E369" s="259"/>
      <c r="F369" s="298"/>
      <c r="G369" s="246"/>
      <c r="H369" s="298"/>
      <c r="I369" s="246"/>
      <c r="J369" s="298"/>
      <c r="K369" s="246"/>
      <c r="L369" s="261"/>
      <c r="M369" s="298"/>
      <c r="N369" s="246"/>
      <c r="O369" s="298"/>
      <c r="P369" s="246"/>
      <c r="Q369" s="298"/>
      <c r="R369" s="246"/>
      <c r="S369" s="261"/>
      <c r="T369" s="298"/>
      <c r="U369" s="246"/>
      <c r="V369" s="298"/>
      <c r="W369" s="246"/>
      <c r="X369" s="298"/>
      <c r="Y369" s="246"/>
      <c r="Z369" s="261"/>
      <c r="AA369" s="298"/>
      <c r="AB369" s="246"/>
      <c r="AC369" s="298"/>
      <c r="AD369" s="246"/>
      <c r="AE369" s="298"/>
      <c r="AF369" s="246"/>
      <c r="AG369" s="261"/>
      <c r="AH369" s="298"/>
      <c r="AI369" s="246"/>
      <c r="AJ369" s="298"/>
      <c r="AK369" s="246"/>
      <c r="AL369" s="298"/>
      <c r="AM369" s="246"/>
      <c r="AN369" s="261"/>
      <c r="AO369" s="298"/>
      <c r="AP369" s="246"/>
      <c r="AQ369" s="298"/>
      <c r="AR369" s="246"/>
      <c r="AS369" s="298"/>
      <c r="AT369" s="254" t="str">
        <f t="shared" si="74"/>
        <v/>
      </c>
      <c r="AU369" s="269"/>
      <c r="AV369" s="269"/>
    </row>
    <row r="370">
      <c r="A370" s="94"/>
      <c r="B370" s="392" t="s">
        <v>691</v>
      </c>
      <c r="C370" s="393" t="s">
        <v>652</v>
      </c>
      <c r="D370" s="330"/>
      <c r="E370" s="259"/>
      <c r="F370" s="298"/>
      <c r="G370" s="246"/>
      <c r="H370" s="298"/>
      <c r="I370" s="246"/>
      <c r="J370" s="298"/>
      <c r="K370" s="246"/>
      <c r="L370" s="261"/>
      <c r="M370" s="298"/>
      <c r="N370" s="246"/>
      <c r="O370" s="298"/>
      <c r="P370" s="246"/>
      <c r="Q370" s="298"/>
      <c r="R370" s="246"/>
      <c r="S370" s="261"/>
      <c r="T370" s="298"/>
      <c r="U370" s="246"/>
      <c r="V370" s="298"/>
      <c r="W370" s="246"/>
      <c r="X370" s="298"/>
      <c r="Y370" s="246"/>
      <c r="Z370" s="261"/>
      <c r="AA370" s="298"/>
      <c r="AB370" s="246"/>
      <c r="AC370" s="298"/>
      <c r="AD370" s="246"/>
      <c r="AE370" s="298"/>
      <c r="AF370" s="246"/>
      <c r="AG370" s="261"/>
      <c r="AH370" s="298"/>
      <c r="AI370" s="246"/>
      <c r="AJ370" s="298"/>
      <c r="AK370" s="246"/>
      <c r="AL370" s="298"/>
      <c r="AM370" s="246"/>
      <c r="AN370" s="261"/>
      <c r="AO370" s="298"/>
      <c r="AP370" s="246"/>
      <c r="AQ370" s="298"/>
      <c r="AR370" s="246"/>
      <c r="AS370" s="298"/>
      <c r="AT370" s="254" t="str">
        <f t="shared" si="74"/>
        <v/>
      </c>
      <c r="AU370" s="269"/>
      <c r="AV370" s="269"/>
    </row>
    <row r="371">
      <c r="A371" s="94"/>
      <c r="B371" s="328" t="s">
        <v>692</v>
      </c>
      <c r="C371" s="329" t="s">
        <v>652</v>
      </c>
      <c r="D371" s="369"/>
      <c r="E371" s="259"/>
      <c r="F371" s="741"/>
      <c r="G371" s="246"/>
      <c r="H371" s="741"/>
      <c r="I371" s="246"/>
      <c r="J371" s="590"/>
      <c r="K371" s="246"/>
      <c r="L371" s="261"/>
      <c r="M371" s="590"/>
      <c r="N371" s="246"/>
      <c r="O371" s="590"/>
      <c r="P371" s="246"/>
      <c r="Q371" s="590"/>
      <c r="R371" s="246"/>
      <c r="S371" s="261"/>
      <c r="T371" s="590"/>
      <c r="U371" s="246"/>
      <c r="V371" s="590"/>
      <c r="W371" s="246"/>
      <c r="X371" s="590"/>
      <c r="Y371" s="246"/>
      <c r="Z371" s="261"/>
      <c r="AA371" s="590"/>
      <c r="AB371" s="246"/>
      <c r="AC371" s="590"/>
      <c r="AD371" s="246"/>
      <c r="AE371" s="590"/>
      <c r="AF371" s="246"/>
      <c r="AG371" s="261"/>
      <c r="AH371" s="590"/>
      <c r="AI371" s="246"/>
      <c r="AJ371" s="590"/>
      <c r="AK371" s="246"/>
      <c r="AL371" s="590"/>
      <c r="AM371" s="246"/>
      <c r="AN371" s="261"/>
      <c r="AO371" s="590"/>
      <c r="AP371" s="246"/>
      <c r="AQ371" s="590"/>
      <c r="AR371" s="246"/>
      <c r="AS371" s="590"/>
      <c r="AT371" s="254" t="str">
        <f t="shared" si="74"/>
        <v/>
      </c>
      <c r="AU371" s="269"/>
      <c r="AV371" s="269"/>
    </row>
    <row r="372">
      <c r="A372" s="94"/>
      <c r="B372" s="397" t="s">
        <v>692</v>
      </c>
      <c r="C372" s="398" t="s">
        <v>687</v>
      </c>
      <c r="D372" s="389"/>
      <c r="E372" s="259"/>
      <c r="F372" s="744"/>
      <c r="G372" s="246"/>
      <c r="H372" s="744"/>
      <c r="I372" s="246"/>
      <c r="J372" s="744"/>
      <c r="K372" s="246"/>
      <c r="L372" s="261"/>
      <c r="M372" s="744"/>
      <c r="N372" s="246"/>
      <c r="O372" s="744"/>
      <c r="P372" s="246"/>
      <c r="Q372" s="744"/>
      <c r="R372" s="246"/>
      <c r="S372" s="261"/>
      <c r="T372" s="744"/>
      <c r="U372" s="246"/>
      <c r="V372" s="744"/>
      <c r="W372" s="246"/>
      <c r="X372" s="744"/>
      <c r="Y372" s="246"/>
      <c r="Z372" s="261"/>
      <c r="AA372" s="744"/>
      <c r="AB372" s="246"/>
      <c r="AC372" s="744"/>
      <c r="AD372" s="246"/>
      <c r="AE372" s="744"/>
      <c r="AF372" s="246"/>
      <c r="AG372" s="261"/>
      <c r="AH372" s="744"/>
      <c r="AI372" s="246"/>
      <c r="AJ372" s="744"/>
      <c r="AK372" s="246"/>
      <c r="AL372" s="744"/>
      <c r="AM372" s="246"/>
      <c r="AN372" s="261"/>
      <c r="AO372" s="744"/>
      <c r="AP372" s="246"/>
      <c r="AQ372" s="744"/>
      <c r="AR372" s="246"/>
      <c r="AS372" s="744"/>
      <c r="AT372" s="254" t="str">
        <f t="shared" si="74"/>
        <v/>
      </c>
      <c r="AU372" s="269"/>
      <c r="AV372" s="269"/>
    </row>
    <row r="373">
      <c r="A373" s="94"/>
      <c r="B373" s="387" t="s">
        <v>694</v>
      </c>
      <c r="C373" s="388" t="s">
        <v>649</v>
      </c>
      <c r="D373" s="323"/>
      <c r="E373" s="259"/>
      <c r="F373" s="741"/>
      <c r="G373" s="246"/>
      <c r="H373" s="741"/>
      <c r="I373" s="246"/>
      <c r="J373" s="741"/>
      <c r="K373" s="246"/>
      <c r="L373" s="261"/>
      <c r="M373" s="741"/>
      <c r="N373" s="246"/>
      <c r="O373" s="741"/>
      <c r="P373" s="246"/>
      <c r="Q373" s="741"/>
      <c r="R373" s="246"/>
      <c r="S373" s="261"/>
      <c r="T373" s="741"/>
      <c r="U373" s="246"/>
      <c r="V373" s="741"/>
      <c r="W373" s="246"/>
      <c r="X373" s="741"/>
      <c r="Y373" s="246"/>
      <c r="Z373" s="261"/>
      <c r="AA373" s="741"/>
      <c r="AB373" s="246"/>
      <c r="AC373" s="741"/>
      <c r="AD373" s="246"/>
      <c r="AE373" s="741"/>
      <c r="AF373" s="246"/>
      <c r="AG373" s="261"/>
      <c r="AH373" s="741"/>
      <c r="AI373" s="246"/>
      <c r="AJ373" s="741"/>
      <c r="AK373" s="246"/>
      <c r="AL373" s="741"/>
      <c r="AM373" s="246"/>
      <c r="AN373" s="261"/>
      <c r="AO373" s="741"/>
      <c r="AP373" s="246"/>
      <c r="AQ373" s="741"/>
      <c r="AR373" s="246"/>
      <c r="AS373" s="741"/>
      <c r="AT373" s="254" t="str">
        <f t="shared" si="74"/>
        <v/>
      </c>
      <c r="AU373" s="269"/>
      <c r="AV373" s="269"/>
    </row>
    <row r="374">
      <c r="A374" s="94"/>
      <c r="B374" s="296" t="s">
        <v>650</v>
      </c>
      <c r="C374" s="297" t="s">
        <v>649</v>
      </c>
      <c r="D374" s="323"/>
      <c r="E374" s="261"/>
      <c r="F374" s="298"/>
      <c r="G374" s="298"/>
      <c r="H374" s="298"/>
      <c r="I374" s="298"/>
      <c r="J374" s="298"/>
      <c r="K374" s="298"/>
      <c r="L374" s="261"/>
      <c r="M374" s="298"/>
      <c r="N374" s="298"/>
      <c r="O374" s="298"/>
      <c r="P374" s="298"/>
      <c r="Q374" s="298"/>
      <c r="R374" s="298"/>
      <c r="S374" s="261"/>
      <c r="T374" s="298"/>
      <c r="U374" s="298"/>
      <c r="V374" s="298"/>
      <c r="W374" s="298"/>
      <c r="X374" s="298"/>
      <c r="Y374" s="298"/>
      <c r="Z374" s="261"/>
      <c r="AA374" s="298"/>
      <c r="AB374" s="298"/>
      <c r="AC374" s="298"/>
      <c r="AD374" s="298"/>
      <c r="AE374" s="298"/>
      <c r="AF374" s="298"/>
      <c r="AG374" s="261"/>
      <c r="AH374" s="298"/>
      <c r="AI374" s="298"/>
      <c r="AJ374" s="298"/>
      <c r="AK374" s="298"/>
      <c r="AL374" s="298"/>
      <c r="AM374" s="298"/>
      <c r="AN374" s="261"/>
      <c r="AO374" s="298"/>
      <c r="AP374" s="298"/>
      <c r="AQ374" s="298"/>
      <c r="AR374" s="298"/>
      <c r="AS374" s="298"/>
      <c r="AT374" s="254" t="str">
        <f t="shared" si="74"/>
        <v/>
      </c>
      <c r="AU374" s="269"/>
      <c r="AV374" s="269"/>
    </row>
    <row r="375">
      <c r="A375" s="94"/>
      <c r="B375" s="301" t="s">
        <v>651</v>
      </c>
      <c r="C375" s="391" t="s">
        <v>652</v>
      </c>
      <c r="D375" s="323"/>
      <c r="E375" s="259"/>
      <c r="F375" s="298"/>
      <c r="G375" s="298"/>
      <c r="H375" s="298"/>
      <c r="I375" s="298"/>
      <c r="J375" s="298"/>
      <c r="K375" s="298"/>
      <c r="L375" s="261"/>
      <c r="M375" s="298"/>
      <c r="N375" s="298"/>
      <c r="O375" s="298"/>
      <c r="P375" s="298"/>
      <c r="Q375" s="298"/>
      <c r="R375" s="298"/>
      <c r="S375" s="261"/>
      <c r="T375" s="298"/>
      <c r="U375" s="298"/>
      <c r="V375" s="298"/>
      <c r="W375" s="298"/>
      <c r="X375" s="298"/>
      <c r="Y375" s="298"/>
      <c r="Z375" s="261"/>
      <c r="AA375" s="298"/>
      <c r="AB375" s="298"/>
      <c r="AC375" s="298"/>
      <c r="AD375" s="298"/>
      <c r="AE375" s="298"/>
      <c r="AF375" s="298"/>
      <c r="AG375" s="261"/>
      <c r="AH375" s="298"/>
      <c r="AI375" s="298"/>
      <c r="AJ375" s="298"/>
      <c r="AK375" s="298"/>
      <c r="AL375" s="298"/>
      <c r="AM375" s="298"/>
      <c r="AN375" s="261"/>
      <c r="AO375" s="298"/>
      <c r="AP375" s="298"/>
      <c r="AQ375" s="298"/>
      <c r="AR375" s="298"/>
      <c r="AS375" s="298"/>
      <c r="AT375" s="254" t="str">
        <f t="shared" ref="AT375:AT376" si="75">IF(COUNTIF($AO$79:$AT$81, #REF!) &gt; 0, "X", "")</f>
        <v/>
      </c>
      <c r="AU375" s="269"/>
      <c r="AV375" s="269"/>
    </row>
    <row r="376">
      <c r="A376" s="94"/>
      <c r="B376" s="392" t="s">
        <v>691</v>
      </c>
      <c r="C376" s="393" t="s">
        <v>652</v>
      </c>
      <c r="D376" s="330"/>
      <c r="E376" s="259"/>
      <c r="F376" s="298"/>
      <c r="G376" s="298"/>
      <c r="H376" s="298"/>
      <c r="I376" s="298"/>
      <c r="J376" s="298"/>
      <c r="K376" s="298"/>
      <c r="L376" s="261"/>
      <c r="M376" s="298"/>
      <c r="N376" s="298"/>
      <c r="O376" s="298"/>
      <c r="P376" s="298"/>
      <c r="Q376" s="298"/>
      <c r="R376" s="298"/>
      <c r="S376" s="261"/>
      <c r="T376" s="298"/>
      <c r="U376" s="298"/>
      <c r="V376" s="298"/>
      <c r="W376" s="298"/>
      <c r="X376" s="298"/>
      <c r="Y376" s="298"/>
      <c r="Z376" s="261"/>
      <c r="AA376" s="298"/>
      <c r="AB376" s="298"/>
      <c r="AC376" s="298"/>
      <c r="AD376" s="298"/>
      <c r="AE376" s="298"/>
      <c r="AF376" s="298"/>
      <c r="AG376" s="261"/>
      <c r="AH376" s="298"/>
      <c r="AI376" s="298"/>
      <c r="AJ376" s="298"/>
      <c r="AK376" s="298"/>
      <c r="AL376" s="298"/>
      <c r="AM376" s="298"/>
      <c r="AN376" s="261"/>
      <c r="AO376" s="298"/>
      <c r="AP376" s="298"/>
      <c r="AQ376" s="298"/>
      <c r="AR376" s="298"/>
      <c r="AS376" s="298"/>
      <c r="AT376" s="254" t="str">
        <f t="shared" si="75"/>
        <v/>
      </c>
      <c r="AU376" s="269"/>
      <c r="AV376" s="269"/>
    </row>
    <row r="377">
      <c r="A377" s="94"/>
      <c r="B377" s="328" t="s">
        <v>692</v>
      </c>
      <c r="C377" s="329" t="s">
        <v>652</v>
      </c>
      <c r="D377" s="369"/>
      <c r="E377" s="259"/>
      <c r="F377" s="741"/>
      <c r="G377" s="246"/>
      <c r="H377" s="607"/>
      <c r="I377" s="246"/>
      <c r="J377" s="741"/>
      <c r="K377" s="246"/>
      <c r="L377" s="261"/>
      <c r="M377" s="741"/>
      <c r="N377" s="246"/>
      <c r="O377" s="741"/>
      <c r="P377" s="246"/>
      <c r="Q377" s="741"/>
      <c r="R377" s="246"/>
      <c r="S377" s="261"/>
      <c r="T377" s="741"/>
      <c r="U377" s="246"/>
      <c r="V377" s="741"/>
      <c r="W377" s="246"/>
      <c r="X377" s="741"/>
      <c r="Y377" s="246"/>
      <c r="Z377" s="261"/>
      <c r="AA377" s="741"/>
      <c r="AB377" s="246"/>
      <c r="AC377" s="741"/>
      <c r="AD377" s="246"/>
      <c r="AE377" s="741"/>
      <c r="AF377" s="246"/>
      <c r="AG377" s="261"/>
      <c r="AH377" s="741"/>
      <c r="AI377" s="246"/>
      <c r="AJ377" s="741"/>
      <c r="AK377" s="246"/>
      <c r="AL377" s="741"/>
      <c r="AM377" s="246"/>
      <c r="AN377" s="261"/>
      <c r="AO377" s="741"/>
      <c r="AP377" s="246"/>
      <c r="AQ377" s="741"/>
      <c r="AR377" s="246"/>
      <c r="AS377" s="741"/>
      <c r="AT377" s="254" t="str">
        <f t="shared" ref="AT377:AT380" si="76">IF(COUNTIF($AO$79:$AT$81, AS378) &gt; 0, "X", "")</f>
        <v/>
      </c>
      <c r="AU377" s="269"/>
      <c r="AV377" s="269"/>
    </row>
    <row r="378">
      <c r="A378" s="94"/>
      <c r="B378" s="397" t="s">
        <v>692</v>
      </c>
      <c r="C378" s="398" t="s">
        <v>687</v>
      </c>
      <c r="D378" s="404"/>
      <c r="E378" s="259"/>
      <c r="F378" s="744"/>
      <c r="G378" s="246"/>
      <c r="H378" s="744"/>
      <c r="I378" s="246"/>
      <c r="J378" s="744"/>
      <c r="K378" s="246"/>
      <c r="L378" s="261"/>
      <c r="M378" s="744"/>
      <c r="N378" s="246"/>
      <c r="O378" s="744"/>
      <c r="P378" s="246"/>
      <c r="Q378" s="744"/>
      <c r="R378" s="246"/>
      <c r="S378" s="261"/>
      <c r="T378" s="744"/>
      <c r="U378" s="246"/>
      <c r="V378" s="744"/>
      <c r="W378" s="246"/>
      <c r="X378" s="744"/>
      <c r="Y378" s="246"/>
      <c r="Z378" s="261"/>
      <c r="AA378" s="744"/>
      <c r="AB378" s="246"/>
      <c r="AC378" s="744"/>
      <c r="AD378" s="246"/>
      <c r="AE378" s="744"/>
      <c r="AF378" s="246"/>
      <c r="AG378" s="261"/>
      <c r="AH378" s="744"/>
      <c r="AI378" s="246"/>
      <c r="AJ378" s="744"/>
      <c r="AK378" s="246"/>
      <c r="AL378" s="744"/>
      <c r="AM378" s="246"/>
      <c r="AN378" s="261"/>
      <c r="AO378" s="744"/>
      <c r="AP378" s="246"/>
      <c r="AQ378" s="744"/>
      <c r="AR378" s="246"/>
      <c r="AS378" s="744"/>
      <c r="AT378" s="254" t="str">
        <f t="shared" si="76"/>
        <v/>
      </c>
      <c r="AU378" s="269"/>
      <c r="AV378" s="269"/>
    </row>
    <row r="379">
      <c r="A379" s="270"/>
      <c r="B379" s="402" t="s">
        <v>699</v>
      </c>
      <c r="C379" s="403" t="s">
        <v>649</v>
      </c>
      <c r="D379" s="330"/>
      <c r="E379" s="259"/>
      <c r="F379" s="298"/>
      <c r="G379" s="246"/>
      <c r="H379" s="298"/>
      <c r="I379" s="246"/>
      <c r="J379" s="298"/>
      <c r="K379" s="246"/>
      <c r="L379" s="261"/>
      <c r="M379" s="298"/>
      <c r="N379" s="246"/>
      <c r="O379" s="298"/>
      <c r="P379" s="246"/>
      <c r="Q379" s="298"/>
      <c r="R379" s="246"/>
      <c r="S379" s="261"/>
      <c r="T379" s="298"/>
      <c r="U379" s="246"/>
      <c r="V379" s="298"/>
      <c r="W379" s="246"/>
      <c r="X379" s="298"/>
      <c r="Y379" s="246"/>
      <c r="Z379" s="261"/>
      <c r="AA379" s="298"/>
      <c r="AB379" s="246"/>
      <c r="AC379" s="298"/>
      <c r="AD379" s="246"/>
      <c r="AE379" s="298"/>
      <c r="AF379" s="246"/>
      <c r="AG379" s="261"/>
      <c r="AH379" s="298"/>
      <c r="AI379" s="246"/>
      <c r="AJ379" s="298"/>
      <c r="AK379" s="246"/>
      <c r="AL379" s="298"/>
      <c r="AM379" s="246"/>
      <c r="AN379" s="261"/>
      <c r="AO379" s="298"/>
      <c r="AP379" s="246"/>
      <c r="AQ379" s="298"/>
      <c r="AR379" s="246"/>
      <c r="AS379" s="298"/>
      <c r="AT379" s="254" t="str">
        <f t="shared" si="76"/>
        <v/>
      </c>
      <c r="AU379" s="269"/>
      <c r="AV379" s="269"/>
    </row>
    <row r="380">
      <c r="A380" s="94"/>
      <c r="B380" s="328" t="s">
        <v>700</v>
      </c>
      <c r="C380" s="329" t="s">
        <v>657</v>
      </c>
      <c r="D380" s="330"/>
      <c r="E380" s="259"/>
      <c r="F380" s="741"/>
      <c r="G380" s="246"/>
      <c r="H380" s="590"/>
      <c r="I380" s="246"/>
      <c r="J380" s="741"/>
      <c r="K380" s="246"/>
      <c r="L380" s="261"/>
      <c r="M380" s="741"/>
      <c r="N380" s="246"/>
      <c r="O380" s="741"/>
      <c r="P380" s="246"/>
      <c r="Q380" s="741"/>
      <c r="R380" s="246"/>
      <c r="S380" s="261"/>
      <c r="T380" s="741"/>
      <c r="U380" s="246"/>
      <c r="V380" s="741"/>
      <c r="W380" s="246"/>
      <c r="X380" s="741"/>
      <c r="Y380" s="246"/>
      <c r="Z380" s="261"/>
      <c r="AA380" s="741"/>
      <c r="AB380" s="246"/>
      <c r="AC380" s="741"/>
      <c r="AD380" s="246"/>
      <c r="AE380" s="741"/>
      <c r="AF380" s="246"/>
      <c r="AG380" s="261"/>
      <c r="AH380" s="741"/>
      <c r="AI380" s="246"/>
      <c r="AJ380" s="741"/>
      <c r="AK380" s="246"/>
      <c r="AL380" s="741"/>
      <c r="AM380" s="246"/>
      <c r="AN380" s="261"/>
      <c r="AO380" s="741"/>
      <c r="AP380" s="246"/>
      <c r="AQ380" s="741"/>
      <c r="AR380" s="246"/>
      <c r="AS380" s="741"/>
      <c r="AT380" s="254" t="str">
        <f t="shared" si="76"/>
        <v/>
      </c>
      <c r="AU380" s="269"/>
      <c r="AV380" s="269"/>
    </row>
    <row r="381">
      <c r="A381" s="94"/>
      <c r="B381" s="328" t="s">
        <v>700</v>
      </c>
      <c r="C381" s="329" t="s">
        <v>657</v>
      </c>
      <c r="D381" s="330"/>
      <c r="E381" s="259"/>
      <c r="F381" s="591"/>
      <c r="G381" s="246"/>
      <c r="H381" s="5"/>
      <c r="I381" s="246"/>
      <c r="J381" s="591"/>
      <c r="K381" s="246"/>
      <c r="L381" s="261"/>
      <c r="M381" s="591"/>
      <c r="N381" s="246"/>
      <c r="O381" s="591"/>
      <c r="P381" s="246"/>
      <c r="Q381" s="591"/>
      <c r="R381" s="246"/>
      <c r="S381" s="261"/>
      <c r="T381" s="591"/>
      <c r="U381" s="246"/>
      <c r="V381" s="591"/>
      <c r="W381" s="246"/>
      <c r="X381" s="591"/>
      <c r="Y381" s="246"/>
      <c r="Z381" s="261"/>
      <c r="AA381" s="591"/>
      <c r="AB381" s="246"/>
      <c r="AC381" s="591"/>
      <c r="AD381" s="246"/>
      <c r="AE381" s="591"/>
      <c r="AF381" s="246"/>
      <c r="AG381" s="261"/>
      <c r="AH381" s="591"/>
      <c r="AI381" s="246"/>
      <c r="AJ381" s="591"/>
      <c r="AK381" s="246"/>
      <c r="AL381" s="591"/>
      <c r="AM381" s="246"/>
      <c r="AN381" s="261"/>
      <c r="AO381" s="591"/>
      <c r="AP381" s="246"/>
      <c r="AQ381" s="591"/>
      <c r="AR381" s="246"/>
      <c r="AS381" s="591"/>
      <c r="AT381" s="254" t="str">
        <f>IF(COUNTIF($AO$79:$AT$81, #REF!) &gt; 0, "X", "")</f>
        <v/>
      </c>
      <c r="AU381" s="269"/>
      <c r="AV381" s="269"/>
    </row>
    <row r="382">
      <c r="A382" s="94"/>
      <c r="B382" s="328" t="s">
        <v>700</v>
      </c>
      <c r="C382" s="329" t="s">
        <v>657</v>
      </c>
      <c r="D382" s="351"/>
      <c r="E382" s="259"/>
      <c r="F382" s="590"/>
      <c r="G382" s="246"/>
      <c r="H382" s="590"/>
      <c r="I382" s="246"/>
      <c r="J382" s="590"/>
      <c r="K382" s="246"/>
      <c r="L382" s="261"/>
      <c r="M382" s="590"/>
      <c r="N382" s="246"/>
      <c r="O382" s="590"/>
      <c r="P382" s="246"/>
      <c r="Q382" s="590"/>
      <c r="R382" s="246"/>
      <c r="S382" s="261"/>
      <c r="T382" s="590"/>
      <c r="U382" s="246"/>
      <c r="V382" s="590"/>
      <c r="W382" s="246"/>
      <c r="X382" s="590"/>
      <c r="Y382" s="246"/>
      <c r="Z382" s="261"/>
      <c r="AA382" s="590"/>
      <c r="AB382" s="246"/>
      <c r="AC382" s="590"/>
      <c r="AD382" s="246"/>
      <c r="AE382" s="590"/>
      <c r="AF382" s="246"/>
      <c r="AG382" s="261"/>
      <c r="AH382" s="590"/>
      <c r="AI382" s="246"/>
      <c r="AJ382" s="590"/>
      <c r="AK382" s="246"/>
      <c r="AL382" s="590"/>
      <c r="AM382" s="246"/>
      <c r="AN382" s="261"/>
      <c r="AO382" s="590"/>
      <c r="AP382" s="246"/>
      <c r="AQ382" s="590"/>
      <c r="AR382" s="246"/>
      <c r="AS382" s="590"/>
      <c r="AT382" s="254" t="str">
        <f t="shared" ref="AT382:AT383" si="77">IF(COUNTIF($AO$79:$AT$81, AS383) &gt; 0, "X", "")</f>
        <v/>
      </c>
      <c r="AU382" s="269"/>
      <c r="AV382" s="269"/>
    </row>
    <row r="383">
      <c r="A383" s="94"/>
      <c r="B383" s="408" t="s">
        <v>702</v>
      </c>
      <c r="C383" s="409" t="s">
        <v>652</v>
      </c>
      <c r="D383" s="323"/>
      <c r="E383" s="259"/>
      <c r="F383" s="756"/>
      <c r="G383" s="246"/>
      <c r="H383" s="756"/>
      <c r="I383" s="246"/>
      <c r="J383" s="756"/>
      <c r="K383" s="246"/>
      <c r="L383" s="261"/>
      <c r="M383" s="756"/>
      <c r="N383" s="246"/>
      <c r="O383" s="756"/>
      <c r="P383" s="246"/>
      <c r="Q383" s="756"/>
      <c r="R383" s="246"/>
      <c r="S383" s="261"/>
      <c r="T383" s="756"/>
      <c r="U383" s="246"/>
      <c r="V383" s="756"/>
      <c r="W383" s="246"/>
      <c r="X383" s="756"/>
      <c r="Y383" s="246"/>
      <c r="Z383" s="261"/>
      <c r="AA383" s="756"/>
      <c r="AB383" s="246"/>
      <c r="AC383" s="756"/>
      <c r="AD383" s="246"/>
      <c r="AE383" s="756"/>
      <c r="AF383" s="246"/>
      <c r="AG383" s="261"/>
      <c r="AH383" s="756"/>
      <c r="AI383" s="246"/>
      <c r="AJ383" s="756"/>
      <c r="AK383" s="246"/>
      <c r="AL383" s="756"/>
      <c r="AM383" s="246"/>
      <c r="AN383" s="261"/>
      <c r="AO383" s="756"/>
      <c r="AP383" s="246"/>
      <c r="AQ383" s="756"/>
      <c r="AR383" s="246"/>
      <c r="AS383" s="756"/>
      <c r="AT383" s="254" t="str">
        <f t="shared" si="77"/>
        <v/>
      </c>
      <c r="AU383" s="269"/>
      <c r="AV383" s="269"/>
    </row>
    <row r="384">
      <c r="A384" s="234"/>
      <c r="B384" s="401" t="s">
        <v>703</v>
      </c>
      <c r="C384" s="412" t="s">
        <v>704</v>
      </c>
      <c r="D384" s="330"/>
      <c r="E384" s="259"/>
      <c r="F384" s="540"/>
      <c r="G384" s="246"/>
      <c r="H384" s="540"/>
      <c r="I384" s="246"/>
      <c r="J384" s="540"/>
      <c r="K384" s="246"/>
      <c r="L384" s="261"/>
      <c r="M384" s="540"/>
      <c r="N384" s="246"/>
      <c r="O384" s="540"/>
      <c r="P384" s="246"/>
      <c r="Q384" s="540"/>
      <c r="R384" s="246"/>
      <c r="S384" s="261"/>
      <c r="T384" s="540"/>
      <c r="U384" s="246"/>
      <c r="V384" s="540"/>
      <c r="W384" s="246"/>
      <c r="X384" s="540"/>
      <c r="Y384" s="246"/>
      <c r="Z384" s="261"/>
      <c r="AA384" s="540"/>
      <c r="AB384" s="246"/>
      <c r="AC384" s="540"/>
      <c r="AD384" s="246"/>
      <c r="AE384" s="540"/>
      <c r="AF384" s="246"/>
      <c r="AG384" s="261"/>
      <c r="AH384" s="540"/>
      <c r="AI384" s="246"/>
      <c r="AJ384" s="540"/>
      <c r="AK384" s="246"/>
      <c r="AL384" s="540"/>
      <c r="AM384" s="246"/>
      <c r="AN384" s="261"/>
      <c r="AO384" s="540"/>
      <c r="AP384" s="246"/>
      <c r="AQ384" s="540"/>
      <c r="AR384" s="246"/>
      <c r="AS384" s="540"/>
      <c r="AT384" s="254" t="str">
        <f t="shared" ref="AT384:AT386" si="78">IF(COUNTIF($AO$79:$AT$81, #REF!) &gt; 0, "X", "")</f>
        <v/>
      </c>
      <c r="AU384" s="269"/>
      <c r="AV384" s="269"/>
    </row>
    <row r="385">
      <c r="A385" s="234"/>
      <c r="B385" s="414" t="s">
        <v>705</v>
      </c>
      <c r="C385" s="415" t="s">
        <v>704</v>
      </c>
      <c r="D385" s="330"/>
      <c r="E385" s="259"/>
      <c r="F385" s="747"/>
      <c r="G385" s="246"/>
      <c r="H385" s="747"/>
      <c r="I385" s="246"/>
      <c r="J385" s="743"/>
      <c r="K385" s="246"/>
      <c r="L385" s="261"/>
      <c r="M385" s="743"/>
      <c r="N385" s="246"/>
      <c r="O385" s="743"/>
      <c r="P385" s="246"/>
      <c r="Q385" s="743"/>
      <c r="R385" s="246"/>
      <c r="S385" s="261"/>
      <c r="T385" s="743"/>
      <c r="U385" s="246"/>
      <c r="V385" s="743"/>
      <c r="W385" s="246"/>
      <c r="X385" s="743"/>
      <c r="Y385" s="246"/>
      <c r="Z385" s="261"/>
      <c r="AA385" s="743"/>
      <c r="AB385" s="246"/>
      <c r="AC385" s="743"/>
      <c r="AD385" s="246"/>
      <c r="AE385" s="743"/>
      <c r="AF385" s="246"/>
      <c r="AG385" s="261"/>
      <c r="AH385" s="743"/>
      <c r="AI385" s="246"/>
      <c r="AJ385" s="743"/>
      <c r="AK385" s="246"/>
      <c r="AL385" s="743"/>
      <c r="AM385" s="246"/>
      <c r="AN385" s="261"/>
      <c r="AO385" s="743"/>
      <c r="AP385" s="246"/>
      <c r="AQ385" s="743"/>
      <c r="AR385" s="246"/>
      <c r="AS385" s="743"/>
      <c r="AT385" s="254" t="str">
        <f t="shared" si="78"/>
        <v/>
      </c>
      <c r="AU385" s="269"/>
      <c r="AV385" s="269"/>
    </row>
    <row r="386">
      <c r="A386" s="94"/>
      <c r="B386" s="328" t="s">
        <v>705</v>
      </c>
      <c r="C386" s="257" t="s">
        <v>657</v>
      </c>
      <c r="D386" s="330"/>
      <c r="E386" s="259"/>
      <c r="F386" s="757"/>
      <c r="G386" s="246"/>
      <c r="H386" s="743"/>
      <c r="I386" s="246"/>
      <c r="J386" s="758"/>
      <c r="K386" s="246"/>
      <c r="L386" s="261"/>
      <c r="M386" s="758"/>
      <c r="N386" s="246"/>
      <c r="O386" s="758"/>
      <c r="P386" s="246"/>
      <c r="Q386" s="758"/>
      <c r="R386" s="246"/>
      <c r="S386" s="261"/>
      <c r="T386" s="758"/>
      <c r="U386" s="246"/>
      <c r="V386" s="758"/>
      <c r="W386" s="246"/>
      <c r="X386" s="758"/>
      <c r="Y386" s="246"/>
      <c r="Z386" s="261"/>
      <c r="AA386" s="758"/>
      <c r="AB386" s="246"/>
      <c r="AC386" s="758"/>
      <c r="AD386" s="246"/>
      <c r="AE386" s="758"/>
      <c r="AF386" s="246"/>
      <c r="AG386" s="261"/>
      <c r="AH386" s="758"/>
      <c r="AI386" s="246"/>
      <c r="AJ386" s="758"/>
      <c r="AK386" s="246"/>
      <c r="AL386" s="758"/>
      <c r="AM386" s="246"/>
      <c r="AN386" s="261"/>
      <c r="AO386" s="758"/>
      <c r="AP386" s="246"/>
      <c r="AQ386" s="758"/>
      <c r="AR386" s="246"/>
      <c r="AS386" s="758"/>
      <c r="AT386" s="254" t="str">
        <f t="shared" si="78"/>
        <v/>
      </c>
      <c r="AU386" s="269"/>
      <c r="AV386" s="269"/>
    </row>
    <row r="387">
      <c r="A387" s="94"/>
      <c r="B387" s="277" t="s">
        <v>705</v>
      </c>
      <c r="C387" s="329" t="s">
        <v>685</v>
      </c>
      <c r="D387" s="369"/>
      <c r="E387" s="259"/>
      <c r="F387" s="747"/>
      <c r="G387" s="246"/>
      <c r="H387" s="748"/>
      <c r="I387" s="246"/>
      <c r="J387" s="747"/>
      <c r="K387" s="246"/>
      <c r="L387" s="261"/>
      <c r="M387" s="747"/>
      <c r="N387" s="246"/>
      <c r="O387" s="747"/>
      <c r="P387" s="246"/>
      <c r="Q387" s="747"/>
      <c r="R387" s="246"/>
      <c r="S387" s="261"/>
      <c r="T387" s="747"/>
      <c r="U387" s="246"/>
      <c r="V387" s="747"/>
      <c r="W387" s="246"/>
      <c r="X387" s="747"/>
      <c r="Y387" s="246"/>
      <c r="Z387" s="261"/>
      <c r="AA387" s="747"/>
      <c r="AB387" s="246"/>
      <c r="AC387" s="747"/>
      <c r="AD387" s="246"/>
      <c r="AE387" s="747"/>
      <c r="AF387" s="246"/>
      <c r="AG387" s="261"/>
      <c r="AH387" s="747"/>
      <c r="AI387" s="246"/>
      <c r="AJ387" s="747"/>
      <c r="AK387" s="246"/>
      <c r="AL387" s="747"/>
      <c r="AM387" s="246"/>
      <c r="AN387" s="261"/>
      <c r="AO387" s="747"/>
      <c r="AP387" s="246"/>
      <c r="AQ387" s="747"/>
      <c r="AR387" s="246"/>
      <c r="AS387" s="747"/>
      <c r="AT387" s="254" t="str">
        <f>IF(COUNTIF($AO$79:$AT$81, AO387) &gt; 0, "X", "")</f>
        <v/>
      </c>
      <c r="AU387" s="269"/>
      <c r="AV387" s="269"/>
    </row>
    <row r="388">
      <c r="A388" s="94"/>
      <c r="B388" s="271" t="s">
        <v>705</v>
      </c>
      <c r="C388" s="272" t="s">
        <v>687</v>
      </c>
      <c r="D388" s="330"/>
      <c r="E388" s="259"/>
      <c r="F388" s="607"/>
      <c r="G388" s="246"/>
      <c r="H388" s="607"/>
      <c r="I388" s="246"/>
      <c r="J388" s="607"/>
      <c r="K388" s="246"/>
      <c r="L388" s="261"/>
      <c r="M388" s="607"/>
      <c r="N388" s="246"/>
      <c r="O388" s="607"/>
      <c r="P388" s="246"/>
      <c r="Q388" s="607"/>
      <c r="R388" s="246"/>
      <c r="S388" s="261"/>
      <c r="T388" s="607"/>
      <c r="U388" s="246"/>
      <c r="V388" s="607"/>
      <c r="W388" s="246"/>
      <c r="X388" s="607"/>
      <c r="Y388" s="246"/>
      <c r="Z388" s="261"/>
      <c r="AA388" s="607"/>
      <c r="AB388" s="246"/>
      <c r="AC388" s="607"/>
      <c r="AD388" s="246"/>
      <c r="AE388" s="607"/>
      <c r="AF388" s="246"/>
      <c r="AG388" s="261"/>
      <c r="AH388" s="607"/>
      <c r="AI388" s="246"/>
      <c r="AJ388" s="607"/>
      <c r="AK388" s="246"/>
      <c r="AL388" s="607"/>
      <c r="AM388" s="246"/>
      <c r="AN388" s="261"/>
      <c r="AO388" s="607"/>
      <c r="AP388" s="246"/>
      <c r="AQ388" s="607"/>
      <c r="AR388" s="246"/>
      <c r="AS388" s="607"/>
      <c r="AT388" s="254" t="str">
        <f>IF(COUNTIF($AO$79:$AT$81, #REF!) &gt; 0, "X", "")</f>
        <v/>
      </c>
      <c r="AU388" s="269"/>
      <c r="AV388" s="269"/>
    </row>
    <row r="389">
      <c r="A389" s="270"/>
      <c r="B389" s="397" t="s">
        <v>708</v>
      </c>
      <c r="C389" s="398" t="s">
        <v>654</v>
      </c>
      <c r="D389" s="330"/>
      <c r="E389" s="259"/>
      <c r="F389" s="744"/>
      <c r="G389" s="246"/>
      <c r="H389" s="747"/>
      <c r="I389" s="246"/>
      <c r="J389" s="747"/>
      <c r="K389" s="246"/>
      <c r="L389" s="261"/>
      <c r="M389" s="747"/>
      <c r="N389" s="246"/>
      <c r="O389" s="747"/>
      <c r="P389" s="246"/>
      <c r="Q389" s="747"/>
      <c r="R389" s="246"/>
      <c r="S389" s="261"/>
      <c r="T389" s="747"/>
      <c r="U389" s="246"/>
      <c r="V389" s="747"/>
      <c r="W389" s="246"/>
      <c r="X389" s="747"/>
      <c r="Y389" s="246"/>
      <c r="Z389" s="261"/>
      <c r="AA389" s="747"/>
      <c r="AB389" s="246"/>
      <c r="AC389" s="747"/>
      <c r="AD389" s="246"/>
      <c r="AE389" s="747"/>
      <c r="AF389" s="246"/>
      <c r="AG389" s="261"/>
      <c r="AH389" s="747"/>
      <c r="AI389" s="246"/>
      <c r="AJ389" s="747"/>
      <c r="AK389" s="246"/>
      <c r="AL389" s="747"/>
      <c r="AM389" s="246"/>
      <c r="AN389" s="261"/>
      <c r="AO389" s="747"/>
      <c r="AP389" s="246"/>
      <c r="AQ389" s="747"/>
      <c r="AR389" s="246"/>
      <c r="AS389" s="747"/>
      <c r="AT389" s="254" t="str">
        <f t="shared" ref="AT389:AT390" si="79">IF(COUNTIF($AO$79:$AT$81, AS390) &gt; 0, "X", "")</f>
        <v/>
      </c>
      <c r="AU389" s="269"/>
      <c r="AV389" s="269"/>
    </row>
    <row r="390">
      <c r="A390" s="94"/>
      <c r="B390" s="277" t="s">
        <v>709</v>
      </c>
      <c r="C390" s="278" t="s">
        <v>710</v>
      </c>
      <c r="D390" s="323"/>
      <c r="E390" s="259"/>
      <c r="F390" s="741"/>
      <c r="G390" s="246"/>
      <c r="H390" s="590"/>
      <c r="I390" s="246"/>
      <c r="J390" s="741"/>
      <c r="K390" s="246"/>
      <c r="L390" s="261"/>
      <c r="M390" s="741"/>
      <c r="N390" s="246"/>
      <c r="O390" s="741"/>
      <c r="P390" s="246"/>
      <c r="Q390" s="741"/>
      <c r="R390" s="246"/>
      <c r="S390" s="261"/>
      <c r="T390" s="741"/>
      <c r="U390" s="246"/>
      <c r="V390" s="741"/>
      <c r="W390" s="246"/>
      <c r="X390" s="741"/>
      <c r="Y390" s="246"/>
      <c r="Z390" s="261"/>
      <c r="AA390" s="741"/>
      <c r="AB390" s="246"/>
      <c r="AC390" s="741"/>
      <c r="AD390" s="246"/>
      <c r="AE390" s="741"/>
      <c r="AF390" s="246"/>
      <c r="AG390" s="261"/>
      <c r="AH390" s="741"/>
      <c r="AI390" s="246"/>
      <c r="AJ390" s="741"/>
      <c r="AK390" s="246"/>
      <c r="AL390" s="741"/>
      <c r="AM390" s="246"/>
      <c r="AN390" s="261"/>
      <c r="AO390" s="741"/>
      <c r="AP390" s="246"/>
      <c r="AQ390" s="741"/>
      <c r="AR390" s="246"/>
      <c r="AS390" s="741"/>
      <c r="AT390" s="254" t="str">
        <f t="shared" si="79"/>
        <v/>
      </c>
      <c r="AU390" s="269"/>
      <c r="AV390" s="269"/>
    </row>
    <row r="391">
      <c r="A391" s="94"/>
      <c r="B391" s="673" t="s">
        <v>944</v>
      </c>
      <c r="C391" s="272" t="s">
        <v>639</v>
      </c>
      <c r="D391" s="431"/>
      <c r="E391" s="259"/>
      <c r="F391" s="590"/>
      <c r="G391" s="246"/>
      <c r="H391" s="590"/>
      <c r="I391" s="246"/>
      <c r="J391" s="590"/>
      <c r="K391" s="246"/>
      <c r="L391" s="261"/>
      <c r="M391" s="590"/>
      <c r="N391" s="246"/>
      <c r="O391" s="590"/>
      <c r="P391" s="246"/>
      <c r="Q391" s="590"/>
      <c r="R391" s="246"/>
      <c r="S391" s="261"/>
      <c r="T391" s="590"/>
      <c r="U391" s="246"/>
      <c r="V391" s="590"/>
      <c r="W391" s="246"/>
      <c r="X391" s="590"/>
      <c r="Y391" s="246"/>
      <c r="Z391" s="261"/>
      <c r="AA391" s="590"/>
      <c r="AB391" s="246"/>
      <c r="AC391" s="590"/>
      <c r="AD391" s="246"/>
      <c r="AE391" s="590"/>
      <c r="AF391" s="246"/>
      <c r="AG391" s="261"/>
      <c r="AH391" s="590"/>
      <c r="AI391" s="246"/>
      <c r="AJ391" s="590"/>
      <c r="AK391" s="246"/>
      <c r="AL391" s="590"/>
      <c r="AM391" s="246"/>
      <c r="AN391" s="261"/>
      <c r="AO391" s="590"/>
      <c r="AP391" s="246"/>
      <c r="AQ391" s="590"/>
      <c r="AR391" s="246"/>
      <c r="AS391" s="590"/>
      <c r="AT391" s="430"/>
      <c r="AU391" s="269"/>
      <c r="AV391" s="269"/>
    </row>
    <row r="392">
      <c r="A392" s="94"/>
      <c r="B392" s="698" t="s">
        <v>714</v>
      </c>
      <c r="C392" s="699"/>
      <c r="D392" s="323"/>
      <c r="E392" s="259"/>
      <c r="F392" s="432"/>
      <c r="G392" s="432"/>
      <c r="H392" s="432"/>
      <c r="I392" s="432"/>
      <c r="J392" s="432"/>
      <c r="K392" s="432"/>
      <c r="L392" s="261"/>
      <c r="M392" s="432"/>
      <c r="N392" s="433"/>
      <c r="O392" s="432"/>
      <c r="P392" s="432"/>
      <c r="Q392" s="432"/>
      <c r="R392" s="432"/>
      <c r="S392" s="261"/>
      <c r="T392" s="432"/>
      <c r="U392" s="433"/>
      <c r="V392" s="432"/>
      <c r="W392" s="432"/>
      <c r="X392" s="432"/>
      <c r="Y392" s="432"/>
      <c r="Z392" s="261"/>
      <c r="AA392" s="432"/>
      <c r="AB392" s="433"/>
      <c r="AC392" s="432"/>
      <c r="AD392" s="432"/>
      <c r="AE392" s="432"/>
      <c r="AF392" s="432"/>
      <c r="AG392" s="261"/>
      <c r="AH392" s="432"/>
      <c r="AI392" s="433"/>
      <c r="AJ392" s="432"/>
      <c r="AK392" s="432"/>
      <c r="AL392" s="432"/>
      <c r="AM392" s="432"/>
      <c r="AN392" s="261"/>
      <c r="AO392" s="432"/>
      <c r="AP392" s="433"/>
      <c r="AQ392" s="432"/>
      <c r="AR392" s="432"/>
      <c r="AS392" s="432"/>
      <c r="AT392" s="254" t="str">
        <f t="shared" ref="AT392:AT397" si="80">IF(COUNTIF($AO$79:$AT$81, AS393) &gt; 0, "X", "")</f>
        <v/>
      </c>
      <c r="AU392" s="269"/>
      <c r="AV392" s="269"/>
    </row>
    <row r="393">
      <c r="A393" s="94"/>
      <c r="B393" s="700" t="s">
        <v>715</v>
      </c>
      <c r="C393" s="701" t="s">
        <v>716</v>
      </c>
      <c r="D393" s="323"/>
      <c r="E393" s="259"/>
      <c r="F393" s="132"/>
      <c r="G393" s="246"/>
      <c r="H393" s="132"/>
      <c r="I393" s="246"/>
      <c r="J393" s="132"/>
      <c r="K393" s="246"/>
      <c r="L393" s="261"/>
      <c r="M393" s="132"/>
      <c r="N393" s="246"/>
      <c r="O393" s="132"/>
      <c r="P393" s="246"/>
      <c r="Q393" s="132"/>
      <c r="R393" s="246"/>
      <c r="S393" s="261"/>
      <c r="T393" s="132"/>
      <c r="U393" s="246"/>
      <c r="V393" s="132"/>
      <c r="W393" s="246"/>
      <c r="X393" s="132"/>
      <c r="Y393" s="246"/>
      <c r="Z393" s="261"/>
      <c r="AA393" s="132"/>
      <c r="AB393" s="246"/>
      <c r="AC393" s="132"/>
      <c r="AD393" s="246"/>
      <c r="AE393" s="132"/>
      <c r="AF393" s="246"/>
      <c r="AG393" s="261"/>
      <c r="AH393" s="132"/>
      <c r="AI393" s="246"/>
      <c r="AJ393" s="132"/>
      <c r="AK393" s="246"/>
      <c r="AL393" s="132"/>
      <c r="AM393" s="246"/>
      <c r="AN393" s="261"/>
      <c r="AO393" s="132"/>
      <c r="AP393" s="246"/>
      <c r="AQ393" s="132"/>
      <c r="AR393" s="246"/>
      <c r="AS393" s="132"/>
      <c r="AT393" s="254" t="str">
        <f t="shared" si="80"/>
        <v/>
      </c>
      <c r="AU393" s="269"/>
      <c r="AV393" s="269"/>
    </row>
    <row r="394">
      <c r="A394" s="94"/>
      <c r="B394" s="702" t="s">
        <v>717</v>
      </c>
      <c r="C394" s="703" t="s">
        <v>718</v>
      </c>
      <c r="D394" s="363"/>
      <c r="E394" s="259"/>
      <c r="F394" s="132"/>
      <c r="G394" s="246"/>
      <c r="H394" s="132"/>
      <c r="I394" s="246"/>
      <c r="J394" s="132"/>
      <c r="K394" s="246"/>
      <c r="L394" s="261"/>
      <c r="M394" s="132"/>
      <c r="N394" s="246"/>
      <c r="O394" s="132"/>
      <c r="P394" s="246"/>
      <c r="Q394" s="132"/>
      <c r="R394" s="246"/>
      <c r="S394" s="261"/>
      <c r="T394" s="132"/>
      <c r="U394" s="246"/>
      <c r="V394" s="132"/>
      <c r="W394" s="246"/>
      <c r="X394" s="132"/>
      <c r="Y394" s="246"/>
      <c r="Z394" s="261"/>
      <c r="AA394" s="132"/>
      <c r="AB394" s="246"/>
      <c r="AC394" s="132"/>
      <c r="AD394" s="246"/>
      <c r="AE394" s="132"/>
      <c r="AF394" s="246"/>
      <c r="AG394" s="261"/>
      <c r="AH394" s="132"/>
      <c r="AI394" s="246"/>
      <c r="AJ394" s="132"/>
      <c r="AK394" s="246"/>
      <c r="AL394" s="132"/>
      <c r="AM394" s="246"/>
      <c r="AN394" s="261"/>
      <c r="AO394" s="132"/>
      <c r="AP394" s="246"/>
      <c r="AQ394" s="132"/>
      <c r="AR394" s="246"/>
      <c r="AS394" s="132"/>
      <c r="AT394" s="254" t="str">
        <f t="shared" si="80"/>
        <v/>
      </c>
      <c r="AU394" s="269"/>
      <c r="AV394" s="269"/>
    </row>
    <row r="395">
      <c r="A395" s="94"/>
      <c r="B395" s="704" t="s">
        <v>719</v>
      </c>
      <c r="C395" s="705" t="s">
        <v>720</v>
      </c>
      <c r="D395" s="330"/>
      <c r="E395" s="259"/>
      <c r="F395" s="132"/>
      <c r="G395" s="246"/>
      <c r="H395" s="132"/>
      <c r="I395" s="246"/>
      <c r="J395" s="132"/>
      <c r="K395" s="246"/>
      <c r="L395" s="261"/>
      <c r="M395" s="132"/>
      <c r="N395" s="246"/>
      <c r="O395" s="132"/>
      <c r="P395" s="246"/>
      <c r="Q395" s="132"/>
      <c r="R395" s="246"/>
      <c r="S395" s="261"/>
      <c r="T395" s="132"/>
      <c r="U395" s="246"/>
      <c r="V395" s="132"/>
      <c r="W395" s="246"/>
      <c r="X395" s="132"/>
      <c r="Y395" s="246"/>
      <c r="Z395" s="261"/>
      <c r="AA395" s="132"/>
      <c r="AB395" s="246"/>
      <c r="AC395" s="132"/>
      <c r="AD395" s="246"/>
      <c r="AE395" s="132"/>
      <c r="AF395" s="246"/>
      <c r="AG395" s="261"/>
      <c r="AH395" s="132"/>
      <c r="AI395" s="246"/>
      <c r="AJ395" s="132"/>
      <c r="AK395" s="246"/>
      <c r="AL395" s="132"/>
      <c r="AM395" s="246"/>
      <c r="AN395" s="261"/>
      <c r="AO395" s="132"/>
      <c r="AP395" s="246"/>
      <c r="AQ395" s="132"/>
      <c r="AR395" s="246"/>
      <c r="AS395" s="132"/>
      <c r="AT395" s="254" t="str">
        <f t="shared" si="80"/>
        <v/>
      </c>
      <c r="AU395" s="269"/>
      <c r="AV395" s="269"/>
    </row>
    <row r="396">
      <c r="A396" s="94"/>
      <c r="B396" s="706" t="s">
        <v>721</v>
      </c>
      <c r="C396" s="707" t="s">
        <v>722</v>
      </c>
      <c r="D396" s="330"/>
      <c r="E396" s="259"/>
      <c r="F396" s="132"/>
      <c r="G396" s="246"/>
      <c r="H396" s="132"/>
      <c r="I396" s="246"/>
      <c r="J396" s="132"/>
      <c r="K396" s="246"/>
      <c r="L396" s="261"/>
      <c r="M396" s="132"/>
      <c r="N396" s="246"/>
      <c r="O396" s="132"/>
      <c r="P396" s="246"/>
      <c r="Q396" s="132"/>
      <c r="R396" s="246"/>
      <c r="S396" s="261"/>
      <c r="T396" s="132"/>
      <c r="U396" s="246"/>
      <c r="V396" s="132"/>
      <c r="W396" s="246"/>
      <c r="X396" s="132"/>
      <c r="Y396" s="246"/>
      <c r="Z396" s="261"/>
      <c r="AA396" s="132"/>
      <c r="AB396" s="246"/>
      <c r="AC396" s="132"/>
      <c r="AD396" s="246"/>
      <c r="AE396" s="132"/>
      <c r="AF396" s="246"/>
      <c r="AG396" s="261"/>
      <c r="AH396" s="132"/>
      <c r="AI396" s="246"/>
      <c r="AJ396" s="132"/>
      <c r="AK396" s="246"/>
      <c r="AL396" s="132"/>
      <c r="AM396" s="246"/>
      <c r="AN396" s="261"/>
      <c r="AO396" s="132"/>
      <c r="AP396" s="246"/>
      <c r="AQ396" s="132"/>
      <c r="AR396" s="246"/>
      <c r="AS396" s="132"/>
      <c r="AT396" s="254" t="str">
        <f t="shared" si="80"/>
        <v/>
      </c>
      <c r="AU396" s="269"/>
      <c r="AV396" s="269"/>
    </row>
    <row r="397">
      <c r="A397" s="94"/>
      <c r="B397" s="706" t="s">
        <v>723</v>
      </c>
      <c r="C397" s="708" t="s">
        <v>724</v>
      </c>
      <c r="D397" s="330"/>
      <c r="E397" s="259"/>
      <c r="F397" s="132"/>
      <c r="G397" s="246"/>
      <c r="H397" s="132"/>
      <c r="I397" s="246"/>
      <c r="J397" s="132"/>
      <c r="K397" s="246"/>
      <c r="L397" s="261"/>
      <c r="M397" s="132"/>
      <c r="N397" s="246"/>
      <c r="O397" s="132"/>
      <c r="P397" s="246"/>
      <c r="Q397" s="132"/>
      <c r="R397" s="246"/>
      <c r="S397" s="261"/>
      <c r="T397" s="132"/>
      <c r="U397" s="246"/>
      <c r="V397" s="132"/>
      <c r="W397" s="246"/>
      <c r="X397" s="132"/>
      <c r="Y397" s="246"/>
      <c r="Z397" s="261"/>
      <c r="AA397" s="132"/>
      <c r="AB397" s="246"/>
      <c r="AC397" s="132"/>
      <c r="AD397" s="246"/>
      <c r="AE397" s="132"/>
      <c r="AF397" s="246"/>
      <c r="AG397" s="261"/>
      <c r="AH397" s="132"/>
      <c r="AI397" s="246"/>
      <c r="AJ397" s="132"/>
      <c r="AK397" s="246"/>
      <c r="AL397" s="132"/>
      <c r="AM397" s="246"/>
      <c r="AN397" s="261"/>
      <c r="AO397" s="132"/>
      <c r="AP397" s="246"/>
      <c r="AQ397" s="132"/>
      <c r="AR397" s="246"/>
      <c r="AS397" s="132"/>
      <c r="AT397" s="254" t="str">
        <f t="shared" si="80"/>
        <v/>
      </c>
      <c r="AU397" s="269"/>
      <c r="AV397" s="269"/>
    </row>
    <row r="398">
      <c r="A398" s="94"/>
      <c r="B398" s="709" t="s">
        <v>725</v>
      </c>
      <c r="C398" s="707" t="s">
        <v>726</v>
      </c>
      <c r="D398" s="330"/>
      <c r="E398" s="259"/>
      <c r="F398" s="446"/>
      <c r="G398" s="246"/>
      <c r="H398" s="132"/>
      <c r="I398" s="246"/>
      <c r="J398" s="446"/>
      <c r="K398" s="246"/>
      <c r="L398" s="261"/>
      <c r="M398" s="446"/>
      <c r="N398" s="246"/>
      <c r="O398" s="446"/>
      <c r="P398" s="246"/>
      <c r="Q398" s="446"/>
      <c r="R398" s="246"/>
      <c r="S398" s="261"/>
      <c r="T398" s="446"/>
      <c r="U398" s="246"/>
      <c r="V398" s="446"/>
      <c r="W398" s="246"/>
      <c r="X398" s="446"/>
      <c r="Y398" s="246"/>
      <c r="Z398" s="261"/>
      <c r="AA398" s="446"/>
      <c r="AB398" s="246"/>
      <c r="AC398" s="446"/>
      <c r="AD398" s="246"/>
      <c r="AE398" s="446"/>
      <c r="AF398" s="246"/>
      <c r="AG398" s="261"/>
      <c r="AH398" s="446"/>
      <c r="AI398" s="246"/>
      <c r="AJ398" s="446"/>
      <c r="AK398" s="246"/>
      <c r="AL398" s="446"/>
      <c r="AM398" s="246"/>
      <c r="AN398" s="261"/>
      <c r="AO398" s="446"/>
      <c r="AP398" s="246"/>
      <c r="AQ398" s="446"/>
      <c r="AR398" s="246"/>
      <c r="AS398" s="446"/>
      <c r="AT398" s="254" t="str">
        <f>IF(COUNTIF($AO$79:$AT$81, #REF!) &gt; 0, "X", "")</f>
        <v/>
      </c>
      <c r="AU398" s="269"/>
      <c r="AV398" s="269"/>
    </row>
    <row r="399">
      <c r="A399" s="94"/>
      <c r="B399" s="710" t="s">
        <v>729</v>
      </c>
      <c r="C399" s="711" t="s">
        <v>730</v>
      </c>
      <c r="D399" s="330"/>
      <c r="E399" s="259"/>
      <c r="F399" s="446"/>
      <c r="G399" s="246"/>
      <c r="H399" s="446"/>
      <c r="I399" s="246"/>
      <c r="J399" s="446"/>
      <c r="K399" s="246"/>
      <c r="L399" s="261"/>
      <c r="M399" s="446"/>
      <c r="N399" s="246"/>
      <c r="O399" s="446"/>
      <c r="P399" s="246"/>
      <c r="Q399" s="446"/>
      <c r="R399" s="246"/>
      <c r="S399" s="261"/>
      <c r="T399" s="446"/>
      <c r="U399" s="246"/>
      <c r="V399" s="446"/>
      <c r="W399" s="246"/>
      <c r="X399" s="446"/>
      <c r="Y399" s="246"/>
      <c r="Z399" s="261"/>
      <c r="AA399" s="446"/>
      <c r="AB399" s="246"/>
      <c r="AC399" s="446"/>
      <c r="AD399" s="246"/>
      <c r="AE399" s="446"/>
      <c r="AF399" s="246"/>
      <c r="AG399" s="261"/>
      <c r="AH399" s="446"/>
      <c r="AI399" s="246"/>
      <c r="AJ399" s="446"/>
      <c r="AK399" s="246"/>
      <c r="AL399" s="446"/>
      <c r="AM399" s="246"/>
      <c r="AN399" s="261"/>
      <c r="AO399" s="446"/>
      <c r="AP399" s="246"/>
      <c r="AQ399" s="446"/>
      <c r="AR399" s="246"/>
      <c r="AS399" s="446"/>
      <c r="AT399" s="254" t="str">
        <f t="shared" ref="AT399:AT401" si="81">IF(COUNTIF($AO$79:$AT$81, AS399) &gt; 0, "X", "")</f>
        <v/>
      </c>
      <c r="AU399" s="269"/>
      <c r="AV399" s="269"/>
    </row>
    <row r="400">
      <c r="A400" s="94"/>
      <c r="B400" s="712" t="s">
        <v>731</v>
      </c>
      <c r="C400" s="713" t="s">
        <v>732</v>
      </c>
      <c r="D400" s="363"/>
      <c r="E400" s="259"/>
      <c r="F400" s="556"/>
      <c r="G400" s="246"/>
      <c r="H400" s="556"/>
      <c r="I400" s="246"/>
      <c r="J400" s="556"/>
      <c r="K400" s="246"/>
      <c r="L400" s="261"/>
      <c r="M400" s="556"/>
      <c r="N400" s="246"/>
      <c r="O400" s="556"/>
      <c r="P400" s="246"/>
      <c r="Q400" s="556"/>
      <c r="R400" s="246"/>
      <c r="S400" s="261"/>
      <c r="T400" s="556"/>
      <c r="U400" s="246"/>
      <c r="V400" s="556"/>
      <c r="W400" s="246"/>
      <c r="X400" s="556"/>
      <c r="Y400" s="246"/>
      <c r="Z400" s="261"/>
      <c r="AA400" s="556"/>
      <c r="AB400" s="246"/>
      <c r="AC400" s="556"/>
      <c r="AD400" s="246"/>
      <c r="AE400" s="556"/>
      <c r="AF400" s="246"/>
      <c r="AG400" s="261"/>
      <c r="AH400" s="556"/>
      <c r="AI400" s="246"/>
      <c r="AJ400" s="556"/>
      <c r="AK400" s="246"/>
      <c r="AL400" s="556"/>
      <c r="AM400" s="246"/>
      <c r="AN400" s="261"/>
      <c r="AO400" s="556"/>
      <c r="AP400" s="246"/>
      <c r="AQ400" s="556"/>
      <c r="AR400" s="246"/>
      <c r="AS400" s="556"/>
      <c r="AT400" s="254" t="str">
        <f t="shared" si="81"/>
        <v/>
      </c>
      <c r="AU400" s="269"/>
      <c r="AV400" s="269"/>
    </row>
    <row r="401">
      <c r="A401" s="94"/>
      <c r="B401" s="714" t="s">
        <v>733</v>
      </c>
      <c r="C401" s="715" t="s">
        <v>734</v>
      </c>
      <c r="D401" s="363"/>
      <c r="E401" s="259"/>
      <c r="F401" s="545"/>
      <c r="G401" s="246"/>
      <c r="H401" s="759"/>
      <c r="I401" s="246"/>
      <c r="J401" s="545"/>
      <c r="K401" s="246"/>
      <c r="L401" s="261"/>
      <c r="M401" s="545"/>
      <c r="N401" s="246"/>
      <c r="O401" s="545"/>
      <c r="P401" s="246"/>
      <c r="Q401" s="545"/>
      <c r="R401" s="246"/>
      <c r="S401" s="261"/>
      <c r="T401" s="545"/>
      <c r="U401" s="246"/>
      <c r="V401" s="545"/>
      <c r="W401" s="246"/>
      <c r="X401" s="545"/>
      <c r="Y401" s="246"/>
      <c r="Z401" s="261"/>
      <c r="AA401" s="545"/>
      <c r="AB401" s="246"/>
      <c r="AC401" s="545"/>
      <c r="AD401" s="246"/>
      <c r="AE401" s="545"/>
      <c r="AF401" s="246"/>
      <c r="AG401" s="261"/>
      <c r="AH401" s="545"/>
      <c r="AI401" s="246"/>
      <c r="AJ401" s="545"/>
      <c r="AK401" s="246"/>
      <c r="AL401" s="545"/>
      <c r="AM401" s="246"/>
      <c r="AN401" s="261"/>
      <c r="AO401" s="545"/>
      <c r="AP401" s="246"/>
      <c r="AQ401" s="545"/>
      <c r="AR401" s="246"/>
      <c r="AS401" s="545"/>
      <c r="AT401" s="254" t="str">
        <f t="shared" si="81"/>
        <v/>
      </c>
      <c r="AU401" s="269"/>
      <c r="AV401" s="269"/>
    </row>
    <row r="402">
      <c r="A402" s="94"/>
      <c r="B402" s="716"/>
      <c r="C402" s="717"/>
      <c r="D402" s="363"/>
      <c r="E402" s="259"/>
      <c r="F402" s="446"/>
      <c r="G402" s="246"/>
      <c r="H402" s="446"/>
      <c r="I402" s="246"/>
      <c r="J402" s="446"/>
      <c r="K402" s="246"/>
      <c r="L402" s="462"/>
      <c r="M402" s="446"/>
      <c r="N402" s="246"/>
      <c r="O402" s="446"/>
      <c r="P402" s="246"/>
      <c r="Q402" s="446"/>
      <c r="R402" s="246"/>
      <c r="S402" s="462"/>
      <c r="T402" s="446"/>
      <c r="U402" s="246"/>
      <c r="V402" s="446"/>
      <c r="W402" s="246"/>
      <c r="X402" s="446"/>
      <c r="Y402" s="246"/>
      <c r="Z402" s="462"/>
      <c r="AA402" s="446"/>
      <c r="AB402" s="246"/>
      <c r="AC402" s="446"/>
      <c r="AD402" s="246"/>
      <c r="AE402" s="446"/>
      <c r="AF402" s="246"/>
      <c r="AG402" s="462"/>
      <c r="AH402" s="446"/>
      <c r="AI402" s="246"/>
      <c r="AJ402" s="446"/>
      <c r="AK402" s="246"/>
      <c r="AL402" s="446"/>
      <c r="AM402" s="246"/>
      <c r="AN402" s="462"/>
      <c r="AO402" s="446"/>
      <c r="AP402" s="246"/>
      <c r="AQ402" s="446"/>
      <c r="AR402" s="246"/>
      <c r="AS402" s="446"/>
      <c r="AT402" s="254"/>
      <c r="AU402" s="269"/>
      <c r="AV402" s="269"/>
    </row>
    <row r="403">
      <c r="A403" s="94"/>
      <c r="B403" s="710" t="s">
        <v>735</v>
      </c>
      <c r="C403" s="718" t="s">
        <v>736</v>
      </c>
      <c r="D403" s="363"/>
      <c r="E403" s="259"/>
      <c r="F403" s="446"/>
      <c r="G403" s="246"/>
      <c r="H403" s="446"/>
      <c r="I403" s="246"/>
      <c r="J403" s="760"/>
      <c r="K403" s="246"/>
      <c r="L403" s="261"/>
      <c r="M403" s="760"/>
      <c r="N403" s="246"/>
      <c r="O403" s="760"/>
      <c r="P403" s="246"/>
      <c r="Q403" s="760"/>
      <c r="R403" s="246"/>
      <c r="S403" s="261"/>
      <c r="T403" s="760"/>
      <c r="U403" s="246"/>
      <c r="V403" s="760"/>
      <c r="W403" s="246"/>
      <c r="X403" s="760"/>
      <c r="Y403" s="246"/>
      <c r="Z403" s="261"/>
      <c r="AA403" s="760"/>
      <c r="AB403" s="246"/>
      <c r="AC403" s="760"/>
      <c r="AD403" s="246"/>
      <c r="AE403" s="760"/>
      <c r="AF403" s="246"/>
      <c r="AG403" s="261"/>
      <c r="AH403" s="760"/>
      <c r="AI403" s="246"/>
      <c r="AJ403" s="760"/>
      <c r="AK403" s="246"/>
      <c r="AL403" s="760"/>
      <c r="AM403" s="246"/>
      <c r="AN403" s="261"/>
      <c r="AO403" s="760"/>
      <c r="AP403" s="246"/>
      <c r="AQ403" s="760"/>
      <c r="AR403" s="246"/>
      <c r="AS403" s="760"/>
      <c r="AT403" s="254" t="str">
        <f t="shared" ref="AT403:AT405" si="82">IF(COUNTIF($AO$79:$AT$81, AS403) &gt; 0, "X", "")</f>
        <v/>
      </c>
      <c r="AU403" s="269"/>
      <c r="AV403" s="269"/>
    </row>
    <row r="404">
      <c r="A404" s="94"/>
      <c r="B404" s="710" t="s">
        <v>735</v>
      </c>
      <c r="C404" s="707" t="s">
        <v>736</v>
      </c>
      <c r="D404" s="363"/>
      <c r="E404" s="259"/>
      <c r="F404" s="446"/>
      <c r="G404" s="246"/>
      <c r="H404" s="446"/>
      <c r="I404" s="246"/>
      <c r="J404" s="446"/>
      <c r="K404" s="246"/>
      <c r="L404" s="261"/>
      <c r="M404" s="446"/>
      <c r="N404" s="246"/>
      <c r="O404" s="446"/>
      <c r="P404" s="246"/>
      <c r="Q404" s="446"/>
      <c r="R404" s="246"/>
      <c r="S404" s="261"/>
      <c r="T404" s="446"/>
      <c r="U404" s="246"/>
      <c r="V404" s="446"/>
      <c r="W404" s="246"/>
      <c r="X404" s="446"/>
      <c r="Y404" s="246"/>
      <c r="Z404" s="261"/>
      <c r="AA404" s="446"/>
      <c r="AB404" s="246"/>
      <c r="AC404" s="446"/>
      <c r="AD404" s="246"/>
      <c r="AE404" s="446"/>
      <c r="AF404" s="246"/>
      <c r="AG404" s="261"/>
      <c r="AH404" s="446"/>
      <c r="AI404" s="246"/>
      <c r="AJ404" s="446"/>
      <c r="AK404" s="246"/>
      <c r="AL404" s="446"/>
      <c r="AM404" s="246"/>
      <c r="AN404" s="261"/>
      <c r="AO404" s="446"/>
      <c r="AP404" s="246"/>
      <c r="AQ404" s="446"/>
      <c r="AR404" s="246"/>
      <c r="AS404" s="446"/>
      <c r="AT404" s="254" t="str">
        <f t="shared" si="82"/>
        <v/>
      </c>
      <c r="AU404" s="269"/>
      <c r="AV404" s="269"/>
    </row>
    <row r="405">
      <c r="A405" s="94"/>
      <c r="B405" s="719" t="s">
        <v>735</v>
      </c>
      <c r="C405" s="711" t="s">
        <v>737</v>
      </c>
      <c r="D405" s="363"/>
      <c r="E405" s="259"/>
      <c r="F405" s="132"/>
      <c r="G405" s="246"/>
      <c r="H405" s="132"/>
      <c r="I405" s="246"/>
      <c r="J405" s="132"/>
      <c r="K405" s="246"/>
      <c r="L405" s="261"/>
      <c r="M405" s="132"/>
      <c r="N405" s="246"/>
      <c r="O405" s="132"/>
      <c r="P405" s="246"/>
      <c r="Q405" s="132"/>
      <c r="R405" s="246"/>
      <c r="S405" s="261"/>
      <c r="T405" s="132"/>
      <c r="U405" s="246"/>
      <c r="V405" s="132"/>
      <c r="W405" s="246"/>
      <c r="X405" s="132"/>
      <c r="Y405" s="246"/>
      <c r="Z405" s="261"/>
      <c r="AA405" s="132"/>
      <c r="AB405" s="246"/>
      <c r="AC405" s="132"/>
      <c r="AD405" s="246"/>
      <c r="AE405" s="132"/>
      <c r="AF405" s="246"/>
      <c r="AG405" s="261"/>
      <c r="AH405" s="132"/>
      <c r="AI405" s="246"/>
      <c r="AJ405" s="132"/>
      <c r="AK405" s="246"/>
      <c r="AL405" s="132"/>
      <c r="AM405" s="246"/>
      <c r="AN405" s="261"/>
      <c r="AO405" s="132"/>
      <c r="AP405" s="246"/>
      <c r="AQ405" s="132"/>
      <c r="AR405" s="246"/>
      <c r="AS405" s="132"/>
      <c r="AT405" s="254" t="str">
        <f t="shared" si="82"/>
        <v/>
      </c>
      <c r="AU405" s="269"/>
      <c r="AV405" s="269"/>
    </row>
    <row r="406">
      <c r="A406" s="94"/>
      <c r="B406" s="459"/>
      <c r="C406" s="460" t="s">
        <v>738</v>
      </c>
      <c r="D406" s="363"/>
      <c r="E406" s="259"/>
      <c r="F406" s="461"/>
      <c r="G406" s="246"/>
      <c r="H406" s="132"/>
      <c r="I406" s="246"/>
      <c r="J406" s="132"/>
      <c r="K406" s="246"/>
      <c r="L406" s="261"/>
      <c r="M406" s="461"/>
      <c r="N406" s="246"/>
      <c r="O406" s="132"/>
      <c r="P406" s="246"/>
      <c r="Q406" s="132"/>
      <c r="R406" s="246"/>
      <c r="S406" s="261"/>
      <c r="T406" s="461"/>
      <c r="U406" s="246"/>
      <c r="V406" s="132"/>
      <c r="W406" s="246"/>
      <c r="X406" s="132"/>
      <c r="Y406" s="246"/>
      <c r="Z406" s="261"/>
      <c r="AA406" s="461"/>
      <c r="AB406" s="246"/>
      <c r="AC406" s="132"/>
      <c r="AD406" s="246"/>
      <c r="AE406" s="132"/>
      <c r="AF406" s="246"/>
      <c r="AG406" s="261"/>
      <c r="AH406" s="461"/>
      <c r="AI406" s="246"/>
      <c r="AJ406" s="132"/>
      <c r="AK406" s="246"/>
      <c r="AL406" s="132"/>
      <c r="AM406" s="246"/>
      <c r="AN406" s="261"/>
      <c r="AO406" s="461"/>
      <c r="AP406" s="246"/>
      <c r="AQ406" s="132"/>
      <c r="AR406" s="246"/>
      <c r="AS406" s="132"/>
      <c r="AT406" s="460"/>
      <c r="AU406" s="269"/>
      <c r="AV406" s="269"/>
    </row>
    <row r="407">
      <c r="A407" s="270"/>
      <c r="B407" s="459"/>
      <c r="C407" s="460" t="s">
        <v>738</v>
      </c>
      <c r="D407" s="363"/>
      <c r="E407" s="259"/>
      <c r="F407" s="132"/>
      <c r="G407" s="246"/>
      <c r="H407" s="132"/>
      <c r="I407" s="246"/>
      <c r="J407" s="132"/>
      <c r="K407" s="246"/>
      <c r="L407" s="261"/>
      <c r="M407" s="132"/>
      <c r="N407" s="246"/>
      <c r="O407" s="132"/>
      <c r="P407" s="246"/>
      <c r="Q407" s="132"/>
      <c r="R407" s="246"/>
      <c r="S407" s="261"/>
      <c r="T407" s="132"/>
      <c r="U407" s="246"/>
      <c r="V407" s="132"/>
      <c r="W407" s="246"/>
      <c r="X407" s="132"/>
      <c r="Y407" s="246"/>
      <c r="Z407" s="261"/>
      <c r="AA407" s="132"/>
      <c r="AB407" s="246"/>
      <c r="AC407" s="132"/>
      <c r="AD407" s="246"/>
      <c r="AE407" s="132"/>
      <c r="AF407" s="246"/>
      <c r="AG407" s="261"/>
      <c r="AH407" s="132"/>
      <c r="AI407" s="246"/>
      <c r="AJ407" s="132"/>
      <c r="AK407" s="246"/>
      <c r="AL407" s="132"/>
      <c r="AM407" s="246"/>
      <c r="AN407" s="261"/>
      <c r="AO407" s="132"/>
      <c r="AP407" s="246"/>
      <c r="AQ407" s="132"/>
      <c r="AR407" s="246"/>
      <c r="AS407" s="132"/>
      <c r="AT407" s="460"/>
      <c r="AU407" s="236"/>
      <c r="AV407" s="236"/>
    </row>
    <row r="408">
      <c r="A408" s="236"/>
      <c r="B408" s="459"/>
      <c r="C408" s="460" t="s">
        <v>738</v>
      </c>
      <c r="D408" s="363"/>
      <c r="E408" s="259"/>
      <c r="F408" s="132"/>
      <c r="G408" s="246"/>
      <c r="H408" s="132"/>
      <c r="I408" s="246"/>
      <c r="J408" s="132"/>
      <c r="K408" s="246"/>
      <c r="L408" s="261"/>
      <c r="M408" s="132"/>
      <c r="N408" s="246"/>
      <c r="O408" s="132"/>
      <c r="P408" s="246"/>
      <c r="Q408" s="132"/>
      <c r="R408" s="246"/>
      <c r="S408" s="261"/>
      <c r="T408" s="132"/>
      <c r="U408" s="246"/>
      <c r="V408" s="132"/>
      <c r="W408" s="246"/>
      <c r="X408" s="132"/>
      <c r="Y408" s="246"/>
      <c r="Z408" s="261"/>
      <c r="AA408" s="132"/>
      <c r="AB408" s="246"/>
      <c r="AC408" s="132"/>
      <c r="AD408" s="246"/>
      <c r="AE408" s="132"/>
      <c r="AF408" s="246"/>
      <c r="AG408" s="261"/>
      <c r="AH408" s="132"/>
      <c r="AI408" s="246"/>
      <c r="AJ408" s="132"/>
      <c r="AK408" s="246"/>
      <c r="AL408" s="132"/>
      <c r="AM408" s="246"/>
      <c r="AN408" s="261"/>
      <c r="AO408" s="132"/>
      <c r="AP408" s="246"/>
      <c r="AQ408" s="132"/>
      <c r="AR408" s="246"/>
      <c r="AS408" s="132"/>
      <c r="AT408" s="460"/>
      <c r="AU408" s="236"/>
      <c r="AV408" s="236"/>
    </row>
    <row r="409">
      <c r="A409" s="236"/>
      <c r="B409" s="459"/>
      <c r="C409" s="460"/>
      <c r="D409" s="460"/>
      <c r="E409" s="559"/>
      <c r="F409" s="460"/>
      <c r="G409" s="460"/>
      <c r="H409" s="460"/>
      <c r="I409" s="460"/>
      <c r="J409" s="460"/>
      <c r="K409" s="460"/>
      <c r="L409" s="460"/>
      <c r="M409" s="460"/>
      <c r="N409" s="460"/>
      <c r="O409" s="460"/>
      <c r="P409" s="460"/>
      <c r="Q409" s="460"/>
      <c r="R409" s="460"/>
      <c r="S409" s="460"/>
      <c r="T409" s="460"/>
      <c r="U409" s="460"/>
      <c r="V409" s="460"/>
      <c r="W409" s="460"/>
      <c r="X409" s="460"/>
      <c r="Y409" s="460"/>
      <c r="Z409" s="460"/>
      <c r="AA409" s="460"/>
      <c r="AB409" s="460"/>
      <c r="AC409" s="460"/>
      <c r="AD409" s="460"/>
      <c r="AE409" s="460"/>
      <c r="AF409" s="460"/>
      <c r="AG409" s="460"/>
      <c r="AH409" s="460"/>
      <c r="AI409" s="460"/>
      <c r="AJ409" s="460"/>
      <c r="AK409" s="460"/>
      <c r="AL409" s="460"/>
      <c r="AM409" s="460"/>
      <c r="AN409" s="460"/>
      <c r="AO409" s="460"/>
      <c r="AP409" s="460"/>
      <c r="AQ409" s="460"/>
      <c r="AR409" s="460"/>
      <c r="AS409" s="460"/>
      <c r="AT409" s="460"/>
      <c r="AU409" s="236"/>
      <c r="AV409" s="236"/>
    </row>
  </sheetData>
  <mergeCells count="103">
    <mergeCell ref="F82:L82"/>
    <mergeCell ref="M82:S82"/>
    <mergeCell ref="T82:Z82"/>
    <mergeCell ref="AA82:AG82"/>
    <mergeCell ref="AH82:AN82"/>
    <mergeCell ref="AO82:AT82"/>
    <mergeCell ref="F83:L83"/>
    <mergeCell ref="AO83:AT83"/>
    <mergeCell ref="M83:S83"/>
    <mergeCell ref="T83:Z83"/>
    <mergeCell ref="H84:I84"/>
    <mergeCell ref="J84:L84"/>
    <mergeCell ref="Q84:R84"/>
    <mergeCell ref="X84:Y84"/>
    <mergeCell ref="AE84:AF84"/>
    <mergeCell ref="M1:V2"/>
    <mergeCell ref="W1:AT2"/>
    <mergeCell ref="M3:S3"/>
    <mergeCell ref="T3:Z3"/>
    <mergeCell ref="AA3:AG3"/>
    <mergeCell ref="AH3:AN3"/>
    <mergeCell ref="AO3:AT3"/>
    <mergeCell ref="F3:L3"/>
    <mergeCell ref="M4:S4"/>
    <mergeCell ref="T4:Z4"/>
    <mergeCell ref="AA4:AG4"/>
    <mergeCell ref="AH4:AN4"/>
    <mergeCell ref="AO4:AT4"/>
    <mergeCell ref="F4:L4"/>
    <mergeCell ref="H5:I5"/>
    <mergeCell ref="J5:L5"/>
    <mergeCell ref="Q5:R5"/>
    <mergeCell ref="X5:Y5"/>
    <mergeCell ref="AE5:AF5"/>
    <mergeCell ref="AL5:AM5"/>
    <mergeCell ref="AA83:AG83"/>
    <mergeCell ref="AH83:AN83"/>
    <mergeCell ref="AL84:AM84"/>
    <mergeCell ref="AS84:AT84"/>
    <mergeCell ref="M163:S163"/>
    <mergeCell ref="T163:Z163"/>
    <mergeCell ref="AS5:AT5"/>
    <mergeCell ref="AA324:AG324"/>
    <mergeCell ref="AH324:AN324"/>
    <mergeCell ref="F323:L323"/>
    <mergeCell ref="M323:S323"/>
    <mergeCell ref="T323:Z323"/>
    <mergeCell ref="AA323:AG323"/>
    <mergeCell ref="AH323:AN323"/>
    <mergeCell ref="AO323:AT323"/>
    <mergeCell ref="F324:L324"/>
    <mergeCell ref="AO324:AT324"/>
    <mergeCell ref="AL325:AM325"/>
    <mergeCell ref="AS325:AT325"/>
    <mergeCell ref="AU327:AV327"/>
    <mergeCell ref="AU328:AV328"/>
    <mergeCell ref="AU329:AV329"/>
    <mergeCell ref="AU330:AV330"/>
    <mergeCell ref="AU331:AV331"/>
    <mergeCell ref="AU332:AV332"/>
    <mergeCell ref="M324:S324"/>
    <mergeCell ref="T324:Z324"/>
    <mergeCell ref="H325:I325"/>
    <mergeCell ref="J325:L325"/>
    <mergeCell ref="Q325:R325"/>
    <mergeCell ref="X325:Y325"/>
    <mergeCell ref="AE325:AF325"/>
    <mergeCell ref="AA163:AG163"/>
    <mergeCell ref="AH163:AN163"/>
    <mergeCell ref="F162:L162"/>
    <mergeCell ref="M162:S162"/>
    <mergeCell ref="T162:Z162"/>
    <mergeCell ref="AA162:AG162"/>
    <mergeCell ref="AH162:AN162"/>
    <mergeCell ref="AO162:AT162"/>
    <mergeCell ref="AO163:AT163"/>
    <mergeCell ref="F163:L163"/>
    <mergeCell ref="H164:I164"/>
    <mergeCell ref="Q164:R164"/>
    <mergeCell ref="X164:Y164"/>
    <mergeCell ref="AE164:AF164"/>
    <mergeCell ref="AL164:AM164"/>
    <mergeCell ref="AS164:AT164"/>
    <mergeCell ref="J164:L164"/>
    <mergeCell ref="F243:L243"/>
    <mergeCell ref="M243:S243"/>
    <mergeCell ref="T243:Z243"/>
    <mergeCell ref="AA243:AG243"/>
    <mergeCell ref="AH243:AN243"/>
    <mergeCell ref="AO243:AT243"/>
    <mergeCell ref="F244:L244"/>
    <mergeCell ref="M244:S244"/>
    <mergeCell ref="T244:Z244"/>
    <mergeCell ref="AA244:AG244"/>
    <mergeCell ref="AH244:AN244"/>
    <mergeCell ref="AO244:AT244"/>
    <mergeCell ref="H245:I245"/>
    <mergeCell ref="J245:L245"/>
    <mergeCell ref="Q245:R245"/>
    <mergeCell ref="X245:Y245"/>
    <mergeCell ref="AE245:AF245"/>
    <mergeCell ref="AL245:AM245"/>
    <mergeCell ref="AS245:AT245"/>
  </mergeCells>
  <dataValidations>
    <dataValidation type="list" allowBlank="1" showErrorMessage="1" sqref="C3 C82 C162 C243 C323">
      <formula1>"RTC,RG,PUB,Working on it"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.5"/>
    <col customWidth="1" min="2" max="2" width="18.0"/>
    <col customWidth="1" min="3" max="3" width="10.88"/>
    <col customWidth="1" min="4" max="4" width="8.0"/>
    <col customWidth="1" min="5" max="5" width="1.75"/>
    <col customWidth="1" min="6" max="6" width="14.75"/>
    <col customWidth="1" min="7" max="7" width="0.88"/>
    <col customWidth="1" min="8" max="8" width="15.13"/>
    <col customWidth="1" min="9" max="9" width="0.88"/>
    <col customWidth="1" min="10" max="10" width="14.75"/>
    <col customWidth="1" min="11" max="11" width="0.88"/>
    <col customWidth="1" min="12" max="12" width="1.75"/>
    <col customWidth="1" min="13" max="13" width="15.63"/>
    <col customWidth="1" min="14" max="14" width="0.88"/>
    <col customWidth="1" min="15" max="15" width="15.63"/>
    <col customWidth="1" min="16" max="16" width="0.88"/>
    <col customWidth="1" min="17" max="17" width="14.75"/>
    <col customWidth="1" min="18" max="18" width="0.88"/>
    <col customWidth="1" min="19" max="19" width="1.75"/>
    <col customWidth="1" min="20" max="20" width="16.38"/>
    <col customWidth="1" min="21" max="21" width="0.88"/>
    <col customWidth="1" min="22" max="22" width="14.25"/>
    <col customWidth="1" min="23" max="23" width="0.88"/>
    <col customWidth="1" min="24" max="24" width="14.75"/>
    <col customWidth="1" min="25" max="25" width="0.88"/>
    <col customWidth="1" min="26" max="26" width="1.75"/>
    <col customWidth="1" min="27" max="27" width="16.38"/>
    <col customWidth="1" min="28" max="28" width="0.88"/>
    <col customWidth="1" min="29" max="29" width="16.38"/>
    <col customWidth="1" min="30" max="30" width="0.88"/>
    <col customWidth="1" min="31" max="31" width="14.75"/>
    <col customWidth="1" min="32" max="32" width="0.88"/>
    <col customWidth="1" min="33" max="33" width="1.75"/>
    <col customWidth="1" min="34" max="34" width="16.38"/>
    <col customWidth="1" min="35" max="35" width="0.88"/>
    <col customWidth="1" min="36" max="36" width="16.38"/>
    <col customWidth="1" min="37" max="37" width="0.88"/>
    <col customWidth="1" min="38" max="38" width="14.75"/>
    <col customWidth="1" min="39" max="39" width="0.88"/>
    <col customWidth="1" min="40" max="40" width="1.75"/>
    <col customWidth="1" min="41" max="41" width="16.38"/>
    <col customWidth="1" min="42" max="42" width="0.88"/>
    <col customWidth="1" min="43" max="43" width="16.38"/>
    <col customWidth="1" min="44" max="44" width="0.88"/>
    <col customWidth="1" min="45" max="45" width="14.75"/>
    <col customWidth="1" min="46" max="46" width="0.88"/>
    <col customWidth="1" min="47" max="47" width="1.5"/>
    <col customWidth="1" min="48" max="48" width="2.75"/>
  </cols>
  <sheetData>
    <row r="1" ht="9.75" customHeight="1">
      <c r="A1" s="172" t="s">
        <v>602</v>
      </c>
      <c r="B1" s="173" t="s">
        <v>603</v>
      </c>
      <c r="C1" s="174"/>
      <c r="D1" s="174"/>
      <c r="E1" s="175"/>
      <c r="F1" s="176"/>
      <c r="G1" s="176"/>
      <c r="H1" s="176"/>
      <c r="I1" s="177"/>
      <c r="J1" s="177"/>
      <c r="K1" s="177"/>
      <c r="L1" s="177"/>
      <c r="M1" s="178" t="s">
        <v>479</v>
      </c>
      <c r="W1" s="179"/>
      <c r="AU1" s="176"/>
      <c r="AV1" s="176"/>
    </row>
    <row r="2" ht="9.75" customHeight="1">
      <c r="A2" s="176"/>
      <c r="B2" s="176"/>
      <c r="C2" s="176"/>
      <c r="D2" s="176"/>
      <c r="E2" s="180"/>
      <c r="F2" s="176"/>
      <c r="G2" s="176"/>
      <c r="H2" s="176"/>
      <c r="I2" s="181"/>
      <c r="J2" s="181"/>
      <c r="K2" s="181"/>
      <c r="L2" s="181"/>
      <c r="AU2" s="176"/>
      <c r="AV2" s="176"/>
    </row>
    <row r="3">
      <c r="A3" s="182"/>
      <c r="B3" s="183" t="s">
        <v>604</v>
      </c>
      <c r="C3" s="184" t="s">
        <v>605</v>
      </c>
      <c r="D3" s="185" t="s">
        <v>486</v>
      </c>
      <c r="E3" s="186"/>
      <c r="F3" s="185" t="s">
        <v>487</v>
      </c>
      <c r="M3" s="185" t="s">
        <v>488</v>
      </c>
      <c r="T3" s="185" t="s">
        <v>489</v>
      </c>
      <c r="AA3" s="185" t="s">
        <v>490</v>
      </c>
      <c r="AH3" s="185" t="s">
        <v>491</v>
      </c>
      <c r="AO3" s="185" t="s">
        <v>492</v>
      </c>
      <c r="AU3" s="182"/>
      <c r="AV3" s="182"/>
    </row>
    <row r="4">
      <c r="A4" s="182"/>
      <c r="B4" s="187"/>
      <c r="C4" s="187"/>
      <c r="D4" s="188">
        <v>31.0</v>
      </c>
      <c r="E4" s="189"/>
      <c r="F4" s="188">
        <v>1.0</v>
      </c>
      <c r="M4" s="188">
        <v>2.0</v>
      </c>
      <c r="T4" s="188">
        <v>3.0</v>
      </c>
      <c r="AA4" s="188">
        <v>4.0</v>
      </c>
      <c r="AH4" s="188">
        <v>5.0</v>
      </c>
      <c r="AO4" s="188">
        <v>6.0</v>
      </c>
      <c r="AU4" s="182"/>
      <c r="AV4" s="182"/>
    </row>
    <row r="5">
      <c r="A5" s="182"/>
      <c r="B5" s="193" t="s">
        <v>608</v>
      </c>
      <c r="C5" s="193" t="s">
        <v>609</v>
      </c>
      <c r="D5" s="187"/>
      <c r="E5" s="189"/>
      <c r="F5" s="194" t="s">
        <v>610</v>
      </c>
      <c r="G5" s="195"/>
      <c r="H5" s="193" t="s">
        <v>611</v>
      </c>
      <c r="J5" s="194" t="s">
        <v>612</v>
      </c>
      <c r="M5" s="194" t="s">
        <v>610</v>
      </c>
      <c r="N5" s="195"/>
      <c r="O5" s="193" t="s">
        <v>611</v>
      </c>
      <c r="P5" s="195"/>
      <c r="Q5" s="194" t="s">
        <v>612</v>
      </c>
      <c r="S5" s="193"/>
      <c r="T5" s="194" t="s">
        <v>610</v>
      </c>
      <c r="U5" s="195"/>
      <c r="V5" s="193" t="s">
        <v>611</v>
      </c>
      <c r="W5" s="195"/>
      <c r="X5" s="194" t="s">
        <v>612</v>
      </c>
      <c r="Z5" s="193"/>
      <c r="AA5" s="194" t="s">
        <v>610</v>
      </c>
      <c r="AB5" s="195"/>
      <c r="AC5" s="193" t="s">
        <v>611</v>
      </c>
      <c r="AD5" s="195"/>
      <c r="AE5" s="194" t="s">
        <v>612</v>
      </c>
      <c r="AG5" s="193"/>
      <c r="AH5" s="194" t="s">
        <v>610</v>
      </c>
      <c r="AI5" s="195"/>
      <c r="AJ5" s="193" t="s">
        <v>611</v>
      </c>
      <c r="AK5" s="195"/>
      <c r="AL5" s="194" t="s">
        <v>612</v>
      </c>
      <c r="AN5" s="193"/>
      <c r="AO5" s="194" t="s">
        <v>610</v>
      </c>
      <c r="AP5" s="195"/>
      <c r="AQ5" s="193" t="s">
        <v>611</v>
      </c>
      <c r="AR5" s="195"/>
      <c r="AS5" s="194" t="s">
        <v>612</v>
      </c>
      <c r="AU5" s="182"/>
      <c r="AV5" s="182"/>
    </row>
    <row r="6" ht="15.0" customHeight="1">
      <c r="A6" s="199"/>
      <c r="B6" s="200" t="s">
        <v>620</v>
      </c>
      <c r="C6" s="201"/>
      <c r="D6" s="201"/>
      <c r="E6" s="202"/>
      <c r="F6" s="203"/>
      <c r="G6" s="204"/>
      <c r="H6" s="203"/>
      <c r="I6" s="204"/>
      <c r="J6" s="203" t="s">
        <v>886</v>
      </c>
      <c r="K6" s="204"/>
      <c r="L6" s="205"/>
      <c r="M6" s="203"/>
      <c r="N6" s="204"/>
      <c r="O6" s="203"/>
      <c r="P6" s="204"/>
      <c r="Q6" s="203"/>
      <c r="R6" s="204"/>
      <c r="S6" s="205"/>
      <c r="T6" s="203" t="s">
        <v>1050</v>
      </c>
      <c r="U6" s="204"/>
      <c r="V6" s="203" t="s">
        <v>825</v>
      </c>
      <c r="W6" s="204"/>
      <c r="X6" s="203" t="s">
        <v>620</v>
      </c>
      <c r="Y6" s="204"/>
      <c r="Z6" s="205"/>
      <c r="AA6" s="203"/>
      <c r="AB6" s="204"/>
      <c r="AC6" s="203"/>
      <c r="AD6" s="204"/>
      <c r="AE6" s="203"/>
      <c r="AF6" s="204"/>
      <c r="AG6" s="205"/>
      <c r="AH6" s="682" t="s">
        <v>1051</v>
      </c>
      <c r="AI6" s="204"/>
      <c r="AJ6" s="203"/>
      <c r="AK6" s="204"/>
      <c r="AL6" s="682" t="s">
        <v>1052</v>
      </c>
      <c r="AM6" s="204"/>
      <c r="AN6" s="205"/>
      <c r="AO6" s="203"/>
      <c r="AP6" s="204"/>
      <c r="AQ6" s="203"/>
      <c r="AR6" s="204"/>
      <c r="AS6" s="203" t="s">
        <v>1053</v>
      </c>
      <c r="AT6" s="204"/>
      <c r="AU6" s="199"/>
      <c r="AV6" s="199"/>
    </row>
    <row r="7">
      <c r="A7" s="234"/>
      <c r="B7" s="235" t="s">
        <v>608</v>
      </c>
      <c r="C7" s="195" t="s">
        <v>609</v>
      </c>
      <c r="D7" s="236"/>
      <c r="E7" s="237"/>
      <c r="F7" s="238"/>
      <c r="G7" s="182"/>
      <c r="H7" s="238"/>
      <c r="I7" s="239"/>
      <c r="J7" s="238"/>
      <c r="K7" s="239"/>
      <c r="L7" s="237"/>
      <c r="M7" s="238"/>
      <c r="N7" s="182"/>
      <c r="O7" s="238"/>
      <c r="P7" s="239"/>
      <c r="Q7" s="238"/>
      <c r="R7" s="239"/>
      <c r="S7" s="237"/>
      <c r="T7" s="238"/>
      <c r="U7" s="182"/>
      <c r="V7" s="238"/>
      <c r="W7" s="239"/>
      <c r="X7" s="238"/>
      <c r="Y7" s="239"/>
      <c r="Z7" s="237"/>
      <c r="AA7" s="238"/>
      <c r="AB7" s="182"/>
      <c r="AC7" s="238"/>
      <c r="AD7" s="239"/>
      <c r="AE7" s="238"/>
      <c r="AF7" s="239"/>
      <c r="AG7" s="237"/>
      <c r="AH7" s="238"/>
      <c r="AI7" s="182"/>
      <c r="AJ7" s="238"/>
      <c r="AK7" s="239"/>
      <c r="AL7" s="238"/>
      <c r="AM7" s="239"/>
      <c r="AN7" s="237"/>
      <c r="AO7" s="238"/>
      <c r="AP7" s="182"/>
      <c r="AQ7" s="238"/>
      <c r="AR7" s="239"/>
      <c r="AS7" s="238"/>
      <c r="AT7" s="239"/>
      <c r="AU7" s="236"/>
      <c r="AV7" s="236"/>
    </row>
    <row r="8" ht="14.25" customHeight="1">
      <c r="A8" s="240"/>
      <c r="B8" s="241" t="s">
        <v>638</v>
      </c>
      <c r="C8" s="242" t="s">
        <v>639</v>
      </c>
      <c r="D8" s="243"/>
      <c r="E8" s="244"/>
      <c r="F8" s="247"/>
      <c r="G8" s="246"/>
      <c r="I8" s="246"/>
      <c r="J8" s="286"/>
      <c r="K8" s="246"/>
      <c r="L8" s="249"/>
      <c r="M8" s="250"/>
      <c r="N8" s="246"/>
      <c r="O8" s="282"/>
      <c r="P8" s="246"/>
      <c r="R8" s="246"/>
      <c r="S8" s="249"/>
      <c r="T8" s="250"/>
      <c r="U8" s="246"/>
      <c r="V8" s="281"/>
      <c r="W8" s="246"/>
      <c r="X8" s="251" t="s">
        <v>405</v>
      </c>
      <c r="Y8" s="246"/>
      <c r="Z8" s="249"/>
      <c r="AA8" s="250"/>
      <c r="AB8" s="246"/>
      <c r="AD8" s="246"/>
      <c r="AE8" s="686" t="s">
        <v>419</v>
      </c>
      <c r="AF8" s="246"/>
      <c r="AG8" s="249"/>
      <c r="AH8" s="371"/>
      <c r="AI8" s="246"/>
      <c r="AK8" s="246"/>
      <c r="AM8" s="246"/>
      <c r="AN8" s="249"/>
      <c r="AO8" s="276"/>
      <c r="AP8" s="246"/>
      <c r="AQ8" s="276"/>
      <c r="AR8" s="246"/>
      <c r="AS8" s="250"/>
      <c r="AT8" s="254" t="str">
        <f>IF(COUNTIF($AO$80:$AT$82, #REF!) &gt; 0, "X", "")</f>
        <v/>
      </c>
      <c r="AU8" s="255"/>
      <c r="AV8" s="255"/>
    </row>
    <row r="9" ht="13.5" customHeight="1">
      <c r="A9" s="94"/>
      <c r="B9" s="256" t="s">
        <v>638</v>
      </c>
      <c r="C9" s="257" t="s">
        <v>639</v>
      </c>
      <c r="D9" s="258"/>
      <c r="E9" s="259"/>
      <c r="F9" s="251" t="s">
        <v>405</v>
      </c>
      <c r="G9" s="246"/>
      <c r="I9" s="246"/>
      <c r="J9" s="286"/>
      <c r="K9" s="246"/>
      <c r="L9" s="261"/>
      <c r="M9" s="262"/>
      <c r="N9" s="246"/>
      <c r="P9" s="246"/>
      <c r="Q9" s="274" t="s">
        <v>414</v>
      </c>
      <c r="R9" s="246"/>
      <c r="S9" s="261"/>
      <c r="T9" s="262"/>
      <c r="U9" s="246"/>
      <c r="V9" s="281"/>
      <c r="W9" s="246"/>
      <c r="X9" s="274" t="s">
        <v>414</v>
      </c>
      <c r="Y9" s="246"/>
      <c r="Z9" s="261"/>
      <c r="AA9" s="262"/>
      <c r="AB9" s="246"/>
      <c r="AD9" s="246"/>
      <c r="AF9" s="246"/>
      <c r="AG9" s="261"/>
      <c r="AH9" s="426"/>
      <c r="AI9" s="246"/>
      <c r="AK9" s="246"/>
      <c r="AL9" s="274" t="s">
        <v>414</v>
      </c>
      <c r="AM9" s="246"/>
      <c r="AN9" s="261"/>
      <c r="AO9" s="598"/>
      <c r="AP9" s="246"/>
      <c r="AQ9" s="598"/>
      <c r="AR9" s="246"/>
      <c r="AS9" s="262"/>
      <c r="AT9" s="254" t="str">
        <f>IF(COUNTIF($AO$80:$AT$82, AS14) &gt; 0, "X", "")</f>
        <v/>
      </c>
      <c r="AU9" s="269"/>
      <c r="AV9" s="269"/>
    </row>
    <row r="10" ht="13.5" customHeight="1">
      <c r="A10" s="270"/>
      <c r="B10" s="271" t="s">
        <v>642</v>
      </c>
      <c r="C10" s="272" t="s">
        <v>639</v>
      </c>
      <c r="D10" s="258"/>
      <c r="E10" s="259"/>
      <c r="F10" s="275"/>
      <c r="G10" s="246"/>
      <c r="H10" s="280" t="s">
        <v>400</v>
      </c>
      <c r="I10" s="246"/>
      <c r="J10" s="312"/>
      <c r="K10" s="246"/>
      <c r="L10" s="261"/>
      <c r="M10" s="250"/>
      <c r="N10" s="246"/>
      <c r="P10" s="246"/>
      <c r="Q10" s="282"/>
      <c r="R10" s="246"/>
      <c r="S10" s="261"/>
      <c r="T10" s="250"/>
      <c r="U10" s="246"/>
      <c r="W10" s="246"/>
      <c r="X10" s="686" t="s">
        <v>419</v>
      </c>
      <c r="Y10" s="246"/>
      <c r="Z10" s="261"/>
      <c r="AA10" s="250"/>
      <c r="AB10" s="246"/>
      <c r="AD10" s="246"/>
      <c r="AF10" s="246"/>
      <c r="AG10" s="261"/>
      <c r="AH10" s="282"/>
      <c r="AI10" s="246"/>
      <c r="AK10" s="246"/>
      <c r="AL10" s="281"/>
      <c r="AM10" s="246"/>
      <c r="AN10" s="261"/>
      <c r="AO10" s="276"/>
      <c r="AP10" s="246"/>
      <c r="AQ10" s="276"/>
      <c r="AR10" s="246"/>
      <c r="AS10" s="250"/>
      <c r="AT10" s="254" t="str">
        <f>IF(COUNTIF($AO$80:$AT$82, #REF!) &gt; 0, "X", "")</f>
        <v/>
      </c>
      <c r="AU10" s="269"/>
      <c r="AV10" s="269"/>
    </row>
    <row r="11">
      <c r="A11" s="94"/>
      <c r="B11" s="277" t="s">
        <v>644</v>
      </c>
      <c r="C11" s="278" t="s">
        <v>645</v>
      </c>
      <c r="D11" s="243"/>
      <c r="E11" s="259"/>
      <c r="F11" s="371"/>
      <c r="G11" s="246"/>
      <c r="H11" s="371"/>
      <c r="I11" s="246"/>
      <c r="J11" s="279"/>
      <c r="K11" s="246"/>
      <c r="L11" s="261"/>
      <c r="M11" s="250"/>
      <c r="N11" s="246"/>
      <c r="O11" s="280" t="s">
        <v>400</v>
      </c>
      <c r="P11" s="246"/>
      <c r="R11" s="246"/>
      <c r="S11" s="261"/>
      <c r="T11" s="250"/>
      <c r="U11" s="246"/>
      <c r="V11" s="371"/>
      <c r="W11" s="246"/>
      <c r="X11" s="280" t="s">
        <v>400</v>
      </c>
      <c r="Y11" s="246"/>
      <c r="Z11" s="261"/>
      <c r="AA11" s="250"/>
      <c r="AB11" s="246"/>
      <c r="AC11" s="280" t="s">
        <v>400</v>
      </c>
      <c r="AD11" s="246"/>
      <c r="AF11" s="246"/>
      <c r="AG11" s="261"/>
      <c r="AH11" s="371"/>
      <c r="AI11" s="246"/>
      <c r="AJ11" s="280" t="s">
        <v>400</v>
      </c>
      <c r="AK11" s="246"/>
      <c r="AM11" s="246"/>
      <c r="AN11" s="261"/>
      <c r="AO11" s="252"/>
      <c r="AP11" s="246"/>
      <c r="AQ11" s="252"/>
      <c r="AR11" s="246"/>
      <c r="AS11" s="250"/>
      <c r="AT11" s="254" t="str">
        <f t="shared" ref="AT11:AT13" si="1">IF(COUNTIF($AO$80:$AT$82, AS11) &gt; 0, "X", "")</f>
        <v/>
      </c>
      <c r="AU11" s="269"/>
      <c r="AV11" s="269"/>
    </row>
    <row r="12">
      <c r="A12" s="270"/>
      <c r="B12" s="284" t="s">
        <v>646</v>
      </c>
      <c r="C12" s="285" t="s">
        <v>647</v>
      </c>
      <c r="D12" s="243"/>
      <c r="E12" s="259"/>
      <c r="F12" s="251" t="s">
        <v>427</v>
      </c>
      <c r="G12" s="246"/>
      <c r="H12" s="399"/>
      <c r="I12" s="246"/>
      <c r="J12" s="273"/>
      <c r="K12" s="246"/>
      <c r="L12" s="261"/>
      <c r="M12" s="324"/>
      <c r="N12" s="246"/>
      <c r="O12" s="399"/>
      <c r="P12" s="246"/>
      <c r="Q12" s="251" t="s">
        <v>427</v>
      </c>
      <c r="R12" s="246"/>
      <c r="S12" s="261"/>
      <c r="T12" s="324"/>
      <c r="U12" s="246"/>
      <c r="V12" s="251" t="s">
        <v>602</v>
      </c>
      <c r="W12" s="246"/>
      <c r="X12" s="251" t="s">
        <v>427</v>
      </c>
      <c r="Y12" s="246"/>
      <c r="Z12" s="261"/>
      <c r="AA12" s="324"/>
      <c r="AB12" s="246"/>
      <c r="AC12" s="282"/>
      <c r="AD12" s="246"/>
      <c r="AE12" s="251" t="s">
        <v>427</v>
      </c>
      <c r="AF12" s="246"/>
      <c r="AG12" s="261"/>
      <c r="AH12" s="251" t="s">
        <v>427</v>
      </c>
      <c r="AI12" s="246"/>
      <c r="AJ12" s="282"/>
      <c r="AK12" s="246"/>
      <c r="AL12" s="282"/>
      <c r="AM12" s="246"/>
      <c r="AN12" s="261"/>
      <c r="AO12" s="252"/>
      <c r="AP12" s="246"/>
      <c r="AQ12" s="252"/>
      <c r="AR12" s="246"/>
      <c r="AS12" s="250"/>
      <c r="AT12" s="254" t="str">
        <f t="shared" si="1"/>
        <v/>
      </c>
      <c r="AU12" s="269"/>
      <c r="AV12" s="269"/>
    </row>
    <row r="13">
      <c r="A13" s="94"/>
      <c r="B13" s="291" t="s">
        <v>648</v>
      </c>
      <c r="C13" s="292" t="s">
        <v>649</v>
      </c>
      <c r="D13" s="243"/>
      <c r="E13" s="259"/>
      <c r="F13" s="294"/>
      <c r="G13" s="246"/>
      <c r="H13" s="293" t="s">
        <v>418</v>
      </c>
      <c r="I13" s="246"/>
      <c r="J13" s="250"/>
      <c r="K13" s="246"/>
      <c r="L13" s="261"/>
      <c r="M13" s="250"/>
      <c r="N13" s="246"/>
      <c r="O13" s="293" t="s">
        <v>418</v>
      </c>
      <c r="P13" s="246"/>
      <c r="Q13" s="294"/>
      <c r="R13" s="246"/>
      <c r="S13" s="261"/>
      <c r="T13" s="250"/>
      <c r="U13" s="246"/>
      <c r="V13" s="294"/>
      <c r="W13" s="246"/>
      <c r="X13" s="293" t="s">
        <v>418</v>
      </c>
      <c r="Y13" s="246"/>
      <c r="Z13" s="261"/>
      <c r="AA13" s="250"/>
      <c r="AB13" s="246"/>
      <c r="AC13" s="294"/>
      <c r="AD13" s="246"/>
      <c r="AE13" s="293" t="s">
        <v>418</v>
      </c>
      <c r="AF13" s="246"/>
      <c r="AG13" s="261"/>
      <c r="AH13" s="294"/>
      <c r="AI13" s="246"/>
      <c r="AJ13" s="293" t="s">
        <v>418</v>
      </c>
      <c r="AK13" s="246"/>
      <c r="AL13" s="294"/>
      <c r="AM13" s="246"/>
      <c r="AN13" s="261"/>
      <c r="AO13" s="294"/>
      <c r="AP13" s="246"/>
      <c r="AQ13" s="294"/>
      <c r="AR13" s="246"/>
      <c r="AS13" s="250"/>
      <c r="AT13" s="254" t="str">
        <f t="shared" si="1"/>
        <v/>
      </c>
      <c r="AU13" s="269"/>
      <c r="AV13" s="269"/>
    </row>
    <row r="14">
      <c r="A14" s="94"/>
      <c r="B14" s="296" t="s">
        <v>650</v>
      </c>
      <c r="C14" s="297" t="s">
        <v>649</v>
      </c>
      <c r="D14" s="243"/>
      <c r="E14" s="259"/>
      <c r="F14" s="299"/>
      <c r="G14" s="298"/>
      <c r="H14" s="299"/>
      <c r="I14" s="298"/>
      <c r="J14" s="245"/>
      <c r="K14" s="298"/>
      <c r="L14" s="261"/>
      <c r="M14" s="250"/>
      <c r="N14" s="298"/>
      <c r="O14" s="299"/>
      <c r="P14" s="298"/>
      <c r="Q14" s="299"/>
      <c r="R14" s="298"/>
      <c r="S14" s="261"/>
      <c r="T14" s="250"/>
      <c r="U14" s="298"/>
      <c r="V14" s="299"/>
      <c r="W14" s="298"/>
      <c r="X14" s="299"/>
      <c r="Y14" s="298"/>
      <c r="Z14" s="261"/>
      <c r="AA14" s="250"/>
      <c r="AB14" s="298"/>
      <c r="AC14" s="299"/>
      <c r="AD14" s="298"/>
      <c r="AE14" s="632" t="s">
        <v>423</v>
      </c>
      <c r="AF14" s="298"/>
      <c r="AG14" s="261"/>
      <c r="AH14" s="299"/>
      <c r="AI14" s="298"/>
      <c r="AJ14" s="299"/>
      <c r="AK14" s="298"/>
      <c r="AL14" s="299"/>
      <c r="AM14" s="298"/>
      <c r="AN14" s="261"/>
      <c r="AO14" s="300"/>
      <c r="AP14" s="298"/>
      <c r="AQ14" s="300"/>
      <c r="AR14" s="298"/>
      <c r="AS14" s="250"/>
      <c r="AT14" s="254" t="str">
        <f t="shared" ref="AT14:AT15" si="2">IF(COUNTIF($AO$80:$AT$82, #REF!) &gt; 0, "X", "")</f>
        <v/>
      </c>
      <c r="AU14" s="269"/>
      <c r="AV14" s="269"/>
    </row>
    <row r="15">
      <c r="A15" s="94"/>
      <c r="B15" s="301" t="s">
        <v>651</v>
      </c>
      <c r="C15" s="302" t="s">
        <v>652</v>
      </c>
      <c r="D15" s="243"/>
      <c r="E15" s="259"/>
      <c r="F15" s="303"/>
      <c r="G15" s="298"/>
      <c r="H15" s="303"/>
      <c r="I15" s="298"/>
      <c r="J15" s="279"/>
      <c r="K15" s="298"/>
      <c r="L15" s="261"/>
      <c r="M15" s="250"/>
      <c r="N15" s="298"/>
      <c r="O15" s="303"/>
      <c r="P15" s="298"/>
      <c r="Q15" s="303"/>
      <c r="R15" s="298"/>
      <c r="S15" s="261"/>
      <c r="T15" s="250"/>
      <c r="U15" s="298"/>
      <c r="V15" s="303"/>
      <c r="W15" s="298"/>
      <c r="X15" s="303"/>
      <c r="Y15" s="298"/>
      <c r="Z15" s="261"/>
      <c r="AA15" s="250"/>
      <c r="AB15" s="298"/>
      <c r="AC15" s="303"/>
      <c r="AD15" s="298"/>
      <c r="AE15" s="303"/>
      <c r="AF15" s="298"/>
      <c r="AG15" s="261"/>
      <c r="AH15" s="303"/>
      <c r="AI15" s="298"/>
      <c r="AJ15" s="303"/>
      <c r="AK15" s="298"/>
      <c r="AL15" s="303"/>
      <c r="AM15" s="298"/>
      <c r="AN15" s="261"/>
      <c r="AO15" s="304"/>
      <c r="AP15" s="298"/>
      <c r="AQ15" s="304"/>
      <c r="AR15" s="298"/>
      <c r="AS15" s="250"/>
      <c r="AT15" s="254" t="str">
        <f t="shared" si="2"/>
        <v/>
      </c>
      <c r="AU15" s="269"/>
      <c r="AV15" s="269"/>
    </row>
    <row r="16">
      <c r="A16" s="94"/>
      <c r="B16" s="305" t="s">
        <v>653</v>
      </c>
      <c r="C16" s="306" t="s">
        <v>654</v>
      </c>
      <c r="D16" s="243"/>
      <c r="E16" s="259"/>
      <c r="F16" s="307"/>
      <c r="G16" s="298"/>
      <c r="H16" s="307"/>
      <c r="I16" s="298"/>
      <c r="J16" s="250"/>
      <c r="K16" s="298"/>
      <c r="L16" s="261"/>
      <c r="M16" s="250"/>
      <c r="N16" s="298"/>
      <c r="O16" s="309" t="s">
        <v>458</v>
      </c>
      <c r="P16" s="298"/>
      <c r="Q16" s="307"/>
      <c r="R16" s="298"/>
      <c r="S16" s="261"/>
      <c r="T16" s="250"/>
      <c r="U16" s="298"/>
      <c r="V16" s="307"/>
      <c r="W16" s="298"/>
      <c r="X16" s="307"/>
      <c r="Y16" s="298"/>
      <c r="Z16" s="261"/>
      <c r="AA16" s="250"/>
      <c r="AB16" s="298"/>
      <c r="AC16" s="307"/>
      <c r="AD16" s="298"/>
      <c r="AE16" s="309" t="s">
        <v>449</v>
      </c>
      <c r="AF16" s="298"/>
      <c r="AG16" s="261"/>
      <c r="AH16" s="307"/>
      <c r="AI16" s="298"/>
      <c r="AJ16" s="307"/>
      <c r="AK16" s="298"/>
      <c r="AL16" s="307"/>
      <c r="AM16" s="298"/>
      <c r="AN16" s="261"/>
      <c r="AO16" s="307"/>
      <c r="AP16" s="298"/>
      <c r="AQ16" s="307"/>
      <c r="AR16" s="298"/>
      <c r="AS16" s="250"/>
      <c r="AT16" s="254" t="str">
        <f t="shared" ref="AT16:AT17" si="3">IF(COUNTIF($AO$80:$AT$82, AS16) &gt; 0, "X", "")</f>
        <v/>
      </c>
      <c r="AU16" s="269"/>
      <c r="AV16" s="269"/>
    </row>
    <row r="17">
      <c r="A17" s="94"/>
      <c r="B17" s="310" t="s">
        <v>656</v>
      </c>
      <c r="C17" s="278" t="s">
        <v>657</v>
      </c>
      <c r="D17" s="243"/>
      <c r="E17" s="259"/>
      <c r="G17" s="246"/>
      <c r="H17" s="282"/>
      <c r="I17" s="246"/>
      <c r="J17" s="312"/>
      <c r="K17" s="246"/>
      <c r="L17" s="261"/>
      <c r="M17" s="250"/>
      <c r="N17" s="246"/>
      <c r="O17" s="311" t="s">
        <v>434</v>
      </c>
      <c r="P17" s="246"/>
      <c r="Q17" s="282"/>
      <c r="R17" s="246"/>
      <c r="S17" s="261"/>
      <c r="T17" s="250"/>
      <c r="U17" s="246"/>
      <c r="V17" s="282"/>
      <c r="W17" s="246"/>
      <c r="Y17" s="246"/>
      <c r="Z17" s="261"/>
      <c r="AA17" s="250"/>
      <c r="AB17" s="246"/>
      <c r="AC17" s="282"/>
      <c r="AD17" s="246"/>
      <c r="AE17" s="274" t="s">
        <v>414</v>
      </c>
      <c r="AF17" s="246"/>
      <c r="AG17" s="261"/>
      <c r="AH17" s="282"/>
      <c r="AI17" s="246"/>
      <c r="AJ17" s="282"/>
      <c r="AK17" s="246"/>
      <c r="AL17" s="282"/>
      <c r="AM17" s="246"/>
      <c r="AN17" s="261"/>
      <c r="AP17" s="246"/>
      <c r="AR17" s="246"/>
      <c r="AS17" s="250"/>
      <c r="AT17" s="254" t="str">
        <f t="shared" si="3"/>
        <v/>
      </c>
      <c r="AU17" s="269"/>
      <c r="AV17" s="269"/>
    </row>
    <row r="18">
      <c r="A18" s="94"/>
      <c r="B18" s="277" t="s">
        <v>658</v>
      </c>
      <c r="C18" s="278" t="s">
        <v>657</v>
      </c>
      <c r="D18" s="243"/>
      <c r="E18" s="259"/>
      <c r="G18" s="246"/>
      <c r="I18" s="246"/>
      <c r="J18" s="286"/>
      <c r="K18" s="246"/>
      <c r="L18" s="261"/>
      <c r="M18" s="250"/>
      <c r="N18" s="246"/>
      <c r="P18" s="246"/>
      <c r="R18" s="246"/>
      <c r="S18" s="261"/>
      <c r="T18" s="250"/>
      <c r="U18" s="246"/>
      <c r="W18" s="246"/>
      <c r="Y18" s="246"/>
      <c r="Z18" s="261"/>
      <c r="AA18" s="250"/>
      <c r="AB18" s="246"/>
      <c r="AD18" s="246"/>
      <c r="AF18" s="246"/>
      <c r="AG18" s="261"/>
      <c r="AH18" s="282"/>
      <c r="AI18" s="246"/>
      <c r="AK18" s="246"/>
      <c r="AM18" s="246"/>
      <c r="AN18" s="261"/>
      <c r="AO18" s="276"/>
      <c r="AP18" s="246"/>
      <c r="AR18" s="246"/>
      <c r="AS18" s="312"/>
      <c r="AT18" s="254" t="str">
        <f t="shared" ref="AT18:AT20" si="4">IF(COUNTIF($AO$80:$AT$82, #REF!) &gt; 0, "X", "")</f>
        <v/>
      </c>
      <c r="AU18" s="269"/>
      <c r="AV18" s="269"/>
    </row>
    <row r="19">
      <c r="A19" s="94"/>
      <c r="B19" s="314" t="s">
        <v>660</v>
      </c>
      <c r="C19" s="315" t="s">
        <v>649</v>
      </c>
      <c r="D19" s="243"/>
      <c r="E19" s="259"/>
      <c r="F19" s="293" t="s">
        <v>424</v>
      </c>
      <c r="G19" s="246"/>
      <c r="H19" s="293" t="s">
        <v>416</v>
      </c>
      <c r="I19" s="246"/>
      <c r="J19" s="286"/>
      <c r="K19" s="246"/>
      <c r="L19" s="261"/>
      <c r="M19" s="316"/>
      <c r="N19" s="246"/>
      <c r="O19" s="626" t="s">
        <v>421</v>
      </c>
      <c r="P19" s="246"/>
      <c r="Q19" s="632" t="s">
        <v>423</v>
      </c>
      <c r="R19" s="246"/>
      <c r="S19" s="261"/>
      <c r="T19" s="316"/>
      <c r="U19" s="246"/>
      <c r="V19" s="293" t="s">
        <v>416</v>
      </c>
      <c r="W19" s="246"/>
      <c r="X19" s="632" t="s">
        <v>423</v>
      </c>
      <c r="Y19" s="246"/>
      <c r="Z19" s="261"/>
      <c r="AA19" s="316"/>
      <c r="AB19" s="246"/>
      <c r="AC19" s="293" t="s">
        <v>416</v>
      </c>
      <c r="AD19" s="246"/>
      <c r="AE19" s="293" t="s">
        <v>424</v>
      </c>
      <c r="AF19" s="246"/>
      <c r="AG19" s="261"/>
      <c r="AH19" s="320"/>
      <c r="AI19" s="246"/>
      <c r="AJ19" s="293" t="s">
        <v>416</v>
      </c>
      <c r="AK19" s="246"/>
      <c r="AL19" s="293" t="s">
        <v>424</v>
      </c>
      <c r="AM19" s="246"/>
      <c r="AN19" s="261"/>
      <c r="AO19" s="626" t="s">
        <v>421</v>
      </c>
      <c r="AP19" s="246"/>
      <c r="AQ19" s="253" t="s">
        <v>417</v>
      </c>
      <c r="AR19" s="246"/>
      <c r="AS19" s="286"/>
      <c r="AT19" s="254" t="str">
        <f t="shared" si="4"/>
        <v/>
      </c>
      <c r="AU19" s="269"/>
      <c r="AV19" s="269"/>
    </row>
    <row r="20">
      <c r="A20" s="94"/>
      <c r="B20" s="296" t="s">
        <v>650</v>
      </c>
      <c r="C20" s="297" t="s">
        <v>649</v>
      </c>
      <c r="D20" s="243"/>
      <c r="E20" s="259"/>
      <c r="F20" s="319"/>
      <c r="G20" s="298"/>
      <c r="H20" s="626" t="s">
        <v>421</v>
      </c>
      <c r="I20" s="298"/>
      <c r="J20" s="286"/>
      <c r="K20" s="298"/>
      <c r="L20" s="261"/>
      <c r="M20" s="250"/>
      <c r="N20" s="298"/>
      <c r="O20" s="293" t="s">
        <v>416</v>
      </c>
      <c r="P20" s="298"/>
      <c r="Q20" s="293" t="s">
        <v>426</v>
      </c>
      <c r="R20" s="298"/>
      <c r="S20" s="261"/>
      <c r="T20" s="250"/>
      <c r="U20" s="298"/>
      <c r="V20" s="319"/>
      <c r="W20" s="298"/>
      <c r="X20" s="253" t="s">
        <v>417</v>
      </c>
      <c r="Y20" s="298"/>
      <c r="Z20" s="261"/>
      <c r="AA20" s="250"/>
      <c r="AB20" s="298"/>
      <c r="AC20" s="319"/>
      <c r="AD20" s="298"/>
      <c r="AE20" s="626" t="s">
        <v>421</v>
      </c>
      <c r="AF20" s="298"/>
      <c r="AG20" s="261"/>
      <c r="AH20" s="320"/>
      <c r="AI20" s="298"/>
      <c r="AJ20" s="299"/>
      <c r="AK20" s="298"/>
      <c r="AL20" s="293" t="s">
        <v>426</v>
      </c>
      <c r="AM20" s="298"/>
      <c r="AN20" s="261"/>
      <c r="AO20" s="300"/>
      <c r="AP20" s="298"/>
      <c r="AQ20" s="300"/>
      <c r="AR20" s="298"/>
      <c r="AS20" s="286"/>
      <c r="AT20" s="254" t="str">
        <f t="shared" si="4"/>
        <v/>
      </c>
      <c r="AU20" s="269"/>
      <c r="AV20" s="269"/>
    </row>
    <row r="21">
      <c r="A21" s="94"/>
      <c r="B21" s="301" t="s">
        <v>651</v>
      </c>
      <c r="C21" s="302" t="s">
        <v>652</v>
      </c>
      <c r="D21" s="243"/>
      <c r="E21" s="259"/>
      <c r="F21" s="303"/>
      <c r="G21" s="298"/>
      <c r="H21" s="303"/>
      <c r="I21" s="298"/>
      <c r="J21" s="279"/>
      <c r="K21" s="298"/>
      <c r="L21" s="261"/>
      <c r="M21" s="250"/>
      <c r="N21" s="298"/>
      <c r="O21" s="303"/>
      <c r="P21" s="298"/>
      <c r="Q21" s="484"/>
      <c r="R21" s="298"/>
      <c r="S21" s="261"/>
      <c r="T21" s="250"/>
      <c r="U21" s="298"/>
      <c r="V21" s="303"/>
      <c r="W21" s="298"/>
      <c r="X21" s="484"/>
      <c r="Y21" s="298"/>
      <c r="Z21" s="261"/>
      <c r="AA21" s="250"/>
      <c r="AB21" s="298"/>
      <c r="AC21" s="303"/>
      <c r="AD21" s="298"/>
      <c r="AE21" s="303"/>
      <c r="AF21" s="298"/>
      <c r="AG21" s="261"/>
      <c r="AH21" s="320"/>
      <c r="AI21" s="298"/>
      <c r="AJ21" s="303"/>
      <c r="AK21" s="298"/>
      <c r="AL21" s="303"/>
      <c r="AM21" s="298"/>
      <c r="AN21" s="261"/>
      <c r="AO21" s="303"/>
      <c r="AP21" s="298"/>
      <c r="AQ21" s="303"/>
      <c r="AR21" s="298"/>
      <c r="AS21" s="286"/>
      <c r="AT21" s="254" t="str">
        <f>IF(COUNTIF($AO$80:$AT$82, AO21) &gt; 0, "X", "")</f>
        <v/>
      </c>
      <c r="AU21" s="269"/>
      <c r="AV21" s="269"/>
    </row>
    <row r="22">
      <c r="A22" s="94"/>
      <c r="B22" s="322" t="s">
        <v>662</v>
      </c>
      <c r="C22" s="306" t="s">
        <v>663</v>
      </c>
      <c r="D22" s="323"/>
      <c r="E22" s="259"/>
      <c r="F22" s="307"/>
      <c r="G22" s="298"/>
      <c r="H22" s="307"/>
      <c r="I22" s="298"/>
      <c r="J22" s="286"/>
      <c r="K22" s="298"/>
      <c r="L22" s="261"/>
      <c r="M22" s="324"/>
      <c r="N22" s="298"/>
      <c r="O22" s="307"/>
      <c r="P22" s="298"/>
      <c r="Q22" s="307"/>
      <c r="R22" s="298"/>
      <c r="S22" s="261"/>
      <c r="T22" s="324"/>
      <c r="U22" s="298"/>
      <c r="V22" s="307"/>
      <c r="W22" s="298"/>
      <c r="X22" s="309" t="s">
        <v>409</v>
      </c>
      <c r="Y22" s="298"/>
      <c r="Z22" s="261"/>
      <c r="AA22" s="324"/>
      <c r="AB22" s="298"/>
      <c r="AC22" s="307"/>
      <c r="AD22" s="298"/>
      <c r="AE22" s="307"/>
      <c r="AF22" s="298"/>
      <c r="AG22" s="261"/>
      <c r="AH22" s="320"/>
      <c r="AI22" s="298"/>
      <c r="AJ22" s="307"/>
      <c r="AK22" s="298"/>
      <c r="AL22" s="309" t="s">
        <v>409</v>
      </c>
      <c r="AM22" s="298"/>
      <c r="AN22" s="261"/>
      <c r="AO22" s="307"/>
      <c r="AP22" s="298"/>
      <c r="AQ22" s="307"/>
      <c r="AR22" s="298"/>
      <c r="AS22" s="286"/>
      <c r="AT22" s="254" t="str">
        <f t="shared" ref="AT22:AT23" si="5">IF(COUNTIF($AO$80:$AT$82, #REF!) &gt; 0, "X", "")</f>
        <v/>
      </c>
      <c r="AU22" s="269"/>
      <c r="AV22" s="269"/>
    </row>
    <row r="23">
      <c r="A23" s="94"/>
      <c r="B23" s="328" t="s">
        <v>665</v>
      </c>
      <c r="C23" s="329" t="s">
        <v>654</v>
      </c>
      <c r="D23" s="330"/>
      <c r="E23" s="259"/>
      <c r="F23" s="325" t="s">
        <v>666</v>
      </c>
      <c r="G23" s="246"/>
      <c r="H23" s="274" t="s">
        <v>458</v>
      </c>
      <c r="I23" s="246"/>
      <c r="J23" s="286"/>
      <c r="K23" s="246"/>
      <c r="L23" s="261"/>
      <c r="M23" s="333"/>
      <c r="N23" s="246"/>
      <c r="O23" s="311" t="s">
        <v>459</v>
      </c>
      <c r="P23" s="246"/>
      <c r="Q23" s="274" t="s">
        <v>449</v>
      </c>
      <c r="R23" s="246"/>
      <c r="S23" s="261"/>
      <c r="T23" s="333"/>
      <c r="U23" s="246"/>
      <c r="V23" s="274" t="s">
        <v>458</v>
      </c>
      <c r="W23" s="246"/>
      <c r="X23" s="311" t="s">
        <v>434</v>
      </c>
      <c r="Y23" s="246"/>
      <c r="Z23" s="261"/>
      <c r="AA23" s="333"/>
      <c r="AB23" s="246"/>
      <c r="AC23" s="274" t="s">
        <v>458</v>
      </c>
      <c r="AD23" s="246"/>
      <c r="AF23" s="246"/>
      <c r="AG23" s="261"/>
      <c r="AH23" s="320"/>
      <c r="AI23" s="246"/>
      <c r="AJ23" s="274" t="s">
        <v>439</v>
      </c>
      <c r="AK23" s="246"/>
      <c r="AL23" s="311" t="s">
        <v>434</v>
      </c>
      <c r="AM23" s="246"/>
      <c r="AN23" s="261"/>
      <c r="AO23" s="274" t="s">
        <v>449</v>
      </c>
      <c r="AP23" s="246"/>
      <c r="AQ23" s="274" t="s">
        <v>458</v>
      </c>
      <c r="AR23" s="246"/>
      <c r="AS23" s="286"/>
      <c r="AT23" s="254" t="str">
        <f t="shared" si="5"/>
        <v/>
      </c>
      <c r="AU23" s="269"/>
      <c r="AV23" s="269"/>
    </row>
    <row r="24">
      <c r="A24" s="94"/>
      <c r="B24" s="337" t="s">
        <v>665</v>
      </c>
      <c r="C24" s="338" t="s">
        <v>657</v>
      </c>
      <c r="D24" s="330"/>
      <c r="E24" s="259"/>
      <c r="F24" s="339" t="s">
        <v>468</v>
      </c>
      <c r="G24" s="246"/>
      <c r="H24" s="311" t="s">
        <v>459</v>
      </c>
      <c r="I24" s="246"/>
      <c r="J24" s="286"/>
      <c r="K24" s="246"/>
      <c r="L24" s="261"/>
      <c r="M24" s="324"/>
      <c r="N24" s="246"/>
      <c r="O24" s="336" t="s">
        <v>398</v>
      </c>
      <c r="P24" s="246"/>
      <c r="Q24" s="339" t="s">
        <v>468</v>
      </c>
      <c r="R24" s="246"/>
      <c r="S24" s="261"/>
      <c r="T24" s="324"/>
      <c r="U24" s="246"/>
      <c r="V24" s="311" t="s">
        <v>459</v>
      </c>
      <c r="W24" s="246"/>
      <c r="X24" s="274" t="s">
        <v>443</v>
      </c>
      <c r="Y24" s="246"/>
      <c r="Z24" s="261"/>
      <c r="AA24" s="324"/>
      <c r="AB24" s="246"/>
      <c r="AC24" s="311" t="s">
        <v>459</v>
      </c>
      <c r="AD24" s="246"/>
      <c r="AE24" s="339" t="s">
        <v>468</v>
      </c>
      <c r="AF24" s="246"/>
      <c r="AG24" s="261"/>
      <c r="AH24" s="320"/>
      <c r="AI24" s="246"/>
      <c r="AJ24" s="311" t="s">
        <v>459</v>
      </c>
      <c r="AK24" s="246"/>
      <c r="AL24" s="274" t="s">
        <v>448</v>
      </c>
      <c r="AM24" s="246"/>
      <c r="AN24" s="261"/>
      <c r="AO24" s="311" t="s">
        <v>434</v>
      </c>
      <c r="AP24" s="246"/>
      <c r="AQ24" s="339" t="s">
        <v>431</v>
      </c>
      <c r="AR24" s="246"/>
      <c r="AS24" s="286"/>
      <c r="AT24" s="254" t="str">
        <f>IF(COUNTIF($AO$80:$AT$82, AL34) &gt; 0, "X", "")</f>
        <v/>
      </c>
      <c r="AU24" s="269"/>
      <c r="AV24" s="269"/>
    </row>
    <row r="25">
      <c r="A25" s="94"/>
      <c r="B25" s="256" t="s">
        <v>665</v>
      </c>
      <c r="C25" s="257" t="s">
        <v>663</v>
      </c>
      <c r="D25" s="330"/>
      <c r="E25" s="259"/>
      <c r="F25" s="274" t="s">
        <v>409</v>
      </c>
      <c r="G25" s="246"/>
      <c r="H25" s="274" t="s">
        <v>448</v>
      </c>
      <c r="I25" s="246"/>
      <c r="J25" s="286"/>
      <c r="K25" s="246"/>
      <c r="L25" s="261"/>
      <c r="M25" s="341"/>
      <c r="N25" s="246"/>
      <c r="O25" s="311" t="s">
        <v>439</v>
      </c>
      <c r="P25" s="246"/>
      <c r="Q25" s="274" t="s">
        <v>448</v>
      </c>
      <c r="R25" s="246"/>
      <c r="S25" s="261"/>
      <c r="T25" s="341"/>
      <c r="U25" s="246"/>
      <c r="W25" s="246"/>
      <c r="X25" s="274" t="s">
        <v>448</v>
      </c>
      <c r="Y25" s="246"/>
      <c r="Z25" s="261"/>
      <c r="AA25" s="341"/>
      <c r="AB25" s="246"/>
      <c r="AD25" s="246"/>
      <c r="AE25" s="274" t="s">
        <v>409</v>
      </c>
      <c r="AF25" s="246"/>
      <c r="AG25" s="261"/>
      <c r="AH25" s="320"/>
      <c r="AI25" s="246"/>
      <c r="AJ25" s="336" t="s">
        <v>450</v>
      </c>
      <c r="AK25" s="246"/>
      <c r="AL25" s="339" t="s">
        <v>468</v>
      </c>
      <c r="AM25" s="246"/>
      <c r="AN25" s="261"/>
      <c r="AO25" s="274" t="s">
        <v>415</v>
      </c>
      <c r="AP25" s="246"/>
      <c r="AR25" s="246"/>
      <c r="AS25" s="286"/>
      <c r="AT25" s="254" t="str">
        <f t="shared" ref="AT25:AT29" si="6">IF(COUNTIF($AO$80:$AT$82, #REF!) &gt; 0, "X", "")</f>
        <v/>
      </c>
      <c r="AU25" s="269"/>
      <c r="AV25" s="269"/>
    </row>
    <row r="26">
      <c r="A26" s="94"/>
      <c r="B26" s="328" t="s">
        <v>665</v>
      </c>
      <c r="C26" s="329" t="s">
        <v>645</v>
      </c>
      <c r="D26" s="330"/>
      <c r="E26" s="259"/>
      <c r="G26" s="246"/>
      <c r="H26" s="336" t="s">
        <v>450</v>
      </c>
      <c r="I26" s="246"/>
      <c r="J26" s="286"/>
      <c r="K26" s="246"/>
      <c r="L26" s="261"/>
      <c r="M26" s="341"/>
      <c r="N26" s="246"/>
      <c r="O26" s="336" t="s">
        <v>450</v>
      </c>
      <c r="P26" s="246"/>
      <c r="Q26" s="274" t="s">
        <v>409</v>
      </c>
      <c r="R26" s="246"/>
      <c r="S26" s="261"/>
      <c r="T26" s="341"/>
      <c r="U26" s="246"/>
      <c r="V26" s="336" t="s">
        <v>450</v>
      </c>
      <c r="W26" s="246"/>
      <c r="X26" s="311" t="s">
        <v>439</v>
      </c>
      <c r="Y26" s="246"/>
      <c r="Z26" s="261"/>
      <c r="AA26" s="341"/>
      <c r="AB26" s="246"/>
      <c r="AC26" s="336" t="s">
        <v>450</v>
      </c>
      <c r="AD26" s="246"/>
      <c r="AE26" s="339" t="s">
        <v>431</v>
      </c>
      <c r="AF26" s="246"/>
      <c r="AG26" s="261"/>
      <c r="AH26" s="320"/>
      <c r="AI26" s="246"/>
      <c r="AJ26" s="339" t="s">
        <v>431</v>
      </c>
      <c r="AK26" s="246"/>
      <c r="AL26" s="274" t="s">
        <v>415</v>
      </c>
      <c r="AM26" s="246"/>
      <c r="AN26" s="261"/>
      <c r="AO26" s="761" t="s">
        <v>468</v>
      </c>
      <c r="AP26" s="246"/>
      <c r="AQ26" s="274" t="s">
        <v>448</v>
      </c>
      <c r="AR26" s="246"/>
      <c r="AS26" s="286"/>
      <c r="AT26" s="254" t="str">
        <f t="shared" si="6"/>
        <v/>
      </c>
      <c r="AU26" s="269"/>
      <c r="AV26" s="269"/>
    </row>
    <row r="27">
      <c r="A27" s="94"/>
      <c r="B27" s="342" t="s">
        <v>667</v>
      </c>
      <c r="C27" s="343" t="s">
        <v>657</v>
      </c>
      <c r="D27" s="323"/>
      <c r="E27" s="261"/>
      <c r="G27" s="246"/>
      <c r="H27" s="311" t="s">
        <v>439</v>
      </c>
      <c r="I27" s="246"/>
      <c r="J27" s="286"/>
      <c r="K27" s="246"/>
      <c r="L27" s="261"/>
      <c r="M27" s="346"/>
      <c r="N27" s="246"/>
      <c r="P27" s="246"/>
      <c r="R27" s="246"/>
      <c r="S27" s="261"/>
      <c r="T27" s="341"/>
      <c r="U27" s="246"/>
      <c r="W27" s="246"/>
      <c r="Y27" s="246"/>
      <c r="Z27" s="261"/>
      <c r="AA27" s="341"/>
      <c r="AB27" s="246"/>
      <c r="AD27" s="246"/>
      <c r="AF27" s="246"/>
      <c r="AG27" s="261"/>
      <c r="AH27" s="345"/>
      <c r="AI27" s="246"/>
      <c r="AK27" s="246"/>
      <c r="AM27" s="246"/>
      <c r="AN27" s="261"/>
      <c r="AP27" s="246"/>
      <c r="AQ27" s="345"/>
      <c r="AR27" s="246"/>
      <c r="AS27" s="286"/>
      <c r="AT27" s="254" t="str">
        <f t="shared" si="6"/>
        <v/>
      </c>
      <c r="AU27" s="269"/>
      <c r="AV27" s="269"/>
    </row>
    <row r="28">
      <c r="A28" s="234"/>
      <c r="B28" s="349" t="s">
        <v>669</v>
      </c>
      <c r="C28" s="350" t="s">
        <v>649</v>
      </c>
      <c r="D28" s="351"/>
      <c r="E28" s="259"/>
      <c r="F28" s="632" t="s">
        <v>423</v>
      </c>
      <c r="G28" s="246"/>
      <c r="H28" s="633" t="s">
        <v>420</v>
      </c>
      <c r="I28" s="246"/>
      <c r="J28" s="286"/>
      <c r="K28" s="246"/>
      <c r="L28" s="261"/>
      <c r="M28" s="354"/>
      <c r="N28" s="246"/>
      <c r="O28" s="355" t="s">
        <v>670</v>
      </c>
      <c r="P28" s="246"/>
      <c r="Q28" s="293" t="s">
        <v>424</v>
      </c>
      <c r="R28" s="246"/>
      <c r="S28" s="261"/>
      <c r="T28" s="341"/>
      <c r="U28" s="246"/>
      <c r="V28" s="355" t="s">
        <v>670</v>
      </c>
      <c r="W28" s="246"/>
      <c r="X28" s="293" t="s">
        <v>424</v>
      </c>
      <c r="Y28" s="246"/>
      <c r="Z28" s="261"/>
      <c r="AA28" s="354"/>
      <c r="AB28" s="246"/>
      <c r="AC28" s="633" t="s">
        <v>420</v>
      </c>
      <c r="AD28" s="246"/>
      <c r="AE28" s="293" t="s">
        <v>422</v>
      </c>
      <c r="AF28" s="246"/>
      <c r="AG28" s="261"/>
      <c r="AH28" s="632" t="s">
        <v>423</v>
      </c>
      <c r="AI28" s="246"/>
      <c r="AJ28" s="355" t="s">
        <v>670</v>
      </c>
      <c r="AK28" s="246"/>
      <c r="AL28" s="626" t="s">
        <v>421</v>
      </c>
      <c r="AM28" s="246"/>
      <c r="AN28" s="261"/>
      <c r="AO28" s="293" t="s">
        <v>422</v>
      </c>
      <c r="AP28" s="246"/>
      <c r="AQ28" s="293" t="s">
        <v>426</v>
      </c>
      <c r="AR28" s="246"/>
      <c r="AS28" s="286"/>
      <c r="AT28" s="254" t="str">
        <f t="shared" si="6"/>
        <v/>
      </c>
      <c r="AU28" s="269"/>
      <c r="AV28" s="269"/>
    </row>
    <row r="29">
      <c r="A29" s="94"/>
      <c r="B29" s="296" t="s">
        <v>650</v>
      </c>
      <c r="C29" s="297" t="s">
        <v>649</v>
      </c>
      <c r="D29" s="323"/>
      <c r="E29" s="259"/>
      <c r="F29" s="300"/>
      <c r="G29" s="298"/>
      <c r="H29" s="253" t="s">
        <v>417</v>
      </c>
      <c r="I29" s="298"/>
      <c r="J29" s="250"/>
      <c r="K29" s="298"/>
      <c r="L29" s="261"/>
      <c r="M29" s="324"/>
      <c r="N29" s="298"/>
      <c r="O29" s="253" t="s">
        <v>417</v>
      </c>
      <c r="P29" s="298"/>
      <c r="Q29" s="300"/>
      <c r="R29" s="298"/>
      <c r="S29" s="261"/>
      <c r="T29" s="324"/>
      <c r="U29" s="298"/>
      <c r="V29" s="293" t="s">
        <v>426</v>
      </c>
      <c r="W29" s="298"/>
      <c r="X29" s="293" t="s">
        <v>422</v>
      </c>
      <c r="Y29" s="298"/>
      <c r="Z29" s="261"/>
      <c r="AA29" s="324"/>
      <c r="AB29" s="298"/>
      <c r="AC29" s="319"/>
      <c r="AD29" s="298"/>
      <c r="AE29" s="319"/>
      <c r="AF29" s="298"/>
      <c r="AG29" s="261"/>
      <c r="AH29" s="319"/>
      <c r="AI29" s="298"/>
      <c r="AJ29" s="253" t="s">
        <v>417</v>
      </c>
      <c r="AK29" s="298"/>
      <c r="AL29" s="293" t="s">
        <v>422</v>
      </c>
      <c r="AM29" s="298"/>
      <c r="AN29" s="261"/>
      <c r="AO29" s="359"/>
      <c r="AP29" s="298"/>
      <c r="AQ29" s="358" t="s">
        <v>397</v>
      </c>
      <c r="AR29" s="298"/>
      <c r="AS29" s="286"/>
      <c r="AT29" s="254" t="str">
        <f t="shared" si="6"/>
        <v/>
      </c>
      <c r="AU29" s="269"/>
      <c r="AV29" s="269"/>
    </row>
    <row r="30">
      <c r="A30" s="94"/>
      <c r="B30" s="301" t="s">
        <v>651</v>
      </c>
      <c r="C30" s="302" t="s">
        <v>652</v>
      </c>
      <c r="D30" s="330"/>
      <c r="E30" s="259"/>
      <c r="F30" s="303"/>
      <c r="G30" s="298"/>
      <c r="H30" s="634" t="s">
        <v>397</v>
      </c>
      <c r="I30" s="298"/>
      <c r="J30" s="762"/>
      <c r="K30" s="298"/>
      <c r="L30" s="261"/>
      <c r="M30" s="250"/>
      <c r="N30" s="298"/>
      <c r="O30" s="303"/>
      <c r="P30" s="298"/>
      <c r="Q30" s="303"/>
      <c r="R30" s="298"/>
      <c r="S30" s="261"/>
      <c r="T30" s="250"/>
      <c r="U30" s="298"/>
      <c r="V30" s="303"/>
      <c r="W30" s="298"/>
      <c r="X30" s="483"/>
      <c r="Y30" s="298"/>
      <c r="Z30" s="261"/>
      <c r="AA30" s="250"/>
      <c r="AB30" s="298"/>
      <c r="AC30" s="304"/>
      <c r="AD30" s="298"/>
      <c r="AE30" s="303"/>
      <c r="AF30" s="298"/>
      <c r="AG30" s="261"/>
      <c r="AH30" s="321" t="s">
        <v>1054</v>
      </c>
      <c r="AI30" s="298"/>
      <c r="AJ30" s="304"/>
      <c r="AK30" s="298"/>
      <c r="AL30" s="483"/>
      <c r="AM30" s="298"/>
      <c r="AN30" s="261"/>
      <c r="AO30" s="303"/>
      <c r="AP30" s="298"/>
      <c r="AQ30" s="303"/>
      <c r="AR30" s="298"/>
      <c r="AS30" s="286"/>
      <c r="AT30" s="254" t="str">
        <f>IF(COUNTIF($AO$80:$AT$82, AO30) &gt; 0, "X", "")</f>
        <v/>
      </c>
      <c r="AU30" s="269"/>
      <c r="AV30" s="269"/>
    </row>
    <row r="31">
      <c r="A31" s="94"/>
      <c r="B31" s="361" t="s">
        <v>673</v>
      </c>
      <c r="C31" s="362" t="s">
        <v>674</v>
      </c>
      <c r="D31" s="363"/>
      <c r="E31" s="259"/>
      <c r="F31" s="251" t="s">
        <v>433</v>
      </c>
      <c r="G31" s="298"/>
      <c r="H31" s="336" t="s">
        <v>412</v>
      </c>
      <c r="I31" s="298"/>
      <c r="J31" s="286"/>
      <c r="K31" s="298"/>
      <c r="L31" s="261"/>
      <c r="M31" s="324"/>
      <c r="N31" s="298"/>
      <c r="O31" s="336" t="s">
        <v>412</v>
      </c>
      <c r="P31" s="298"/>
      <c r="Q31" s="339" t="s">
        <v>765</v>
      </c>
      <c r="R31" s="298"/>
      <c r="S31" s="261"/>
      <c r="T31" s="324"/>
      <c r="U31" s="298"/>
      <c r="V31" s="336" t="s">
        <v>412</v>
      </c>
      <c r="W31" s="298"/>
      <c r="X31" s="339" t="s">
        <v>765</v>
      </c>
      <c r="Y31" s="298"/>
      <c r="Z31" s="261"/>
      <c r="AA31" s="324"/>
      <c r="AB31" s="298"/>
      <c r="AC31" s="336" t="s">
        <v>412</v>
      </c>
      <c r="AD31" s="298"/>
      <c r="AE31" s="251" t="s">
        <v>457</v>
      </c>
      <c r="AF31" s="298"/>
      <c r="AG31" s="261"/>
      <c r="AH31" s="251" t="s">
        <v>457</v>
      </c>
      <c r="AI31" s="298"/>
      <c r="AJ31" s="336" t="s">
        <v>412</v>
      </c>
      <c r="AK31" s="298"/>
      <c r="AL31" s="339" t="s">
        <v>765</v>
      </c>
      <c r="AM31" s="298"/>
      <c r="AN31" s="261"/>
      <c r="AO31" s="251" t="s">
        <v>433</v>
      </c>
      <c r="AP31" s="298"/>
      <c r="AQ31" s="251" t="s">
        <v>457</v>
      </c>
      <c r="AR31" s="298"/>
      <c r="AS31" s="286"/>
      <c r="AT31" s="254" t="str">
        <f t="shared" ref="AT31:AT38" si="7">IF(COUNTIF($AO$80:$AT$82, #REF!) &gt; 0, "X", "")</f>
        <v/>
      </c>
      <c r="AU31" s="269"/>
      <c r="AV31" s="269"/>
    </row>
    <row r="32">
      <c r="A32" s="94"/>
      <c r="B32" s="367" t="s">
        <v>677</v>
      </c>
      <c r="C32" s="368" t="s">
        <v>674</v>
      </c>
      <c r="D32" s="369"/>
      <c r="E32" s="259"/>
      <c r="F32" s="282"/>
      <c r="G32" s="246"/>
      <c r="I32" s="246"/>
      <c r="J32" s="286"/>
      <c r="K32" s="246"/>
      <c r="L32" s="261"/>
      <c r="M32" s="250"/>
      <c r="N32" s="246"/>
      <c r="P32" s="246"/>
      <c r="Q32" s="282"/>
      <c r="R32" s="246"/>
      <c r="S32" s="261"/>
      <c r="T32" s="250"/>
      <c r="U32" s="246"/>
      <c r="W32" s="246"/>
      <c r="Y32" s="246"/>
      <c r="Z32" s="261"/>
      <c r="AA32" s="250"/>
      <c r="AB32" s="246"/>
      <c r="AD32" s="246"/>
      <c r="AF32" s="246"/>
      <c r="AG32" s="261"/>
      <c r="AH32" s="371"/>
      <c r="AI32" s="246"/>
      <c r="AK32" s="246"/>
      <c r="AM32" s="246"/>
      <c r="AN32" s="261"/>
      <c r="AP32" s="246"/>
      <c r="AR32" s="246"/>
      <c r="AS32" s="286"/>
      <c r="AT32" s="254" t="str">
        <f t="shared" si="7"/>
        <v/>
      </c>
      <c r="AU32" s="269"/>
      <c r="AV32" s="269"/>
    </row>
    <row r="33">
      <c r="A33" s="372"/>
      <c r="B33" s="256" t="s">
        <v>679</v>
      </c>
      <c r="C33" s="257" t="s">
        <v>680</v>
      </c>
      <c r="D33" s="330"/>
      <c r="E33" s="259"/>
      <c r="F33" s="311" t="s">
        <v>393</v>
      </c>
      <c r="G33" s="246"/>
      <c r="H33" s="374" t="s">
        <v>436</v>
      </c>
      <c r="I33" s="246"/>
      <c r="J33" s="286"/>
      <c r="K33" s="246"/>
      <c r="L33" s="261"/>
      <c r="M33" s="333"/>
      <c r="N33" s="246"/>
      <c r="O33" s="374" t="s">
        <v>436</v>
      </c>
      <c r="P33" s="246"/>
      <c r="Q33" s="376" t="s">
        <v>453</v>
      </c>
      <c r="R33" s="246"/>
      <c r="S33" s="261"/>
      <c r="T33" s="333"/>
      <c r="U33" s="246"/>
      <c r="V33" s="311" t="s">
        <v>436</v>
      </c>
      <c r="W33" s="246"/>
      <c r="X33" s="251" t="s">
        <v>433</v>
      </c>
      <c r="Y33" s="246"/>
      <c r="Z33" s="261"/>
      <c r="AA33" s="333"/>
      <c r="AB33" s="246"/>
      <c r="AC33" s="251" t="s">
        <v>397</v>
      </c>
      <c r="AD33" s="246"/>
      <c r="AE33" s="251" t="s">
        <v>433</v>
      </c>
      <c r="AF33" s="246"/>
      <c r="AG33" s="261"/>
      <c r="AH33" s="311" t="s">
        <v>393</v>
      </c>
      <c r="AI33" s="246"/>
      <c r="AJ33" s="340" t="s">
        <v>406</v>
      </c>
      <c r="AK33" s="246"/>
      <c r="AL33" s="311" t="s">
        <v>455</v>
      </c>
      <c r="AM33" s="246"/>
      <c r="AN33" s="261"/>
      <c r="AO33" s="274" t="s">
        <v>437</v>
      </c>
      <c r="AP33" s="246"/>
      <c r="AQ33" s="340" t="s">
        <v>406</v>
      </c>
      <c r="AR33" s="246"/>
      <c r="AS33" s="286"/>
      <c r="AT33" s="254" t="str">
        <f t="shared" si="7"/>
        <v/>
      </c>
      <c r="AU33" s="269"/>
      <c r="AV33" s="269"/>
    </row>
    <row r="34">
      <c r="A34" s="94"/>
      <c r="B34" s="328" t="s">
        <v>679</v>
      </c>
      <c r="C34" s="329" t="s">
        <v>652</v>
      </c>
      <c r="D34" s="330"/>
      <c r="E34" s="259"/>
      <c r="G34" s="246"/>
      <c r="H34" s="336" t="s">
        <v>398</v>
      </c>
      <c r="I34" s="246"/>
      <c r="J34" s="286"/>
      <c r="K34" s="246"/>
      <c r="L34" s="261"/>
      <c r="M34" s="346"/>
      <c r="N34" s="246"/>
      <c r="P34" s="246"/>
      <c r="R34" s="246"/>
      <c r="S34" s="261"/>
      <c r="T34" s="346"/>
      <c r="U34" s="246"/>
      <c r="V34" s="336" t="s">
        <v>398</v>
      </c>
      <c r="W34" s="246"/>
      <c r="Y34" s="246"/>
      <c r="Z34" s="261"/>
      <c r="AA34" s="346"/>
      <c r="AB34" s="246"/>
      <c r="AC34" s="348" t="s">
        <v>664</v>
      </c>
      <c r="AD34" s="246"/>
      <c r="AF34" s="246"/>
      <c r="AG34" s="261"/>
      <c r="AI34" s="246"/>
      <c r="AJ34" s="311" t="s">
        <v>436</v>
      </c>
      <c r="AK34" s="246"/>
      <c r="AL34" s="274" t="s">
        <v>443</v>
      </c>
      <c r="AM34" s="246"/>
      <c r="AN34" s="261"/>
      <c r="AP34" s="246"/>
      <c r="AR34" s="246"/>
      <c r="AS34" s="286"/>
      <c r="AT34" s="254" t="str">
        <f t="shared" si="7"/>
        <v/>
      </c>
      <c r="AU34" s="269"/>
      <c r="AV34" s="269"/>
    </row>
    <row r="35">
      <c r="A35" s="94"/>
      <c r="B35" s="328" t="s">
        <v>679</v>
      </c>
      <c r="C35" s="329" t="s">
        <v>683</v>
      </c>
      <c r="D35" s="330"/>
      <c r="E35" s="259"/>
      <c r="F35" s="376" t="s">
        <v>453</v>
      </c>
      <c r="G35" s="246"/>
      <c r="I35" s="246"/>
      <c r="J35" s="286"/>
      <c r="K35" s="246"/>
      <c r="L35" s="261"/>
      <c r="M35" s="341"/>
      <c r="N35" s="246"/>
      <c r="O35" s="376" t="s">
        <v>466</v>
      </c>
      <c r="P35" s="246"/>
      <c r="Q35" s="274" t="s">
        <v>443</v>
      </c>
      <c r="R35" s="246"/>
      <c r="S35" s="261"/>
      <c r="T35" s="341"/>
      <c r="U35" s="246"/>
      <c r="W35" s="246"/>
      <c r="X35" s="376" t="s">
        <v>466</v>
      </c>
      <c r="Y35" s="246"/>
      <c r="Z35" s="261"/>
      <c r="AA35" s="341"/>
      <c r="AB35" s="246"/>
      <c r="AC35" s="336" t="s">
        <v>398</v>
      </c>
      <c r="AD35" s="246"/>
      <c r="AE35" s="274" t="s">
        <v>443</v>
      </c>
      <c r="AF35" s="246"/>
      <c r="AG35" s="261"/>
      <c r="AH35" s="251" t="s">
        <v>433</v>
      </c>
      <c r="AI35" s="246"/>
      <c r="AJ35" s="336" t="s">
        <v>398</v>
      </c>
      <c r="AK35" s="246"/>
      <c r="AL35" s="274" t="s">
        <v>437</v>
      </c>
      <c r="AM35" s="246"/>
      <c r="AN35" s="261"/>
      <c r="AO35" s="274" t="s">
        <v>443</v>
      </c>
      <c r="AP35" s="246"/>
      <c r="AQ35" s="311" t="s">
        <v>436</v>
      </c>
      <c r="AR35" s="246"/>
      <c r="AS35" s="286"/>
      <c r="AT35" s="254" t="str">
        <f t="shared" si="7"/>
        <v/>
      </c>
      <c r="AU35" s="269"/>
      <c r="AV35" s="269"/>
    </row>
    <row r="36">
      <c r="A36" s="270"/>
      <c r="B36" s="377" t="s">
        <v>684</v>
      </c>
      <c r="C36" s="378" t="s">
        <v>685</v>
      </c>
      <c r="D36" s="379"/>
      <c r="E36" s="380"/>
      <c r="G36" s="246"/>
      <c r="H36" s="274" t="s">
        <v>406</v>
      </c>
      <c r="I36" s="246"/>
      <c r="J36" s="286"/>
      <c r="K36" s="246"/>
      <c r="L36" s="381"/>
      <c r="M36" s="341"/>
      <c r="N36" s="246"/>
      <c r="P36" s="246"/>
      <c r="R36" s="246"/>
      <c r="S36" s="381"/>
      <c r="T36" s="341"/>
      <c r="U36" s="246"/>
      <c r="V36" s="274" t="s">
        <v>406</v>
      </c>
      <c r="W36" s="246"/>
      <c r="Y36" s="246"/>
      <c r="Z36" s="381"/>
      <c r="AA36" s="341"/>
      <c r="AB36" s="246"/>
      <c r="AD36" s="246"/>
      <c r="AF36" s="246"/>
      <c r="AG36" s="381"/>
      <c r="AI36" s="246"/>
      <c r="AK36" s="246"/>
      <c r="AM36" s="246"/>
      <c r="AN36" s="381"/>
      <c r="AP36" s="246"/>
      <c r="AR36" s="246"/>
      <c r="AS36" s="286"/>
      <c r="AT36" s="254" t="str">
        <f t="shared" si="7"/>
        <v/>
      </c>
      <c r="AU36" s="269"/>
      <c r="AV36" s="269"/>
    </row>
    <row r="37">
      <c r="A37" s="234"/>
      <c r="B37" s="382" t="s">
        <v>686</v>
      </c>
      <c r="C37" s="242" t="s">
        <v>652</v>
      </c>
      <c r="D37" s="363"/>
      <c r="E37" s="259"/>
      <c r="F37" s="287" t="s">
        <v>429</v>
      </c>
      <c r="G37" s="246"/>
      <c r="H37" s="274" t="s">
        <v>435</v>
      </c>
      <c r="I37" s="246"/>
      <c r="J37" s="286"/>
      <c r="K37" s="246"/>
      <c r="L37" s="261"/>
      <c r="M37" s="341"/>
      <c r="N37" s="246"/>
      <c r="O37" s="274" t="s">
        <v>435</v>
      </c>
      <c r="P37" s="246"/>
      <c r="Q37" s="251" t="s">
        <v>429</v>
      </c>
      <c r="R37" s="246"/>
      <c r="S37" s="261"/>
      <c r="T37" s="341"/>
      <c r="U37" s="246"/>
      <c r="V37" s="274" t="s">
        <v>435</v>
      </c>
      <c r="W37" s="246"/>
      <c r="X37" s="251" t="s">
        <v>429</v>
      </c>
      <c r="Y37" s="246"/>
      <c r="Z37" s="261"/>
      <c r="AA37" s="341"/>
      <c r="AB37" s="246"/>
      <c r="AC37" s="385" t="s">
        <v>428</v>
      </c>
      <c r="AD37" s="246"/>
      <c r="AE37" s="251" t="s">
        <v>429</v>
      </c>
      <c r="AF37" s="246"/>
      <c r="AG37" s="261"/>
      <c r="AH37" s="376" t="s">
        <v>466</v>
      </c>
      <c r="AI37" s="246"/>
      <c r="AJ37" s="274" t="s">
        <v>435</v>
      </c>
      <c r="AK37" s="246"/>
      <c r="AL37" s="251" t="s">
        <v>429</v>
      </c>
      <c r="AM37" s="246"/>
      <c r="AN37" s="261"/>
      <c r="AO37" s="251" t="s">
        <v>429</v>
      </c>
      <c r="AP37" s="246"/>
      <c r="AQ37" s="251" t="s">
        <v>435</v>
      </c>
      <c r="AR37" s="246"/>
      <c r="AS37" s="286"/>
      <c r="AT37" s="254" t="str">
        <f t="shared" si="7"/>
        <v/>
      </c>
      <c r="AU37" s="269"/>
      <c r="AV37" s="269"/>
    </row>
    <row r="38">
      <c r="A38" s="94"/>
      <c r="B38" s="337" t="s">
        <v>686</v>
      </c>
      <c r="C38" s="338" t="s">
        <v>687</v>
      </c>
      <c r="D38" s="330"/>
      <c r="E38" s="259"/>
      <c r="F38" s="311" t="s">
        <v>455</v>
      </c>
      <c r="G38" s="246"/>
      <c r="H38" s="385" t="s">
        <v>428</v>
      </c>
      <c r="I38" s="246"/>
      <c r="J38" s="286"/>
      <c r="K38" s="246"/>
      <c r="L38" s="261"/>
      <c r="M38" s="250"/>
      <c r="N38" s="246"/>
      <c r="O38" s="385" t="s">
        <v>428</v>
      </c>
      <c r="P38" s="246"/>
      <c r="R38" s="246"/>
      <c r="S38" s="261"/>
      <c r="T38" s="250"/>
      <c r="U38" s="246"/>
      <c r="V38" s="383" t="s">
        <v>428</v>
      </c>
      <c r="W38" s="246"/>
      <c r="X38" s="311" t="s">
        <v>455</v>
      </c>
      <c r="Y38" s="246"/>
      <c r="Z38" s="261"/>
      <c r="AA38" s="250"/>
      <c r="AB38" s="246"/>
      <c r="AC38" s="311" t="s">
        <v>455</v>
      </c>
      <c r="AD38" s="246"/>
      <c r="AE38" s="376" t="s">
        <v>466</v>
      </c>
      <c r="AF38" s="246"/>
      <c r="AG38" s="261"/>
      <c r="AI38" s="246"/>
      <c r="AJ38" s="385" t="s">
        <v>428</v>
      </c>
      <c r="AK38" s="246"/>
      <c r="AM38" s="246"/>
      <c r="AN38" s="261"/>
      <c r="AO38" s="376" t="s">
        <v>453</v>
      </c>
      <c r="AP38" s="246"/>
      <c r="AQ38" s="376" t="s">
        <v>466</v>
      </c>
      <c r="AR38" s="246"/>
      <c r="AS38" s="286"/>
      <c r="AT38" s="254" t="str">
        <f t="shared" si="7"/>
        <v/>
      </c>
      <c r="AU38" s="269"/>
      <c r="AV38" s="269"/>
    </row>
    <row r="39">
      <c r="A39" s="94"/>
      <c r="B39" s="337" t="s">
        <v>688</v>
      </c>
      <c r="C39" s="285" t="s">
        <v>687</v>
      </c>
      <c r="D39" s="330"/>
      <c r="E39" s="259"/>
      <c r="G39" s="246"/>
      <c r="I39" s="246"/>
      <c r="J39" s="286"/>
      <c r="K39" s="246"/>
      <c r="L39" s="261"/>
      <c r="M39" s="262"/>
      <c r="N39" s="246"/>
      <c r="P39" s="246"/>
      <c r="R39" s="246"/>
      <c r="S39" s="261"/>
      <c r="T39" s="262"/>
      <c r="U39" s="246"/>
      <c r="W39" s="246"/>
      <c r="X39" s="348" t="s">
        <v>682</v>
      </c>
      <c r="Y39" s="246"/>
      <c r="Z39" s="261"/>
      <c r="AA39" s="262"/>
      <c r="AB39" s="246"/>
      <c r="AC39" s="347"/>
      <c r="AD39" s="246"/>
      <c r="AF39" s="246"/>
      <c r="AG39" s="261"/>
      <c r="AH39" s="265"/>
      <c r="AI39" s="246"/>
      <c r="AK39" s="246"/>
      <c r="AL39" s="265"/>
      <c r="AM39" s="246"/>
      <c r="AN39" s="261"/>
      <c r="AP39" s="246"/>
      <c r="AR39" s="246"/>
      <c r="AS39" s="286"/>
      <c r="AT39" s="254" t="str">
        <f>IF(COUNTIF($AO$80:$AT$82, AO37) &gt; 0, "X", "")</f>
        <v/>
      </c>
      <c r="AU39" s="269"/>
      <c r="AV39" s="269"/>
    </row>
    <row r="40">
      <c r="A40" s="94"/>
      <c r="B40" s="387" t="s">
        <v>690</v>
      </c>
      <c r="C40" s="388" t="s">
        <v>649</v>
      </c>
      <c r="D40" s="389"/>
      <c r="E40" s="259"/>
      <c r="F40" s="390"/>
      <c r="G40" s="246"/>
      <c r="H40" s="390"/>
      <c r="I40" s="246"/>
      <c r="J40" s="279"/>
      <c r="K40" s="246"/>
      <c r="L40" s="261"/>
      <c r="M40" s="250"/>
      <c r="N40" s="246"/>
      <c r="O40" s="633" t="s">
        <v>420</v>
      </c>
      <c r="P40" s="246"/>
      <c r="Q40" s="390"/>
      <c r="R40" s="246"/>
      <c r="S40" s="261"/>
      <c r="T40" s="250"/>
      <c r="U40" s="246"/>
      <c r="V40" s="633" t="s">
        <v>420</v>
      </c>
      <c r="W40" s="246"/>
      <c r="X40" s="355"/>
      <c r="Y40" s="246"/>
      <c r="Z40" s="261"/>
      <c r="AA40" s="250"/>
      <c r="AB40" s="246"/>
      <c r="AC40" s="390"/>
      <c r="AD40" s="246"/>
      <c r="AE40" s="390"/>
      <c r="AF40" s="246"/>
      <c r="AG40" s="261"/>
      <c r="AH40" s="390"/>
      <c r="AI40" s="246"/>
      <c r="AJ40" s="633" t="s">
        <v>420</v>
      </c>
      <c r="AK40" s="246"/>
      <c r="AL40" s="390"/>
      <c r="AM40" s="246"/>
      <c r="AN40" s="261"/>
      <c r="AO40" s="390"/>
      <c r="AP40" s="246"/>
      <c r="AQ40" s="390"/>
      <c r="AR40" s="246"/>
      <c r="AS40" s="286"/>
      <c r="AT40" s="254" t="str">
        <f>IF(COUNTIF($AO$80:$AT$82, #REF!) &gt; 0, "X", "")</f>
        <v/>
      </c>
      <c r="AU40" s="269"/>
      <c r="AV40" s="269"/>
    </row>
    <row r="41">
      <c r="A41" s="94"/>
      <c r="B41" s="296" t="s">
        <v>650</v>
      </c>
      <c r="C41" s="297" t="s">
        <v>649</v>
      </c>
      <c r="D41" s="323"/>
      <c r="E41" s="259"/>
      <c r="F41" s="300"/>
      <c r="G41" s="246"/>
      <c r="H41" s="319"/>
      <c r="I41" s="246"/>
      <c r="J41" s="250"/>
      <c r="K41" s="246"/>
      <c r="L41" s="261"/>
      <c r="M41" s="250"/>
      <c r="N41" s="246"/>
      <c r="O41" s="300"/>
      <c r="P41" s="246"/>
      <c r="Q41" s="300"/>
      <c r="R41" s="246"/>
      <c r="S41" s="261"/>
      <c r="T41" s="250"/>
      <c r="U41" s="246"/>
      <c r="V41" s="300"/>
      <c r="W41" s="246"/>
      <c r="X41" s="300"/>
      <c r="Y41" s="246"/>
      <c r="Z41" s="261"/>
      <c r="AA41" s="250"/>
      <c r="AB41" s="246"/>
      <c r="AC41" s="300"/>
      <c r="AD41" s="246"/>
      <c r="AE41" s="300"/>
      <c r="AF41" s="246"/>
      <c r="AG41" s="261"/>
      <c r="AH41" s="300"/>
      <c r="AI41" s="246"/>
      <c r="AJ41" s="300"/>
      <c r="AK41" s="246"/>
      <c r="AL41" s="300"/>
      <c r="AM41" s="246"/>
      <c r="AN41" s="261"/>
      <c r="AO41" s="300"/>
      <c r="AP41" s="246"/>
      <c r="AQ41" s="300"/>
      <c r="AR41" s="246"/>
      <c r="AS41" s="286"/>
      <c r="AT41" s="254" t="str">
        <f t="shared" ref="AT41:AT48" si="8">IF(COUNTIF($AO$80:$AT$82, AO41) &gt; 0, "X", "")</f>
        <v/>
      </c>
      <c r="AU41" s="269"/>
      <c r="AV41" s="269"/>
    </row>
    <row r="42">
      <c r="A42" s="94"/>
      <c r="B42" s="301" t="s">
        <v>651</v>
      </c>
      <c r="C42" s="391" t="s">
        <v>652</v>
      </c>
      <c r="D42" s="323"/>
      <c r="E42" s="261"/>
      <c r="F42" s="304"/>
      <c r="G42" s="246"/>
      <c r="H42" s="304"/>
      <c r="I42" s="246"/>
      <c r="J42" s="250"/>
      <c r="K42" s="246"/>
      <c r="L42" s="261"/>
      <c r="M42" s="250"/>
      <c r="N42" s="246"/>
      <c r="O42" s="304"/>
      <c r="P42" s="246"/>
      <c r="Q42" s="304"/>
      <c r="R42" s="246"/>
      <c r="S42" s="261"/>
      <c r="T42" s="250"/>
      <c r="U42" s="246"/>
      <c r="V42" s="304"/>
      <c r="W42" s="246"/>
      <c r="X42" s="304"/>
      <c r="Y42" s="246"/>
      <c r="Z42" s="261"/>
      <c r="AA42" s="250"/>
      <c r="AB42" s="246"/>
      <c r="AC42" s="304"/>
      <c r="AD42" s="246"/>
      <c r="AE42" s="304"/>
      <c r="AF42" s="246"/>
      <c r="AG42" s="261"/>
      <c r="AH42" s="304"/>
      <c r="AI42" s="246"/>
      <c r="AJ42" s="304"/>
      <c r="AK42" s="246"/>
      <c r="AL42" s="304"/>
      <c r="AM42" s="246"/>
      <c r="AN42" s="261"/>
      <c r="AO42" s="304"/>
      <c r="AP42" s="246"/>
      <c r="AQ42" s="304"/>
      <c r="AR42" s="246"/>
      <c r="AS42" s="286"/>
      <c r="AT42" s="254" t="str">
        <f t="shared" si="8"/>
        <v/>
      </c>
      <c r="AU42" s="269"/>
      <c r="AV42" s="269"/>
    </row>
    <row r="43">
      <c r="A43" s="94"/>
      <c r="B43" s="392" t="s">
        <v>691</v>
      </c>
      <c r="C43" s="393" t="s">
        <v>652</v>
      </c>
      <c r="D43" s="323"/>
      <c r="E43" s="259"/>
      <c r="F43" s="307"/>
      <c r="G43" s="246"/>
      <c r="H43" s="307"/>
      <c r="I43" s="246"/>
      <c r="J43" s="250"/>
      <c r="K43" s="246"/>
      <c r="L43" s="261"/>
      <c r="M43" s="250"/>
      <c r="N43" s="246"/>
      <c r="O43" s="394" t="s">
        <v>397</v>
      </c>
      <c r="P43" s="246"/>
      <c r="Q43" s="307"/>
      <c r="R43" s="246"/>
      <c r="S43" s="261"/>
      <c r="T43" s="250"/>
      <c r="U43" s="246"/>
      <c r="V43" s="394" t="s">
        <v>397</v>
      </c>
      <c r="W43" s="246"/>
      <c r="X43" s="394"/>
      <c r="Y43" s="246"/>
      <c r="Z43" s="261"/>
      <c r="AA43" s="250"/>
      <c r="AB43" s="246"/>
      <c r="AC43" s="307"/>
      <c r="AD43" s="246"/>
      <c r="AE43" s="307"/>
      <c r="AF43" s="246"/>
      <c r="AG43" s="261"/>
      <c r="AH43" s="307"/>
      <c r="AI43" s="246"/>
      <c r="AJ43" s="394" t="s">
        <v>397</v>
      </c>
      <c r="AK43" s="246"/>
      <c r="AL43" s="307"/>
      <c r="AM43" s="246"/>
      <c r="AN43" s="261"/>
      <c r="AO43" s="307"/>
      <c r="AP43" s="246"/>
      <c r="AQ43" s="307"/>
      <c r="AR43" s="246"/>
      <c r="AS43" s="286"/>
      <c r="AT43" s="254" t="str">
        <f t="shared" si="8"/>
        <v/>
      </c>
      <c r="AU43" s="269"/>
      <c r="AV43" s="269"/>
    </row>
    <row r="44">
      <c r="A44" s="94"/>
      <c r="B44" s="328" t="s">
        <v>692</v>
      </c>
      <c r="C44" s="329" t="s">
        <v>652</v>
      </c>
      <c r="D44" s="330"/>
      <c r="E44" s="259"/>
      <c r="F44" s="371"/>
      <c r="G44" s="246"/>
      <c r="H44" s="371"/>
      <c r="I44" s="246"/>
      <c r="J44" s="312"/>
      <c r="K44" s="246"/>
      <c r="L44" s="261"/>
      <c r="M44" s="250"/>
      <c r="N44" s="246"/>
      <c r="O44" s="371"/>
      <c r="P44" s="246"/>
      <c r="Q44" s="371"/>
      <c r="R44" s="246"/>
      <c r="S44" s="261"/>
      <c r="T44" s="250"/>
      <c r="U44" s="246"/>
      <c r="V44" s="282"/>
      <c r="W44" s="246"/>
      <c r="X44" s="371"/>
      <c r="Y44" s="246"/>
      <c r="Z44" s="261"/>
      <c r="AA44" s="250"/>
      <c r="AB44" s="246"/>
      <c r="AC44" s="371"/>
      <c r="AD44" s="246"/>
      <c r="AE44" s="371"/>
      <c r="AF44" s="246"/>
      <c r="AG44" s="261"/>
      <c r="AH44" s="371"/>
      <c r="AI44" s="246"/>
      <c r="AJ44" s="371"/>
      <c r="AK44" s="246"/>
      <c r="AL44" s="371"/>
      <c r="AM44" s="246"/>
      <c r="AN44" s="261"/>
      <c r="AO44" s="282"/>
      <c r="AP44" s="246"/>
      <c r="AQ44" s="282"/>
      <c r="AR44" s="246"/>
      <c r="AS44" s="286"/>
      <c r="AT44" s="254" t="str">
        <f t="shared" si="8"/>
        <v/>
      </c>
      <c r="AU44" s="269"/>
      <c r="AV44" s="269"/>
    </row>
    <row r="45">
      <c r="A45" s="270"/>
      <c r="B45" s="397" t="s">
        <v>692</v>
      </c>
      <c r="C45" s="398" t="s">
        <v>687</v>
      </c>
      <c r="D45" s="369"/>
      <c r="E45" s="259"/>
      <c r="F45" s="399"/>
      <c r="G45" s="246"/>
      <c r="H45" s="399"/>
      <c r="I45" s="246"/>
      <c r="J45" s="273"/>
      <c r="K45" s="246"/>
      <c r="L45" s="261"/>
      <c r="M45" s="250"/>
      <c r="N45" s="246"/>
      <c r="O45" s="282"/>
      <c r="P45" s="246"/>
      <c r="Q45" s="282"/>
      <c r="R45" s="246"/>
      <c r="S45" s="261"/>
      <c r="T45" s="250"/>
      <c r="U45" s="246"/>
      <c r="V45" s="282"/>
      <c r="W45" s="246"/>
      <c r="X45" s="399"/>
      <c r="Y45" s="246"/>
      <c r="Z45" s="261"/>
      <c r="AA45" s="250"/>
      <c r="AB45" s="246"/>
      <c r="AC45" s="399"/>
      <c r="AD45" s="246"/>
      <c r="AE45" s="399"/>
      <c r="AF45" s="246"/>
      <c r="AG45" s="261"/>
      <c r="AH45" s="399"/>
      <c r="AI45" s="246"/>
      <c r="AJ45" s="399"/>
      <c r="AK45" s="246"/>
      <c r="AL45" s="399"/>
      <c r="AM45" s="246"/>
      <c r="AN45" s="261"/>
      <c r="AO45" s="399"/>
      <c r="AP45" s="246"/>
      <c r="AQ45" s="399"/>
      <c r="AR45" s="246"/>
      <c r="AS45" s="286"/>
      <c r="AT45" s="254" t="str">
        <f t="shared" si="8"/>
        <v/>
      </c>
      <c r="AU45" s="269"/>
      <c r="AV45" s="269"/>
    </row>
    <row r="46">
      <c r="A46" s="94"/>
      <c r="B46" s="387" t="s">
        <v>694</v>
      </c>
      <c r="C46" s="388" t="s">
        <v>649</v>
      </c>
      <c r="D46" s="389"/>
      <c r="E46" s="259"/>
      <c r="F46" s="390"/>
      <c r="G46" s="246"/>
      <c r="H46" s="390"/>
      <c r="I46" s="246"/>
      <c r="J46" s="279"/>
      <c r="K46" s="246"/>
      <c r="L46" s="261"/>
      <c r="M46" s="250"/>
      <c r="N46" s="246"/>
      <c r="O46" s="390"/>
      <c r="P46" s="246"/>
      <c r="Q46" s="357" t="s">
        <v>425</v>
      </c>
      <c r="R46" s="246"/>
      <c r="S46" s="261"/>
      <c r="T46" s="250"/>
      <c r="U46" s="246"/>
      <c r="V46" s="390"/>
      <c r="W46" s="246"/>
      <c r="X46" s="357" t="s">
        <v>425</v>
      </c>
      <c r="Y46" s="246"/>
      <c r="Z46" s="261"/>
      <c r="AA46" s="250"/>
      <c r="AB46" s="246"/>
      <c r="AC46" s="390"/>
      <c r="AD46" s="246"/>
      <c r="AE46" s="357" t="s">
        <v>425</v>
      </c>
      <c r="AF46" s="246"/>
      <c r="AG46" s="261"/>
      <c r="AH46" s="390"/>
      <c r="AI46" s="246"/>
      <c r="AJ46" s="390"/>
      <c r="AK46" s="246"/>
      <c r="AL46" s="357" t="s">
        <v>425</v>
      </c>
      <c r="AM46" s="246"/>
      <c r="AN46" s="261"/>
      <c r="AO46" s="357"/>
      <c r="AP46" s="246"/>
      <c r="AQ46" s="390"/>
      <c r="AR46" s="246"/>
      <c r="AS46" s="357" t="s">
        <v>425</v>
      </c>
      <c r="AT46" s="254" t="str">
        <f t="shared" si="8"/>
        <v/>
      </c>
      <c r="AU46" s="269"/>
      <c r="AV46" s="269"/>
    </row>
    <row r="47">
      <c r="A47" s="94"/>
      <c r="B47" s="296" t="s">
        <v>650</v>
      </c>
      <c r="C47" s="297" t="s">
        <v>649</v>
      </c>
      <c r="D47" s="323"/>
      <c r="E47" s="259"/>
      <c r="F47" s="300"/>
      <c r="G47" s="298"/>
      <c r="H47" s="300"/>
      <c r="I47" s="298"/>
      <c r="J47" s="250"/>
      <c r="K47" s="298"/>
      <c r="L47" s="261"/>
      <c r="M47" s="250"/>
      <c r="N47" s="298"/>
      <c r="O47" s="300"/>
      <c r="P47" s="298"/>
      <c r="Q47" s="319"/>
      <c r="R47" s="298"/>
      <c r="S47" s="261"/>
      <c r="T47" s="250"/>
      <c r="U47" s="298"/>
      <c r="V47" s="300"/>
      <c r="W47" s="298"/>
      <c r="X47" s="300"/>
      <c r="Y47" s="298"/>
      <c r="Z47" s="261"/>
      <c r="AA47" s="250"/>
      <c r="AB47" s="298"/>
      <c r="AC47" s="300"/>
      <c r="AD47" s="298"/>
      <c r="AE47" s="300"/>
      <c r="AF47" s="298"/>
      <c r="AG47" s="261"/>
      <c r="AH47" s="300"/>
      <c r="AI47" s="298"/>
      <c r="AJ47" s="300"/>
      <c r="AK47" s="298"/>
      <c r="AL47" s="300"/>
      <c r="AM47" s="298"/>
      <c r="AN47" s="261"/>
      <c r="AO47" s="300"/>
      <c r="AP47" s="298"/>
      <c r="AQ47" s="300"/>
      <c r="AR47" s="298"/>
      <c r="AS47" s="286"/>
      <c r="AT47" s="254" t="str">
        <f t="shared" si="8"/>
        <v/>
      </c>
      <c r="AU47" s="269"/>
      <c r="AV47" s="269"/>
    </row>
    <row r="48">
      <c r="A48" s="94"/>
      <c r="B48" s="301" t="s">
        <v>651</v>
      </c>
      <c r="C48" s="391" t="s">
        <v>652</v>
      </c>
      <c r="D48" s="323"/>
      <c r="E48" s="261"/>
      <c r="F48" s="304"/>
      <c r="G48" s="298"/>
      <c r="H48" s="304"/>
      <c r="I48" s="298"/>
      <c r="J48" s="250"/>
      <c r="K48" s="298"/>
      <c r="L48" s="261"/>
      <c r="M48" s="250"/>
      <c r="N48" s="298"/>
      <c r="O48" s="304"/>
      <c r="P48" s="298"/>
      <c r="Q48" s="304"/>
      <c r="R48" s="298"/>
      <c r="S48" s="261"/>
      <c r="T48" s="250"/>
      <c r="U48" s="298"/>
      <c r="V48" s="304"/>
      <c r="W48" s="298"/>
      <c r="X48" s="304"/>
      <c r="Y48" s="298"/>
      <c r="Z48" s="261"/>
      <c r="AA48" s="250"/>
      <c r="AB48" s="298"/>
      <c r="AC48" s="304"/>
      <c r="AD48" s="298"/>
      <c r="AE48" s="304"/>
      <c r="AF48" s="298"/>
      <c r="AG48" s="261"/>
      <c r="AH48" s="304"/>
      <c r="AI48" s="298"/>
      <c r="AJ48" s="304"/>
      <c r="AK48" s="298"/>
      <c r="AL48" s="304"/>
      <c r="AM48" s="298"/>
      <c r="AN48" s="261"/>
      <c r="AO48" s="304"/>
      <c r="AP48" s="298"/>
      <c r="AQ48" s="304"/>
      <c r="AR48" s="298"/>
      <c r="AS48" s="286"/>
      <c r="AT48" s="254" t="str">
        <f t="shared" si="8"/>
        <v/>
      </c>
      <c r="AU48" s="269"/>
      <c r="AV48" s="269"/>
    </row>
    <row r="49">
      <c r="A49" s="94"/>
      <c r="B49" s="401" t="s">
        <v>697</v>
      </c>
      <c r="C49" s="393" t="s">
        <v>652</v>
      </c>
      <c r="D49" s="323"/>
      <c r="E49" s="259"/>
      <c r="F49" s="307"/>
      <c r="G49" s="298"/>
      <c r="H49" s="307"/>
      <c r="I49" s="298"/>
      <c r="J49" s="250"/>
      <c r="K49" s="298"/>
      <c r="L49" s="261"/>
      <c r="M49" s="250"/>
      <c r="N49" s="298"/>
      <c r="O49" s="307"/>
      <c r="P49" s="298"/>
      <c r="Q49" s="309" t="s">
        <v>406</v>
      </c>
      <c r="R49" s="298"/>
      <c r="S49" s="261"/>
      <c r="T49" s="250"/>
      <c r="U49" s="298"/>
      <c r="V49" s="307"/>
      <c r="W49" s="298"/>
      <c r="X49" s="395" t="s">
        <v>430</v>
      </c>
      <c r="Y49" s="298"/>
      <c r="Z49" s="261"/>
      <c r="AA49" s="250"/>
      <c r="AB49" s="298"/>
      <c r="AC49" s="307"/>
      <c r="AD49" s="298"/>
      <c r="AE49" s="395" t="s">
        <v>430</v>
      </c>
      <c r="AF49" s="298"/>
      <c r="AG49" s="261"/>
      <c r="AH49" s="307"/>
      <c r="AI49" s="298"/>
      <c r="AJ49" s="307"/>
      <c r="AK49" s="298"/>
      <c r="AL49" s="308" t="s">
        <v>445</v>
      </c>
      <c r="AM49" s="298"/>
      <c r="AN49" s="261"/>
      <c r="AO49" s="308"/>
      <c r="AP49" s="298"/>
      <c r="AQ49" s="307"/>
      <c r="AR49" s="298"/>
      <c r="AS49" s="286"/>
      <c r="AT49" s="254" t="str">
        <f t="shared" ref="AT49:AT50" si="9">IF(COUNTIF($AO$80:$AT$82, #REF!) &gt; 0, "X", "")</f>
        <v/>
      </c>
      <c r="AU49" s="269"/>
      <c r="AV49" s="269"/>
    </row>
    <row r="50">
      <c r="A50" s="94"/>
      <c r="B50" s="337" t="s">
        <v>698</v>
      </c>
      <c r="C50" s="329" t="s">
        <v>652</v>
      </c>
      <c r="D50" s="330"/>
      <c r="E50" s="259"/>
      <c r="F50" s="371"/>
      <c r="G50" s="246"/>
      <c r="H50" s="371"/>
      <c r="I50" s="246"/>
      <c r="J50" s="279"/>
      <c r="K50" s="246"/>
      <c r="L50" s="261"/>
      <c r="M50" s="250"/>
      <c r="N50" s="246"/>
      <c r="O50" s="371"/>
      <c r="P50" s="246"/>
      <c r="Q50" s="371"/>
      <c r="R50" s="246"/>
      <c r="S50" s="261"/>
      <c r="T50" s="250"/>
      <c r="U50" s="246"/>
      <c r="V50" s="371"/>
      <c r="W50" s="246"/>
      <c r="X50" s="282"/>
      <c r="Y50" s="246"/>
      <c r="Z50" s="261"/>
      <c r="AA50" s="250"/>
      <c r="AB50" s="246"/>
      <c r="AC50" s="282"/>
      <c r="AD50" s="246"/>
      <c r="AE50" s="584"/>
      <c r="AF50" s="246"/>
      <c r="AG50" s="261"/>
      <c r="AH50" s="371"/>
      <c r="AI50" s="246"/>
      <c r="AJ50" s="371"/>
      <c r="AK50" s="246"/>
      <c r="AL50" s="282"/>
      <c r="AM50" s="246"/>
      <c r="AN50" s="261"/>
      <c r="AO50" s="282"/>
      <c r="AP50" s="246"/>
      <c r="AQ50" s="371"/>
      <c r="AR50" s="246"/>
      <c r="AS50" s="286"/>
      <c r="AT50" s="254" t="str">
        <f t="shared" si="9"/>
        <v/>
      </c>
      <c r="AU50" s="269"/>
      <c r="AV50" s="269"/>
    </row>
    <row r="51">
      <c r="A51" s="270"/>
      <c r="B51" s="337" t="s">
        <v>698</v>
      </c>
      <c r="C51" s="398" t="s">
        <v>687</v>
      </c>
      <c r="D51" s="369"/>
      <c r="E51" s="259"/>
      <c r="F51" s="399"/>
      <c r="G51" s="246"/>
      <c r="H51" s="399"/>
      <c r="I51" s="246"/>
      <c r="J51" s="273"/>
      <c r="K51" s="246"/>
      <c r="L51" s="261"/>
      <c r="M51" s="250"/>
      <c r="N51" s="246"/>
      <c r="O51" s="399"/>
      <c r="P51" s="246"/>
      <c r="Q51" s="282"/>
      <c r="R51" s="246"/>
      <c r="S51" s="261"/>
      <c r="T51" s="250"/>
      <c r="U51" s="246"/>
      <c r="V51" s="399"/>
      <c r="W51" s="246"/>
      <c r="X51" s="399"/>
      <c r="Y51" s="246"/>
      <c r="Z51" s="261"/>
      <c r="AA51" s="250"/>
      <c r="AB51" s="246"/>
      <c r="AC51" s="282"/>
      <c r="AD51" s="246"/>
      <c r="AE51" s="399"/>
      <c r="AF51" s="246"/>
      <c r="AG51" s="261"/>
      <c r="AH51" s="399"/>
      <c r="AI51" s="246"/>
      <c r="AJ51" s="399"/>
      <c r="AK51" s="246"/>
      <c r="AL51" s="399"/>
      <c r="AM51" s="246"/>
      <c r="AN51" s="261"/>
      <c r="AO51" s="399"/>
      <c r="AP51" s="246"/>
      <c r="AQ51" s="399"/>
      <c r="AR51" s="246"/>
      <c r="AS51" s="286"/>
      <c r="AT51" s="254" t="str">
        <f t="shared" ref="AT51:AT53" si="10">IF(COUNTIF($AO$80:$AT$82, AO51) &gt; 0, "X", "")</f>
        <v/>
      </c>
      <c r="AU51" s="269"/>
      <c r="AV51" s="269"/>
    </row>
    <row r="52">
      <c r="A52" s="94"/>
      <c r="B52" s="402" t="s">
        <v>699</v>
      </c>
      <c r="C52" s="403" t="s">
        <v>649</v>
      </c>
      <c r="D52" s="404"/>
      <c r="E52" s="259"/>
      <c r="F52" s="294"/>
      <c r="G52" s="246"/>
      <c r="H52" s="294"/>
      <c r="I52" s="246"/>
      <c r="J52" s="250"/>
      <c r="K52" s="246"/>
      <c r="L52" s="261"/>
      <c r="M52" s="250"/>
      <c r="N52" s="246"/>
      <c r="O52" s="294"/>
      <c r="P52" s="246"/>
      <c r="Q52" s="293" t="s">
        <v>422</v>
      </c>
      <c r="R52" s="246"/>
      <c r="S52" s="261"/>
      <c r="T52" s="250"/>
      <c r="U52" s="246"/>
      <c r="V52" s="294"/>
      <c r="W52" s="246"/>
      <c r="X52" s="294"/>
      <c r="Y52" s="246"/>
      <c r="Z52" s="261"/>
      <c r="AA52" s="250"/>
      <c r="AB52" s="246"/>
      <c r="AC52" s="294"/>
      <c r="AD52" s="246"/>
      <c r="AE52" s="293" t="s">
        <v>426</v>
      </c>
      <c r="AF52" s="246"/>
      <c r="AG52" s="261"/>
      <c r="AH52" s="294"/>
      <c r="AI52" s="246"/>
      <c r="AJ52" s="294"/>
      <c r="AK52" s="246"/>
      <c r="AL52" s="294"/>
      <c r="AM52" s="246"/>
      <c r="AN52" s="261"/>
      <c r="AO52" s="294"/>
      <c r="AP52" s="246"/>
      <c r="AQ52" s="294"/>
      <c r="AR52" s="246"/>
      <c r="AS52" s="286"/>
      <c r="AT52" s="254" t="str">
        <f t="shared" si="10"/>
        <v/>
      </c>
      <c r="AU52" s="269"/>
      <c r="AV52" s="269"/>
    </row>
    <row r="53">
      <c r="A53" s="94"/>
      <c r="B53" s="328" t="s">
        <v>700</v>
      </c>
      <c r="C53" s="329" t="s">
        <v>657</v>
      </c>
      <c r="D53" s="330"/>
      <c r="E53" s="259"/>
      <c r="F53" s="264"/>
      <c r="G53" s="246"/>
      <c r="H53" s="282"/>
      <c r="I53" s="246"/>
      <c r="J53" s="279"/>
      <c r="K53" s="246"/>
      <c r="L53" s="261"/>
      <c r="M53" s="250"/>
      <c r="N53" s="246"/>
      <c r="O53" s="371"/>
      <c r="P53" s="246"/>
      <c r="Q53" s="274" t="s">
        <v>437</v>
      </c>
      <c r="R53" s="246"/>
      <c r="S53" s="261"/>
      <c r="T53" s="250"/>
      <c r="U53" s="246"/>
      <c r="V53" s="371"/>
      <c r="W53" s="246"/>
      <c r="X53" s="371"/>
      <c r="Y53" s="246"/>
      <c r="Z53" s="261"/>
      <c r="AA53" s="250"/>
      <c r="AB53" s="246"/>
      <c r="AC53" s="371"/>
      <c r="AD53" s="246"/>
      <c r="AE53" s="405" t="s">
        <v>462</v>
      </c>
      <c r="AF53" s="246"/>
      <c r="AG53" s="261"/>
      <c r="AH53" s="371"/>
      <c r="AI53" s="246"/>
      <c r="AJ53" s="371"/>
      <c r="AK53" s="246"/>
      <c r="AL53" s="371"/>
      <c r="AM53" s="246"/>
      <c r="AN53" s="261"/>
      <c r="AO53" s="371"/>
      <c r="AP53" s="246"/>
      <c r="AQ53" s="282"/>
      <c r="AR53" s="246"/>
      <c r="AS53" s="286"/>
      <c r="AT53" s="254" t="str">
        <f t="shared" si="10"/>
        <v/>
      </c>
      <c r="AU53" s="269"/>
      <c r="AV53" s="269"/>
    </row>
    <row r="54">
      <c r="A54" s="94"/>
      <c r="B54" s="328" t="s">
        <v>700</v>
      </c>
      <c r="C54" s="329" t="s">
        <v>657</v>
      </c>
      <c r="D54" s="330"/>
      <c r="E54" s="259"/>
      <c r="F54" s="371"/>
      <c r="G54" s="246"/>
      <c r="I54" s="246"/>
      <c r="J54" s="286"/>
      <c r="K54" s="246"/>
      <c r="L54" s="261"/>
      <c r="M54" s="262"/>
      <c r="N54" s="246"/>
      <c r="O54" s="265"/>
      <c r="P54" s="246"/>
      <c r="Q54" s="311" t="s">
        <v>455</v>
      </c>
      <c r="R54" s="246"/>
      <c r="S54" s="261"/>
      <c r="T54" s="262"/>
      <c r="U54" s="246"/>
      <c r="V54" s="264"/>
      <c r="W54" s="246"/>
      <c r="Y54" s="246"/>
      <c r="Z54" s="261"/>
      <c r="AA54" s="262"/>
      <c r="AB54" s="246"/>
      <c r="AD54" s="246"/>
      <c r="AE54" s="274" t="s">
        <v>437</v>
      </c>
      <c r="AF54" s="246"/>
      <c r="AG54" s="261"/>
      <c r="AH54" s="264"/>
      <c r="AI54" s="246"/>
      <c r="AJ54" s="264"/>
      <c r="AK54" s="246"/>
      <c r="AM54" s="246"/>
      <c r="AN54" s="261"/>
      <c r="AP54" s="246"/>
      <c r="AQ54" s="264"/>
      <c r="AR54" s="246"/>
      <c r="AS54" s="286"/>
      <c r="AT54" s="254" t="str">
        <f>IF(COUNTIF($AO$80:$AT$82, AO61) &gt; 0, "X", "")</f>
        <v/>
      </c>
      <c r="AU54" s="269"/>
      <c r="AV54" s="269"/>
    </row>
    <row r="55">
      <c r="A55" s="94"/>
      <c r="B55" s="328" t="s">
        <v>700</v>
      </c>
      <c r="C55" s="329" t="s">
        <v>657</v>
      </c>
      <c r="D55" s="330"/>
      <c r="E55" s="259"/>
      <c r="G55" s="246"/>
      <c r="I55" s="246"/>
      <c r="J55" s="286"/>
      <c r="K55" s="246"/>
      <c r="L55" s="261"/>
      <c r="M55" s="250"/>
      <c r="N55" s="246"/>
      <c r="P55" s="246"/>
      <c r="Q55" s="282"/>
      <c r="R55" s="246"/>
      <c r="S55" s="261"/>
      <c r="T55" s="250"/>
      <c r="U55" s="246"/>
      <c r="V55" s="282"/>
      <c r="W55" s="246"/>
      <c r="Y55" s="246"/>
      <c r="Z55" s="261"/>
      <c r="AA55" s="250"/>
      <c r="AB55" s="246"/>
      <c r="AD55" s="246"/>
      <c r="AE55" s="282"/>
      <c r="AF55" s="246"/>
      <c r="AG55" s="261"/>
      <c r="AH55" s="371"/>
      <c r="AI55" s="246"/>
      <c r="AK55" s="246"/>
      <c r="AM55" s="246"/>
      <c r="AN55" s="261"/>
      <c r="AP55" s="246"/>
      <c r="AQ55" s="371"/>
      <c r="AR55" s="246"/>
      <c r="AS55" s="286"/>
      <c r="AT55" s="254" t="str">
        <f>IF(COUNTIF($AO$80:$AT$82, #REF!) &gt; 0, "X", "")</f>
        <v/>
      </c>
      <c r="AU55" s="269"/>
      <c r="AV55" s="269"/>
    </row>
    <row r="56">
      <c r="A56" s="234"/>
      <c r="B56" s="408" t="s">
        <v>702</v>
      </c>
      <c r="C56" s="409" t="s">
        <v>652</v>
      </c>
      <c r="D56" s="351"/>
      <c r="E56" s="259"/>
      <c r="F56" s="411"/>
      <c r="G56" s="246"/>
      <c r="H56" s="411"/>
      <c r="I56" s="246"/>
      <c r="J56" s="410"/>
      <c r="K56" s="246"/>
      <c r="L56" s="261"/>
      <c r="M56" s="262"/>
      <c r="N56" s="246"/>
      <c r="O56" s="411"/>
      <c r="P56" s="246"/>
      <c r="Q56" s="411"/>
      <c r="R56" s="246"/>
      <c r="S56" s="261"/>
      <c r="T56" s="262"/>
      <c r="U56" s="246"/>
      <c r="V56" s="411"/>
      <c r="W56" s="246"/>
      <c r="X56" s="411"/>
      <c r="Y56" s="246"/>
      <c r="Z56" s="261"/>
      <c r="AA56" s="262"/>
      <c r="AB56" s="246"/>
      <c r="AC56" s="411"/>
      <c r="AD56" s="246"/>
      <c r="AE56" s="411"/>
      <c r="AF56" s="246"/>
      <c r="AG56" s="261"/>
      <c r="AH56" s="411"/>
      <c r="AI56" s="246"/>
      <c r="AJ56" s="411"/>
      <c r="AK56" s="246"/>
      <c r="AL56" s="411"/>
      <c r="AM56" s="246"/>
      <c r="AN56" s="261"/>
      <c r="AO56" s="411"/>
      <c r="AP56" s="246"/>
      <c r="AQ56" s="411"/>
      <c r="AR56" s="246"/>
      <c r="AS56" s="286"/>
      <c r="AT56" s="254" t="str">
        <f t="shared" ref="AT56:AT57" si="11">IF(COUNTIF($AO$80:$AT$82, AO56) &gt; 0, "X", "")</f>
        <v/>
      </c>
      <c r="AU56" s="269"/>
      <c r="AV56" s="269"/>
    </row>
    <row r="57">
      <c r="A57" s="234"/>
      <c r="B57" s="401" t="s">
        <v>703</v>
      </c>
      <c r="C57" s="412" t="s">
        <v>704</v>
      </c>
      <c r="D57" s="323"/>
      <c r="E57" s="259"/>
      <c r="F57" s="307"/>
      <c r="G57" s="246"/>
      <c r="H57" s="413"/>
      <c r="I57" s="246"/>
      <c r="J57" s="262"/>
      <c r="K57" s="246"/>
      <c r="L57" s="261"/>
      <c r="M57" s="262"/>
      <c r="N57" s="246"/>
      <c r="O57" s="413"/>
      <c r="P57" s="246"/>
      <c r="Q57" s="413"/>
      <c r="R57" s="246"/>
      <c r="S57" s="261"/>
      <c r="T57" s="262"/>
      <c r="U57" s="246"/>
      <c r="V57" s="413"/>
      <c r="W57" s="246"/>
      <c r="X57" s="413"/>
      <c r="Y57" s="246"/>
      <c r="Z57" s="261"/>
      <c r="AA57" s="262"/>
      <c r="AB57" s="246"/>
      <c r="AC57" s="413"/>
      <c r="AD57" s="246"/>
      <c r="AE57" s="413"/>
      <c r="AF57" s="246"/>
      <c r="AG57" s="261"/>
      <c r="AH57" s="413"/>
      <c r="AI57" s="246"/>
      <c r="AJ57" s="413"/>
      <c r="AK57" s="246"/>
      <c r="AL57" s="413"/>
      <c r="AM57" s="246"/>
      <c r="AN57" s="261"/>
      <c r="AO57" s="413"/>
      <c r="AP57" s="246"/>
      <c r="AQ57" s="413"/>
      <c r="AR57" s="246"/>
      <c r="AS57" s="286"/>
      <c r="AT57" s="254" t="str">
        <f t="shared" si="11"/>
        <v/>
      </c>
      <c r="AU57" s="269"/>
      <c r="AV57" s="269"/>
    </row>
    <row r="58">
      <c r="A58" s="94"/>
      <c r="B58" s="414" t="s">
        <v>705</v>
      </c>
      <c r="C58" s="415" t="s">
        <v>704</v>
      </c>
      <c r="D58" s="330"/>
      <c r="E58" s="259"/>
      <c r="F58" s="251" t="s">
        <v>410</v>
      </c>
      <c r="G58" s="246"/>
      <c r="H58" s="311" t="s">
        <v>438</v>
      </c>
      <c r="I58" s="246"/>
      <c r="J58" s="286"/>
      <c r="K58" s="246"/>
      <c r="L58" s="261"/>
      <c r="M58" s="341"/>
      <c r="N58" s="246"/>
      <c r="O58" s="251" t="s">
        <v>407</v>
      </c>
      <c r="P58" s="246"/>
      <c r="Q58" s="311" t="s">
        <v>410</v>
      </c>
      <c r="R58" s="246"/>
      <c r="S58" s="261"/>
      <c r="T58" s="341"/>
      <c r="U58" s="246"/>
      <c r="V58" s="251" t="s">
        <v>407</v>
      </c>
      <c r="W58" s="246"/>
      <c r="X58" s="251" t="s">
        <v>410</v>
      </c>
      <c r="Y58" s="246"/>
      <c r="Z58" s="261"/>
      <c r="AA58" s="341"/>
      <c r="AB58" s="246"/>
      <c r="AC58" s="311" t="s">
        <v>438</v>
      </c>
      <c r="AD58" s="246"/>
      <c r="AE58" s="311" t="s">
        <v>467</v>
      </c>
      <c r="AF58" s="246"/>
      <c r="AG58" s="261"/>
      <c r="AI58" s="246"/>
      <c r="AJ58" s="251" t="s">
        <v>407</v>
      </c>
      <c r="AK58" s="246"/>
      <c r="AL58" s="251" t="s">
        <v>410</v>
      </c>
      <c r="AM58" s="246"/>
      <c r="AN58" s="261"/>
      <c r="AO58" s="374" t="s">
        <v>410</v>
      </c>
      <c r="AP58" s="246"/>
      <c r="AQ58" s="251" t="s">
        <v>407</v>
      </c>
      <c r="AR58" s="246"/>
      <c r="AS58" s="286"/>
      <c r="AT58" s="254" t="str">
        <f t="shared" ref="AT58:AT62" si="12">IF(COUNTIF($AO$80:$AT$82, #REF!) &gt; 0, "X", "")</f>
        <v/>
      </c>
      <c r="AU58" s="269"/>
      <c r="AV58" s="269"/>
    </row>
    <row r="59">
      <c r="A59" s="94"/>
      <c r="B59" s="328" t="s">
        <v>705</v>
      </c>
      <c r="C59" s="257" t="s">
        <v>657</v>
      </c>
      <c r="D59" s="330"/>
      <c r="E59" s="259"/>
      <c r="F59" s="311" t="s">
        <v>467</v>
      </c>
      <c r="G59" s="246"/>
      <c r="H59" s="339" t="s">
        <v>404</v>
      </c>
      <c r="I59" s="246"/>
      <c r="J59" s="286"/>
      <c r="K59" s="246"/>
      <c r="L59" s="261"/>
      <c r="M59" s="341"/>
      <c r="N59" s="246"/>
      <c r="O59" s="311" t="s">
        <v>438</v>
      </c>
      <c r="P59" s="246"/>
      <c r="Q59" s="339" t="s">
        <v>1033</v>
      </c>
      <c r="R59" s="246"/>
      <c r="S59" s="261"/>
      <c r="T59" s="341"/>
      <c r="U59" s="246"/>
      <c r="V59" s="311" t="s">
        <v>438</v>
      </c>
      <c r="W59" s="246"/>
      <c r="X59" s="325" t="s">
        <v>785</v>
      </c>
      <c r="Y59" s="246"/>
      <c r="Z59" s="261"/>
      <c r="AA59" s="341"/>
      <c r="AB59" s="246"/>
      <c r="AC59" s="274" t="s">
        <v>406</v>
      </c>
      <c r="AD59" s="246"/>
      <c r="AE59" s="376" t="s">
        <v>453</v>
      </c>
      <c r="AF59" s="246"/>
      <c r="AG59" s="261"/>
      <c r="AH59" s="311" t="s">
        <v>467</v>
      </c>
      <c r="AI59" s="246"/>
      <c r="AJ59" s="339" t="s">
        <v>404</v>
      </c>
      <c r="AK59" s="246"/>
      <c r="AL59" s="586" t="s">
        <v>452</v>
      </c>
      <c r="AM59" s="246"/>
      <c r="AN59" s="261"/>
      <c r="AO59" s="586" t="s">
        <v>452</v>
      </c>
      <c r="AP59" s="246"/>
      <c r="AQ59" s="339" t="s">
        <v>404</v>
      </c>
      <c r="AR59" s="246"/>
      <c r="AS59" s="286"/>
      <c r="AT59" s="254" t="str">
        <f t="shared" si="12"/>
        <v/>
      </c>
      <c r="AU59" s="269"/>
      <c r="AV59" s="269"/>
    </row>
    <row r="60">
      <c r="A60" s="94"/>
      <c r="B60" s="277" t="s">
        <v>705</v>
      </c>
      <c r="C60" s="329" t="s">
        <v>685</v>
      </c>
      <c r="D60" s="330"/>
      <c r="E60" s="259"/>
      <c r="F60" s="586" t="s">
        <v>452</v>
      </c>
      <c r="G60" s="246"/>
      <c r="H60" s="251" t="s">
        <v>440</v>
      </c>
      <c r="I60" s="246"/>
      <c r="J60" s="286"/>
      <c r="K60" s="246"/>
      <c r="L60" s="261"/>
      <c r="M60" s="341"/>
      <c r="N60" s="246"/>
      <c r="O60" s="251" t="s">
        <v>440</v>
      </c>
      <c r="P60" s="246"/>
      <c r="Q60" s="251" t="s">
        <v>405</v>
      </c>
      <c r="R60" s="246"/>
      <c r="S60" s="261"/>
      <c r="T60" s="341"/>
      <c r="U60" s="246"/>
      <c r="V60" s="251" t="s">
        <v>440</v>
      </c>
      <c r="W60" s="246"/>
      <c r="X60" s="586" t="s">
        <v>452</v>
      </c>
      <c r="Y60" s="246"/>
      <c r="Z60" s="261"/>
      <c r="AA60" s="341"/>
      <c r="AB60" s="246"/>
      <c r="AC60" s="251" t="s">
        <v>407</v>
      </c>
      <c r="AD60" s="246"/>
      <c r="AE60" s="251" t="s">
        <v>405</v>
      </c>
      <c r="AF60" s="246"/>
      <c r="AG60" s="261"/>
      <c r="AH60" s="376" t="s">
        <v>453</v>
      </c>
      <c r="AI60" s="246"/>
      <c r="AJ60" s="251" t="s">
        <v>440</v>
      </c>
      <c r="AK60" s="246"/>
      <c r="AL60" s="251" t="s">
        <v>405</v>
      </c>
      <c r="AM60" s="246"/>
      <c r="AN60" s="261"/>
      <c r="AP60" s="246"/>
      <c r="AQ60" s="311" t="s">
        <v>432</v>
      </c>
      <c r="AR60" s="246"/>
      <c r="AS60" s="286"/>
      <c r="AT60" s="254" t="str">
        <f t="shared" si="12"/>
        <v/>
      </c>
      <c r="AU60" s="269"/>
      <c r="AV60" s="269"/>
    </row>
    <row r="61">
      <c r="A61" s="270"/>
      <c r="B61" s="271" t="s">
        <v>705</v>
      </c>
      <c r="C61" s="272" t="s">
        <v>687</v>
      </c>
      <c r="D61" s="369"/>
      <c r="E61" s="259"/>
      <c r="F61" s="339" t="s">
        <v>1033</v>
      </c>
      <c r="G61" s="246"/>
      <c r="I61" s="246"/>
      <c r="J61" s="286"/>
      <c r="K61" s="246"/>
      <c r="L61" s="261"/>
      <c r="M61" s="341"/>
      <c r="N61" s="246"/>
      <c r="O61" s="282"/>
      <c r="P61" s="246"/>
      <c r="R61" s="246"/>
      <c r="S61" s="261"/>
      <c r="T61" s="341"/>
      <c r="U61" s="246"/>
      <c r="W61" s="246"/>
      <c r="X61" s="339" t="s">
        <v>1033</v>
      </c>
      <c r="Y61" s="246"/>
      <c r="Z61" s="261"/>
      <c r="AA61" s="341"/>
      <c r="AB61" s="246"/>
      <c r="AC61" s="516"/>
      <c r="AD61" s="246"/>
      <c r="AE61" s="339" t="s">
        <v>1033</v>
      </c>
      <c r="AF61" s="246"/>
      <c r="AG61" s="261"/>
      <c r="AI61" s="246"/>
      <c r="AK61" s="246"/>
      <c r="AL61" s="325" t="s">
        <v>707</v>
      </c>
      <c r="AM61" s="246"/>
      <c r="AN61" s="261"/>
      <c r="AP61" s="246"/>
      <c r="AR61" s="246"/>
      <c r="AS61" s="286"/>
      <c r="AT61" s="254" t="str">
        <f t="shared" si="12"/>
        <v/>
      </c>
      <c r="AU61" s="269"/>
      <c r="AV61" s="269"/>
    </row>
    <row r="62">
      <c r="A62" s="94"/>
      <c r="B62" s="397" t="s">
        <v>708</v>
      </c>
      <c r="C62" s="398" t="s">
        <v>654</v>
      </c>
      <c r="D62" s="330"/>
      <c r="E62" s="259"/>
      <c r="F62" s="374" t="s">
        <v>446</v>
      </c>
      <c r="G62" s="246"/>
      <c r="H62" s="311" t="s">
        <v>441</v>
      </c>
      <c r="I62" s="246"/>
      <c r="J62" s="286"/>
      <c r="K62" s="246"/>
      <c r="L62" s="261"/>
      <c r="M62" s="341"/>
      <c r="N62" s="246"/>
      <c r="O62" s="311" t="s">
        <v>441</v>
      </c>
      <c r="P62" s="246"/>
      <c r="Q62" s="374" t="s">
        <v>446</v>
      </c>
      <c r="R62" s="246"/>
      <c r="S62" s="261"/>
      <c r="T62" s="341"/>
      <c r="U62" s="246"/>
      <c r="V62" s="365" t="s">
        <v>469</v>
      </c>
      <c r="W62" s="246"/>
      <c r="X62" s="311" t="s">
        <v>441</v>
      </c>
      <c r="Y62" s="246"/>
      <c r="Z62" s="261"/>
      <c r="AA62" s="341"/>
      <c r="AB62" s="246"/>
      <c r="AC62" s="311" t="s">
        <v>441</v>
      </c>
      <c r="AD62" s="246"/>
      <c r="AE62" s="311" t="s">
        <v>446</v>
      </c>
      <c r="AF62" s="246"/>
      <c r="AG62" s="261"/>
      <c r="AH62" s="275"/>
      <c r="AI62" s="246"/>
      <c r="AJ62" s="311" t="s">
        <v>441</v>
      </c>
      <c r="AK62" s="246"/>
      <c r="AL62" s="374" t="s">
        <v>446</v>
      </c>
      <c r="AM62" s="246"/>
      <c r="AN62" s="261"/>
      <c r="AO62" s="374" t="s">
        <v>446</v>
      </c>
      <c r="AP62" s="246"/>
      <c r="AQ62" s="365" t="s">
        <v>469</v>
      </c>
      <c r="AR62" s="246"/>
      <c r="AS62" s="286"/>
      <c r="AT62" s="254" t="str">
        <f t="shared" si="12"/>
        <v/>
      </c>
      <c r="AU62" s="269"/>
      <c r="AV62" s="269"/>
    </row>
    <row r="63">
      <c r="A63" s="94"/>
      <c r="B63" s="277" t="s">
        <v>709</v>
      </c>
      <c r="C63" s="278" t="s">
        <v>710</v>
      </c>
      <c r="D63" s="330"/>
      <c r="E63" s="259"/>
      <c r="F63" s="281"/>
      <c r="G63" s="246"/>
      <c r="H63" s="282"/>
      <c r="I63" s="246"/>
      <c r="J63" s="279"/>
      <c r="K63" s="246"/>
      <c r="L63" s="261"/>
      <c r="M63" s="286"/>
      <c r="N63" s="246"/>
      <c r="O63" s="281"/>
      <c r="P63" s="246"/>
      <c r="R63" s="246"/>
      <c r="S63" s="261"/>
      <c r="T63" s="286"/>
      <c r="U63" s="246"/>
      <c r="V63" s="282"/>
      <c r="W63" s="246"/>
      <c r="X63" s="282"/>
      <c r="Y63" s="246"/>
      <c r="Z63" s="261"/>
      <c r="AA63" s="286"/>
      <c r="AB63" s="246"/>
      <c r="AC63" s="282"/>
      <c r="AD63" s="246"/>
      <c r="AE63" s="282"/>
      <c r="AF63" s="246"/>
      <c r="AG63" s="261"/>
      <c r="AH63" s="281"/>
      <c r="AI63" s="246"/>
      <c r="AK63" s="246"/>
      <c r="AL63" s="282"/>
      <c r="AM63" s="246"/>
      <c r="AN63" s="261"/>
      <c r="AP63" s="246"/>
      <c r="AQ63" s="281"/>
      <c r="AR63" s="246"/>
      <c r="AS63" s="763" t="s">
        <v>440</v>
      </c>
      <c r="AT63" s="254" t="str">
        <f t="shared" ref="AT63:AT64" si="13">IF(COUNTIF($AO$80:$AT$82, AS63) &gt; 0, "X", "")</f>
        <v/>
      </c>
      <c r="AU63" s="269"/>
      <c r="AV63" s="269"/>
    </row>
    <row r="64">
      <c r="A64" s="94"/>
      <c r="B64" s="673" t="s">
        <v>944</v>
      </c>
      <c r="C64" s="272" t="s">
        <v>639</v>
      </c>
      <c r="D64" s="323"/>
      <c r="E64" s="259"/>
      <c r="F64" s="265"/>
      <c r="G64" s="246"/>
      <c r="H64" s="311" t="s">
        <v>432</v>
      </c>
      <c r="I64" s="246"/>
      <c r="J64" s="312"/>
      <c r="K64" s="246"/>
      <c r="L64" s="261"/>
      <c r="M64" s="341"/>
      <c r="N64" s="246"/>
      <c r="O64" s="311" t="s">
        <v>432</v>
      </c>
      <c r="P64" s="246"/>
      <c r="Q64" s="282"/>
      <c r="R64" s="246"/>
      <c r="S64" s="261"/>
      <c r="T64" s="341"/>
      <c r="U64" s="246"/>
      <c r="V64" s="311"/>
      <c r="W64" s="246"/>
      <c r="X64" s="282"/>
      <c r="Y64" s="246"/>
      <c r="Z64" s="261"/>
      <c r="AA64" s="341"/>
      <c r="AB64" s="246"/>
      <c r="AC64" s="311" t="s">
        <v>432</v>
      </c>
      <c r="AD64" s="246"/>
      <c r="AE64" s="282"/>
      <c r="AF64" s="246"/>
      <c r="AG64" s="261"/>
      <c r="AH64" s="282"/>
      <c r="AI64" s="246"/>
      <c r="AJ64" s="282"/>
      <c r="AK64" s="246"/>
      <c r="AL64" s="282"/>
      <c r="AM64" s="246"/>
      <c r="AN64" s="261"/>
      <c r="AO64" s="341"/>
      <c r="AP64" s="246"/>
      <c r="AQ64" s="282"/>
      <c r="AR64" s="246"/>
      <c r="AS64" s="312"/>
      <c r="AT64" s="254" t="str">
        <f t="shared" si="13"/>
        <v/>
      </c>
      <c r="AU64" s="269"/>
      <c r="AV64" s="269"/>
    </row>
    <row r="65">
      <c r="A65" s="94"/>
      <c r="B65" s="429" t="s">
        <v>714</v>
      </c>
      <c r="C65" s="430"/>
      <c r="D65" s="431"/>
      <c r="E65" s="259"/>
      <c r="F65" s="432"/>
      <c r="G65" s="432"/>
      <c r="H65" s="432"/>
      <c r="I65" s="432"/>
      <c r="J65" s="432"/>
      <c r="K65" s="432"/>
      <c r="L65" s="261"/>
      <c r="M65" s="432"/>
      <c r="N65" s="433"/>
      <c r="O65" s="432"/>
      <c r="P65" s="432"/>
      <c r="Q65" s="432"/>
      <c r="R65" s="432"/>
      <c r="S65" s="261"/>
      <c r="T65" s="432"/>
      <c r="U65" s="433"/>
      <c r="V65" s="432"/>
      <c r="W65" s="432"/>
      <c r="X65" s="432"/>
      <c r="Y65" s="432"/>
      <c r="Z65" s="261"/>
      <c r="AA65" s="432"/>
      <c r="AB65" s="433"/>
      <c r="AC65" s="432"/>
      <c r="AD65" s="432"/>
      <c r="AE65" s="432"/>
      <c r="AF65" s="432"/>
      <c r="AG65" s="261"/>
      <c r="AH65" s="432"/>
      <c r="AI65" s="433"/>
      <c r="AJ65" s="432"/>
      <c r="AK65" s="432"/>
      <c r="AL65" s="432"/>
      <c r="AM65" s="432"/>
      <c r="AN65" s="261"/>
      <c r="AO65" s="432"/>
      <c r="AP65" s="433"/>
      <c r="AQ65" s="432"/>
      <c r="AR65" s="432"/>
      <c r="AS65" s="432"/>
      <c r="AT65" s="430"/>
      <c r="AU65" s="269"/>
      <c r="AV65" s="269"/>
    </row>
    <row r="66">
      <c r="A66" s="94"/>
      <c r="B66" s="401" t="s">
        <v>715</v>
      </c>
      <c r="C66" s="412" t="s">
        <v>716</v>
      </c>
      <c r="D66" s="323"/>
      <c r="E66" s="259"/>
      <c r="F66" s="434"/>
      <c r="G66" s="246"/>
      <c r="H66" s="592" t="s">
        <v>1055</v>
      </c>
      <c r="I66" s="246"/>
      <c r="J66" s="434"/>
      <c r="K66" s="246"/>
      <c r="L66" s="261"/>
      <c r="M66" s="434"/>
      <c r="N66" s="246"/>
      <c r="O66" s="434" t="s">
        <v>403</v>
      </c>
      <c r="P66" s="246"/>
      <c r="Q66" s="434"/>
      <c r="R66" s="246"/>
      <c r="S66" s="261"/>
      <c r="T66" s="434"/>
      <c r="U66" s="246"/>
      <c r="V66" s="434" t="s">
        <v>403</v>
      </c>
      <c r="W66" s="246"/>
      <c r="X66" s="434"/>
      <c r="Y66" s="246"/>
      <c r="Z66" s="261"/>
      <c r="AA66" s="434"/>
      <c r="AB66" s="246"/>
      <c r="AC66" s="434" t="s">
        <v>403</v>
      </c>
      <c r="AD66" s="246"/>
      <c r="AE66" s="434"/>
      <c r="AF66" s="246"/>
      <c r="AG66" s="261"/>
      <c r="AH66" s="434"/>
      <c r="AI66" s="246"/>
      <c r="AJ66" s="434" t="s">
        <v>403</v>
      </c>
      <c r="AK66" s="246"/>
      <c r="AL66" s="434"/>
      <c r="AM66" s="246"/>
      <c r="AN66" s="261"/>
      <c r="AO66" s="434"/>
      <c r="AP66" s="246"/>
      <c r="AQ66" s="434" t="s">
        <v>403</v>
      </c>
      <c r="AR66" s="246"/>
      <c r="AS66" s="434"/>
      <c r="AT66" s="254" t="str">
        <f t="shared" ref="AT66:AT75" si="14">IF(COUNTIF($AO$80:$AT$82, AS66) &gt; 0, "X", "")</f>
        <v/>
      </c>
      <c r="AU66" s="269"/>
      <c r="AV66" s="269"/>
    </row>
    <row r="67">
      <c r="A67" s="94"/>
      <c r="B67" s="401" t="s">
        <v>715</v>
      </c>
      <c r="C67" s="412" t="s">
        <v>716</v>
      </c>
      <c r="D67" s="323"/>
      <c r="E67" s="259"/>
      <c r="G67" s="246"/>
      <c r="H67" s="434" t="s">
        <v>465</v>
      </c>
      <c r="I67" s="246"/>
      <c r="J67" s="434"/>
      <c r="K67" s="246"/>
      <c r="L67" s="261"/>
      <c r="M67" s="434"/>
      <c r="N67" s="246"/>
      <c r="O67" s="434" t="s">
        <v>465</v>
      </c>
      <c r="P67" s="246"/>
      <c r="Q67" s="434"/>
      <c r="R67" s="246"/>
      <c r="S67" s="261"/>
      <c r="T67" s="434"/>
      <c r="U67" s="246"/>
      <c r="V67" s="434"/>
      <c r="W67" s="246"/>
      <c r="X67" s="434"/>
      <c r="Y67" s="246"/>
      <c r="Z67" s="261"/>
      <c r="AA67" s="434"/>
      <c r="AB67" s="246"/>
      <c r="AC67" s="434" t="s">
        <v>465</v>
      </c>
      <c r="AD67" s="246"/>
      <c r="AE67" s="434"/>
      <c r="AF67" s="246"/>
      <c r="AG67" s="261"/>
      <c r="AH67" s="434"/>
      <c r="AI67" s="246"/>
      <c r="AJ67" s="434" t="s">
        <v>465</v>
      </c>
      <c r="AK67" s="246"/>
      <c r="AL67" s="434"/>
      <c r="AM67" s="246"/>
      <c r="AN67" s="261"/>
      <c r="AO67" s="434"/>
      <c r="AP67" s="246"/>
      <c r="AQ67" s="434" t="s">
        <v>465</v>
      </c>
      <c r="AR67" s="246"/>
      <c r="AS67" s="434"/>
      <c r="AT67" s="254" t="str">
        <f t="shared" si="14"/>
        <v/>
      </c>
      <c r="AU67" s="269"/>
      <c r="AV67" s="269"/>
    </row>
    <row r="68">
      <c r="A68" s="94"/>
      <c r="B68" s="435" t="s">
        <v>717</v>
      </c>
      <c r="C68" s="415" t="s">
        <v>718</v>
      </c>
      <c r="D68" s="363"/>
      <c r="E68" s="259"/>
      <c r="F68" s="406"/>
      <c r="G68" s="246"/>
      <c r="H68" s="406" t="s">
        <v>442</v>
      </c>
      <c r="I68" s="246"/>
      <c r="J68" s="406"/>
      <c r="K68" s="246"/>
      <c r="L68" s="261"/>
      <c r="M68" s="406"/>
      <c r="N68" s="246"/>
      <c r="O68" s="406" t="s">
        <v>442</v>
      </c>
      <c r="P68" s="246"/>
      <c r="Q68" s="406"/>
      <c r="R68" s="246"/>
      <c r="S68" s="261"/>
      <c r="T68" s="406"/>
      <c r="U68" s="246"/>
      <c r="V68" s="406" t="s">
        <v>442</v>
      </c>
      <c r="W68" s="246"/>
      <c r="X68" s="406"/>
      <c r="Y68" s="246"/>
      <c r="Z68" s="261"/>
      <c r="AA68" s="406"/>
      <c r="AB68" s="246"/>
      <c r="AC68" s="406" t="s">
        <v>442</v>
      </c>
      <c r="AD68" s="246"/>
      <c r="AE68" s="406"/>
      <c r="AF68" s="246"/>
      <c r="AG68" s="261"/>
      <c r="AH68" s="406"/>
      <c r="AI68" s="246"/>
      <c r="AJ68" s="406" t="s">
        <v>442</v>
      </c>
      <c r="AK68" s="246"/>
      <c r="AL68" s="406"/>
      <c r="AM68" s="246"/>
      <c r="AN68" s="261"/>
      <c r="AO68" s="406"/>
      <c r="AP68" s="246"/>
      <c r="AQ68" s="406" t="s">
        <v>463</v>
      </c>
      <c r="AR68" s="246"/>
      <c r="AS68" s="406"/>
      <c r="AT68" s="254" t="str">
        <f t="shared" si="14"/>
        <v/>
      </c>
      <c r="AU68" s="269"/>
      <c r="AV68" s="269"/>
    </row>
    <row r="69">
      <c r="A69" s="94"/>
      <c r="B69" s="436" t="s">
        <v>719</v>
      </c>
      <c r="C69" s="437" t="s">
        <v>720</v>
      </c>
      <c r="D69" s="330"/>
      <c r="E69" s="259"/>
      <c r="F69" s="406"/>
      <c r="G69" s="246"/>
      <c r="H69" s="406" t="s">
        <v>463</v>
      </c>
      <c r="I69" s="246"/>
      <c r="J69" s="406"/>
      <c r="K69" s="246"/>
      <c r="L69" s="261"/>
      <c r="M69" s="406"/>
      <c r="N69" s="246"/>
      <c r="O69" s="406" t="s">
        <v>463</v>
      </c>
      <c r="P69" s="246"/>
      <c r="Q69" s="406"/>
      <c r="R69" s="246"/>
      <c r="S69" s="261"/>
      <c r="T69" s="406"/>
      <c r="U69" s="246"/>
      <c r="V69" s="406" t="s">
        <v>463</v>
      </c>
      <c r="W69" s="246"/>
      <c r="X69" s="406"/>
      <c r="Y69" s="246"/>
      <c r="Z69" s="261"/>
      <c r="AA69" s="406"/>
      <c r="AB69" s="246"/>
      <c r="AC69" s="406" t="s">
        <v>946</v>
      </c>
      <c r="AD69" s="246"/>
      <c r="AE69" s="406"/>
      <c r="AF69" s="246"/>
      <c r="AG69" s="261"/>
      <c r="AH69" s="406"/>
      <c r="AI69" s="246"/>
      <c r="AJ69" s="406" t="s">
        <v>946</v>
      </c>
      <c r="AK69" s="246"/>
      <c r="AL69" s="406"/>
      <c r="AM69" s="246"/>
      <c r="AN69" s="261"/>
      <c r="AO69" s="406"/>
      <c r="AP69" s="246"/>
      <c r="AQ69" s="406"/>
      <c r="AR69" s="246"/>
      <c r="AS69" s="406"/>
      <c r="AT69" s="254" t="str">
        <f t="shared" si="14"/>
        <v/>
      </c>
      <c r="AU69" s="269"/>
      <c r="AV69" s="269"/>
    </row>
    <row r="70">
      <c r="A70" s="94"/>
      <c r="B70" s="439" t="s">
        <v>721</v>
      </c>
      <c r="C70" s="440" t="s">
        <v>722</v>
      </c>
      <c r="D70" s="330"/>
      <c r="E70" s="259"/>
      <c r="F70" s="406"/>
      <c r="G70" s="246"/>
      <c r="H70" s="406" t="s">
        <v>454</v>
      </c>
      <c r="I70" s="246"/>
      <c r="J70" s="406"/>
      <c r="K70" s="246"/>
      <c r="L70" s="261"/>
      <c r="M70" s="406"/>
      <c r="N70" s="246"/>
      <c r="O70" s="406" t="s">
        <v>454</v>
      </c>
      <c r="P70" s="246"/>
      <c r="Q70" s="406"/>
      <c r="R70" s="246"/>
      <c r="S70" s="261"/>
      <c r="T70" s="406"/>
      <c r="U70" s="246"/>
      <c r="V70" s="406" t="s">
        <v>454</v>
      </c>
      <c r="W70" s="246"/>
      <c r="X70" s="406"/>
      <c r="Y70" s="246"/>
      <c r="Z70" s="261"/>
      <c r="AA70" s="406"/>
      <c r="AB70" s="246"/>
      <c r="AC70" s="406" t="s">
        <v>454</v>
      </c>
      <c r="AD70" s="246"/>
      <c r="AE70" s="406"/>
      <c r="AF70" s="246"/>
      <c r="AG70" s="261"/>
      <c r="AH70" s="406"/>
      <c r="AI70" s="246"/>
      <c r="AJ70" s="406" t="s">
        <v>454</v>
      </c>
      <c r="AK70" s="246"/>
      <c r="AL70" s="406"/>
      <c r="AM70" s="246"/>
      <c r="AN70" s="261"/>
      <c r="AO70" s="406"/>
      <c r="AP70" s="246"/>
      <c r="AQ70" s="406"/>
      <c r="AR70" s="246"/>
      <c r="AS70" s="406"/>
      <c r="AT70" s="254" t="str">
        <f t="shared" si="14"/>
        <v/>
      </c>
      <c r="AU70" s="269"/>
      <c r="AV70" s="269"/>
    </row>
    <row r="71">
      <c r="A71" s="94"/>
      <c r="B71" s="439" t="s">
        <v>723</v>
      </c>
      <c r="C71" s="440" t="s">
        <v>724</v>
      </c>
      <c r="D71" s="330"/>
      <c r="E71" s="259"/>
      <c r="F71" s="441"/>
      <c r="G71" s="246"/>
      <c r="H71" s="406" t="s">
        <v>946</v>
      </c>
      <c r="I71" s="246"/>
      <c r="J71" s="441"/>
      <c r="K71" s="246"/>
      <c r="L71" s="261"/>
      <c r="M71" s="441"/>
      <c r="N71" s="246"/>
      <c r="O71" s="406" t="s">
        <v>460</v>
      </c>
      <c r="P71" s="246"/>
      <c r="Q71" s="406"/>
      <c r="R71" s="246"/>
      <c r="S71" s="261"/>
      <c r="T71" s="441"/>
      <c r="U71" s="246"/>
      <c r="V71" s="620" t="s">
        <v>460</v>
      </c>
      <c r="W71" s="246"/>
      <c r="X71" s="764" t="s">
        <v>847</v>
      </c>
      <c r="Y71" s="246"/>
      <c r="Z71" s="261"/>
      <c r="AA71" s="441"/>
      <c r="AB71" s="246"/>
      <c r="AC71" s="406" t="s">
        <v>970</v>
      </c>
      <c r="AD71" s="246"/>
      <c r="AE71" s="441"/>
      <c r="AF71" s="246"/>
      <c r="AG71" s="261"/>
      <c r="AH71" s="441"/>
      <c r="AI71" s="246"/>
      <c r="AJ71" s="406" t="s">
        <v>463</v>
      </c>
      <c r="AK71" s="246"/>
      <c r="AL71" s="441"/>
      <c r="AM71" s="246"/>
      <c r="AN71" s="261"/>
      <c r="AO71" s="441"/>
      <c r="AP71" s="246"/>
      <c r="AQ71" s="406" t="s">
        <v>456</v>
      </c>
      <c r="AR71" s="246"/>
      <c r="AS71" s="441"/>
      <c r="AT71" s="254" t="str">
        <f t="shared" si="14"/>
        <v/>
      </c>
      <c r="AU71" s="269"/>
      <c r="AV71" s="269"/>
    </row>
    <row r="72">
      <c r="A72" s="94"/>
      <c r="B72" s="439" t="s">
        <v>725</v>
      </c>
      <c r="C72" s="442" t="s">
        <v>726</v>
      </c>
      <c r="D72" s="330"/>
      <c r="E72" s="259"/>
      <c r="G72" s="246"/>
      <c r="H72" s="406" t="s">
        <v>970</v>
      </c>
      <c r="I72" s="246"/>
      <c r="J72" s="441"/>
      <c r="K72" s="246"/>
      <c r="L72" s="261"/>
      <c r="M72" s="441"/>
      <c r="N72" s="246"/>
      <c r="O72" s="406" t="s">
        <v>946</v>
      </c>
      <c r="P72" s="246"/>
      <c r="Q72" s="441"/>
      <c r="R72" s="246"/>
      <c r="S72" s="261"/>
      <c r="T72" s="441"/>
      <c r="U72" s="246"/>
      <c r="V72" s="406" t="s">
        <v>456</v>
      </c>
      <c r="W72" s="246"/>
      <c r="X72" s="441"/>
      <c r="Y72" s="246"/>
      <c r="Z72" s="261"/>
      <c r="AA72" s="441"/>
      <c r="AB72" s="246"/>
      <c r="AC72" s="406" t="s">
        <v>456</v>
      </c>
      <c r="AD72" s="246"/>
      <c r="AE72" s="441"/>
      <c r="AF72" s="246"/>
      <c r="AG72" s="261"/>
      <c r="AH72" s="441"/>
      <c r="AI72" s="246"/>
      <c r="AJ72" s="206" t="s">
        <v>847</v>
      </c>
      <c r="AK72" s="246"/>
      <c r="AL72" s="441"/>
      <c r="AM72" s="246"/>
      <c r="AN72" s="261"/>
      <c r="AO72" s="441"/>
      <c r="AP72" s="246"/>
      <c r="AQ72" s="406" t="s">
        <v>970</v>
      </c>
      <c r="AR72" s="246"/>
      <c r="AS72" s="441"/>
      <c r="AT72" s="254" t="str">
        <f t="shared" si="14"/>
        <v/>
      </c>
      <c r="AU72" s="269"/>
      <c r="AV72" s="269"/>
    </row>
    <row r="73">
      <c r="A73" s="94"/>
      <c r="B73" s="447" t="s">
        <v>729</v>
      </c>
      <c r="C73" s="448" t="s">
        <v>730</v>
      </c>
      <c r="D73" s="330"/>
      <c r="E73" s="259"/>
      <c r="F73" s="441"/>
      <c r="G73" s="246"/>
      <c r="H73" s="406" t="s">
        <v>456</v>
      </c>
      <c r="I73" s="246"/>
      <c r="J73" s="441"/>
      <c r="K73" s="246"/>
      <c r="L73" s="261"/>
      <c r="M73" s="441"/>
      <c r="N73" s="246"/>
      <c r="O73" s="406" t="s">
        <v>970</v>
      </c>
      <c r="P73" s="246"/>
      <c r="Q73" s="441"/>
      <c r="R73" s="246"/>
      <c r="S73" s="261"/>
      <c r="T73" s="441"/>
      <c r="U73" s="246"/>
      <c r="V73" s="406" t="s">
        <v>970</v>
      </c>
      <c r="W73" s="246"/>
      <c r="X73" s="441"/>
      <c r="Y73" s="246"/>
      <c r="Z73" s="261"/>
      <c r="AA73" s="441"/>
      <c r="AB73" s="246"/>
      <c r="AC73" s="441"/>
      <c r="AD73" s="246"/>
      <c r="AE73" s="441"/>
      <c r="AF73" s="246"/>
      <c r="AG73" s="261"/>
      <c r="AH73" s="441"/>
      <c r="AI73" s="246"/>
      <c r="AJ73" s="406" t="s">
        <v>456</v>
      </c>
      <c r="AK73" s="246"/>
      <c r="AL73" s="441"/>
      <c r="AM73" s="246"/>
      <c r="AN73" s="261"/>
      <c r="AO73" s="441"/>
      <c r="AP73" s="246"/>
      <c r="AQ73" s="441"/>
      <c r="AR73" s="246"/>
      <c r="AS73" s="441"/>
      <c r="AT73" s="254" t="str">
        <f t="shared" si="14"/>
        <v/>
      </c>
      <c r="AU73" s="269"/>
      <c r="AV73" s="269"/>
    </row>
    <row r="74">
      <c r="A74" s="94"/>
      <c r="B74" s="450" t="s">
        <v>731</v>
      </c>
      <c r="C74" s="451" t="s">
        <v>732</v>
      </c>
      <c r="D74" s="363"/>
      <c r="E74" s="259"/>
      <c r="F74" s="206"/>
      <c r="G74" s="246"/>
      <c r="H74" s="206" t="s">
        <v>847</v>
      </c>
      <c r="I74" s="246"/>
      <c r="J74" s="206"/>
      <c r="K74" s="246"/>
      <c r="L74" s="261"/>
      <c r="M74" s="206"/>
      <c r="N74" s="246"/>
      <c r="O74" s="206" t="s">
        <v>847</v>
      </c>
      <c r="P74" s="246"/>
      <c r="Q74" s="206"/>
      <c r="R74" s="246"/>
      <c r="S74" s="261"/>
      <c r="T74" s="206"/>
      <c r="U74" s="246"/>
      <c r="V74" s="406" t="s">
        <v>946</v>
      </c>
      <c r="W74" s="246"/>
      <c r="X74" s="206"/>
      <c r="Y74" s="246"/>
      <c r="Z74" s="261"/>
      <c r="AA74" s="206"/>
      <c r="AB74" s="246"/>
      <c r="AC74" s="406" t="s">
        <v>460</v>
      </c>
      <c r="AD74" s="246"/>
      <c r="AE74" s="206"/>
      <c r="AF74" s="246"/>
      <c r="AG74" s="261"/>
      <c r="AH74" s="206"/>
      <c r="AI74" s="246"/>
      <c r="AJ74" s="406" t="s">
        <v>460</v>
      </c>
      <c r="AK74" s="246"/>
      <c r="AL74" s="206"/>
      <c r="AM74" s="246"/>
      <c r="AN74" s="261"/>
      <c r="AO74" s="206"/>
      <c r="AP74" s="246"/>
      <c r="AQ74" s="206"/>
      <c r="AR74" s="246"/>
      <c r="AS74" s="206"/>
      <c r="AT74" s="254" t="str">
        <f t="shared" si="14"/>
        <v/>
      </c>
      <c r="AU74" s="269"/>
      <c r="AV74" s="269"/>
    </row>
    <row r="75">
      <c r="A75" s="94"/>
      <c r="B75" s="673" t="s">
        <v>944</v>
      </c>
      <c r="C75" s="272" t="s">
        <v>639</v>
      </c>
      <c r="D75" s="363"/>
      <c r="E75" s="259"/>
      <c r="F75" s="74"/>
      <c r="G75" s="246"/>
      <c r="H75" s="594" t="s">
        <v>395</v>
      </c>
      <c r="I75" s="246"/>
      <c r="J75" s="74"/>
      <c r="K75" s="246"/>
      <c r="L75" s="261"/>
      <c r="M75" s="74"/>
      <c r="N75" s="246"/>
      <c r="O75" s="594" t="s">
        <v>395</v>
      </c>
      <c r="P75" s="246"/>
      <c r="Q75" s="74"/>
      <c r="R75" s="246"/>
      <c r="S75" s="261"/>
      <c r="T75" s="74"/>
      <c r="U75" s="246"/>
      <c r="V75" s="594" t="s">
        <v>395</v>
      </c>
      <c r="W75" s="246"/>
      <c r="X75" s="74"/>
      <c r="Y75" s="246"/>
      <c r="Z75" s="261"/>
      <c r="AA75" s="74"/>
      <c r="AB75" s="246"/>
      <c r="AC75" s="594" t="s">
        <v>395</v>
      </c>
      <c r="AD75" s="246"/>
      <c r="AE75" s="74"/>
      <c r="AF75" s="246"/>
      <c r="AG75" s="261"/>
      <c r="AH75" s="74"/>
      <c r="AI75" s="246"/>
      <c r="AJ75" s="594" t="s">
        <v>395</v>
      </c>
      <c r="AK75" s="246"/>
      <c r="AL75" s="74"/>
      <c r="AM75" s="246"/>
      <c r="AN75" s="261"/>
      <c r="AO75" s="74"/>
      <c r="AP75" s="246"/>
      <c r="AQ75" s="635" t="s">
        <v>847</v>
      </c>
      <c r="AR75" s="246"/>
      <c r="AS75" s="765" t="s">
        <v>460</v>
      </c>
      <c r="AT75" s="254" t="str">
        <f t="shared" si="14"/>
        <v/>
      </c>
      <c r="AU75" s="269"/>
      <c r="AV75" s="269"/>
    </row>
    <row r="76">
      <c r="A76" s="94"/>
      <c r="B76" s="636"/>
      <c r="C76" s="637"/>
      <c r="D76" s="269"/>
      <c r="E76" s="638"/>
      <c r="F76" s="446"/>
      <c r="G76" s="246"/>
      <c r="H76" s="446"/>
      <c r="I76" s="246"/>
      <c r="J76" s="446"/>
      <c r="K76" s="246"/>
      <c r="L76" s="462"/>
      <c r="M76" s="446"/>
      <c r="N76" s="246"/>
      <c r="O76" s="446"/>
      <c r="P76" s="246"/>
      <c r="Q76" s="446"/>
      <c r="R76" s="246"/>
      <c r="S76" s="462"/>
      <c r="T76" s="446"/>
      <c r="U76" s="246"/>
      <c r="V76" s="446"/>
      <c r="W76" s="246"/>
      <c r="X76" s="446"/>
      <c r="Y76" s="246"/>
      <c r="Z76" s="462"/>
      <c r="AA76" s="446"/>
      <c r="AB76" s="246"/>
      <c r="AC76" s="446"/>
      <c r="AD76" s="246"/>
      <c r="AE76" s="446"/>
      <c r="AF76" s="246"/>
      <c r="AG76" s="462"/>
      <c r="AH76" s="446"/>
      <c r="AI76" s="246"/>
      <c r="AJ76" s="446"/>
      <c r="AK76" s="246"/>
      <c r="AL76" s="446"/>
      <c r="AM76" s="246"/>
      <c r="AN76" s="462"/>
      <c r="AO76" s="446"/>
      <c r="AP76" s="246"/>
      <c r="AQ76" s="446"/>
      <c r="AR76" s="246"/>
      <c r="AS76" s="446"/>
      <c r="AT76" s="254"/>
      <c r="AU76" s="269"/>
      <c r="AV76" s="269"/>
    </row>
    <row r="77">
      <c r="A77" s="94"/>
      <c r="B77" s="454" t="s">
        <v>735</v>
      </c>
      <c r="C77" s="455" t="s">
        <v>736</v>
      </c>
      <c r="D77" s="363"/>
      <c r="E77" s="259"/>
      <c r="F77" s="441"/>
      <c r="G77" s="246"/>
      <c r="H77" s="441"/>
      <c r="I77" s="246"/>
      <c r="J77" s="405" t="s">
        <v>462</v>
      </c>
      <c r="K77" s="246"/>
      <c r="L77" s="261"/>
      <c r="M77" s="441"/>
      <c r="N77" s="246"/>
      <c r="O77" s="441"/>
      <c r="P77" s="246"/>
      <c r="Q77" s="405" t="s">
        <v>462</v>
      </c>
      <c r="R77" s="246"/>
      <c r="S77" s="261"/>
      <c r="T77" s="441"/>
      <c r="U77" s="246"/>
      <c r="V77" s="441"/>
      <c r="W77" s="246"/>
      <c r="X77" s="405" t="s">
        <v>462</v>
      </c>
      <c r="Y77" s="246"/>
      <c r="Z77" s="261"/>
      <c r="AB77" s="246"/>
      <c r="AC77" s="441"/>
      <c r="AD77" s="246"/>
      <c r="AE77" s="441"/>
      <c r="AF77" s="246"/>
      <c r="AG77" s="261"/>
      <c r="AH77" s="441"/>
      <c r="AI77" s="246"/>
      <c r="AJ77" s="441"/>
      <c r="AK77" s="246"/>
      <c r="AL77" s="405" t="s">
        <v>462</v>
      </c>
      <c r="AM77" s="246"/>
      <c r="AN77" s="261"/>
      <c r="AO77" s="441"/>
      <c r="AP77" s="246"/>
      <c r="AQ77" s="441"/>
      <c r="AR77" s="246"/>
      <c r="AS77" s="441"/>
      <c r="AT77" s="254" t="str">
        <f t="shared" ref="AT77:AT79" si="15">IF(COUNTIF($AO$80:$AT$82, AS77) &gt; 0, "X", "")</f>
        <v/>
      </c>
      <c r="AU77" s="269"/>
      <c r="AV77" s="269"/>
    </row>
    <row r="78">
      <c r="A78" s="94"/>
      <c r="B78" s="454" t="s">
        <v>735</v>
      </c>
      <c r="C78" s="442" t="s">
        <v>736</v>
      </c>
      <c r="D78" s="363"/>
      <c r="E78" s="259"/>
      <c r="F78" s="456"/>
      <c r="G78" s="246"/>
      <c r="H78" s="456"/>
      <c r="I78" s="246"/>
      <c r="J78" s="766"/>
      <c r="K78" s="246"/>
      <c r="L78" s="261"/>
      <c r="M78" s="456"/>
      <c r="N78" s="246"/>
      <c r="O78" s="456"/>
      <c r="P78" s="246"/>
      <c r="Q78" s="766"/>
      <c r="R78" s="246"/>
      <c r="S78" s="261"/>
      <c r="T78" s="456"/>
      <c r="U78" s="246"/>
      <c r="V78" s="456"/>
      <c r="W78" s="246"/>
      <c r="X78" s="766" t="s">
        <v>529</v>
      </c>
      <c r="Y78" s="246"/>
      <c r="Z78" s="261"/>
      <c r="AA78" s="456"/>
      <c r="AB78" s="246"/>
      <c r="AC78" s="456"/>
      <c r="AD78" s="246"/>
      <c r="AE78" s="766" t="s">
        <v>529</v>
      </c>
      <c r="AF78" s="246"/>
      <c r="AG78" s="261"/>
      <c r="AH78" s="456"/>
      <c r="AI78" s="246"/>
      <c r="AJ78" s="456"/>
      <c r="AK78" s="246"/>
      <c r="AL78" s="766" t="s">
        <v>529</v>
      </c>
      <c r="AM78" s="246"/>
      <c r="AN78" s="261"/>
      <c r="AO78" s="456"/>
      <c r="AP78" s="246"/>
      <c r="AQ78" s="456"/>
      <c r="AR78" s="246"/>
      <c r="AS78" s="456"/>
      <c r="AT78" s="254" t="str">
        <f t="shared" si="15"/>
        <v/>
      </c>
      <c r="AU78" s="269"/>
      <c r="AV78" s="269"/>
    </row>
    <row r="79">
      <c r="A79" s="94"/>
      <c r="B79" s="457" t="s">
        <v>735</v>
      </c>
      <c r="C79" s="458" t="s">
        <v>737</v>
      </c>
      <c r="D79" s="363"/>
      <c r="E79" s="259"/>
      <c r="F79" s="406"/>
      <c r="G79" s="246"/>
      <c r="H79" s="406"/>
      <c r="I79" s="246"/>
      <c r="J79" s="406"/>
      <c r="K79" s="246"/>
      <c r="L79" s="261"/>
      <c r="M79" s="406"/>
      <c r="N79" s="246"/>
      <c r="O79" s="406"/>
      <c r="P79" s="246"/>
      <c r="Q79" s="406"/>
      <c r="R79" s="246"/>
      <c r="S79" s="261"/>
      <c r="T79" s="406"/>
      <c r="U79" s="246"/>
      <c r="V79" s="406"/>
      <c r="W79" s="246"/>
      <c r="X79" s="406"/>
      <c r="Y79" s="246"/>
      <c r="Z79" s="261"/>
      <c r="AA79" s="406"/>
      <c r="AB79" s="246"/>
      <c r="AC79" s="406"/>
      <c r="AD79" s="246"/>
      <c r="AE79" s="406"/>
      <c r="AF79" s="246"/>
      <c r="AG79" s="261"/>
      <c r="AH79" s="406"/>
      <c r="AI79" s="246"/>
      <c r="AJ79" s="406"/>
      <c r="AK79" s="246"/>
      <c r="AL79" s="406"/>
      <c r="AM79" s="246"/>
      <c r="AN79" s="261"/>
      <c r="AO79" s="406"/>
      <c r="AP79" s="246"/>
      <c r="AQ79" s="406"/>
      <c r="AR79" s="246"/>
      <c r="AS79" s="406"/>
      <c r="AT79" s="254" t="str">
        <f t="shared" si="15"/>
        <v/>
      </c>
      <c r="AU79" s="269"/>
      <c r="AV79" s="269"/>
    </row>
    <row r="80">
      <c r="A80" s="270"/>
      <c r="B80" s="459"/>
      <c r="C80" s="460" t="s">
        <v>738</v>
      </c>
      <c r="D80" s="363"/>
      <c r="E80" s="259"/>
      <c r="F80" s="461" t="s">
        <v>1056</v>
      </c>
      <c r="G80" s="246"/>
      <c r="H80" s="132"/>
      <c r="I80" s="246"/>
      <c r="J80" s="132"/>
      <c r="K80" s="246"/>
      <c r="L80" s="462"/>
      <c r="M80" s="461" t="s">
        <v>1057</v>
      </c>
      <c r="N80" s="246"/>
      <c r="O80" s="132"/>
      <c r="P80" s="246"/>
      <c r="Q80" s="132"/>
      <c r="R80" s="246"/>
      <c r="S80" s="462"/>
      <c r="T80" s="461" t="s">
        <v>1058</v>
      </c>
      <c r="U80" s="246"/>
      <c r="V80" s="132"/>
      <c r="W80" s="246"/>
      <c r="X80" s="132"/>
      <c r="Y80" s="246"/>
      <c r="Z80" s="462"/>
      <c r="AA80" s="461" t="s">
        <v>1059</v>
      </c>
      <c r="AB80" s="246"/>
      <c r="AC80" s="132"/>
      <c r="AD80" s="246"/>
      <c r="AE80" s="132"/>
      <c r="AF80" s="246"/>
      <c r="AG80" s="462"/>
      <c r="AH80" s="461" t="s">
        <v>1060</v>
      </c>
      <c r="AI80" s="246"/>
      <c r="AJ80" s="132"/>
      <c r="AK80" s="246"/>
      <c r="AL80" s="132"/>
      <c r="AM80" s="246"/>
      <c r="AN80" s="462"/>
      <c r="AO80" s="461" t="s">
        <v>1061</v>
      </c>
      <c r="AP80" s="246"/>
      <c r="AQ80" s="132"/>
      <c r="AR80" s="246"/>
      <c r="AS80" s="132"/>
      <c r="AT80" s="460"/>
      <c r="AU80" s="269"/>
      <c r="AV80" s="269"/>
    </row>
    <row r="81">
      <c r="A81" s="236"/>
      <c r="B81" s="459"/>
      <c r="C81" s="460" t="s">
        <v>738</v>
      </c>
      <c r="D81" s="363"/>
      <c r="E81" s="259"/>
      <c r="F81" s="461" t="s">
        <v>507</v>
      </c>
      <c r="G81" s="246"/>
      <c r="H81" s="132"/>
      <c r="I81" s="246"/>
      <c r="J81" s="132"/>
      <c r="K81" s="246"/>
      <c r="L81" s="462"/>
      <c r="M81" s="461" t="s">
        <v>507</v>
      </c>
      <c r="N81" s="246"/>
      <c r="O81" s="132"/>
      <c r="P81" s="246"/>
      <c r="Q81" s="132"/>
      <c r="R81" s="246"/>
      <c r="S81" s="462"/>
      <c r="T81" s="461" t="s">
        <v>507</v>
      </c>
      <c r="U81" s="246"/>
      <c r="V81" s="132"/>
      <c r="W81" s="246"/>
      <c r="X81" s="132"/>
      <c r="Y81" s="246"/>
      <c r="Z81" s="462"/>
      <c r="AA81" s="461" t="s">
        <v>507</v>
      </c>
      <c r="AB81" s="246"/>
      <c r="AC81" s="132"/>
      <c r="AD81" s="246"/>
      <c r="AE81" s="132"/>
      <c r="AF81" s="246"/>
      <c r="AG81" s="462"/>
      <c r="AH81" s="461" t="s">
        <v>507</v>
      </c>
      <c r="AI81" s="246"/>
      <c r="AJ81" s="132"/>
      <c r="AK81" s="246"/>
      <c r="AL81" s="132"/>
      <c r="AM81" s="246"/>
      <c r="AN81" s="462"/>
      <c r="AO81" s="461" t="s">
        <v>507</v>
      </c>
      <c r="AP81" s="246"/>
      <c r="AQ81" s="132"/>
      <c r="AR81" s="246"/>
      <c r="AS81" s="132"/>
      <c r="AT81" s="460"/>
      <c r="AU81" s="236"/>
      <c r="AV81" s="236"/>
    </row>
    <row r="82">
      <c r="A82" s="236"/>
      <c r="B82" s="459"/>
      <c r="C82" s="460" t="s">
        <v>738</v>
      </c>
      <c r="D82" s="363"/>
      <c r="E82" s="259"/>
      <c r="F82" s="461"/>
      <c r="G82" s="246"/>
      <c r="H82" s="132"/>
      <c r="I82" s="246"/>
      <c r="J82" s="132"/>
      <c r="K82" s="246"/>
      <c r="L82" s="462"/>
      <c r="M82" s="132"/>
      <c r="N82" s="246"/>
      <c r="O82" s="132"/>
      <c r="P82" s="246"/>
      <c r="Q82" s="132"/>
      <c r="R82" s="246"/>
      <c r="S82" s="462"/>
      <c r="T82" s="461"/>
      <c r="U82" s="246"/>
      <c r="V82" s="132"/>
      <c r="W82" s="246"/>
      <c r="X82" s="132"/>
      <c r="Y82" s="246"/>
      <c r="Z82" s="462"/>
      <c r="AA82" s="461"/>
      <c r="AB82" s="246"/>
      <c r="AC82" s="132"/>
      <c r="AD82" s="246"/>
      <c r="AE82" s="132"/>
      <c r="AF82" s="246"/>
      <c r="AG82" s="462"/>
      <c r="AH82" s="461" t="s">
        <v>535</v>
      </c>
      <c r="AI82" s="246"/>
      <c r="AJ82" s="132"/>
      <c r="AK82" s="246"/>
      <c r="AL82" s="132"/>
      <c r="AM82" s="246"/>
      <c r="AN82" s="462"/>
      <c r="AO82" s="461" t="s">
        <v>535</v>
      </c>
      <c r="AP82" s="246"/>
      <c r="AQ82" s="132"/>
      <c r="AR82" s="246"/>
      <c r="AS82" s="132"/>
      <c r="AT82" s="460"/>
      <c r="AU82" s="236"/>
      <c r="AV82" s="236"/>
    </row>
    <row r="83">
      <c r="A83" s="182"/>
      <c r="B83" s="183" t="s">
        <v>746</v>
      </c>
      <c r="C83" s="184" t="s">
        <v>605</v>
      </c>
      <c r="D83" s="185" t="s">
        <v>486</v>
      </c>
      <c r="E83" s="186"/>
      <c r="F83" s="185" t="s">
        <v>487</v>
      </c>
      <c r="M83" s="185" t="s">
        <v>488</v>
      </c>
      <c r="T83" s="185" t="s">
        <v>489</v>
      </c>
      <c r="AA83" s="185" t="s">
        <v>490</v>
      </c>
      <c r="AH83" s="185" t="s">
        <v>491</v>
      </c>
      <c r="AO83" s="185" t="s">
        <v>492</v>
      </c>
      <c r="AU83" s="182"/>
      <c r="AV83" s="182"/>
    </row>
    <row r="84">
      <c r="A84" s="182"/>
      <c r="B84" s="187"/>
      <c r="C84" s="187"/>
      <c r="D84" s="188">
        <f>AO4+1</f>
        <v>7</v>
      </c>
      <c r="E84" s="189"/>
      <c r="F84" s="188">
        <f>D84+1</f>
        <v>8</v>
      </c>
      <c r="M84" s="188">
        <f>F84+1</f>
        <v>9</v>
      </c>
      <c r="T84" s="188">
        <f>M84+1</f>
        <v>10</v>
      </c>
      <c r="AA84" s="188">
        <f>T84+1</f>
        <v>11</v>
      </c>
      <c r="AH84" s="188">
        <f>AA84+1</f>
        <v>12</v>
      </c>
      <c r="AO84" s="188">
        <f>AH84+1</f>
        <v>13</v>
      </c>
      <c r="AU84" s="182"/>
      <c r="AV84" s="182"/>
    </row>
    <row r="85">
      <c r="A85" s="182"/>
      <c r="B85" s="193" t="s">
        <v>608</v>
      </c>
      <c r="C85" s="193" t="s">
        <v>609</v>
      </c>
      <c r="D85" s="187"/>
      <c r="E85" s="189"/>
      <c r="F85" s="194" t="s">
        <v>610</v>
      </c>
      <c r="G85" s="195"/>
      <c r="H85" s="193" t="s">
        <v>611</v>
      </c>
      <c r="J85" s="194" t="s">
        <v>612</v>
      </c>
      <c r="M85" s="194" t="s">
        <v>610</v>
      </c>
      <c r="N85" s="195"/>
      <c r="O85" s="193" t="s">
        <v>611</v>
      </c>
      <c r="P85" s="195"/>
      <c r="Q85" s="194" t="s">
        <v>612</v>
      </c>
      <c r="S85" s="193"/>
      <c r="T85" s="194" t="s">
        <v>610</v>
      </c>
      <c r="U85" s="195"/>
      <c r="V85" s="193" t="s">
        <v>611</v>
      </c>
      <c r="W85" s="195"/>
      <c r="X85" s="194" t="s">
        <v>612</v>
      </c>
      <c r="Z85" s="193"/>
      <c r="AA85" s="194" t="s">
        <v>610</v>
      </c>
      <c r="AB85" s="195"/>
      <c r="AC85" s="193" t="s">
        <v>611</v>
      </c>
      <c r="AD85" s="195"/>
      <c r="AE85" s="194" t="s">
        <v>612</v>
      </c>
      <c r="AG85" s="193"/>
      <c r="AH85" s="194" t="s">
        <v>610</v>
      </c>
      <c r="AI85" s="195"/>
      <c r="AJ85" s="193" t="s">
        <v>611</v>
      </c>
      <c r="AK85" s="195"/>
      <c r="AL85" s="194" t="s">
        <v>612</v>
      </c>
      <c r="AN85" s="193"/>
      <c r="AO85" s="194" t="s">
        <v>610</v>
      </c>
      <c r="AP85" s="195"/>
      <c r="AQ85" s="193" t="s">
        <v>611</v>
      </c>
      <c r="AR85" s="195"/>
      <c r="AS85" s="194" t="s">
        <v>612</v>
      </c>
      <c r="AU85" s="182"/>
      <c r="AV85" s="182"/>
    </row>
    <row r="86" ht="15.0" customHeight="1">
      <c r="A86" s="199"/>
      <c r="B86" s="200" t="s">
        <v>620</v>
      </c>
      <c r="C86" s="201"/>
      <c r="D86" s="201"/>
      <c r="E86" s="202"/>
      <c r="F86" s="203"/>
      <c r="G86" s="204"/>
      <c r="H86" s="203"/>
      <c r="I86" s="204"/>
      <c r="J86" s="203"/>
      <c r="K86" s="204"/>
      <c r="L86" s="205"/>
      <c r="M86" s="203" t="s">
        <v>747</v>
      </c>
      <c r="N86" s="204"/>
      <c r="O86" s="203" t="s">
        <v>748</v>
      </c>
      <c r="P86" s="204"/>
      <c r="Q86" s="203" t="s">
        <v>620</v>
      </c>
      <c r="R86" s="204"/>
      <c r="S86" s="205"/>
      <c r="T86" s="203"/>
      <c r="U86" s="204"/>
      <c r="V86" s="203"/>
      <c r="W86" s="204"/>
      <c r="X86" s="682" t="s">
        <v>1015</v>
      </c>
      <c r="Y86" s="204"/>
      <c r="Z86" s="205"/>
      <c r="AA86" s="203"/>
      <c r="AB86" s="204"/>
      <c r="AC86" s="203"/>
      <c r="AD86" s="204"/>
      <c r="AE86" s="203"/>
      <c r="AF86" s="204"/>
      <c r="AG86" s="205"/>
      <c r="AH86" s="203"/>
      <c r="AI86" s="204"/>
      <c r="AJ86" s="203"/>
      <c r="AK86" s="204"/>
      <c r="AL86" s="203"/>
      <c r="AM86" s="204"/>
      <c r="AN86" s="205"/>
      <c r="AO86" s="203"/>
      <c r="AP86" s="204"/>
      <c r="AQ86" s="203"/>
      <c r="AR86" s="204"/>
      <c r="AS86" s="203"/>
      <c r="AT86" s="204"/>
      <c r="AU86" s="199"/>
      <c r="AV86" s="199"/>
    </row>
    <row r="87">
      <c r="A87" s="234"/>
      <c r="B87" s="235" t="s">
        <v>608</v>
      </c>
      <c r="C87" s="195" t="s">
        <v>609</v>
      </c>
      <c r="D87" s="236"/>
      <c r="E87" s="237"/>
      <c r="F87" s="238"/>
      <c r="G87" s="182"/>
      <c r="H87" s="238"/>
      <c r="I87" s="239"/>
      <c r="J87" s="238"/>
      <c r="K87" s="239"/>
      <c r="L87" s="237"/>
      <c r="M87" s="238"/>
      <c r="N87" s="182"/>
      <c r="O87" s="238"/>
      <c r="P87" s="239"/>
      <c r="Q87" s="238"/>
      <c r="R87" s="239"/>
      <c r="S87" s="237"/>
      <c r="T87" s="238"/>
      <c r="U87" s="182"/>
      <c r="V87" s="238"/>
      <c r="W87" s="239"/>
      <c r="X87" s="238"/>
      <c r="Y87" s="239"/>
      <c r="Z87" s="237"/>
      <c r="AA87" s="238"/>
      <c r="AB87" s="182"/>
      <c r="AC87" s="238"/>
      <c r="AD87" s="239"/>
      <c r="AE87" s="238"/>
      <c r="AF87" s="239"/>
      <c r="AG87" s="237"/>
      <c r="AH87" s="238"/>
      <c r="AI87" s="182"/>
      <c r="AJ87" s="238"/>
      <c r="AK87" s="239"/>
      <c r="AL87" s="238"/>
      <c r="AM87" s="239"/>
      <c r="AN87" s="237"/>
      <c r="AO87" s="238"/>
      <c r="AP87" s="182"/>
      <c r="AQ87" s="238"/>
      <c r="AR87" s="239"/>
      <c r="AS87" s="238"/>
      <c r="AT87" s="239"/>
      <c r="AU87" s="236"/>
      <c r="AV87" s="236"/>
    </row>
    <row r="88" ht="14.25" customHeight="1">
      <c r="A88" s="240"/>
      <c r="B88" s="241" t="s">
        <v>638</v>
      </c>
      <c r="C88" s="242" t="s">
        <v>639</v>
      </c>
      <c r="D88" s="243"/>
      <c r="E88" s="244"/>
      <c r="F88" s="371"/>
      <c r="G88" s="246"/>
      <c r="H88" s="282"/>
      <c r="I88" s="246"/>
      <c r="J88" s="282"/>
      <c r="K88" s="246"/>
      <c r="L88" s="249"/>
      <c r="M88" s="250"/>
      <c r="N88" s="246"/>
      <c r="O88" s="282"/>
      <c r="P88" s="246"/>
      <c r="R88" s="246"/>
      <c r="S88" s="249"/>
      <c r="T88" s="250"/>
      <c r="U88" s="246"/>
      <c r="V88" s="282"/>
      <c r="W88" s="246"/>
      <c r="X88" s="251" t="s">
        <v>405</v>
      </c>
      <c r="Y88" s="246"/>
      <c r="Z88" s="249"/>
      <c r="AA88" s="250"/>
      <c r="AB88" s="246"/>
      <c r="AD88" s="246"/>
      <c r="AF88" s="246"/>
      <c r="AG88" s="249"/>
      <c r="AH88" s="371"/>
      <c r="AI88" s="246"/>
      <c r="AJ88" s="641" t="s">
        <v>419</v>
      </c>
      <c r="AK88" s="246"/>
      <c r="AM88" s="246"/>
      <c r="AN88" s="249"/>
      <c r="AP88" s="246"/>
      <c r="AQ88" s="767"/>
      <c r="AR88" s="246"/>
      <c r="AT88" s="254" t="str">
        <f>IF(COUNTIF($AO$80:$AT$82, #REF!) &gt; 0, "X", "")</f>
        <v/>
      </c>
      <c r="AU88" s="255"/>
      <c r="AV88" s="255"/>
    </row>
    <row r="89" ht="13.5" customHeight="1">
      <c r="A89" s="94"/>
      <c r="B89" s="256" t="s">
        <v>638</v>
      </c>
      <c r="C89" s="257" t="s">
        <v>639</v>
      </c>
      <c r="D89" s="258"/>
      <c r="E89" s="259"/>
      <c r="F89" s="371"/>
      <c r="G89" s="246"/>
      <c r="H89" s="282"/>
      <c r="I89" s="246"/>
      <c r="J89" s="336" t="s">
        <v>414</v>
      </c>
      <c r="K89" s="246"/>
      <c r="L89" s="249"/>
      <c r="M89" s="250"/>
      <c r="N89" s="246"/>
      <c r="O89" s="282"/>
      <c r="P89" s="246"/>
      <c r="R89" s="246"/>
      <c r="S89" s="249"/>
      <c r="T89" s="250"/>
      <c r="U89" s="246"/>
      <c r="V89" s="282"/>
      <c r="W89" s="246"/>
      <c r="X89" s="683" t="s">
        <v>419</v>
      </c>
      <c r="Y89" s="246"/>
      <c r="Z89" s="249"/>
      <c r="AA89" s="250"/>
      <c r="AB89" s="246"/>
      <c r="AD89" s="246"/>
      <c r="AF89" s="246"/>
      <c r="AG89" s="249"/>
      <c r="AH89" s="371"/>
      <c r="AI89" s="246"/>
      <c r="AJ89" s="336" t="s">
        <v>414</v>
      </c>
      <c r="AK89" s="246"/>
      <c r="AM89" s="246"/>
      <c r="AN89" s="249"/>
      <c r="AO89" s="282"/>
      <c r="AP89" s="246"/>
      <c r="AQ89" s="767"/>
      <c r="AR89" s="246"/>
      <c r="AS89" s="282"/>
      <c r="AT89" s="254" t="str">
        <f>IF(COUNTIF($AO$80:$AT$82, AS95) &gt; 0, "X", "")</f>
        <v/>
      </c>
      <c r="AU89" s="269"/>
      <c r="AV89" s="269"/>
    </row>
    <row r="90" ht="13.5" customHeight="1">
      <c r="A90" s="270"/>
      <c r="B90" s="271" t="s">
        <v>642</v>
      </c>
      <c r="C90" s="272" t="s">
        <v>639</v>
      </c>
      <c r="D90" s="258"/>
      <c r="E90" s="259"/>
      <c r="F90" s="426"/>
      <c r="G90" s="246"/>
      <c r="H90" s="426"/>
      <c r="I90" s="246"/>
      <c r="J90" s="265"/>
      <c r="K90" s="246"/>
      <c r="L90" s="261"/>
      <c r="M90" s="262"/>
      <c r="N90" s="246"/>
      <c r="O90" s="274" t="s">
        <v>406</v>
      </c>
      <c r="P90" s="246"/>
      <c r="Q90" s="282"/>
      <c r="R90" s="246"/>
      <c r="S90" s="261"/>
      <c r="T90" s="262"/>
      <c r="U90" s="246"/>
      <c r="V90" s="265"/>
      <c r="W90" s="246"/>
      <c r="X90" s="336" t="s">
        <v>414</v>
      </c>
      <c r="Y90" s="246"/>
      <c r="Z90" s="261"/>
      <c r="AA90" s="262"/>
      <c r="AB90" s="246"/>
      <c r="AD90" s="246"/>
      <c r="AF90" s="246"/>
      <c r="AG90" s="261"/>
      <c r="AH90" s="426"/>
      <c r="AI90" s="246"/>
      <c r="AJ90" s="251" t="s">
        <v>405</v>
      </c>
      <c r="AK90" s="246"/>
      <c r="AL90" s="265"/>
      <c r="AM90" s="246"/>
      <c r="AN90" s="261"/>
      <c r="AO90" s="426"/>
      <c r="AP90" s="246"/>
      <c r="AQ90" s="767"/>
      <c r="AR90" s="246"/>
      <c r="AS90" s="426"/>
      <c r="AT90" s="254" t="str">
        <f>IF(COUNTIF($AO$80:$AT$82, #REF!) &gt; 0, "X", "")</f>
        <v/>
      </c>
      <c r="AU90" s="269"/>
      <c r="AV90" s="269"/>
    </row>
    <row r="91" ht="11.25" customHeight="1">
      <c r="A91" s="234"/>
      <c r="B91" s="277" t="s">
        <v>644</v>
      </c>
      <c r="C91" s="278" t="s">
        <v>645</v>
      </c>
      <c r="D91" s="243"/>
      <c r="E91" s="259"/>
      <c r="F91" s="281"/>
      <c r="G91" s="246"/>
      <c r="I91" s="246"/>
      <c r="J91" s="280" t="s">
        <v>400</v>
      </c>
      <c r="K91" s="246"/>
      <c r="L91" s="261"/>
      <c r="M91" s="250"/>
      <c r="N91" s="246"/>
      <c r="O91" s="280" t="s">
        <v>400</v>
      </c>
      <c r="P91" s="246"/>
      <c r="Q91" s="282"/>
      <c r="R91" s="246"/>
      <c r="S91" s="261"/>
      <c r="T91" s="250"/>
      <c r="U91" s="246"/>
      <c r="W91" s="246"/>
      <c r="X91" s="730" t="s">
        <v>410</v>
      </c>
      <c r="Y91" s="246"/>
      <c r="Z91" s="261"/>
      <c r="AA91" s="250"/>
      <c r="AB91" s="246"/>
      <c r="AD91" s="246"/>
      <c r="AE91" s="280" t="s">
        <v>400</v>
      </c>
      <c r="AF91" s="246"/>
      <c r="AG91" s="261"/>
      <c r="AI91" s="246"/>
      <c r="AJ91" s="274" t="s">
        <v>400</v>
      </c>
      <c r="AK91" s="246"/>
      <c r="AL91" s="281"/>
      <c r="AM91" s="246"/>
      <c r="AN91" s="261"/>
      <c r="AO91" s="281"/>
      <c r="AP91" s="246"/>
      <c r="AQ91" s="320"/>
      <c r="AR91" s="246"/>
      <c r="AS91" s="281"/>
      <c r="AT91" s="254" t="str">
        <f t="shared" ref="AT91:AT93" si="16">IF(COUNTIF($AO$80:$AT$82, AS92) &gt; 0, "X", "")</f>
        <v/>
      </c>
      <c r="AU91" s="269"/>
      <c r="AV91" s="269"/>
    </row>
    <row r="92">
      <c r="A92" s="94"/>
      <c r="B92" s="256" t="s">
        <v>757</v>
      </c>
      <c r="C92" s="257" t="s">
        <v>645</v>
      </c>
      <c r="D92" s="243"/>
      <c r="E92" s="259"/>
      <c r="F92" s="274" t="s">
        <v>402</v>
      </c>
      <c r="G92" s="246"/>
      <c r="H92" s="371"/>
      <c r="I92" s="246"/>
      <c r="J92" s="371"/>
      <c r="K92" s="246"/>
      <c r="L92" s="261"/>
      <c r="M92" s="250"/>
      <c r="N92" s="246"/>
      <c r="O92" s="371"/>
      <c r="P92" s="246"/>
      <c r="Q92" s="280" t="s">
        <v>402</v>
      </c>
      <c r="R92" s="246"/>
      <c r="S92" s="261"/>
      <c r="T92" s="274" t="s">
        <v>402</v>
      </c>
      <c r="U92" s="246"/>
      <c r="W92" s="246"/>
      <c r="X92" s="280" t="s">
        <v>400</v>
      </c>
      <c r="Y92" s="246"/>
      <c r="Z92" s="261"/>
      <c r="AA92" s="250"/>
      <c r="AB92" s="246"/>
      <c r="AC92" s="371"/>
      <c r="AD92" s="246"/>
      <c r="AF92" s="246"/>
      <c r="AG92" s="261"/>
      <c r="AH92" s="371"/>
      <c r="AI92" s="246"/>
      <c r="AJ92" s="371"/>
      <c r="AK92" s="246"/>
      <c r="AL92" s="274" t="s">
        <v>402</v>
      </c>
      <c r="AM92" s="246"/>
      <c r="AN92" s="261"/>
      <c r="AO92" s="371"/>
      <c r="AP92" s="246"/>
      <c r="AQ92" s="768" t="s">
        <v>1062</v>
      </c>
      <c r="AR92" s="246"/>
      <c r="AS92" s="371"/>
      <c r="AT92" s="254" t="str">
        <f t="shared" si="16"/>
        <v/>
      </c>
      <c r="AU92" s="269"/>
      <c r="AV92" s="269"/>
    </row>
    <row r="93">
      <c r="A93" s="94"/>
      <c r="B93" s="284" t="s">
        <v>646</v>
      </c>
      <c r="C93" s="285" t="s">
        <v>647</v>
      </c>
      <c r="D93" s="243"/>
      <c r="E93" s="259"/>
      <c r="F93" s="251" t="s">
        <v>427</v>
      </c>
      <c r="G93" s="246"/>
      <c r="H93" s="274" t="s">
        <v>409</v>
      </c>
      <c r="I93" s="246"/>
      <c r="J93" s="399"/>
      <c r="K93" s="246"/>
      <c r="L93" s="261"/>
      <c r="M93" s="324"/>
      <c r="N93" s="246"/>
      <c r="O93" s="274" t="s">
        <v>409</v>
      </c>
      <c r="P93" s="246"/>
      <c r="Q93" s="251" t="s">
        <v>427</v>
      </c>
      <c r="R93" s="246"/>
      <c r="S93" s="261"/>
      <c r="T93" s="324"/>
      <c r="U93" s="246"/>
      <c r="V93" s="274" t="s">
        <v>409</v>
      </c>
      <c r="W93" s="246"/>
      <c r="X93" s="251" t="s">
        <v>427</v>
      </c>
      <c r="Y93" s="246"/>
      <c r="Z93" s="261"/>
      <c r="AA93" s="324"/>
      <c r="AB93" s="246"/>
      <c r="AD93" s="246"/>
      <c r="AE93" s="251" t="s">
        <v>427</v>
      </c>
      <c r="AF93" s="246"/>
      <c r="AG93" s="261"/>
      <c r="AH93" s="251" t="s">
        <v>427</v>
      </c>
      <c r="AI93" s="246"/>
      <c r="AJ93" s="274" t="s">
        <v>409</v>
      </c>
      <c r="AK93" s="246"/>
      <c r="AL93" s="282"/>
      <c r="AM93" s="246"/>
      <c r="AN93" s="261"/>
      <c r="AO93" s="399"/>
      <c r="AP93" s="246"/>
      <c r="AQ93" s="683" t="s">
        <v>419</v>
      </c>
      <c r="AR93" s="246"/>
      <c r="AS93" s="399"/>
      <c r="AT93" s="254" t="str">
        <f t="shared" si="16"/>
        <v/>
      </c>
      <c r="AU93" s="269"/>
      <c r="AV93" s="269"/>
    </row>
    <row r="94">
      <c r="A94" s="270"/>
      <c r="B94" s="291" t="s">
        <v>648</v>
      </c>
      <c r="C94" s="292" t="s">
        <v>649</v>
      </c>
      <c r="D94" s="243"/>
      <c r="E94" s="259"/>
      <c r="F94" s="294"/>
      <c r="G94" s="246"/>
      <c r="H94" s="293" t="s">
        <v>418</v>
      </c>
      <c r="I94" s="246"/>
      <c r="J94" s="294"/>
      <c r="K94" s="246"/>
      <c r="L94" s="261"/>
      <c r="M94" s="250"/>
      <c r="N94" s="246"/>
      <c r="O94" s="293" t="s">
        <v>418</v>
      </c>
      <c r="P94" s="246"/>
      <c r="Q94" s="294"/>
      <c r="R94" s="246"/>
      <c r="S94" s="261"/>
      <c r="T94" s="250"/>
      <c r="U94" s="246"/>
      <c r="V94" s="294"/>
      <c r="W94" s="246"/>
      <c r="X94" s="293" t="s">
        <v>418</v>
      </c>
      <c r="Y94" s="246"/>
      <c r="Z94" s="261"/>
      <c r="AA94" s="250"/>
      <c r="AB94" s="246"/>
      <c r="AC94" s="294"/>
      <c r="AD94" s="246"/>
      <c r="AE94" s="293" t="s">
        <v>418</v>
      </c>
      <c r="AF94" s="246"/>
      <c r="AG94" s="261"/>
      <c r="AH94" s="294"/>
      <c r="AI94" s="246"/>
      <c r="AJ94" s="294"/>
      <c r="AK94" s="246"/>
      <c r="AL94" s="294"/>
      <c r="AM94" s="246"/>
      <c r="AN94" s="261"/>
      <c r="AO94" s="294"/>
      <c r="AP94" s="246"/>
      <c r="AQ94" s="769" t="s">
        <v>1063</v>
      </c>
      <c r="AR94" s="246"/>
      <c r="AS94" s="294"/>
      <c r="AT94" s="254" t="str">
        <f t="shared" ref="AT94:AT95" si="17">IF(COUNTIF($AO$80:$AT$82, #REF!) &gt; 0, "X", "")</f>
        <v/>
      </c>
      <c r="AU94" s="269"/>
      <c r="AV94" s="269"/>
    </row>
    <row r="95">
      <c r="A95" s="94"/>
      <c r="B95" s="296" t="s">
        <v>650</v>
      </c>
      <c r="C95" s="297" t="s">
        <v>649</v>
      </c>
      <c r="D95" s="243"/>
      <c r="E95" s="259"/>
      <c r="F95" s="299"/>
      <c r="G95" s="298"/>
      <c r="H95" s="299"/>
      <c r="I95" s="298"/>
      <c r="J95" s="299"/>
      <c r="K95" s="298"/>
      <c r="L95" s="261"/>
      <c r="M95" s="250"/>
      <c r="N95" s="298"/>
      <c r="O95" s="299"/>
      <c r="P95" s="298"/>
      <c r="Q95" s="299"/>
      <c r="R95" s="298"/>
      <c r="S95" s="261"/>
      <c r="T95" s="250"/>
      <c r="U95" s="298"/>
      <c r="V95" s="299"/>
      <c r="W95" s="298"/>
      <c r="X95" s="299"/>
      <c r="Y95" s="298"/>
      <c r="Z95" s="261"/>
      <c r="AA95" s="250"/>
      <c r="AB95" s="298"/>
      <c r="AC95" s="299"/>
      <c r="AD95" s="298"/>
      <c r="AE95" s="299"/>
      <c r="AF95" s="298"/>
      <c r="AG95" s="261"/>
      <c r="AH95" s="299"/>
      <c r="AI95" s="298"/>
      <c r="AJ95" s="299"/>
      <c r="AK95" s="298"/>
      <c r="AL95" s="299"/>
      <c r="AM95" s="298"/>
      <c r="AN95" s="261"/>
      <c r="AO95" s="299"/>
      <c r="AP95" s="298"/>
      <c r="AQ95" s="770" t="s">
        <v>640</v>
      </c>
      <c r="AR95" s="298"/>
      <c r="AS95" s="299"/>
      <c r="AT95" s="254" t="str">
        <f t="shared" si="17"/>
        <v/>
      </c>
      <c r="AU95" s="269"/>
      <c r="AV95" s="269"/>
    </row>
    <row r="96">
      <c r="A96" s="94"/>
      <c r="B96" s="301" t="s">
        <v>651</v>
      </c>
      <c r="C96" s="302" t="s">
        <v>652</v>
      </c>
      <c r="D96" s="243"/>
      <c r="E96" s="259"/>
      <c r="F96" s="303"/>
      <c r="G96" s="298"/>
      <c r="H96" s="303"/>
      <c r="I96" s="298"/>
      <c r="J96" s="303"/>
      <c r="K96" s="298"/>
      <c r="L96" s="261"/>
      <c r="M96" s="250"/>
      <c r="N96" s="298"/>
      <c r="O96" s="303"/>
      <c r="P96" s="298"/>
      <c r="Q96" s="303"/>
      <c r="R96" s="298"/>
      <c r="S96" s="261"/>
      <c r="T96" s="250"/>
      <c r="U96" s="298"/>
      <c r="V96" s="303"/>
      <c r="W96" s="298"/>
      <c r="X96" s="303"/>
      <c r="Y96" s="298"/>
      <c r="Z96" s="261"/>
      <c r="AA96" s="250"/>
      <c r="AB96" s="298"/>
      <c r="AC96" s="303"/>
      <c r="AD96" s="298"/>
      <c r="AE96" s="303"/>
      <c r="AF96" s="298"/>
      <c r="AG96" s="261"/>
      <c r="AH96" s="303"/>
      <c r="AI96" s="298"/>
      <c r="AJ96" s="303"/>
      <c r="AK96" s="298"/>
      <c r="AL96" s="303"/>
      <c r="AM96" s="298"/>
      <c r="AN96" s="261"/>
      <c r="AO96" s="303"/>
      <c r="AP96" s="298"/>
      <c r="AQ96" s="771" t="s">
        <v>514</v>
      </c>
      <c r="AR96" s="298"/>
      <c r="AS96" s="303"/>
      <c r="AT96" s="254" t="str">
        <f t="shared" ref="AT96:AT97" si="18">IF(COUNTIF($AO$80:$AT$82, AS97) &gt; 0, "X", "")</f>
        <v/>
      </c>
      <c r="AU96" s="269"/>
      <c r="AV96" s="269"/>
    </row>
    <row r="97">
      <c r="A97" s="94"/>
      <c r="B97" s="305" t="s">
        <v>653</v>
      </c>
      <c r="C97" s="306" t="s">
        <v>654</v>
      </c>
      <c r="D97" s="243"/>
      <c r="E97" s="259"/>
      <c r="F97" s="307"/>
      <c r="G97" s="298"/>
      <c r="H97" s="307"/>
      <c r="I97" s="298"/>
      <c r="J97" s="307"/>
      <c r="K97" s="298"/>
      <c r="L97" s="261"/>
      <c r="M97" s="250"/>
      <c r="N97" s="298"/>
      <c r="O97" s="309" t="s">
        <v>458</v>
      </c>
      <c r="P97" s="298"/>
      <c r="Q97" s="307"/>
      <c r="R97" s="298"/>
      <c r="S97" s="261"/>
      <c r="T97" s="250"/>
      <c r="U97" s="298"/>
      <c r="V97" s="307"/>
      <c r="W97" s="298"/>
      <c r="X97" s="307"/>
      <c r="Y97" s="298"/>
      <c r="Z97" s="261"/>
      <c r="AA97" s="250"/>
      <c r="AB97" s="298"/>
      <c r="AC97" s="307"/>
      <c r="AD97" s="298"/>
      <c r="AE97" s="309" t="s">
        <v>449</v>
      </c>
      <c r="AF97" s="298"/>
      <c r="AG97" s="261"/>
      <c r="AH97" s="307"/>
      <c r="AI97" s="298"/>
      <c r="AJ97" s="307"/>
      <c r="AK97" s="298"/>
      <c r="AL97" s="307"/>
      <c r="AM97" s="298"/>
      <c r="AN97" s="261"/>
      <c r="AO97" s="307"/>
      <c r="AP97" s="298"/>
      <c r="AQ97" s="124" t="s">
        <v>533</v>
      </c>
      <c r="AR97" s="298"/>
      <c r="AS97" s="307"/>
      <c r="AT97" s="254" t="str">
        <f t="shared" si="18"/>
        <v/>
      </c>
      <c r="AU97" s="269"/>
      <c r="AV97" s="269"/>
    </row>
    <row r="98">
      <c r="A98" s="94"/>
      <c r="B98" s="310" t="s">
        <v>656</v>
      </c>
      <c r="C98" s="278" t="s">
        <v>657</v>
      </c>
      <c r="D98" s="243"/>
      <c r="E98" s="259"/>
      <c r="F98" s="281"/>
      <c r="G98" s="246"/>
      <c r="H98" s="282"/>
      <c r="I98" s="246"/>
      <c r="J98" s="282"/>
      <c r="K98" s="246"/>
      <c r="L98" s="261"/>
      <c r="M98" s="250"/>
      <c r="N98" s="246"/>
      <c r="O98" s="311" t="s">
        <v>459</v>
      </c>
      <c r="P98" s="246"/>
      <c r="R98" s="246"/>
      <c r="S98" s="261"/>
      <c r="T98" s="250"/>
      <c r="U98" s="246"/>
      <c r="V98" s="282"/>
      <c r="W98" s="246"/>
      <c r="Y98" s="246"/>
      <c r="Z98" s="261"/>
      <c r="AA98" s="250"/>
      <c r="AB98" s="246"/>
      <c r="AC98" s="772" t="s">
        <v>1064</v>
      </c>
      <c r="AD98" s="246"/>
      <c r="AE98" s="311" t="s">
        <v>434</v>
      </c>
      <c r="AF98" s="246"/>
      <c r="AG98" s="261"/>
      <c r="AH98" s="282"/>
      <c r="AI98" s="246"/>
      <c r="AK98" s="246"/>
      <c r="AM98" s="246"/>
      <c r="AN98" s="261"/>
      <c r="AO98" s="281"/>
      <c r="AP98" s="246"/>
      <c r="AQ98" s="476" t="s">
        <v>398</v>
      </c>
      <c r="AR98" s="246"/>
      <c r="AS98" s="281"/>
      <c r="AT98" s="254" t="str">
        <f t="shared" ref="AT98:AT100" si="19">IF(COUNTIF($AO$80:$AT$82, #REF!) &gt; 0, "X", "")</f>
        <v/>
      </c>
      <c r="AU98" s="269"/>
      <c r="AV98" s="269"/>
    </row>
    <row r="99">
      <c r="A99" s="94"/>
      <c r="B99" s="277" t="s">
        <v>658</v>
      </c>
      <c r="C99" s="278" t="s">
        <v>657</v>
      </c>
      <c r="D99" s="243"/>
      <c r="E99" s="259"/>
      <c r="G99" s="246"/>
      <c r="H99" s="282"/>
      <c r="I99" s="246"/>
      <c r="J99" s="281"/>
      <c r="K99" s="246"/>
      <c r="L99" s="261"/>
      <c r="M99" s="250"/>
      <c r="N99" s="246"/>
      <c r="P99" s="246"/>
      <c r="R99" s="246"/>
      <c r="S99" s="261"/>
      <c r="T99" s="250"/>
      <c r="U99" s="246"/>
      <c r="W99" s="246"/>
      <c r="Y99" s="246"/>
      <c r="Z99" s="261"/>
      <c r="AA99" s="250"/>
      <c r="AB99" s="246"/>
      <c r="AC99" s="471" t="s">
        <v>419</v>
      </c>
      <c r="AD99" s="246"/>
      <c r="AF99" s="246"/>
      <c r="AG99" s="261"/>
      <c r="AH99" s="282"/>
      <c r="AI99" s="246"/>
      <c r="AK99" s="246"/>
      <c r="AM99" s="246"/>
      <c r="AN99" s="261"/>
      <c r="AO99" s="479"/>
      <c r="AP99" s="246"/>
      <c r="AQ99" s="661" t="s">
        <v>406</v>
      </c>
      <c r="AR99" s="246"/>
      <c r="AS99" s="281"/>
      <c r="AT99" s="254" t="str">
        <f t="shared" si="19"/>
        <v/>
      </c>
      <c r="AU99" s="269"/>
      <c r="AV99" s="269"/>
    </row>
    <row r="100">
      <c r="A100" s="94"/>
      <c r="B100" s="314" t="s">
        <v>660</v>
      </c>
      <c r="C100" s="315" t="s">
        <v>649</v>
      </c>
      <c r="D100" s="243"/>
      <c r="E100" s="259"/>
      <c r="F100" s="479"/>
      <c r="G100" s="246"/>
      <c r="H100" s="293" t="s">
        <v>416</v>
      </c>
      <c r="I100" s="246"/>
      <c r="J100" s="353" t="s">
        <v>421</v>
      </c>
      <c r="K100" s="246"/>
      <c r="L100" s="261"/>
      <c r="M100" s="316"/>
      <c r="N100" s="246"/>
      <c r="O100" s="293" t="s">
        <v>416</v>
      </c>
      <c r="P100" s="246"/>
      <c r="Q100" s="353" t="s">
        <v>421</v>
      </c>
      <c r="R100" s="246"/>
      <c r="S100" s="261"/>
      <c r="T100" s="316"/>
      <c r="U100" s="246"/>
      <c r="V100" s="293" t="s">
        <v>416</v>
      </c>
      <c r="W100" s="246"/>
      <c r="X100" s="356" t="s">
        <v>423</v>
      </c>
      <c r="Y100" s="246"/>
      <c r="Z100" s="261"/>
      <c r="AA100" s="316"/>
      <c r="AB100" s="246"/>
      <c r="AC100" s="353" t="s">
        <v>421</v>
      </c>
      <c r="AD100" s="246"/>
      <c r="AE100" s="293" t="s">
        <v>416</v>
      </c>
      <c r="AF100" s="246"/>
      <c r="AG100" s="261"/>
      <c r="AH100" s="506"/>
      <c r="AI100" s="246"/>
      <c r="AJ100" s="353" t="s">
        <v>421</v>
      </c>
      <c r="AK100" s="246"/>
      <c r="AL100" s="293" t="s">
        <v>426</v>
      </c>
      <c r="AM100" s="246"/>
      <c r="AN100" s="261"/>
      <c r="AO100" s="479"/>
      <c r="AP100" s="246"/>
      <c r="AQ100" s="476" t="s">
        <v>414</v>
      </c>
      <c r="AR100" s="246"/>
      <c r="AS100" s="353" t="s">
        <v>421</v>
      </c>
      <c r="AT100" s="254" t="str">
        <f t="shared" si="19"/>
        <v/>
      </c>
      <c r="AU100" s="269"/>
      <c r="AV100" s="269"/>
    </row>
    <row r="101">
      <c r="A101" s="94"/>
      <c r="B101" s="296" t="s">
        <v>650</v>
      </c>
      <c r="C101" s="297" t="s">
        <v>649</v>
      </c>
      <c r="D101" s="243"/>
      <c r="E101" s="259"/>
      <c r="F101" s="509"/>
      <c r="G101" s="298"/>
      <c r="H101" s="299"/>
      <c r="I101" s="298"/>
      <c r="J101" s="645" t="s">
        <v>417</v>
      </c>
      <c r="K101" s="298"/>
      <c r="L101" s="261"/>
      <c r="M101" s="250"/>
      <c r="N101" s="298"/>
      <c r="O101" s="299"/>
      <c r="P101" s="298"/>
      <c r="Q101" s="293" t="s">
        <v>422</v>
      </c>
      <c r="R101" s="298"/>
      <c r="S101" s="261"/>
      <c r="T101" s="250"/>
      <c r="U101" s="298"/>
      <c r="V101" s="300"/>
      <c r="W101" s="298"/>
      <c r="X101" s="300"/>
      <c r="Y101" s="298"/>
      <c r="Z101" s="261"/>
      <c r="AA101" s="250"/>
      <c r="AB101" s="298"/>
      <c r="AC101" s="300"/>
      <c r="AD101" s="298"/>
      <c r="AE101" s="632" t="s">
        <v>423</v>
      </c>
      <c r="AF101" s="298"/>
      <c r="AG101" s="261"/>
      <c r="AH101" s="317"/>
      <c r="AI101" s="298"/>
      <c r="AJ101" s="300"/>
      <c r="AK101" s="298"/>
      <c r="AL101" s="300"/>
      <c r="AM101" s="298"/>
      <c r="AN101" s="261"/>
      <c r="AO101" s="509"/>
      <c r="AP101" s="298"/>
      <c r="AQ101" s="475" t="s">
        <v>405</v>
      </c>
      <c r="AR101" s="298"/>
      <c r="AS101" s="356" t="s">
        <v>423</v>
      </c>
      <c r="AT101" s="254" t="str">
        <f>IF(COUNTIF($AO$80:$AT$82, AS102) &gt; 0, "X", "")</f>
        <v/>
      </c>
      <c r="AU101" s="269"/>
      <c r="AV101" s="269"/>
    </row>
    <row r="102">
      <c r="A102" s="94"/>
      <c r="B102" s="301" t="s">
        <v>651</v>
      </c>
      <c r="C102" s="302" t="s">
        <v>652</v>
      </c>
      <c r="D102" s="323"/>
      <c r="E102" s="259"/>
      <c r="F102" s="320"/>
      <c r="G102" s="298"/>
      <c r="H102" s="303"/>
      <c r="I102" s="298"/>
      <c r="J102" s="321" t="s">
        <v>1065</v>
      </c>
      <c r="K102" s="298"/>
      <c r="L102" s="261"/>
      <c r="M102" s="250"/>
      <c r="N102" s="298"/>
      <c r="O102" s="303"/>
      <c r="P102" s="298"/>
      <c r="Q102" s="321" t="s">
        <v>1065</v>
      </c>
      <c r="R102" s="298"/>
      <c r="S102" s="261"/>
      <c r="T102" s="250"/>
      <c r="U102" s="298"/>
      <c r="V102" s="303"/>
      <c r="W102" s="298"/>
      <c r="X102" s="321" t="s">
        <v>1065</v>
      </c>
      <c r="Y102" s="298"/>
      <c r="Z102" s="261"/>
      <c r="AA102" s="250"/>
      <c r="AB102" s="298"/>
      <c r="AC102" s="303"/>
      <c r="AD102" s="298"/>
      <c r="AE102" s="321" t="s">
        <v>1065</v>
      </c>
      <c r="AF102" s="298"/>
      <c r="AG102" s="261"/>
      <c r="AH102" s="320"/>
      <c r="AI102" s="298"/>
      <c r="AJ102" s="303"/>
      <c r="AK102" s="298"/>
      <c r="AL102" s="321" t="s">
        <v>1065</v>
      </c>
      <c r="AM102" s="298"/>
      <c r="AN102" s="261"/>
      <c r="AO102" s="320"/>
      <c r="AP102" s="298"/>
      <c r="AQ102" s="475" t="s">
        <v>432</v>
      </c>
      <c r="AR102" s="298"/>
      <c r="AS102" s="303"/>
      <c r="AT102" s="254" t="str">
        <f t="shared" ref="AT102:AT103" si="20">IF(COUNTIF($AO$80:$AT$82, #REF!) &gt; 0, "X", "")</f>
        <v/>
      </c>
      <c r="AU102" s="269"/>
      <c r="AV102" s="269"/>
    </row>
    <row r="103">
      <c r="A103" s="94"/>
      <c r="B103" s="322" t="s">
        <v>662</v>
      </c>
      <c r="C103" s="306" t="s">
        <v>663</v>
      </c>
      <c r="D103" s="330"/>
      <c r="E103" s="259"/>
      <c r="F103" s="317"/>
      <c r="G103" s="298"/>
      <c r="H103" s="307"/>
      <c r="I103" s="298"/>
      <c r="J103" s="309" t="s">
        <v>415</v>
      </c>
      <c r="K103" s="298"/>
      <c r="L103" s="261"/>
      <c r="M103" s="324"/>
      <c r="N103" s="298"/>
      <c r="O103" s="307"/>
      <c r="P103" s="298"/>
      <c r="Q103" s="307"/>
      <c r="R103" s="298"/>
      <c r="S103" s="261"/>
      <c r="T103" s="324"/>
      <c r="U103" s="298"/>
      <c r="V103" s="307"/>
      <c r="W103" s="298"/>
      <c r="X103" s="309" t="s">
        <v>415</v>
      </c>
      <c r="Y103" s="298"/>
      <c r="Z103" s="261"/>
      <c r="AA103" s="324"/>
      <c r="AB103" s="298"/>
      <c r="AC103" s="309" t="s">
        <v>409</v>
      </c>
      <c r="AD103" s="298"/>
      <c r="AE103" s="307"/>
      <c r="AF103" s="298"/>
      <c r="AG103" s="261"/>
      <c r="AH103" s="317"/>
      <c r="AI103" s="298"/>
      <c r="AJ103" s="307"/>
      <c r="AK103" s="298"/>
      <c r="AL103" s="307"/>
      <c r="AM103" s="298"/>
      <c r="AN103" s="261"/>
      <c r="AO103" s="317"/>
      <c r="AP103" s="298"/>
      <c r="AQ103" s="475" t="s">
        <v>440</v>
      </c>
      <c r="AR103" s="298"/>
      <c r="AS103" s="307"/>
      <c r="AT103" s="254" t="str">
        <f t="shared" si="20"/>
        <v/>
      </c>
      <c r="AU103" s="269"/>
      <c r="AV103" s="269"/>
    </row>
    <row r="104">
      <c r="A104" s="94"/>
      <c r="B104" s="328" t="s">
        <v>665</v>
      </c>
      <c r="C104" s="329" t="s">
        <v>654</v>
      </c>
      <c r="D104" s="330"/>
      <c r="E104" s="259"/>
      <c r="F104" s="479"/>
      <c r="G104" s="246"/>
      <c r="H104" s="274" t="s">
        <v>458</v>
      </c>
      <c r="I104" s="246"/>
      <c r="J104" s="311" t="s">
        <v>434</v>
      </c>
      <c r="K104" s="246"/>
      <c r="L104" s="261"/>
      <c r="M104" s="333"/>
      <c r="N104" s="246"/>
      <c r="O104" s="274" t="s">
        <v>439</v>
      </c>
      <c r="P104" s="246"/>
      <c r="Q104" s="274" t="s">
        <v>449</v>
      </c>
      <c r="R104" s="246"/>
      <c r="S104" s="261"/>
      <c r="T104" s="333"/>
      <c r="U104" s="246"/>
      <c r="V104" s="274" t="s">
        <v>439</v>
      </c>
      <c r="W104" s="246"/>
      <c r="X104" s="311" t="s">
        <v>434</v>
      </c>
      <c r="Y104" s="246"/>
      <c r="Z104" s="261"/>
      <c r="AA104" s="333"/>
      <c r="AB104" s="246"/>
      <c r="AC104" s="311" t="s">
        <v>459</v>
      </c>
      <c r="AD104" s="246"/>
      <c r="AE104" s="274" t="s">
        <v>443</v>
      </c>
      <c r="AF104" s="246"/>
      <c r="AG104" s="261"/>
      <c r="AH104" s="506"/>
      <c r="AI104" s="246"/>
      <c r="AJ104" s="274" t="s">
        <v>439</v>
      </c>
      <c r="AK104" s="246"/>
      <c r="AL104" s="311" t="s">
        <v>434</v>
      </c>
      <c r="AM104" s="246"/>
      <c r="AN104" s="261"/>
      <c r="AO104" s="479"/>
      <c r="AP104" s="246"/>
      <c r="AQ104" s="661" t="s">
        <v>397</v>
      </c>
      <c r="AR104" s="246"/>
      <c r="AS104" s="274" t="s">
        <v>449</v>
      </c>
      <c r="AT104" s="254" t="str">
        <f>IF(COUNTIF($AO$80:$AT$82, AL114) &gt; 0, "X", "")</f>
        <v/>
      </c>
      <c r="AU104" s="269"/>
      <c r="AV104" s="269"/>
    </row>
    <row r="105">
      <c r="A105" s="94"/>
      <c r="B105" s="337" t="s">
        <v>665</v>
      </c>
      <c r="C105" s="338" t="s">
        <v>657</v>
      </c>
      <c r="D105" s="330"/>
      <c r="E105" s="259"/>
      <c r="F105" s="479"/>
      <c r="G105" s="246"/>
      <c r="H105" s="311" t="s">
        <v>459</v>
      </c>
      <c r="I105" s="246"/>
      <c r="J105" s="664" t="s">
        <v>930</v>
      </c>
      <c r="K105" s="246"/>
      <c r="L105" s="261"/>
      <c r="M105" s="324"/>
      <c r="N105" s="246"/>
      <c r="P105" s="246"/>
      <c r="Q105" s="311" t="s">
        <v>434</v>
      </c>
      <c r="R105" s="246"/>
      <c r="S105" s="261"/>
      <c r="T105" s="324"/>
      <c r="U105" s="246"/>
      <c r="V105" s="274" t="s">
        <v>458</v>
      </c>
      <c r="W105" s="246"/>
      <c r="X105" s="274" t="s">
        <v>443</v>
      </c>
      <c r="Y105" s="246"/>
      <c r="Z105" s="261"/>
      <c r="AA105" s="324"/>
      <c r="AB105" s="246"/>
      <c r="AC105" s="532" t="s">
        <v>764</v>
      </c>
      <c r="AD105" s="246"/>
      <c r="AE105" s="339" t="s">
        <v>468</v>
      </c>
      <c r="AF105" s="246"/>
      <c r="AG105" s="261"/>
      <c r="AH105" s="506"/>
      <c r="AI105" s="246"/>
      <c r="AJ105" s="311" t="s">
        <v>459</v>
      </c>
      <c r="AK105" s="246"/>
      <c r="AL105" s="274" t="s">
        <v>448</v>
      </c>
      <c r="AM105" s="246"/>
      <c r="AN105" s="261"/>
      <c r="AO105" s="479"/>
      <c r="AP105" s="246"/>
      <c r="AQ105" s="661" t="s">
        <v>458</v>
      </c>
      <c r="AR105" s="246"/>
      <c r="AS105" s="274" t="s">
        <v>448</v>
      </c>
      <c r="AT105" s="254" t="str">
        <f t="shared" ref="AT105:AT109" si="21">IF(COUNTIF($AO$80:$AT$82, #REF!) &gt; 0, "X", "")</f>
        <v/>
      </c>
      <c r="AU105" s="269"/>
      <c r="AV105" s="269"/>
    </row>
    <row r="106">
      <c r="A106" s="94"/>
      <c r="B106" s="256" t="s">
        <v>665</v>
      </c>
      <c r="C106" s="257" t="s">
        <v>663</v>
      </c>
      <c r="D106" s="330"/>
      <c r="E106" s="259"/>
      <c r="F106" s="506"/>
      <c r="G106" s="246"/>
      <c r="H106" s="283" t="s">
        <v>450</v>
      </c>
      <c r="I106" s="246"/>
      <c r="J106" s="274" t="s">
        <v>448</v>
      </c>
      <c r="K106" s="246"/>
      <c r="L106" s="261"/>
      <c r="M106" s="341"/>
      <c r="N106" s="246"/>
      <c r="O106" s="339" t="s">
        <v>431</v>
      </c>
      <c r="P106" s="246"/>
      <c r="Q106" s="339" t="s">
        <v>468</v>
      </c>
      <c r="R106" s="246"/>
      <c r="S106" s="261"/>
      <c r="T106" s="341"/>
      <c r="U106" s="246"/>
      <c r="V106" s="336" t="s">
        <v>450</v>
      </c>
      <c r="W106" s="246"/>
      <c r="X106" s="274" t="s">
        <v>448</v>
      </c>
      <c r="Y106" s="246"/>
      <c r="Z106" s="261"/>
      <c r="AA106" s="341"/>
      <c r="AB106" s="246"/>
      <c r="AD106" s="246"/>
      <c r="AE106" s="274" t="s">
        <v>415</v>
      </c>
      <c r="AF106" s="246"/>
      <c r="AG106" s="261"/>
      <c r="AH106" s="506"/>
      <c r="AI106" s="246"/>
      <c r="AJ106" s="283" t="s">
        <v>450</v>
      </c>
      <c r="AK106" s="246"/>
      <c r="AL106" s="274" t="s">
        <v>415</v>
      </c>
      <c r="AM106" s="246"/>
      <c r="AN106" s="261"/>
      <c r="AO106" s="479"/>
      <c r="AP106" s="246"/>
      <c r="AQ106" s="311" t="s">
        <v>394</v>
      </c>
      <c r="AR106" s="246"/>
      <c r="AT106" s="254" t="str">
        <f t="shared" si="21"/>
        <v/>
      </c>
      <c r="AU106" s="269"/>
      <c r="AV106" s="269"/>
    </row>
    <row r="107">
      <c r="A107" s="94"/>
      <c r="B107" s="328" t="s">
        <v>665</v>
      </c>
      <c r="C107" s="329" t="s">
        <v>645</v>
      </c>
      <c r="D107" s="323"/>
      <c r="E107" s="261"/>
      <c r="G107" s="246"/>
      <c r="H107" s="339" t="s">
        <v>431</v>
      </c>
      <c r="I107" s="246"/>
      <c r="J107" s="339" t="s">
        <v>468</v>
      </c>
      <c r="K107" s="246"/>
      <c r="L107" s="261"/>
      <c r="M107" s="341"/>
      <c r="N107" s="246"/>
      <c r="O107" s="283" t="s">
        <v>450</v>
      </c>
      <c r="P107" s="246"/>
      <c r="Q107" s="274" t="s">
        <v>448</v>
      </c>
      <c r="R107" s="246"/>
      <c r="S107" s="261"/>
      <c r="T107" s="341"/>
      <c r="U107" s="246"/>
      <c r="V107" s="339" t="s">
        <v>431</v>
      </c>
      <c r="W107" s="246"/>
      <c r="X107" s="339" t="s">
        <v>468</v>
      </c>
      <c r="Y107" s="246"/>
      <c r="Z107" s="261"/>
      <c r="AA107" s="341"/>
      <c r="AB107" s="246"/>
      <c r="AC107" s="339" t="s">
        <v>431</v>
      </c>
      <c r="AD107" s="246"/>
      <c r="AE107" s="274" t="s">
        <v>439</v>
      </c>
      <c r="AF107" s="246"/>
      <c r="AG107" s="261"/>
      <c r="AH107" s="506"/>
      <c r="AI107" s="246"/>
      <c r="AJ107" s="339" t="s">
        <v>431</v>
      </c>
      <c r="AK107" s="246"/>
      <c r="AL107" s="339" t="s">
        <v>468</v>
      </c>
      <c r="AM107" s="246"/>
      <c r="AN107" s="261"/>
      <c r="AO107" s="479"/>
      <c r="AP107" s="246"/>
      <c r="AQ107" s="383" t="s">
        <v>428</v>
      </c>
      <c r="AR107" s="246"/>
      <c r="AS107" s="274" t="s">
        <v>415</v>
      </c>
      <c r="AT107" s="254" t="str">
        <f t="shared" si="21"/>
        <v/>
      </c>
      <c r="AU107" s="269"/>
      <c r="AV107" s="269"/>
    </row>
    <row r="108">
      <c r="A108" s="94"/>
      <c r="B108" s="342" t="s">
        <v>667</v>
      </c>
      <c r="C108" s="343" t="s">
        <v>657</v>
      </c>
      <c r="D108" s="351"/>
      <c r="E108" s="259"/>
      <c r="F108" s="345" t="s">
        <v>401</v>
      </c>
      <c r="G108" s="246"/>
      <c r="I108" s="246"/>
      <c r="K108" s="246"/>
      <c r="L108" s="261"/>
      <c r="M108" s="346"/>
      <c r="N108" s="246"/>
      <c r="O108" s="345" t="s">
        <v>401</v>
      </c>
      <c r="P108" s="246"/>
      <c r="Q108" s="516"/>
      <c r="R108" s="246"/>
      <c r="S108" s="261"/>
      <c r="T108" s="346"/>
      <c r="U108" s="246"/>
      <c r="V108" s="347" t="s">
        <v>401</v>
      </c>
      <c r="W108" s="246"/>
      <c r="Y108" s="246"/>
      <c r="Z108" s="261"/>
      <c r="AA108" s="346"/>
      <c r="AB108" s="246"/>
      <c r="AC108" s="347" t="s">
        <v>401</v>
      </c>
      <c r="AD108" s="246"/>
      <c r="AF108" s="246"/>
      <c r="AG108" s="261"/>
      <c r="AH108" s="347" t="s">
        <v>401</v>
      </c>
      <c r="AI108" s="246"/>
      <c r="AK108" s="246"/>
      <c r="AM108" s="246"/>
      <c r="AN108" s="261"/>
      <c r="AO108" s="347" t="s">
        <v>401</v>
      </c>
      <c r="AP108" s="246"/>
      <c r="AQ108" s="376" t="s">
        <v>453</v>
      </c>
      <c r="AR108" s="246"/>
      <c r="AT108" s="254" t="str">
        <f t="shared" si="21"/>
        <v/>
      </c>
      <c r="AU108" s="269"/>
      <c r="AV108" s="269"/>
    </row>
    <row r="109">
      <c r="A109" s="94"/>
      <c r="B109" s="349" t="s">
        <v>669</v>
      </c>
      <c r="C109" s="350" t="s">
        <v>649</v>
      </c>
      <c r="D109" s="323"/>
      <c r="E109" s="259"/>
      <c r="F109" s="293" t="s">
        <v>422</v>
      </c>
      <c r="G109" s="246"/>
      <c r="H109" s="633" t="s">
        <v>420</v>
      </c>
      <c r="I109" s="246"/>
      <c r="J109" s="353" t="s">
        <v>426</v>
      </c>
      <c r="K109" s="246"/>
      <c r="L109" s="261"/>
      <c r="M109" s="354"/>
      <c r="N109" s="246"/>
      <c r="O109" s="633" t="s">
        <v>670</v>
      </c>
      <c r="P109" s="246"/>
      <c r="Q109" s="356" t="s">
        <v>423</v>
      </c>
      <c r="R109" s="246"/>
      <c r="S109" s="261"/>
      <c r="T109" s="354"/>
      <c r="U109" s="246"/>
      <c r="V109" s="645" t="s">
        <v>417</v>
      </c>
      <c r="W109" s="246"/>
      <c r="X109" s="355" t="s">
        <v>670</v>
      </c>
      <c r="Y109" s="246"/>
      <c r="Z109" s="261"/>
      <c r="AA109" s="354"/>
      <c r="AB109" s="246"/>
      <c r="AC109" s="633" t="s">
        <v>420</v>
      </c>
      <c r="AD109" s="246"/>
      <c r="AE109" s="293" t="s">
        <v>422</v>
      </c>
      <c r="AF109" s="246"/>
      <c r="AG109" s="261"/>
      <c r="AH109" s="632" t="s">
        <v>423</v>
      </c>
      <c r="AI109" s="246"/>
      <c r="AJ109" s="633" t="s">
        <v>420</v>
      </c>
      <c r="AK109" s="246"/>
      <c r="AL109" s="293" t="s">
        <v>422</v>
      </c>
      <c r="AM109" s="246"/>
      <c r="AN109" s="261"/>
      <c r="AO109" s="293" t="s">
        <v>426</v>
      </c>
      <c r="AP109" s="246"/>
      <c r="AQ109" s="311" t="s">
        <v>459</v>
      </c>
      <c r="AR109" s="246"/>
      <c r="AS109" s="293" t="s">
        <v>422</v>
      </c>
      <c r="AT109" s="254" t="str">
        <f t="shared" si="21"/>
        <v/>
      </c>
      <c r="AU109" s="269"/>
      <c r="AV109" s="269"/>
    </row>
    <row r="110">
      <c r="A110" s="234"/>
      <c r="B110" s="296" t="s">
        <v>650</v>
      </c>
      <c r="C110" s="297" t="s">
        <v>649</v>
      </c>
      <c r="D110" s="330"/>
      <c r="E110" s="259"/>
      <c r="F110" s="299"/>
      <c r="G110" s="298"/>
      <c r="H110" s="299"/>
      <c r="I110" s="298"/>
      <c r="J110" s="299"/>
      <c r="K110" s="298"/>
      <c r="L110" s="261"/>
      <c r="M110" s="324"/>
      <c r="N110" s="298"/>
      <c r="O110" s="645" t="s">
        <v>417</v>
      </c>
      <c r="P110" s="298"/>
      <c r="Q110" s="299"/>
      <c r="R110" s="298"/>
      <c r="S110" s="261"/>
      <c r="T110" s="324"/>
      <c r="U110" s="298"/>
      <c r="V110" s="299"/>
      <c r="W110" s="298"/>
      <c r="X110" s="293" t="s">
        <v>426</v>
      </c>
      <c r="Y110" s="298"/>
      <c r="Z110" s="261"/>
      <c r="AA110" s="324"/>
      <c r="AB110" s="298"/>
      <c r="AC110" s="253" t="s">
        <v>417</v>
      </c>
      <c r="AD110" s="298"/>
      <c r="AE110" s="300"/>
      <c r="AF110" s="298"/>
      <c r="AG110" s="261"/>
      <c r="AH110" s="300"/>
      <c r="AI110" s="298"/>
      <c r="AJ110" s="645" t="s">
        <v>417</v>
      </c>
      <c r="AK110" s="298"/>
      <c r="AL110" s="300"/>
      <c r="AM110" s="298"/>
      <c r="AN110" s="261"/>
      <c r="AO110" s="299"/>
      <c r="AP110" s="298"/>
      <c r="AQ110" s="773" t="s">
        <v>416</v>
      </c>
      <c r="AR110" s="298"/>
      <c r="AS110" s="299"/>
      <c r="AT110" s="254" t="str">
        <f>IF(COUNTIF($AO$80:$AT$82, AO111) &gt; 0, "X", "")</f>
        <v/>
      </c>
      <c r="AU110" s="269"/>
      <c r="AV110" s="269"/>
    </row>
    <row r="111">
      <c r="A111" s="94"/>
      <c r="B111" s="301" t="s">
        <v>651</v>
      </c>
      <c r="C111" s="302" t="s">
        <v>652</v>
      </c>
      <c r="D111" s="363"/>
      <c r="E111" s="259"/>
      <c r="F111" s="303"/>
      <c r="G111" s="298"/>
      <c r="H111" s="304"/>
      <c r="I111" s="298"/>
      <c r="J111" s="484"/>
      <c r="K111" s="298"/>
      <c r="L111" s="261"/>
      <c r="M111" s="250"/>
      <c r="N111" s="298"/>
      <c r="O111" s="303"/>
      <c r="P111" s="298"/>
      <c r="Q111" s="321" t="s">
        <v>1054</v>
      </c>
      <c r="R111" s="298"/>
      <c r="S111" s="261"/>
      <c r="T111" s="250"/>
      <c r="U111" s="298"/>
      <c r="V111" s="304"/>
      <c r="W111" s="298"/>
      <c r="X111" s="484"/>
      <c r="Y111" s="298"/>
      <c r="Z111" s="261"/>
      <c r="AA111" s="250"/>
      <c r="AB111" s="298"/>
      <c r="AC111" s="303"/>
      <c r="AD111" s="298"/>
      <c r="AE111" s="303"/>
      <c r="AF111" s="298"/>
      <c r="AG111" s="261"/>
      <c r="AH111" s="321" t="s">
        <v>1054</v>
      </c>
      <c r="AI111" s="298"/>
      <c r="AJ111" s="304"/>
      <c r="AK111" s="298"/>
      <c r="AL111" s="303"/>
      <c r="AM111" s="298"/>
      <c r="AN111" s="261"/>
      <c r="AO111" s="303"/>
      <c r="AP111" s="298"/>
      <c r="AQ111" s="320"/>
      <c r="AR111" s="298"/>
      <c r="AS111" s="303"/>
      <c r="AT111" s="254" t="str">
        <f t="shared" ref="AT111:AT112" si="22">IF(COUNTIF($AO$80:$AT$82, #REF!) &gt; 0, "X", "")</f>
        <v/>
      </c>
      <c r="AU111" s="269"/>
      <c r="AV111" s="269"/>
    </row>
    <row r="112">
      <c r="A112" s="94"/>
      <c r="B112" s="361" t="s">
        <v>673</v>
      </c>
      <c r="C112" s="362" t="s">
        <v>674</v>
      </c>
      <c r="D112" s="369"/>
      <c r="E112" s="259"/>
      <c r="F112" s="339" t="s">
        <v>765</v>
      </c>
      <c r="G112" s="298"/>
      <c r="H112" s="336" t="s">
        <v>412</v>
      </c>
      <c r="I112" s="298"/>
      <c r="J112" s="280" t="s">
        <v>433</v>
      </c>
      <c r="K112" s="298"/>
      <c r="L112" s="261"/>
      <c r="M112" s="324"/>
      <c r="N112" s="298"/>
      <c r="O112" s="336" t="s">
        <v>412</v>
      </c>
      <c r="P112" s="298"/>
      <c r="Q112" s="311" t="s">
        <v>394</v>
      </c>
      <c r="R112" s="298"/>
      <c r="S112" s="261"/>
      <c r="T112" s="324"/>
      <c r="U112" s="298"/>
      <c r="V112" s="251" t="s">
        <v>412</v>
      </c>
      <c r="W112" s="298"/>
      <c r="X112" s="311" t="s">
        <v>394</v>
      </c>
      <c r="Y112" s="298"/>
      <c r="Z112" s="261"/>
      <c r="AA112" s="324"/>
      <c r="AB112" s="298"/>
      <c r="AC112" s="251" t="s">
        <v>412</v>
      </c>
      <c r="AD112" s="298"/>
      <c r="AE112" s="339" t="s">
        <v>765</v>
      </c>
      <c r="AF112" s="298"/>
      <c r="AG112" s="261"/>
      <c r="AH112" s="339" t="s">
        <v>765</v>
      </c>
      <c r="AI112" s="298"/>
      <c r="AJ112" s="251" t="s">
        <v>412</v>
      </c>
      <c r="AK112" s="298"/>
      <c r="AL112" s="251" t="s">
        <v>457</v>
      </c>
      <c r="AM112" s="298"/>
      <c r="AN112" s="261"/>
      <c r="AO112" s="280" t="s">
        <v>433</v>
      </c>
      <c r="AP112" s="298"/>
      <c r="AQ112" s="774"/>
      <c r="AR112" s="298"/>
      <c r="AS112" s="339" t="s">
        <v>765</v>
      </c>
      <c r="AT112" s="254" t="str">
        <f t="shared" si="22"/>
        <v/>
      </c>
      <c r="AU112" s="269"/>
      <c r="AV112" s="269"/>
    </row>
    <row r="113">
      <c r="A113" s="94"/>
      <c r="B113" s="367" t="s">
        <v>677</v>
      </c>
      <c r="C113" s="368" t="s">
        <v>674</v>
      </c>
      <c r="D113" s="330"/>
      <c r="E113" s="259"/>
      <c r="G113" s="246"/>
      <c r="I113" s="246"/>
      <c r="J113" s="282"/>
      <c r="K113" s="246"/>
      <c r="L113" s="261"/>
      <c r="M113" s="250"/>
      <c r="N113" s="246"/>
      <c r="O113" s="282"/>
      <c r="P113" s="246"/>
      <c r="R113" s="246"/>
      <c r="S113" s="261"/>
      <c r="T113" s="250"/>
      <c r="U113" s="246"/>
      <c r="V113" s="282"/>
      <c r="W113" s="246"/>
      <c r="X113" s="282"/>
      <c r="Y113" s="246"/>
      <c r="Z113" s="261"/>
      <c r="AA113" s="250"/>
      <c r="AB113" s="246"/>
      <c r="AD113" s="246"/>
      <c r="AF113" s="246"/>
      <c r="AG113" s="261"/>
      <c r="AI113" s="246"/>
      <c r="AJ113" s="311" t="s">
        <v>438</v>
      </c>
      <c r="AK113" s="246"/>
      <c r="AL113" s="282"/>
      <c r="AM113" s="246"/>
      <c r="AN113" s="261"/>
      <c r="AO113" s="371"/>
      <c r="AP113" s="246"/>
      <c r="AQ113" s="506"/>
      <c r="AR113" s="246"/>
      <c r="AT113" s="254" t="str">
        <f>IF(COUNTIF($AO$80:$AT$82, AO113) &gt; 0, "X", "")</f>
        <v/>
      </c>
      <c r="AU113" s="269"/>
      <c r="AV113" s="269"/>
    </row>
    <row r="114">
      <c r="A114" s="94"/>
      <c r="B114" s="256" t="s">
        <v>679</v>
      </c>
      <c r="C114" s="257" t="s">
        <v>680</v>
      </c>
      <c r="D114" s="330"/>
      <c r="E114" s="259"/>
      <c r="F114" s="311" t="s">
        <v>393</v>
      </c>
      <c r="G114" s="246"/>
      <c r="H114" s="311" t="s">
        <v>436</v>
      </c>
      <c r="I114" s="246"/>
      <c r="J114" s="274" t="s">
        <v>437</v>
      </c>
      <c r="K114" s="246"/>
      <c r="L114" s="261"/>
      <c r="M114" s="333"/>
      <c r="N114" s="246"/>
      <c r="O114" s="336" t="s">
        <v>398</v>
      </c>
      <c r="P114" s="246"/>
      <c r="Q114" s="280" t="s">
        <v>433</v>
      </c>
      <c r="R114" s="246"/>
      <c r="S114" s="261"/>
      <c r="T114" s="333"/>
      <c r="U114" s="246"/>
      <c r="V114" s="374" t="s">
        <v>436</v>
      </c>
      <c r="W114" s="246"/>
      <c r="X114" s="251" t="s">
        <v>457</v>
      </c>
      <c r="Y114" s="246"/>
      <c r="Z114" s="261"/>
      <c r="AA114" s="333"/>
      <c r="AB114" s="246"/>
      <c r="AC114" s="374" t="s">
        <v>436</v>
      </c>
      <c r="AD114" s="246"/>
      <c r="AE114" s="280" t="s">
        <v>433</v>
      </c>
      <c r="AF114" s="246"/>
      <c r="AG114" s="261"/>
      <c r="AH114" s="274" t="s">
        <v>443</v>
      </c>
      <c r="AI114" s="246"/>
      <c r="AJ114" s="274" t="s">
        <v>397</v>
      </c>
      <c r="AK114" s="246"/>
      <c r="AL114" s="274" t="s">
        <v>433</v>
      </c>
      <c r="AM114" s="246"/>
      <c r="AN114" s="261"/>
      <c r="AO114" s="274" t="s">
        <v>437</v>
      </c>
      <c r="AP114" s="246"/>
      <c r="AQ114" s="515"/>
      <c r="AR114" s="246"/>
      <c r="AS114" s="311" t="s">
        <v>436</v>
      </c>
      <c r="AT114" s="254" t="str">
        <f t="shared" ref="AT114:AT118" si="23">IF(COUNTIF($AO$80:$AT$82, #REF!) &gt; 0, "X", "")</f>
        <v/>
      </c>
      <c r="AU114" s="269"/>
      <c r="AV114" s="269"/>
    </row>
    <row r="115">
      <c r="A115" s="372"/>
      <c r="B115" s="328" t="s">
        <v>679</v>
      </c>
      <c r="C115" s="329" t="s">
        <v>652</v>
      </c>
      <c r="D115" s="330"/>
      <c r="E115" s="259"/>
      <c r="F115" s="282"/>
      <c r="G115" s="246"/>
      <c r="I115" s="246"/>
      <c r="J115" s="274" t="s">
        <v>439</v>
      </c>
      <c r="K115" s="246"/>
      <c r="L115" s="261"/>
      <c r="M115" s="346"/>
      <c r="N115" s="246"/>
      <c r="O115" s="516"/>
      <c r="P115" s="246"/>
      <c r="R115" s="246"/>
      <c r="S115" s="261"/>
      <c r="T115" s="346"/>
      <c r="U115" s="246"/>
      <c r="W115" s="246"/>
      <c r="Y115" s="246"/>
      <c r="Z115" s="261"/>
      <c r="AA115" s="346"/>
      <c r="AB115" s="246"/>
      <c r="AC115" s="274" t="s">
        <v>406</v>
      </c>
      <c r="AD115" s="246"/>
      <c r="AF115" s="246"/>
      <c r="AG115" s="261"/>
      <c r="AI115" s="246"/>
      <c r="AJ115" s="336" t="s">
        <v>398</v>
      </c>
      <c r="AK115" s="246"/>
      <c r="AM115" s="246"/>
      <c r="AN115" s="261"/>
      <c r="AO115" s="371"/>
      <c r="AP115" s="246"/>
      <c r="AQ115" s="479"/>
      <c r="AR115" s="246"/>
      <c r="AT115" s="254" t="str">
        <f t="shared" si="23"/>
        <v/>
      </c>
      <c r="AU115" s="269"/>
      <c r="AV115" s="269"/>
    </row>
    <row r="116">
      <c r="A116" s="94"/>
      <c r="B116" s="328" t="s">
        <v>679</v>
      </c>
      <c r="C116" s="329" t="s">
        <v>683</v>
      </c>
      <c r="D116" s="379"/>
      <c r="E116" s="380"/>
      <c r="F116" s="274" t="s">
        <v>443</v>
      </c>
      <c r="G116" s="246"/>
      <c r="H116" s="586" t="s">
        <v>397</v>
      </c>
      <c r="I116" s="246"/>
      <c r="K116" s="246"/>
      <c r="L116" s="261"/>
      <c r="M116" s="341"/>
      <c r="N116" s="246"/>
      <c r="O116" s="311" t="s">
        <v>436</v>
      </c>
      <c r="P116" s="246"/>
      <c r="Q116" s="274" t="s">
        <v>443</v>
      </c>
      <c r="R116" s="246"/>
      <c r="S116" s="261"/>
      <c r="T116" s="341"/>
      <c r="U116" s="246"/>
      <c r="V116" s="336" t="s">
        <v>398</v>
      </c>
      <c r="W116" s="246"/>
      <c r="X116" s="579" t="s">
        <v>837</v>
      </c>
      <c r="Y116" s="246"/>
      <c r="Z116" s="261"/>
      <c r="AA116" s="341"/>
      <c r="AB116" s="246"/>
      <c r="AC116" s="336" t="s">
        <v>398</v>
      </c>
      <c r="AD116" s="246"/>
      <c r="AE116" s="251" t="s">
        <v>457</v>
      </c>
      <c r="AF116" s="246"/>
      <c r="AG116" s="261"/>
      <c r="AI116" s="246"/>
      <c r="AJ116" s="274" t="s">
        <v>406</v>
      </c>
      <c r="AK116" s="246"/>
      <c r="AM116" s="246"/>
      <c r="AN116" s="261"/>
      <c r="AO116" s="371"/>
      <c r="AP116" s="246"/>
      <c r="AQ116" s="508"/>
      <c r="AR116" s="246"/>
      <c r="AS116" s="251" t="s">
        <v>435</v>
      </c>
      <c r="AT116" s="254" t="str">
        <f t="shared" si="23"/>
        <v/>
      </c>
      <c r="AU116" s="269"/>
      <c r="AV116" s="269"/>
    </row>
    <row r="117">
      <c r="A117" s="94"/>
      <c r="B117" s="377" t="s">
        <v>684</v>
      </c>
      <c r="C117" s="378" t="s">
        <v>685</v>
      </c>
      <c r="D117" s="363"/>
      <c r="E117" s="259"/>
      <c r="G117" s="246"/>
      <c r="I117" s="246"/>
      <c r="J117" s="311" t="s">
        <v>455</v>
      </c>
      <c r="K117" s="246"/>
      <c r="L117" s="381"/>
      <c r="M117" s="341"/>
      <c r="N117" s="246"/>
      <c r="P117" s="246"/>
      <c r="Q117" s="282"/>
      <c r="R117" s="246"/>
      <c r="S117" s="381"/>
      <c r="T117" s="341"/>
      <c r="U117" s="246"/>
      <c r="W117" s="246"/>
      <c r="Y117" s="246"/>
      <c r="Z117" s="381"/>
      <c r="AA117" s="341"/>
      <c r="AB117" s="246"/>
      <c r="AD117" s="246"/>
      <c r="AE117" s="251" t="s">
        <v>405</v>
      </c>
      <c r="AF117" s="246"/>
      <c r="AG117" s="381"/>
      <c r="AH117" s="311" t="s">
        <v>455</v>
      </c>
      <c r="AI117" s="246"/>
      <c r="AK117" s="246"/>
      <c r="AM117" s="246"/>
      <c r="AN117" s="381"/>
      <c r="AO117" s="311" t="s">
        <v>455</v>
      </c>
      <c r="AP117" s="246"/>
      <c r="AQ117" s="506"/>
      <c r="AR117" s="246"/>
      <c r="AT117" s="254" t="str">
        <f t="shared" si="23"/>
        <v/>
      </c>
      <c r="AU117" s="269"/>
      <c r="AV117" s="269"/>
    </row>
    <row r="118">
      <c r="A118" s="270"/>
      <c r="B118" s="382" t="s">
        <v>686</v>
      </c>
      <c r="C118" s="242" t="s">
        <v>652</v>
      </c>
      <c r="D118" s="330"/>
      <c r="E118" s="259"/>
      <c r="F118" s="251" t="s">
        <v>429</v>
      </c>
      <c r="G118" s="246"/>
      <c r="H118" s="280" t="s">
        <v>435</v>
      </c>
      <c r="I118" s="246"/>
      <c r="J118" s="376" t="s">
        <v>453</v>
      </c>
      <c r="K118" s="246"/>
      <c r="L118" s="261"/>
      <c r="M118" s="341"/>
      <c r="N118" s="246"/>
      <c r="O118" s="311" t="s">
        <v>466</v>
      </c>
      <c r="P118" s="246"/>
      <c r="Q118" s="364" t="s">
        <v>689</v>
      </c>
      <c r="R118" s="246"/>
      <c r="S118" s="261"/>
      <c r="T118" s="341"/>
      <c r="U118" s="246"/>
      <c r="V118" s="383" t="s">
        <v>428</v>
      </c>
      <c r="W118" s="246"/>
      <c r="X118" s="251" t="s">
        <v>429</v>
      </c>
      <c r="Y118" s="246"/>
      <c r="Z118" s="261"/>
      <c r="AA118" s="341"/>
      <c r="AB118" s="246"/>
      <c r="AC118" s="280" t="s">
        <v>435</v>
      </c>
      <c r="AD118" s="246"/>
      <c r="AE118" s="251" t="s">
        <v>429</v>
      </c>
      <c r="AF118" s="246"/>
      <c r="AG118" s="261"/>
      <c r="AH118" s="376" t="s">
        <v>453</v>
      </c>
      <c r="AI118" s="246"/>
      <c r="AJ118" s="280" t="s">
        <v>435</v>
      </c>
      <c r="AK118" s="246"/>
      <c r="AL118" s="251" t="s">
        <v>429</v>
      </c>
      <c r="AM118" s="246"/>
      <c r="AN118" s="261"/>
      <c r="AO118" s="588" t="s">
        <v>837</v>
      </c>
      <c r="AP118" s="246"/>
      <c r="AQ118" s="515"/>
      <c r="AR118" s="246"/>
      <c r="AS118" s="251" t="s">
        <v>429</v>
      </c>
      <c r="AT118" s="254" t="str">
        <f t="shared" si="23"/>
        <v/>
      </c>
      <c r="AU118" s="269"/>
      <c r="AV118" s="269"/>
    </row>
    <row r="119">
      <c r="A119" s="234"/>
      <c r="B119" s="337" t="s">
        <v>686</v>
      </c>
      <c r="C119" s="338" t="s">
        <v>687</v>
      </c>
      <c r="D119" s="330"/>
      <c r="E119" s="259"/>
      <c r="G119" s="246"/>
      <c r="H119" s="383" t="s">
        <v>428</v>
      </c>
      <c r="I119" s="246"/>
      <c r="K119" s="246"/>
      <c r="L119" s="261"/>
      <c r="M119" s="250"/>
      <c r="N119" s="246"/>
      <c r="O119" s="251" t="s">
        <v>435</v>
      </c>
      <c r="P119" s="246"/>
      <c r="Q119" s="311" t="s">
        <v>455</v>
      </c>
      <c r="R119" s="246"/>
      <c r="S119" s="261"/>
      <c r="T119" s="250"/>
      <c r="U119" s="246"/>
      <c r="V119" s="376" t="s">
        <v>453</v>
      </c>
      <c r="W119" s="246"/>
      <c r="X119" s="311" t="s">
        <v>455</v>
      </c>
      <c r="Y119" s="246"/>
      <c r="Z119" s="261"/>
      <c r="AA119" s="250"/>
      <c r="AB119" s="246"/>
      <c r="AC119" s="383" t="s">
        <v>428</v>
      </c>
      <c r="AD119" s="246"/>
      <c r="AE119" s="579" t="s">
        <v>837</v>
      </c>
      <c r="AF119" s="246"/>
      <c r="AG119" s="261"/>
      <c r="AI119" s="246"/>
      <c r="AJ119" s="383" t="s">
        <v>428</v>
      </c>
      <c r="AK119" s="246"/>
      <c r="AL119" s="311" t="s">
        <v>466</v>
      </c>
      <c r="AM119" s="246"/>
      <c r="AN119" s="261"/>
      <c r="AP119" s="246"/>
      <c r="AQ119" s="775"/>
      <c r="AR119" s="246"/>
      <c r="AT119" s="254" t="str">
        <f>IF(COUNTIF($AO$80:$AT$82, AQ119) &gt; 0, "X", "")</f>
        <v/>
      </c>
      <c r="AU119" s="269"/>
      <c r="AV119" s="269"/>
    </row>
    <row r="120">
      <c r="A120" s="94"/>
      <c r="B120" s="337" t="s">
        <v>688</v>
      </c>
      <c r="C120" s="285" t="s">
        <v>687</v>
      </c>
      <c r="D120" s="389"/>
      <c r="E120" s="259"/>
      <c r="F120" s="265"/>
      <c r="G120" s="246"/>
      <c r="I120" s="246"/>
      <c r="K120" s="246"/>
      <c r="L120" s="261"/>
      <c r="M120" s="262"/>
      <c r="N120" s="246"/>
      <c r="O120" s="516"/>
      <c r="P120" s="246"/>
      <c r="Q120" s="265"/>
      <c r="R120" s="246"/>
      <c r="S120" s="261"/>
      <c r="T120" s="262"/>
      <c r="U120" s="246"/>
      <c r="W120" s="246"/>
      <c r="X120" s="274" t="s">
        <v>437</v>
      </c>
      <c r="Y120" s="246"/>
      <c r="Z120" s="261"/>
      <c r="AA120" s="262"/>
      <c r="AB120" s="246"/>
      <c r="AD120" s="246"/>
      <c r="AF120" s="246"/>
      <c r="AG120" s="261"/>
      <c r="AH120" s="265"/>
      <c r="AI120" s="246"/>
      <c r="AJ120" s="265"/>
      <c r="AK120" s="246"/>
      <c r="AL120" s="265"/>
      <c r="AM120" s="246"/>
      <c r="AN120" s="261"/>
      <c r="AO120" s="371"/>
      <c r="AP120" s="246"/>
      <c r="AQ120" s="479"/>
      <c r="AR120" s="246"/>
      <c r="AT120" s="254" t="str">
        <f>IF(COUNTIF($AO$80:$AT$82, #REF!) &gt; 0, "X", "")</f>
        <v/>
      </c>
      <c r="AU120" s="269"/>
      <c r="AV120" s="269"/>
    </row>
    <row r="121">
      <c r="A121" s="94"/>
      <c r="B121" s="387" t="s">
        <v>690</v>
      </c>
      <c r="C121" s="388" t="s">
        <v>649</v>
      </c>
      <c r="D121" s="323"/>
      <c r="E121" s="259"/>
      <c r="F121" s="390"/>
      <c r="G121" s="246"/>
      <c r="H121" s="390"/>
      <c r="I121" s="246"/>
      <c r="J121" s="390"/>
      <c r="K121" s="246"/>
      <c r="L121" s="261"/>
      <c r="M121" s="250"/>
      <c r="N121" s="246"/>
      <c r="O121" s="357" t="s">
        <v>420</v>
      </c>
      <c r="P121" s="246"/>
      <c r="Q121" s="390"/>
      <c r="R121" s="246"/>
      <c r="S121" s="261"/>
      <c r="T121" s="250"/>
      <c r="U121" s="246"/>
      <c r="V121" s="357"/>
      <c r="W121" s="246"/>
      <c r="X121" s="633" t="s">
        <v>420</v>
      </c>
      <c r="Y121" s="246"/>
      <c r="Z121" s="261"/>
      <c r="AA121" s="250"/>
      <c r="AB121" s="246"/>
      <c r="AC121" s="355" t="s">
        <v>670</v>
      </c>
      <c r="AD121" s="246"/>
      <c r="AE121" s="390"/>
      <c r="AF121" s="246"/>
      <c r="AG121" s="261"/>
      <c r="AH121" s="390"/>
      <c r="AI121" s="246"/>
      <c r="AJ121" s="390"/>
      <c r="AK121" s="246"/>
      <c r="AL121" s="390"/>
      <c r="AM121" s="246"/>
      <c r="AN121" s="261"/>
      <c r="AO121" s="390"/>
      <c r="AP121" s="246"/>
      <c r="AQ121" s="320"/>
      <c r="AR121" s="246"/>
      <c r="AS121" s="390"/>
      <c r="AT121" s="254" t="str">
        <f t="shared" ref="AT121:AT123" si="24">IF(COUNTIF($AO$80:$AT$82, AS122) &gt; 0, "X", "")</f>
        <v/>
      </c>
      <c r="AU121" s="269"/>
      <c r="AV121" s="269"/>
    </row>
    <row r="122">
      <c r="A122" s="94"/>
      <c r="B122" s="296" t="s">
        <v>650</v>
      </c>
      <c r="C122" s="297" t="s">
        <v>649</v>
      </c>
      <c r="D122" s="323"/>
      <c r="E122" s="261"/>
      <c r="F122" s="300"/>
      <c r="G122" s="246"/>
      <c r="H122" s="319"/>
      <c r="I122" s="246"/>
      <c r="J122" s="300"/>
      <c r="K122" s="246"/>
      <c r="L122" s="261"/>
      <c r="M122" s="250"/>
      <c r="N122" s="246"/>
      <c r="O122" s="300"/>
      <c r="P122" s="246"/>
      <c r="Q122" s="300"/>
      <c r="R122" s="246"/>
      <c r="S122" s="261"/>
      <c r="T122" s="250"/>
      <c r="U122" s="246"/>
      <c r="V122" s="319"/>
      <c r="W122" s="246"/>
      <c r="X122" s="300"/>
      <c r="Y122" s="246"/>
      <c r="Z122" s="261"/>
      <c r="AA122" s="250"/>
      <c r="AB122" s="246"/>
      <c r="AC122" s="521"/>
      <c r="AD122" s="246"/>
      <c r="AE122" s="300"/>
      <c r="AF122" s="246"/>
      <c r="AG122" s="261"/>
      <c r="AH122" s="300"/>
      <c r="AI122" s="246"/>
      <c r="AJ122" s="300"/>
      <c r="AK122" s="246"/>
      <c r="AL122" s="300"/>
      <c r="AM122" s="246"/>
      <c r="AN122" s="261"/>
      <c r="AO122" s="300"/>
      <c r="AP122" s="246"/>
      <c r="AQ122" s="317"/>
      <c r="AR122" s="246"/>
      <c r="AS122" s="300"/>
      <c r="AT122" s="254" t="str">
        <f t="shared" si="24"/>
        <v/>
      </c>
      <c r="AU122" s="269"/>
      <c r="AV122" s="269"/>
    </row>
    <row r="123">
      <c r="A123" s="94"/>
      <c r="B123" s="301" t="s">
        <v>651</v>
      </c>
      <c r="C123" s="391" t="s">
        <v>652</v>
      </c>
      <c r="D123" s="323"/>
      <c r="E123" s="259"/>
      <c r="F123" s="304"/>
      <c r="G123" s="246"/>
      <c r="H123" s="304"/>
      <c r="I123" s="246"/>
      <c r="J123" s="304"/>
      <c r="K123" s="246"/>
      <c r="L123" s="261"/>
      <c r="M123" s="250"/>
      <c r="N123" s="246"/>
      <c r="O123" s="304"/>
      <c r="P123" s="246"/>
      <c r="Q123" s="304"/>
      <c r="R123" s="246"/>
      <c r="S123" s="261"/>
      <c r="T123" s="250"/>
      <c r="U123" s="246"/>
      <c r="V123" s="304"/>
      <c r="W123" s="246"/>
      <c r="X123" s="304"/>
      <c r="Y123" s="246"/>
      <c r="Z123" s="261"/>
      <c r="AA123" s="250"/>
      <c r="AB123" s="246"/>
      <c r="AC123" s="304"/>
      <c r="AD123" s="246"/>
      <c r="AE123" s="304"/>
      <c r="AF123" s="246"/>
      <c r="AG123" s="261"/>
      <c r="AH123" s="304"/>
      <c r="AI123" s="246"/>
      <c r="AJ123" s="304"/>
      <c r="AK123" s="246"/>
      <c r="AL123" s="304"/>
      <c r="AM123" s="246"/>
      <c r="AN123" s="261"/>
      <c r="AO123" s="304"/>
      <c r="AP123" s="246"/>
      <c r="AQ123" s="317"/>
      <c r="AR123" s="246"/>
      <c r="AS123" s="304"/>
      <c r="AT123" s="254" t="str">
        <f t="shared" si="24"/>
        <v/>
      </c>
      <c r="AU123" s="269"/>
      <c r="AV123" s="269"/>
    </row>
    <row r="124">
      <c r="A124" s="94"/>
      <c r="B124" s="392" t="s">
        <v>691</v>
      </c>
      <c r="C124" s="393" t="s">
        <v>652</v>
      </c>
      <c r="D124" s="330"/>
      <c r="E124" s="259"/>
      <c r="F124" s="307"/>
      <c r="G124" s="246"/>
      <c r="H124" s="307"/>
      <c r="I124" s="246"/>
      <c r="J124" s="307"/>
      <c r="K124" s="246"/>
      <c r="L124" s="261"/>
      <c r="M124" s="250"/>
      <c r="N124" s="246"/>
      <c r="O124" s="647" t="s">
        <v>397</v>
      </c>
      <c r="P124" s="246"/>
      <c r="Q124" s="307"/>
      <c r="R124" s="246"/>
      <c r="S124" s="261"/>
      <c r="T124" s="250"/>
      <c r="U124" s="246"/>
      <c r="V124" s="307"/>
      <c r="W124" s="246"/>
      <c r="X124" s="647" t="s">
        <v>397</v>
      </c>
      <c r="Y124" s="246"/>
      <c r="Z124" s="261"/>
      <c r="AA124" s="250"/>
      <c r="AB124" s="246"/>
      <c r="AC124" s="647" t="s">
        <v>397</v>
      </c>
      <c r="AD124" s="246"/>
      <c r="AE124" s="307"/>
      <c r="AF124" s="246"/>
      <c r="AG124" s="261"/>
      <c r="AH124" s="307"/>
      <c r="AI124" s="246"/>
      <c r="AJ124" s="307"/>
      <c r="AK124" s="246"/>
      <c r="AL124" s="307"/>
      <c r="AM124" s="246"/>
      <c r="AN124" s="261"/>
      <c r="AO124" s="307"/>
      <c r="AP124" s="246"/>
      <c r="AQ124" s="317"/>
      <c r="AR124" s="246"/>
      <c r="AS124" s="307"/>
      <c r="AT124" s="254" t="str">
        <f>IF(COUNTIF($AO$80:$AT$82, #REF!) &gt; 0, "X", "")</f>
        <v/>
      </c>
      <c r="AU124" s="269"/>
      <c r="AV124" s="269"/>
    </row>
    <row r="125">
      <c r="A125" s="94"/>
      <c r="B125" s="328" t="s">
        <v>692</v>
      </c>
      <c r="C125" s="329" t="s">
        <v>652</v>
      </c>
      <c r="D125" s="369"/>
      <c r="E125" s="259"/>
      <c r="F125" s="282"/>
      <c r="G125" s="246"/>
      <c r="H125" s="371"/>
      <c r="I125" s="246"/>
      <c r="K125" s="246"/>
      <c r="L125" s="261"/>
      <c r="M125" s="250"/>
      <c r="N125" s="246"/>
      <c r="P125" s="246"/>
      <c r="Q125" s="371"/>
      <c r="R125" s="246"/>
      <c r="S125" s="261"/>
      <c r="T125" s="250"/>
      <c r="U125" s="246"/>
      <c r="W125" s="246"/>
      <c r="X125" s="282"/>
      <c r="Y125" s="246"/>
      <c r="Z125" s="261"/>
      <c r="AA125" s="250"/>
      <c r="AB125" s="246"/>
      <c r="AC125" s="371"/>
      <c r="AD125" s="246"/>
      <c r="AE125" s="371"/>
      <c r="AF125" s="246"/>
      <c r="AG125" s="261"/>
      <c r="AH125" s="371"/>
      <c r="AI125" s="246"/>
      <c r="AJ125" s="371"/>
      <c r="AK125" s="246"/>
      <c r="AL125" s="371"/>
      <c r="AM125" s="246"/>
      <c r="AN125" s="261"/>
      <c r="AO125" s="371"/>
      <c r="AP125" s="246"/>
      <c r="AQ125" s="320"/>
      <c r="AR125" s="246"/>
      <c r="AT125" s="254" t="str">
        <f t="shared" ref="AT125:AT128" si="25">IF(COUNTIF($AO$80:$AT$82, AS126) &gt; 0, "X", "")</f>
        <v/>
      </c>
      <c r="AU125" s="269"/>
      <c r="AV125" s="269"/>
    </row>
    <row r="126">
      <c r="A126" s="94"/>
      <c r="B126" s="397" t="s">
        <v>692</v>
      </c>
      <c r="C126" s="398" t="s">
        <v>687</v>
      </c>
      <c r="D126" s="389"/>
      <c r="E126" s="259"/>
      <c r="F126" s="399"/>
      <c r="G126" s="246"/>
      <c r="H126" s="399"/>
      <c r="I126" s="246"/>
      <c r="J126" s="399"/>
      <c r="K126" s="246"/>
      <c r="L126" s="261"/>
      <c r="M126" s="250"/>
      <c r="N126" s="246"/>
      <c r="O126" s="282"/>
      <c r="P126" s="246"/>
      <c r="Q126" s="399"/>
      <c r="R126" s="246"/>
      <c r="S126" s="261"/>
      <c r="T126" s="250"/>
      <c r="U126" s="246"/>
      <c r="V126" s="282"/>
      <c r="W126" s="246"/>
      <c r="X126" s="282"/>
      <c r="Y126" s="246"/>
      <c r="Z126" s="261"/>
      <c r="AA126" s="250"/>
      <c r="AB126" s="246"/>
      <c r="AC126" s="399"/>
      <c r="AD126" s="246"/>
      <c r="AE126" s="399"/>
      <c r="AF126" s="246"/>
      <c r="AG126" s="261"/>
      <c r="AH126" s="399"/>
      <c r="AI126" s="246"/>
      <c r="AJ126" s="399"/>
      <c r="AK126" s="246"/>
      <c r="AL126" s="399"/>
      <c r="AM126" s="246"/>
      <c r="AN126" s="261"/>
      <c r="AO126" s="399"/>
      <c r="AP126" s="246"/>
      <c r="AQ126" s="776"/>
      <c r="AR126" s="246"/>
      <c r="AS126" s="265"/>
      <c r="AT126" s="254" t="str">
        <f t="shared" si="25"/>
        <v/>
      </c>
      <c r="AU126" s="269"/>
      <c r="AV126" s="269"/>
    </row>
    <row r="127">
      <c r="A127" s="94"/>
      <c r="B127" s="387" t="s">
        <v>694</v>
      </c>
      <c r="C127" s="388" t="s">
        <v>649</v>
      </c>
      <c r="D127" s="323"/>
      <c r="E127" s="259"/>
      <c r="F127" s="390"/>
      <c r="G127" s="246"/>
      <c r="H127" s="390"/>
      <c r="I127" s="246"/>
      <c r="J127" s="390"/>
      <c r="K127" s="246"/>
      <c r="L127" s="261"/>
      <c r="M127" s="250"/>
      <c r="N127" s="246"/>
      <c r="O127" s="390"/>
      <c r="P127" s="246"/>
      <c r="Q127" s="357" t="s">
        <v>425</v>
      </c>
      <c r="R127" s="246"/>
      <c r="S127" s="261"/>
      <c r="T127" s="250"/>
      <c r="U127" s="246"/>
      <c r="V127" s="390"/>
      <c r="W127" s="246"/>
      <c r="X127" s="357" t="s">
        <v>425</v>
      </c>
      <c r="Y127" s="246"/>
      <c r="Z127" s="261"/>
      <c r="AA127" s="250"/>
      <c r="AB127" s="246"/>
      <c r="AC127" s="390"/>
      <c r="AD127" s="246"/>
      <c r="AE127" s="357" t="s">
        <v>425</v>
      </c>
      <c r="AF127" s="246"/>
      <c r="AG127" s="261"/>
      <c r="AH127" s="390"/>
      <c r="AI127" s="246"/>
      <c r="AJ127" s="390"/>
      <c r="AK127" s="246"/>
      <c r="AL127" s="357" t="s">
        <v>425</v>
      </c>
      <c r="AM127" s="246"/>
      <c r="AN127" s="261"/>
      <c r="AO127" s="390"/>
      <c r="AP127" s="246"/>
      <c r="AQ127" s="320"/>
      <c r="AR127" s="246"/>
      <c r="AS127" s="357" t="s">
        <v>425</v>
      </c>
      <c r="AT127" s="254" t="str">
        <f t="shared" si="25"/>
        <v/>
      </c>
      <c r="AU127" s="269"/>
      <c r="AV127" s="269"/>
    </row>
    <row r="128">
      <c r="A128" s="94"/>
      <c r="B128" s="296" t="s">
        <v>650</v>
      </c>
      <c r="C128" s="297" t="s">
        <v>649</v>
      </c>
      <c r="D128" s="323"/>
      <c r="E128" s="261"/>
      <c r="F128" s="300"/>
      <c r="G128" s="298"/>
      <c r="H128" s="300"/>
      <c r="I128" s="298"/>
      <c r="J128" s="300"/>
      <c r="K128" s="298"/>
      <c r="L128" s="261"/>
      <c r="M128" s="250"/>
      <c r="N128" s="298"/>
      <c r="O128" s="300"/>
      <c r="P128" s="298"/>
      <c r="Q128" s="319"/>
      <c r="R128" s="298"/>
      <c r="S128" s="261"/>
      <c r="T128" s="250"/>
      <c r="U128" s="298"/>
      <c r="V128" s="300"/>
      <c r="W128" s="298"/>
      <c r="X128" s="300"/>
      <c r="Y128" s="298"/>
      <c r="Z128" s="261"/>
      <c r="AA128" s="250"/>
      <c r="AB128" s="298"/>
      <c r="AC128" s="300"/>
      <c r="AD128" s="298"/>
      <c r="AE128" s="300"/>
      <c r="AF128" s="298"/>
      <c r="AG128" s="261"/>
      <c r="AH128" s="300"/>
      <c r="AI128" s="298"/>
      <c r="AJ128" s="300"/>
      <c r="AK128" s="298"/>
      <c r="AL128" s="300"/>
      <c r="AM128" s="298"/>
      <c r="AN128" s="261"/>
      <c r="AO128" s="300"/>
      <c r="AP128" s="298"/>
      <c r="AQ128" s="317"/>
      <c r="AR128" s="298"/>
      <c r="AS128" s="299"/>
      <c r="AT128" s="254" t="str">
        <f t="shared" si="25"/>
        <v/>
      </c>
      <c r="AU128" s="269"/>
      <c r="AV128" s="269"/>
    </row>
    <row r="129">
      <c r="A129" s="94"/>
      <c r="B129" s="301" t="s">
        <v>651</v>
      </c>
      <c r="C129" s="391" t="s">
        <v>652</v>
      </c>
      <c r="D129" s="323"/>
      <c r="E129" s="259"/>
      <c r="F129" s="304"/>
      <c r="G129" s="298"/>
      <c r="H129" s="304"/>
      <c r="I129" s="298"/>
      <c r="J129" s="304"/>
      <c r="K129" s="298"/>
      <c r="L129" s="261"/>
      <c r="M129" s="250"/>
      <c r="N129" s="298"/>
      <c r="O129" s="304"/>
      <c r="P129" s="298"/>
      <c r="Q129" s="304"/>
      <c r="R129" s="298"/>
      <c r="S129" s="261"/>
      <c r="T129" s="250"/>
      <c r="U129" s="298"/>
      <c r="V129" s="304"/>
      <c r="W129" s="298"/>
      <c r="X129" s="304"/>
      <c r="Y129" s="298"/>
      <c r="Z129" s="261"/>
      <c r="AA129" s="250"/>
      <c r="AB129" s="298"/>
      <c r="AC129" s="304"/>
      <c r="AD129" s="298"/>
      <c r="AE129" s="304"/>
      <c r="AF129" s="298"/>
      <c r="AG129" s="261"/>
      <c r="AH129" s="304"/>
      <c r="AI129" s="298"/>
      <c r="AJ129" s="304"/>
      <c r="AK129" s="298"/>
      <c r="AL129" s="304"/>
      <c r="AM129" s="298"/>
      <c r="AN129" s="261"/>
      <c r="AO129" s="304"/>
      <c r="AP129" s="298"/>
      <c r="AQ129" s="317"/>
      <c r="AR129" s="298"/>
      <c r="AS129" s="303"/>
      <c r="AT129" s="254" t="str">
        <f t="shared" ref="AT129:AT130" si="26">IF(COUNTIF($AO$80:$AT$82, #REF!) &gt; 0, "X", "")</f>
        <v/>
      </c>
      <c r="AU129" s="269"/>
      <c r="AV129" s="269"/>
    </row>
    <row r="130">
      <c r="A130" s="94"/>
      <c r="B130" s="392" t="s">
        <v>691</v>
      </c>
      <c r="C130" s="393" t="s">
        <v>652</v>
      </c>
      <c r="D130" s="330"/>
      <c r="E130" s="259"/>
      <c r="F130" s="307"/>
      <c r="G130" s="298"/>
      <c r="H130" s="307"/>
      <c r="I130" s="298"/>
      <c r="J130" s="307"/>
      <c r="K130" s="298"/>
      <c r="L130" s="261"/>
      <c r="M130" s="250"/>
      <c r="N130" s="298"/>
      <c r="O130" s="307"/>
      <c r="P130" s="298"/>
      <c r="Q130" s="395" t="s">
        <v>414</v>
      </c>
      <c r="R130" s="298"/>
      <c r="S130" s="261"/>
      <c r="T130" s="250"/>
      <c r="U130" s="298"/>
      <c r="V130" s="307"/>
      <c r="W130" s="298"/>
      <c r="X130" s="492" t="s">
        <v>430</v>
      </c>
      <c r="Y130" s="298"/>
      <c r="Z130" s="261"/>
      <c r="AA130" s="250"/>
      <c r="AB130" s="298"/>
      <c r="AC130" s="307"/>
      <c r="AD130" s="298"/>
      <c r="AE130" s="492" t="s">
        <v>430</v>
      </c>
      <c r="AF130" s="298"/>
      <c r="AG130" s="261"/>
      <c r="AH130" s="307"/>
      <c r="AI130" s="298"/>
      <c r="AJ130" s="307"/>
      <c r="AK130" s="298"/>
      <c r="AL130" s="308" t="s">
        <v>445</v>
      </c>
      <c r="AM130" s="298"/>
      <c r="AN130" s="261"/>
      <c r="AO130" s="307"/>
      <c r="AP130" s="298"/>
      <c r="AQ130" s="317"/>
      <c r="AR130" s="298"/>
      <c r="AS130" s="308" t="s">
        <v>445</v>
      </c>
      <c r="AT130" s="254" t="str">
        <f t="shared" si="26"/>
        <v/>
      </c>
      <c r="AU130" s="269"/>
      <c r="AV130" s="269"/>
    </row>
    <row r="131">
      <c r="A131" s="94"/>
      <c r="B131" s="328" t="s">
        <v>692</v>
      </c>
      <c r="C131" s="329" t="s">
        <v>652</v>
      </c>
      <c r="D131" s="369"/>
      <c r="E131" s="259"/>
      <c r="F131" s="371"/>
      <c r="G131" s="246"/>
      <c r="H131" s="371"/>
      <c r="I131" s="246"/>
      <c r="J131" s="282"/>
      <c r="K131" s="246"/>
      <c r="L131" s="261"/>
      <c r="M131" s="250"/>
      <c r="N131" s="246"/>
      <c r="O131" s="371"/>
      <c r="P131" s="246"/>
      <c r="Q131" s="282"/>
      <c r="R131" s="246"/>
      <c r="S131" s="261"/>
      <c r="T131" s="250"/>
      <c r="U131" s="246"/>
      <c r="V131" s="371"/>
      <c r="W131" s="246"/>
      <c r="Y131" s="246"/>
      <c r="Z131" s="261"/>
      <c r="AA131" s="250"/>
      <c r="AB131" s="246"/>
      <c r="AC131" s="282"/>
      <c r="AD131" s="246"/>
      <c r="AF131" s="246"/>
      <c r="AG131" s="261"/>
      <c r="AH131" s="371"/>
      <c r="AI131" s="246"/>
      <c r="AJ131" s="371"/>
      <c r="AK131" s="246"/>
      <c r="AL131" s="282"/>
      <c r="AM131" s="246"/>
      <c r="AN131" s="261"/>
      <c r="AO131" s="282"/>
      <c r="AP131" s="246"/>
      <c r="AQ131" s="320"/>
      <c r="AR131" s="246"/>
      <c r="AS131" s="282"/>
      <c r="AT131" s="254" t="str">
        <f t="shared" ref="AT131:AT132" si="27">IF(COUNTIF($AO$80:$AT$82, AS132) &gt; 0, "X", "")</f>
        <v/>
      </c>
      <c r="AU131" s="269"/>
      <c r="AV131" s="269"/>
    </row>
    <row r="132">
      <c r="A132" s="94"/>
      <c r="B132" s="397" t="s">
        <v>692</v>
      </c>
      <c r="C132" s="398" t="s">
        <v>687</v>
      </c>
      <c r="D132" s="404"/>
      <c r="E132" s="259"/>
      <c r="F132" s="399"/>
      <c r="G132" s="246"/>
      <c r="H132" s="399"/>
      <c r="I132" s="246"/>
      <c r="J132" s="252"/>
      <c r="K132" s="246"/>
      <c r="L132" s="261"/>
      <c r="M132" s="250"/>
      <c r="N132" s="246"/>
      <c r="O132" s="399"/>
      <c r="P132" s="246"/>
      <c r="R132" s="246"/>
      <c r="S132" s="261"/>
      <c r="T132" s="250"/>
      <c r="U132" s="246"/>
      <c r="V132" s="399"/>
      <c r="W132" s="246"/>
      <c r="Y132" s="246"/>
      <c r="Z132" s="261"/>
      <c r="AA132" s="250"/>
      <c r="AB132" s="246"/>
      <c r="AC132" s="282"/>
      <c r="AD132" s="246"/>
      <c r="AE132" s="399"/>
      <c r="AF132" s="246"/>
      <c r="AG132" s="261"/>
      <c r="AH132" s="399"/>
      <c r="AI132" s="246"/>
      <c r="AK132" s="246"/>
      <c r="AL132" s="399"/>
      <c r="AM132" s="246"/>
      <c r="AN132" s="261"/>
      <c r="AO132" s="399"/>
      <c r="AP132" s="246"/>
      <c r="AQ132" s="776"/>
      <c r="AR132" s="246"/>
      <c r="AS132" s="399"/>
      <c r="AT132" s="254" t="str">
        <f t="shared" si="27"/>
        <v/>
      </c>
      <c r="AU132" s="269"/>
      <c r="AV132" s="269"/>
    </row>
    <row r="133">
      <c r="A133" s="270"/>
      <c r="B133" s="402" t="s">
        <v>699</v>
      </c>
      <c r="C133" s="403" t="s">
        <v>649</v>
      </c>
      <c r="D133" s="330"/>
      <c r="E133" s="259"/>
      <c r="F133" s="294"/>
      <c r="G133" s="246"/>
      <c r="H133" s="294"/>
      <c r="I133" s="246"/>
      <c r="J133" s="294"/>
      <c r="K133" s="246"/>
      <c r="L133" s="261"/>
      <c r="M133" s="250"/>
      <c r="N133" s="246"/>
      <c r="O133" s="294"/>
      <c r="P133" s="246"/>
      <c r="Q133" s="777" t="s">
        <v>419</v>
      </c>
      <c r="R133" s="246"/>
      <c r="S133" s="261"/>
      <c r="T133" s="250"/>
      <c r="U133" s="246"/>
      <c r="V133" s="294"/>
      <c r="W133" s="246"/>
      <c r="X133" s="294"/>
      <c r="Y133" s="246"/>
      <c r="Z133" s="261"/>
      <c r="AA133" s="250"/>
      <c r="AB133" s="246"/>
      <c r="AC133" s="294"/>
      <c r="AD133" s="246"/>
      <c r="AE133" s="293" t="s">
        <v>426</v>
      </c>
      <c r="AF133" s="246"/>
      <c r="AG133" s="261"/>
      <c r="AH133" s="294"/>
      <c r="AI133" s="246"/>
      <c r="AJ133" s="294"/>
      <c r="AK133" s="246"/>
      <c r="AL133" s="294"/>
      <c r="AM133" s="246"/>
      <c r="AN133" s="261"/>
      <c r="AO133" s="294"/>
      <c r="AP133" s="246"/>
      <c r="AQ133" s="317"/>
      <c r="AR133" s="246"/>
      <c r="AS133" s="294"/>
      <c r="AT133" s="254" t="str">
        <f t="shared" ref="AT133:AT135" si="28">IF(COUNTIF($AO$80:$AT$82, #REF!) &gt; 0, "X", "")</f>
        <v/>
      </c>
      <c r="AU133" s="269"/>
      <c r="AV133" s="269"/>
    </row>
    <row r="134">
      <c r="A134" s="94"/>
      <c r="B134" s="328" t="s">
        <v>700</v>
      </c>
      <c r="C134" s="329" t="s">
        <v>657</v>
      </c>
      <c r="D134" s="330"/>
      <c r="E134" s="259"/>
      <c r="F134" s="371"/>
      <c r="G134" s="246"/>
      <c r="H134" s="282"/>
      <c r="I134" s="246"/>
      <c r="J134" s="282"/>
      <c r="K134" s="246"/>
      <c r="L134" s="261"/>
      <c r="M134" s="250"/>
      <c r="N134" s="246"/>
      <c r="O134" s="371"/>
      <c r="P134" s="246"/>
      <c r="Q134" s="280" t="s">
        <v>437</v>
      </c>
      <c r="R134" s="246"/>
      <c r="S134" s="261"/>
      <c r="T134" s="250"/>
      <c r="U134" s="246"/>
      <c r="V134" s="371"/>
      <c r="W134" s="246"/>
      <c r="X134" s="371"/>
      <c r="Y134" s="246"/>
      <c r="Z134" s="261"/>
      <c r="AA134" s="250"/>
      <c r="AB134" s="246"/>
      <c r="AC134" s="371"/>
      <c r="AD134" s="246"/>
      <c r="AE134" s="274" t="s">
        <v>437</v>
      </c>
      <c r="AF134" s="246"/>
      <c r="AG134" s="261"/>
      <c r="AH134" s="371"/>
      <c r="AI134" s="246"/>
      <c r="AJ134" s="371"/>
      <c r="AK134" s="246"/>
      <c r="AL134" s="371"/>
      <c r="AM134" s="246"/>
      <c r="AN134" s="261"/>
      <c r="AO134" s="371"/>
      <c r="AP134" s="246"/>
      <c r="AQ134" s="320"/>
      <c r="AR134" s="246"/>
      <c r="AT134" s="254" t="str">
        <f t="shared" si="28"/>
        <v/>
      </c>
      <c r="AU134" s="269"/>
      <c r="AV134" s="269"/>
    </row>
    <row r="135">
      <c r="A135" s="94"/>
      <c r="B135" s="328" t="s">
        <v>700</v>
      </c>
      <c r="C135" s="329" t="s">
        <v>657</v>
      </c>
      <c r="D135" s="330"/>
      <c r="E135" s="259"/>
      <c r="F135" s="264"/>
      <c r="G135" s="246"/>
      <c r="I135" s="246"/>
      <c r="K135" s="246"/>
      <c r="L135" s="261"/>
      <c r="M135" s="262"/>
      <c r="N135" s="246"/>
      <c r="P135" s="246"/>
      <c r="Q135" s="405" t="s">
        <v>462</v>
      </c>
      <c r="R135" s="246"/>
      <c r="S135" s="261"/>
      <c r="T135" s="262"/>
      <c r="U135" s="246"/>
      <c r="W135" s="246"/>
      <c r="Y135" s="246"/>
      <c r="Z135" s="261"/>
      <c r="AA135" s="262"/>
      <c r="AB135" s="246"/>
      <c r="AD135" s="246"/>
      <c r="AE135" s="405" t="s">
        <v>462</v>
      </c>
      <c r="AF135" s="246"/>
      <c r="AG135" s="261"/>
      <c r="AH135" s="264"/>
      <c r="AI135" s="246"/>
      <c r="AK135" s="246"/>
      <c r="AL135" s="265"/>
      <c r="AM135" s="246"/>
      <c r="AN135" s="261"/>
      <c r="AO135" s="265"/>
      <c r="AP135" s="246"/>
      <c r="AQ135" s="778"/>
      <c r="AR135" s="246"/>
      <c r="AT135" s="254" t="str">
        <f t="shared" si="28"/>
        <v/>
      </c>
      <c r="AU135" s="269"/>
      <c r="AV135" s="269"/>
    </row>
    <row r="136">
      <c r="A136" s="94"/>
      <c r="B136" s="328" t="s">
        <v>700</v>
      </c>
      <c r="C136" s="329" t="s">
        <v>657</v>
      </c>
      <c r="D136" s="351"/>
      <c r="E136" s="259"/>
      <c r="F136" s="371"/>
      <c r="G136" s="246"/>
      <c r="H136" s="282"/>
      <c r="I136" s="246"/>
      <c r="K136" s="246"/>
      <c r="L136" s="261"/>
      <c r="M136" s="250"/>
      <c r="N136" s="246"/>
      <c r="O136" s="282"/>
      <c r="P136" s="246"/>
      <c r="Q136" s="282"/>
      <c r="R136" s="246"/>
      <c r="S136" s="261"/>
      <c r="T136" s="250"/>
      <c r="U136" s="246"/>
      <c r="V136" s="282"/>
      <c r="W136" s="246"/>
      <c r="Y136" s="246"/>
      <c r="Z136" s="261"/>
      <c r="AA136" s="250"/>
      <c r="AB136" s="246"/>
      <c r="AC136" s="371"/>
      <c r="AD136" s="246"/>
      <c r="AF136" s="246"/>
      <c r="AG136" s="261"/>
      <c r="AI136" s="246"/>
      <c r="AK136" s="246"/>
      <c r="AL136" s="371"/>
      <c r="AM136" s="246"/>
      <c r="AN136" s="261"/>
      <c r="AO136" s="371"/>
      <c r="AP136" s="246"/>
      <c r="AQ136" s="506"/>
      <c r="AR136" s="246"/>
      <c r="AT136" s="254" t="str">
        <f t="shared" ref="AT136:AT137" si="29">IF(COUNTIF($AO$80:$AT$82, AS137) &gt; 0, "X", "")</f>
        <v/>
      </c>
      <c r="AU136" s="269"/>
      <c r="AV136" s="269"/>
    </row>
    <row r="137">
      <c r="A137" s="94"/>
      <c r="B137" s="408" t="s">
        <v>702</v>
      </c>
      <c r="C137" s="409" t="s">
        <v>652</v>
      </c>
      <c r="D137" s="323"/>
      <c r="E137" s="259"/>
      <c r="F137" s="411"/>
      <c r="G137" s="246"/>
      <c r="H137" s="411"/>
      <c r="I137" s="246"/>
      <c r="J137" s="411"/>
      <c r="K137" s="246"/>
      <c r="L137" s="261"/>
      <c r="M137" s="262"/>
      <c r="N137" s="246"/>
      <c r="O137" s="411"/>
      <c r="P137" s="246"/>
      <c r="Q137" s="411"/>
      <c r="R137" s="246"/>
      <c r="S137" s="261"/>
      <c r="T137" s="262"/>
      <c r="U137" s="246"/>
      <c r="V137" s="411"/>
      <c r="W137" s="246"/>
      <c r="X137" s="411"/>
      <c r="Y137" s="246"/>
      <c r="Z137" s="261"/>
      <c r="AA137" s="262"/>
      <c r="AB137" s="246"/>
      <c r="AC137" s="411"/>
      <c r="AD137" s="246"/>
      <c r="AE137" s="411"/>
      <c r="AF137" s="246"/>
      <c r="AG137" s="261"/>
      <c r="AH137" s="411"/>
      <c r="AI137" s="246"/>
      <c r="AJ137" s="411"/>
      <c r="AK137" s="246"/>
      <c r="AL137" s="411"/>
      <c r="AM137" s="246"/>
      <c r="AN137" s="261"/>
      <c r="AO137" s="411"/>
      <c r="AP137" s="246"/>
      <c r="AQ137" s="779"/>
      <c r="AR137" s="246"/>
      <c r="AS137" s="411"/>
      <c r="AT137" s="254" t="str">
        <f t="shared" si="29"/>
        <v/>
      </c>
      <c r="AU137" s="269"/>
      <c r="AV137" s="269"/>
    </row>
    <row r="138">
      <c r="A138" s="234"/>
      <c r="B138" s="401" t="s">
        <v>703</v>
      </c>
      <c r="C138" s="412" t="s">
        <v>704</v>
      </c>
      <c r="D138" s="330"/>
      <c r="E138" s="259"/>
      <c r="F138" s="413"/>
      <c r="G138" s="246"/>
      <c r="H138" s="413"/>
      <c r="I138" s="246"/>
      <c r="J138" s="413"/>
      <c r="K138" s="246"/>
      <c r="L138" s="261"/>
      <c r="M138" s="262"/>
      <c r="N138" s="246"/>
      <c r="O138" s="413"/>
      <c r="P138" s="246"/>
      <c r="Q138" s="413"/>
      <c r="R138" s="246"/>
      <c r="S138" s="261"/>
      <c r="T138" s="262"/>
      <c r="U138" s="246"/>
      <c r="V138" s="413"/>
      <c r="W138" s="246"/>
      <c r="X138" s="413"/>
      <c r="Y138" s="246"/>
      <c r="Z138" s="261"/>
      <c r="AA138" s="262"/>
      <c r="AB138" s="246"/>
      <c r="AC138" s="413"/>
      <c r="AD138" s="246"/>
      <c r="AE138" s="413"/>
      <c r="AF138" s="246"/>
      <c r="AG138" s="261"/>
      <c r="AH138" s="413"/>
      <c r="AI138" s="246"/>
      <c r="AJ138" s="413"/>
      <c r="AK138" s="246"/>
      <c r="AL138" s="413"/>
      <c r="AM138" s="246"/>
      <c r="AN138" s="261"/>
      <c r="AO138" s="413"/>
      <c r="AP138" s="246"/>
      <c r="AQ138" s="295"/>
      <c r="AR138" s="246"/>
      <c r="AS138" s="413"/>
      <c r="AT138" s="254" t="str">
        <f t="shared" ref="AT138:AT143" si="30">IF(COUNTIF($AO$80:$AT$82, #REF!) &gt; 0, "X", "")</f>
        <v/>
      </c>
      <c r="AU138" s="269"/>
      <c r="AV138" s="269"/>
    </row>
    <row r="139">
      <c r="A139" s="234"/>
      <c r="B139" s="414" t="s">
        <v>705</v>
      </c>
      <c r="C139" s="415" t="s">
        <v>704</v>
      </c>
      <c r="D139" s="330"/>
      <c r="E139" s="259"/>
      <c r="G139" s="246"/>
      <c r="H139" s="374" t="s">
        <v>407</v>
      </c>
      <c r="I139" s="246"/>
      <c r="J139" s="586" t="s">
        <v>452</v>
      </c>
      <c r="K139" s="246"/>
      <c r="L139" s="261"/>
      <c r="M139" s="341"/>
      <c r="N139" s="246"/>
      <c r="O139" s="311" t="s">
        <v>407</v>
      </c>
      <c r="P139" s="246"/>
      <c r="Q139" s="311" t="s">
        <v>432</v>
      </c>
      <c r="R139" s="246"/>
      <c r="S139" s="261"/>
      <c r="T139" s="341"/>
      <c r="U139" s="246"/>
      <c r="V139" s="311" t="s">
        <v>438</v>
      </c>
      <c r="W139" s="246"/>
      <c r="X139" s="311" t="s">
        <v>467</v>
      </c>
      <c r="Y139" s="246"/>
      <c r="Z139" s="261"/>
      <c r="AA139" s="341"/>
      <c r="AB139" s="246"/>
      <c r="AC139" s="311" t="s">
        <v>438</v>
      </c>
      <c r="AD139" s="246"/>
      <c r="AE139" s="311" t="s">
        <v>394</v>
      </c>
      <c r="AF139" s="246"/>
      <c r="AG139" s="261"/>
      <c r="AH139" s="282"/>
      <c r="AI139" s="246"/>
      <c r="AJ139" s="311" t="s">
        <v>407</v>
      </c>
      <c r="AK139" s="246"/>
      <c r="AL139" s="586" t="s">
        <v>452</v>
      </c>
      <c r="AM139" s="246"/>
      <c r="AN139" s="261"/>
      <c r="AP139" s="246"/>
      <c r="AQ139" s="508"/>
      <c r="AR139" s="246"/>
      <c r="AS139" s="586" t="s">
        <v>452</v>
      </c>
      <c r="AT139" s="254" t="str">
        <f t="shared" si="30"/>
        <v/>
      </c>
      <c r="AU139" s="269"/>
      <c r="AV139" s="269"/>
    </row>
    <row r="140">
      <c r="A140" s="94"/>
      <c r="B140" s="328" t="s">
        <v>705</v>
      </c>
      <c r="C140" s="257" t="s">
        <v>657</v>
      </c>
      <c r="D140" s="330"/>
      <c r="E140" s="259"/>
      <c r="F140" s="311" t="s">
        <v>467</v>
      </c>
      <c r="G140" s="246"/>
      <c r="H140" s="339" t="s">
        <v>404</v>
      </c>
      <c r="I140" s="246"/>
      <c r="J140" s="251" t="s">
        <v>440</v>
      </c>
      <c r="K140" s="246"/>
      <c r="L140" s="261"/>
      <c r="M140" s="341"/>
      <c r="N140" s="246"/>
      <c r="O140" s="311" t="s">
        <v>470</v>
      </c>
      <c r="P140" s="246"/>
      <c r="Q140" s="738" t="s">
        <v>453</v>
      </c>
      <c r="R140" s="246"/>
      <c r="S140" s="261"/>
      <c r="T140" s="341"/>
      <c r="U140" s="246"/>
      <c r="V140" s="325" t="s">
        <v>836</v>
      </c>
      <c r="W140" s="246"/>
      <c r="X140" s="586" t="s">
        <v>452</v>
      </c>
      <c r="Y140" s="246"/>
      <c r="Z140" s="261"/>
      <c r="AA140" s="341"/>
      <c r="AB140" s="246"/>
      <c r="AC140" s="374" t="s">
        <v>407</v>
      </c>
      <c r="AD140" s="246"/>
      <c r="AE140" s="311" t="s">
        <v>410</v>
      </c>
      <c r="AF140" s="246"/>
      <c r="AG140" s="261"/>
      <c r="AH140" s="311" t="s">
        <v>467</v>
      </c>
      <c r="AI140" s="246"/>
      <c r="AJ140" s="339" t="s">
        <v>404</v>
      </c>
      <c r="AK140" s="246"/>
      <c r="AL140" s="311" t="s">
        <v>410</v>
      </c>
      <c r="AM140" s="246"/>
      <c r="AN140" s="261"/>
      <c r="AO140" s="311" t="s">
        <v>410</v>
      </c>
      <c r="AP140" s="246"/>
      <c r="AR140" s="246"/>
      <c r="AT140" s="254" t="str">
        <f t="shared" si="30"/>
        <v/>
      </c>
      <c r="AU140" s="269"/>
      <c r="AV140" s="269"/>
    </row>
    <row r="141">
      <c r="A141" s="94"/>
      <c r="B141" s="277" t="s">
        <v>705</v>
      </c>
      <c r="C141" s="329" t="s">
        <v>685</v>
      </c>
      <c r="D141" s="369"/>
      <c r="E141" s="259"/>
      <c r="F141" s="311" t="s">
        <v>470</v>
      </c>
      <c r="G141" s="246"/>
      <c r="H141" s="520" t="s">
        <v>406</v>
      </c>
      <c r="I141" s="246"/>
      <c r="J141" s="311" t="s">
        <v>410</v>
      </c>
      <c r="K141" s="246"/>
      <c r="L141" s="261"/>
      <c r="M141" s="341"/>
      <c r="N141" s="246"/>
      <c r="O141" s="251" t="s">
        <v>440</v>
      </c>
      <c r="P141" s="246"/>
      <c r="Q141" s="251" t="s">
        <v>405</v>
      </c>
      <c r="R141" s="246"/>
      <c r="S141" s="261"/>
      <c r="T141" s="341"/>
      <c r="U141" s="246"/>
      <c r="V141" s="726" t="s">
        <v>440</v>
      </c>
      <c r="W141" s="246"/>
      <c r="X141" s="520" t="s">
        <v>406</v>
      </c>
      <c r="Y141" s="246"/>
      <c r="Z141" s="261"/>
      <c r="AA141" s="341"/>
      <c r="AB141" s="246"/>
      <c r="AC141" s="311" t="s">
        <v>470</v>
      </c>
      <c r="AD141" s="246"/>
      <c r="AE141" s="325" t="s">
        <v>785</v>
      </c>
      <c r="AF141" s="246"/>
      <c r="AG141" s="261"/>
      <c r="AH141" s="613" t="s">
        <v>470</v>
      </c>
      <c r="AI141" s="246"/>
      <c r="AJ141" s="726" t="s">
        <v>440</v>
      </c>
      <c r="AK141" s="246"/>
      <c r="AL141" s="311" t="s">
        <v>394</v>
      </c>
      <c r="AM141" s="246"/>
      <c r="AN141" s="261"/>
      <c r="AO141" s="613" t="s">
        <v>470</v>
      </c>
      <c r="AP141" s="246"/>
      <c r="AQ141" s="508"/>
      <c r="AR141" s="246"/>
      <c r="AS141" s="311" t="s">
        <v>438</v>
      </c>
      <c r="AT141" s="254" t="str">
        <f t="shared" si="30"/>
        <v/>
      </c>
      <c r="AU141" s="269"/>
      <c r="AV141" s="269"/>
    </row>
    <row r="142">
      <c r="A142" s="94"/>
      <c r="B142" s="271" t="s">
        <v>705</v>
      </c>
      <c r="C142" s="272" t="s">
        <v>687</v>
      </c>
      <c r="D142" s="330"/>
      <c r="E142" s="259"/>
      <c r="G142" s="246"/>
      <c r="H142" s="339" t="s">
        <v>472</v>
      </c>
      <c r="I142" s="246"/>
      <c r="J142" s="339" t="s">
        <v>1033</v>
      </c>
      <c r="K142" s="246"/>
      <c r="L142" s="261"/>
      <c r="M142" s="341"/>
      <c r="N142" s="246"/>
      <c r="P142" s="246"/>
      <c r="Q142" s="339" t="s">
        <v>1033</v>
      </c>
      <c r="R142" s="246"/>
      <c r="S142" s="261"/>
      <c r="T142" s="341"/>
      <c r="U142" s="246"/>
      <c r="W142" s="246"/>
      <c r="X142" s="339" t="s">
        <v>1033</v>
      </c>
      <c r="Y142" s="246"/>
      <c r="Z142" s="261"/>
      <c r="AA142" s="341"/>
      <c r="AB142" s="246"/>
      <c r="AD142" s="246"/>
      <c r="AE142" s="339" t="s">
        <v>1033</v>
      </c>
      <c r="AF142" s="246"/>
      <c r="AG142" s="261"/>
      <c r="AI142" s="246"/>
      <c r="AJ142" s="339" t="s">
        <v>472</v>
      </c>
      <c r="AK142" s="246"/>
      <c r="AM142" s="246"/>
      <c r="AN142" s="261"/>
      <c r="AO142" s="281"/>
      <c r="AP142" s="246"/>
      <c r="AQ142" s="311" t="s">
        <v>441</v>
      </c>
      <c r="AR142" s="246"/>
      <c r="AS142" s="339" t="s">
        <v>1033</v>
      </c>
      <c r="AT142" s="254" t="str">
        <f t="shared" si="30"/>
        <v/>
      </c>
      <c r="AU142" s="269"/>
      <c r="AV142" s="269"/>
    </row>
    <row r="143">
      <c r="A143" s="270"/>
      <c r="B143" s="397" t="s">
        <v>708</v>
      </c>
      <c r="C143" s="398" t="s">
        <v>654</v>
      </c>
      <c r="D143" s="330"/>
      <c r="E143" s="259"/>
      <c r="F143" s="275"/>
      <c r="G143" s="246"/>
      <c r="H143" s="311" t="s">
        <v>441</v>
      </c>
      <c r="I143" s="246"/>
      <c r="J143" s="374" t="s">
        <v>446</v>
      </c>
      <c r="K143" s="246"/>
      <c r="L143" s="261"/>
      <c r="M143" s="341"/>
      <c r="N143" s="246"/>
      <c r="O143" s="311" t="s">
        <v>441</v>
      </c>
      <c r="P143" s="246"/>
      <c r="Q143" s="374" t="s">
        <v>446</v>
      </c>
      <c r="R143" s="246"/>
      <c r="S143" s="261"/>
      <c r="T143" s="341"/>
      <c r="U143" s="246"/>
      <c r="V143" s="365" t="s">
        <v>469</v>
      </c>
      <c r="W143" s="246"/>
      <c r="X143" s="339" t="s">
        <v>472</v>
      </c>
      <c r="Y143" s="246"/>
      <c r="Z143" s="261"/>
      <c r="AA143" s="341"/>
      <c r="AB143" s="246"/>
      <c r="AC143" s="311" t="s">
        <v>441</v>
      </c>
      <c r="AD143" s="246"/>
      <c r="AE143" s="374" t="s">
        <v>446</v>
      </c>
      <c r="AF143" s="246"/>
      <c r="AG143" s="261"/>
      <c r="AH143" s="275"/>
      <c r="AI143" s="246"/>
      <c r="AJ143" s="311" t="s">
        <v>441</v>
      </c>
      <c r="AK143" s="246"/>
      <c r="AL143" s="374" t="s">
        <v>446</v>
      </c>
      <c r="AM143" s="246"/>
      <c r="AN143" s="261"/>
      <c r="AP143" s="246"/>
      <c r="AQ143" s="780"/>
      <c r="AR143" s="246"/>
      <c r="AS143" s="311" t="s">
        <v>446</v>
      </c>
      <c r="AT143" s="254" t="str">
        <f t="shared" si="30"/>
        <v/>
      </c>
      <c r="AU143" s="269"/>
      <c r="AV143" s="269"/>
    </row>
    <row r="144">
      <c r="A144" s="94"/>
      <c r="B144" s="277" t="s">
        <v>709</v>
      </c>
      <c r="C144" s="278" t="s">
        <v>710</v>
      </c>
      <c r="D144" s="323"/>
      <c r="E144" s="259"/>
      <c r="F144" s="281"/>
      <c r="G144" s="246"/>
      <c r="H144" s="281"/>
      <c r="I144" s="246"/>
      <c r="J144" s="251"/>
      <c r="K144" s="246"/>
      <c r="L144" s="261"/>
      <c r="M144" s="286"/>
      <c r="N144" s="246"/>
      <c r="P144" s="246"/>
      <c r="R144" s="246"/>
      <c r="S144" s="261"/>
      <c r="T144" s="286"/>
      <c r="U144" s="246"/>
      <c r="V144" s="282"/>
      <c r="W144" s="246"/>
      <c r="X144" s="311"/>
      <c r="Y144" s="246"/>
      <c r="Z144" s="261"/>
      <c r="AA144" s="286"/>
      <c r="AB144" s="246"/>
      <c r="AC144" s="282"/>
      <c r="AD144" s="246"/>
      <c r="AE144" s="282"/>
      <c r="AF144" s="246"/>
      <c r="AG144" s="261"/>
      <c r="AH144" s="281"/>
      <c r="AI144" s="246"/>
      <c r="AJ144" s="281"/>
      <c r="AK144" s="246"/>
      <c r="AL144" s="281"/>
      <c r="AM144" s="246"/>
      <c r="AN144" s="261"/>
      <c r="AO144" s="281"/>
      <c r="AP144" s="246"/>
      <c r="AQ144" s="320"/>
      <c r="AR144" s="246"/>
      <c r="AT144" s="254" t="str">
        <f>IF(COUNTIF($AO$80:$AT$82, AS145) &gt; 0, "X", "")</f>
        <v/>
      </c>
      <c r="AU144" s="269"/>
      <c r="AV144" s="269"/>
    </row>
    <row r="145">
      <c r="A145" s="94"/>
      <c r="B145" s="673" t="s">
        <v>944</v>
      </c>
      <c r="C145" s="272" t="s">
        <v>639</v>
      </c>
      <c r="D145" s="431"/>
      <c r="E145" s="259"/>
      <c r="F145" s="282"/>
      <c r="G145" s="246"/>
      <c r="H145" s="282"/>
      <c r="I145" s="246"/>
      <c r="J145" s="282"/>
      <c r="K145" s="246"/>
      <c r="L145" s="261"/>
      <c r="M145" s="341"/>
      <c r="N145" s="246"/>
      <c r="P145" s="246"/>
      <c r="Q145" s="282"/>
      <c r="R145" s="246"/>
      <c r="S145" s="261"/>
      <c r="T145" s="341"/>
      <c r="U145" s="246"/>
      <c r="V145" s="311" t="s">
        <v>432</v>
      </c>
      <c r="W145" s="246"/>
      <c r="X145" s="282"/>
      <c r="Y145" s="246"/>
      <c r="Z145" s="261"/>
      <c r="AA145" s="341"/>
      <c r="AB145" s="246"/>
      <c r="AC145" s="311" t="s">
        <v>432</v>
      </c>
      <c r="AD145" s="246"/>
      <c r="AE145" s="282"/>
      <c r="AF145" s="246"/>
      <c r="AG145" s="261"/>
      <c r="AH145" s="282"/>
      <c r="AI145" s="246"/>
      <c r="AJ145" s="311" t="s">
        <v>432</v>
      </c>
      <c r="AK145" s="246"/>
      <c r="AL145" s="282"/>
      <c r="AM145" s="246"/>
      <c r="AN145" s="261"/>
      <c r="AO145" s="281"/>
      <c r="AP145" s="246"/>
      <c r="AQ145" s="506"/>
      <c r="AR145" s="246"/>
      <c r="AS145" s="282"/>
      <c r="AT145" s="430"/>
      <c r="AU145" s="269"/>
      <c r="AV145" s="269"/>
    </row>
    <row r="146">
      <c r="A146" s="94"/>
      <c r="B146" s="429" t="s">
        <v>714</v>
      </c>
      <c r="C146" s="430"/>
      <c r="D146" s="323"/>
      <c r="E146" s="259"/>
      <c r="F146" s="432"/>
      <c r="G146" s="432"/>
      <c r="H146" s="432"/>
      <c r="I146" s="432"/>
      <c r="J146" s="432"/>
      <c r="K146" s="432"/>
      <c r="L146" s="261"/>
      <c r="M146" s="432"/>
      <c r="N146" s="433"/>
      <c r="O146" s="432"/>
      <c r="P146" s="432"/>
      <c r="Q146" s="432"/>
      <c r="R146" s="432"/>
      <c r="S146" s="261"/>
      <c r="T146" s="432"/>
      <c r="U146" s="433"/>
      <c r="V146" s="432"/>
      <c r="W146" s="432"/>
      <c r="X146" s="432"/>
      <c r="Y146" s="432"/>
      <c r="Z146" s="261"/>
      <c r="AA146" s="432"/>
      <c r="AB146" s="433"/>
      <c r="AC146" s="432"/>
      <c r="AD146" s="432"/>
      <c r="AE146" s="432"/>
      <c r="AF146" s="432"/>
      <c r="AG146" s="261"/>
      <c r="AH146" s="432"/>
      <c r="AI146" s="433"/>
      <c r="AJ146" s="432"/>
      <c r="AK146" s="432"/>
      <c r="AL146" s="432"/>
      <c r="AM146" s="432"/>
      <c r="AN146" s="261"/>
      <c r="AO146" s="432"/>
      <c r="AP146" s="433"/>
      <c r="AQ146" s="432"/>
      <c r="AR146" s="432"/>
      <c r="AS146" s="432"/>
      <c r="AT146" s="254" t="str">
        <f t="shared" ref="AT146:AT151" si="31">IF(COUNTIF($AO$80:$AT$82, AS147) &gt; 0, "X", "")</f>
        <v/>
      </c>
      <c r="AU146" s="269"/>
      <c r="AV146" s="269"/>
    </row>
    <row r="147">
      <c r="A147" s="94"/>
      <c r="B147" s="401" t="s">
        <v>715</v>
      </c>
      <c r="C147" s="412" t="s">
        <v>716</v>
      </c>
      <c r="D147" s="323"/>
      <c r="E147" s="259"/>
      <c r="F147" s="434" t="s">
        <v>465</v>
      </c>
      <c r="G147" s="246"/>
      <c r="H147" s="434" t="s">
        <v>403</v>
      </c>
      <c r="I147" s="246"/>
      <c r="J147" s="434"/>
      <c r="K147" s="246"/>
      <c r="L147" s="261"/>
      <c r="M147" s="434" t="s">
        <v>465</v>
      </c>
      <c r="N147" s="246"/>
      <c r="O147" s="434" t="s">
        <v>403</v>
      </c>
      <c r="P147" s="246"/>
      <c r="Q147" s="434"/>
      <c r="R147" s="246"/>
      <c r="S147" s="261"/>
      <c r="T147" s="434"/>
      <c r="U147" s="246"/>
      <c r="V147" s="434" t="s">
        <v>403</v>
      </c>
      <c r="W147" s="246"/>
      <c r="X147" s="434"/>
      <c r="Y147" s="246"/>
      <c r="Z147" s="261"/>
      <c r="AA147" s="434" t="s">
        <v>465</v>
      </c>
      <c r="AB147" s="246"/>
      <c r="AC147" s="434" t="s">
        <v>403</v>
      </c>
      <c r="AD147" s="246"/>
      <c r="AE147" s="434"/>
      <c r="AF147" s="246"/>
      <c r="AG147" s="261"/>
      <c r="AH147" s="434" t="s">
        <v>465</v>
      </c>
      <c r="AI147" s="246"/>
      <c r="AJ147" s="434" t="s">
        <v>403</v>
      </c>
      <c r="AK147" s="246"/>
      <c r="AL147" s="434"/>
      <c r="AM147" s="246"/>
      <c r="AN147" s="261"/>
      <c r="AO147" s="434" t="s">
        <v>465</v>
      </c>
      <c r="AP147" s="246"/>
      <c r="AQ147" s="434"/>
      <c r="AR147" s="246"/>
      <c r="AS147" s="434"/>
      <c r="AT147" s="254" t="str">
        <f t="shared" si="31"/>
        <v/>
      </c>
      <c r="AU147" s="269"/>
      <c r="AV147" s="269"/>
    </row>
    <row r="148">
      <c r="A148" s="94"/>
      <c r="B148" s="435" t="s">
        <v>717</v>
      </c>
      <c r="C148" s="415" t="s">
        <v>718</v>
      </c>
      <c r="D148" s="363"/>
      <c r="E148" s="259"/>
      <c r="F148" s="434"/>
      <c r="G148" s="246"/>
      <c r="H148" s="406" t="s">
        <v>463</v>
      </c>
      <c r="I148" s="246"/>
      <c r="J148" s="434"/>
      <c r="K148" s="246"/>
      <c r="L148" s="261"/>
      <c r="M148" s="434"/>
      <c r="N148" s="246"/>
      <c r="O148" s="406" t="s">
        <v>442</v>
      </c>
      <c r="P148" s="246"/>
      <c r="Q148" s="434"/>
      <c r="R148" s="246"/>
      <c r="S148" s="261"/>
      <c r="T148" s="434"/>
      <c r="U148" s="246"/>
      <c r="V148" s="406" t="s">
        <v>442</v>
      </c>
      <c r="W148" s="246"/>
      <c r="X148" s="434"/>
      <c r="Y148" s="246"/>
      <c r="Z148" s="261"/>
      <c r="AA148" s="434"/>
      <c r="AB148" s="246"/>
      <c r="AC148" s="406" t="s">
        <v>442</v>
      </c>
      <c r="AD148" s="246"/>
      <c r="AE148" s="434"/>
      <c r="AF148" s="246"/>
      <c r="AG148" s="261"/>
      <c r="AH148" s="434"/>
      <c r="AI148" s="246"/>
      <c r="AJ148" s="406" t="s">
        <v>442</v>
      </c>
      <c r="AK148" s="246"/>
      <c r="AL148" s="434"/>
      <c r="AM148" s="246"/>
      <c r="AN148" s="261"/>
      <c r="AO148" s="434"/>
      <c r="AP148" s="246"/>
      <c r="AQ148" s="406" t="s">
        <v>442</v>
      </c>
      <c r="AR148" s="246"/>
      <c r="AS148" s="434"/>
      <c r="AT148" s="254" t="str">
        <f t="shared" si="31"/>
        <v/>
      </c>
      <c r="AU148" s="269"/>
      <c r="AV148" s="269"/>
    </row>
    <row r="149">
      <c r="A149" s="94"/>
      <c r="B149" s="436" t="s">
        <v>719</v>
      </c>
      <c r="C149" s="437" t="s">
        <v>720</v>
      </c>
      <c r="D149" s="330"/>
      <c r="E149" s="259"/>
      <c r="F149" s="406"/>
      <c r="G149" s="246"/>
      <c r="H149" s="406" t="s">
        <v>946</v>
      </c>
      <c r="I149" s="246"/>
      <c r="J149" s="406"/>
      <c r="K149" s="246"/>
      <c r="L149" s="261"/>
      <c r="M149" s="406"/>
      <c r="N149" s="246"/>
      <c r="O149" s="406" t="s">
        <v>463</v>
      </c>
      <c r="P149" s="246"/>
      <c r="Q149" s="406"/>
      <c r="R149" s="246"/>
      <c r="S149" s="261"/>
      <c r="T149" s="406"/>
      <c r="U149" s="246"/>
      <c r="V149" s="406" t="s">
        <v>463</v>
      </c>
      <c r="W149" s="246"/>
      <c r="X149" s="406"/>
      <c r="Y149" s="246"/>
      <c r="Z149" s="261"/>
      <c r="AA149" s="406"/>
      <c r="AB149" s="246"/>
      <c r="AC149" s="406" t="s">
        <v>946</v>
      </c>
      <c r="AD149" s="246"/>
      <c r="AE149" s="406"/>
      <c r="AF149" s="246"/>
      <c r="AG149" s="261"/>
      <c r="AH149" s="406"/>
      <c r="AI149" s="246"/>
      <c r="AJ149" s="406" t="s">
        <v>946</v>
      </c>
      <c r="AK149" s="246"/>
      <c r="AL149" s="406"/>
      <c r="AM149" s="246"/>
      <c r="AN149" s="261"/>
      <c r="AO149" s="406"/>
      <c r="AP149" s="246"/>
      <c r="AQ149" s="406"/>
      <c r="AR149" s="246"/>
      <c r="AS149" s="406"/>
      <c r="AT149" s="254" t="str">
        <f t="shared" si="31"/>
        <v/>
      </c>
      <c r="AU149" s="269"/>
      <c r="AV149" s="269"/>
    </row>
    <row r="150">
      <c r="A150" s="94"/>
      <c r="B150" s="439" t="s">
        <v>721</v>
      </c>
      <c r="C150" s="440" t="s">
        <v>722</v>
      </c>
      <c r="D150" s="330"/>
      <c r="E150" s="259"/>
      <c r="F150" s="406"/>
      <c r="G150" s="246"/>
      <c r="H150" s="592" t="s">
        <v>768</v>
      </c>
      <c r="I150" s="246"/>
      <c r="J150" s="406"/>
      <c r="K150" s="246"/>
      <c r="L150" s="261"/>
      <c r="M150" s="406"/>
      <c r="N150" s="246"/>
      <c r="O150" s="406" t="s">
        <v>454</v>
      </c>
      <c r="P150" s="246"/>
      <c r="Q150" s="406"/>
      <c r="R150" s="246"/>
      <c r="S150" s="261"/>
      <c r="T150" s="406"/>
      <c r="U150" s="246"/>
      <c r="V150" s="406" t="s">
        <v>454</v>
      </c>
      <c r="W150" s="246"/>
      <c r="X150" s="406"/>
      <c r="Y150" s="246"/>
      <c r="Z150" s="261"/>
      <c r="AA150" s="406"/>
      <c r="AB150" s="246"/>
      <c r="AC150" s="406" t="s">
        <v>454</v>
      </c>
      <c r="AD150" s="246"/>
      <c r="AE150" s="406"/>
      <c r="AF150" s="246"/>
      <c r="AG150" s="261"/>
      <c r="AH150" s="406"/>
      <c r="AI150" s="246"/>
      <c r="AJ150" s="406" t="s">
        <v>454</v>
      </c>
      <c r="AK150" s="246"/>
      <c r="AL150" s="406"/>
      <c r="AM150" s="246"/>
      <c r="AN150" s="261"/>
      <c r="AO150" s="406"/>
      <c r="AP150" s="246"/>
      <c r="AQ150" s="406"/>
      <c r="AR150" s="246"/>
      <c r="AS150" s="406"/>
      <c r="AT150" s="254" t="str">
        <f t="shared" si="31"/>
        <v/>
      </c>
      <c r="AU150" s="269"/>
      <c r="AV150" s="269"/>
    </row>
    <row r="151">
      <c r="A151" s="94"/>
      <c r="B151" s="439" t="s">
        <v>723</v>
      </c>
      <c r="C151" s="440" t="s">
        <v>724</v>
      </c>
      <c r="D151" s="330"/>
      <c r="E151" s="259"/>
      <c r="F151" s="406"/>
      <c r="G151" s="246"/>
      <c r="H151" s="406" t="s">
        <v>970</v>
      </c>
      <c r="I151" s="246"/>
      <c r="J151" s="406" t="s">
        <v>1066</v>
      </c>
      <c r="K151" s="246"/>
      <c r="L151" s="261"/>
      <c r="M151" s="406"/>
      <c r="N151" s="246"/>
      <c r="O151" s="406" t="s">
        <v>946</v>
      </c>
      <c r="P151" s="246"/>
      <c r="Q151" s="406" t="s">
        <v>1066</v>
      </c>
      <c r="R151" s="246"/>
      <c r="S151" s="261"/>
      <c r="T151" s="406"/>
      <c r="U151" s="246"/>
      <c r="V151" s="406" t="s">
        <v>456</v>
      </c>
      <c r="W151" s="246"/>
      <c r="X151" s="406" t="s">
        <v>1066</v>
      </c>
      <c r="Y151" s="246"/>
      <c r="Z151" s="261"/>
      <c r="AA151" s="406"/>
      <c r="AB151" s="246"/>
      <c r="AC151" s="406" t="s">
        <v>970</v>
      </c>
      <c r="AD151" s="246"/>
      <c r="AE151" s="406" t="s">
        <v>1066</v>
      </c>
      <c r="AF151" s="246"/>
      <c r="AG151" s="261"/>
      <c r="AH151" s="406"/>
      <c r="AI151" s="246"/>
      <c r="AJ151" s="406" t="s">
        <v>463</v>
      </c>
      <c r="AK151" s="246"/>
      <c r="AL151" s="406" t="s">
        <v>1066</v>
      </c>
      <c r="AM151" s="246"/>
      <c r="AN151" s="261"/>
      <c r="AO151" s="406"/>
      <c r="AP151" s="246"/>
      <c r="AQ151" s="592" t="s">
        <v>980</v>
      </c>
      <c r="AR151" s="246"/>
      <c r="AS151" s="406"/>
      <c r="AT151" s="254" t="str">
        <f t="shared" si="31"/>
        <v/>
      </c>
      <c r="AU151" s="269"/>
      <c r="AV151" s="269"/>
    </row>
    <row r="152">
      <c r="A152" s="94"/>
      <c r="B152" s="439" t="s">
        <v>725</v>
      </c>
      <c r="C152" s="442" t="s">
        <v>726</v>
      </c>
      <c r="D152" s="330"/>
      <c r="E152" s="259"/>
      <c r="F152" s="441"/>
      <c r="G152" s="246"/>
      <c r="H152" s="406" t="s">
        <v>456</v>
      </c>
      <c r="I152" s="246"/>
      <c r="J152" s="441"/>
      <c r="K152" s="246"/>
      <c r="L152" s="261"/>
      <c r="M152" s="441"/>
      <c r="N152" s="246"/>
      <c r="O152" s="406" t="s">
        <v>970</v>
      </c>
      <c r="P152" s="246"/>
      <c r="Q152" s="441"/>
      <c r="R152" s="246"/>
      <c r="S152" s="261"/>
      <c r="T152" s="441"/>
      <c r="U152" s="246"/>
      <c r="V152" s="406" t="s">
        <v>970</v>
      </c>
      <c r="W152" s="246"/>
      <c r="X152" s="441"/>
      <c r="Y152" s="246"/>
      <c r="Z152" s="261"/>
      <c r="AA152" s="441"/>
      <c r="AB152" s="246"/>
      <c r="AC152" s="406" t="s">
        <v>456</v>
      </c>
      <c r="AD152" s="246"/>
      <c r="AE152" s="441"/>
      <c r="AF152" s="246"/>
      <c r="AG152" s="261"/>
      <c r="AH152" s="441"/>
      <c r="AI152" s="246"/>
      <c r="AJ152" s="406" t="s">
        <v>970</v>
      </c>
      <c r="AK152" s="246"/>
      <c r="AL152" s="406"/>
      <c r="AM152" s="246"/>
      <c r="AN152" s="261"/>
      <c r="AO152" s="441"/>
      <c r="AP152" s="246"/>
      <c r="AQ152" s="406" t="s">
        <v>456</v>
      </c>
      <c r="AR152" s="246"/>
      <c r="AS152" s="441"/>
      <c r="AT152" s="254" t="str">
        <f>IF(COUNTIF($AO$80:$AT$82, #REF!) &gt; 0, "X", "")</f>
        <v/>
      </c>
      <c r="AU152" s="269"/>
      <c r="AV152" s="269"/>
    </row>
    <row r="153">
      <c r="A153" s="94"/>
      <c r="B153" s="447" t="s">
        <v>729</v>
      </c>
      <c r="C153" s="448" t="s">
        <v>730</v>
      </c>
      <c r="D153" s="330"/>
      <c r="E153" s="259"/>
      <c r="F153" s="441"/>
      <c r="G153" s="246"/>
      <c r="H153" s="406"/>
      <c r="I153" s="246"/>
      <c r="J153" s="441"/>
      <c r="K153" s="246"/>
      <c r="L153" s="261"/>
      <c r="M153" s="441"/>
      <c r="N153" s="246"/>
      <c r="O153" s="406"/>
      <c r="P153" s="246"/>
      <c r="Q153" s="441"/>
      <c r="R153" s="246"/>
      <c r="S153" s="261"/>
      <c r="T153" s="441"/>
      <c r="U153" s="246"/>
      <c r="V153" s="441"/>
      <c r="W153" s="246"/>
      <c r="X153" s="441"/>
      <c r="Y153" s="246"/>
      <c r="Z153" s="261"/>
      <c r="AA153" s="441"/>
      <c r="AB153" s="246"/>
      <c r="AC153" s="406"/>
      <c r="AD153" s="246"/>
      <c r="AE153" s="441"/>
      <c r="AF153" s="246"/>
      <c r="AG153" s="261"/>
      <c r="AH153" s="441"/>
      <c r="AI153" s="246"/>
      <c r="AJ153" s="406" t="s">
        <v>456</v>
      </c>
      <c r="AK153" s="246"/>
      <c r="AL153" s="441"/>
      <c r="AM153" s="246"/>
      <c r="AN153" s="261"/>
      <c r="AO153" s="441"/>
      <c r="AP153" s="246"/>
      <c r="AQ153" s="441"/>
      <c r="AR153" s="246"/>
      <c r="AS153" s="441"/>
      <c r="AT153" s="254" t="str">
        <f t="shared" ref="AT153:AT155" si="32">IF(COUNTIF($AO$80:$AT$82, AS153) &gt; 0, "X", "")</f>
        <v/>
      </c>
      <c r="AU153" s="269"/>
      <c r="AV153" s="269"/>
    </row>
    <row r="154">
      <c r="A154" s="94"/>
      <c r="B154" s="450" t="s">
        <v>731</v>
      </c>
      <c r="C154" s="451" t="s">
        <v>732</v>
      </c>
      <c r="D154" s="363"/>
      <c r="E154" s="259"/>
      <c r="F154" s="206"/>
      <c r="G154" s="246"/>
      <c r="H154" s="406" t="s">
        <v>460</v>
      </c>
      <c r="I154" s="246"/>
      <c r="J154" s="206"/>
      <c r="K154" s="246"/>
      <c r="L154" s="261"/>
      <c r="M154" s="206"/>
      <c r="N154" s="246"/>
      <c r="O154" s="406" t="s">
        <v>460</v>
      </c>
      <c r="P154" s="246"/>
      <c r="Q154" s="206"/>
      <c r="R154" s="246"/>
      <c r="S154" s="261"/>
      <c r="T154" s="206"/>
      <c r="U154" s="246"/>
      <c r="V154" s="592" t="s">
        <v>769</v>
      </c>
      <c r="W154" s="246"/>
      <c r="X154" s="206"/>
      <c r="Y154" s="246"/>
      <c r="Z154" s="261"/>
      <c r="AA154" s="206"/>
      <c r="AB154" s="246"/>
      <c r="AC154" s="592" t="s">
        <v>769</v>
      </c>
      <c r="AD154" s="246"/>
      <c r="AE154" s="206"/>
      <c r="AF154" s="246"/>
      <c r="AG154" s="261"/>
      <c r="AH154" s="206"/>
      <c r="AI154" s="246"/>
      <c r="AJ154" s="206"/>
      <c r="AK154" s="246"/>
      <c r="AL154" s="206"/>
      <c r="AM154" s="246"/>
      <c r="AN154" s="261"/>
      <c r="AO154" s="206"/>
      <c r="AP154" s="246"/>
      <c r="AQ154" s="206"/>
      <c r="AR154" s="246"/>
      <c r="AS154" s="206"/>
      <c r="AT154" s="254" t="str">
        <f t="shared" si="32"/>
        <v/>
      </c>
      <c r="AU154" s="269"/>
      <c r="AV154" s="269"/>
    </row>
    <row r="155">
      <c r="A155" s="94"/>
      <c r="B155" s="452" t="s">
        <v>733</v>
      </c>
      <c r="C155" s="453" t="s">
        <v>734</v>
      </c>
      <c r="D155" s="363"/>
      <c r="E155" s="259"/>
      <c r="F155" s="74"/>
      <c r="G155" s="246"/>
      <c r="H155" s="594" t="s">
        <v>395</v>
      </c>
      <c r="I155" s="246"/>
      <c r="J155" s="74"/>
      <c r="K155" s="246"/>
      <c r="L155" s="261"/>
      <c r="M155" s="74"/>
      <c r="N155" s="246"/>
      <c r="O155" s="611" t="s">
        <v>863</v>
      </c>
      <c r="P155" s="246"/>
      <c r="Q155" s="74"/>
      <c r="R155" s="246"/>
      <c r="S155" s="261"/>
      <c r="T155" s="74"/>
      <c r="U155" s="246"/>
      <c r="V155" s="594" t="s">
        <v>395</v>
      </c>
      <c r="W155" s="246"/>
      <c r="X155" s="74"/>
      <c r="Y155" s="246"/>
      <c r="Z155" s="261"/>
      <c r="AA155" s="74"/>
      <c r="AB155" s="246"/>
      <c r="AC155" s="594" t="s">
        <v>395</v>
      </c>
      <c r="AD155" s="246"/>
      <c r="AE155" s="74"/>
      <c r="AF155" s="246"/>
      <c r="AG155" s="261"/>
      <c r="AH155" s="74"/>
      <c r="AI155" s="246"/>
      <c r="AJ155" s="594" t="s">
        <v>395</v>
      </c>
      <c r="AK155" s="246"/>
      <c r="AL155" s="74"/>
      <c r="AM155" s="246"/>
      <c r="AN155" s="261"/>
      <c r="AO155" s="74"/>
      <c r="AP155" s="246"/>
      <c r="AQ155" s="406" t="s">
        <v>946</v>
      </c>
      <c r="AR155" s="246"/>
      <c r="AS155" s="654"/>
      <c r="AT155" s="254" t="str">
        <f t="shared" si="32"/>
        <v/>
      </c>
      <c r="AU155" s="269"/>
      <c r="AV155" s="269"/>
    </row>
    <row r="156">
      <c r="A156" s="94"/>
      <c r="B156" s="636"/>
      <c r="C156" s="637"/>
      <c r="D156" s="269"/>
      <c r="E156" s="638"/>
      <c r="F156" s="446"/>
      <c r="G156" s="246"/>
      <c r="H156" s="446"/>
      <c r="I156" s="246"/>
      <c r="J156" s="446"/>
      <c r="K156" s="246"/>
      <c r="L156" s="462"/>
      <c r="M156" s="446"/>
      <c r="N156" s="246"/>
      <c r="O156" s="446"/>
      <c r="P156" s="246"/>
      <c r="Q156" s="446"/>
      <c r="R156" s="246"/>
      <c r="S156" s="462"/>
      <c r="T156" s="446"/>
      <c r="U156" s="246"/>
      <c r="V156" s="446"/>
      <c r="W156" s="246"/>
      <c r="X156" s="446"/>
      <c r="Y156" s="246"/>
      <c r="Z156" s="462"/>
      <c r="AA156" s="446"/>
      <c r="AB156" s="246"/>
      <c r="AC156" s="446"/>
      <c r="AD156" s="246"/>
      <c r="AE156" s="446"/>
      <c r="AF156" s="246"/>
      <c r="AG156" s="462"/>
      <c r="AH156" s="446"/>
      <c r="AI156" s="246"/>
      <c r="AJ156" s="446"/>
      <c r="AK156" s="246"/>
      <c r="AL156" s="446"/>
      <c r="AM156" s="246"/>
      <c r="AN156" s="462"/>
      <c r="AO156" s="446"/>
      <c r="AP156" s="246"/>
      <c r="AQ156" s="446"/>
      <c r="AR156" s="246"/>
      <c r="AS156" s="446"/>
      <c r="AT156" s="254"/>
      <c r="AU156" s="269"/>
      <c r="AV156" s="269"/>
    </row>
    <row r="157">
      <c r="A157" s="94"/>
      <c r="B157" s="454" t="s">
        <v>735</v>
      </c>
      <c r="C157" s="455" t="s">
        <v>736</v>
      </c>
      <c r="D157" s="363"/>
      <c r="E157" s="259"/>
      <c r="F157" s="441"/>
      <c r="G157" s="246"/>
      <c r="H157" s="441"/>
      <c r="I157" s="246"/>
      <c r="J157" s="405" t="s">
        <v>462</v>
      </c>
      <c r="K157" s="246"/>
      <c r="L157" s="261"/>
      <c r="M157" s="441"/>
      <c r="N157" s="246"/>
      <c r="O157" s="441"/>
      <c r="P157" s="246"/>
      <c r="Q157" s="441"/>
      <c r="R157" s="246"/>
      <c r="S157" s="261"/>
      <c r="T157" s="441"/>
      <c r="U157" s="246"/>
      <c r="V157" s="441"/>
      <c r="W157" s="246"/>
      <c r="X157" s="405" t="s">
        <v>462</v>
      </c>
      <c r="Y157" s="246"/>
      <c r="Z157" s="261"/>
      <c r="AA157" s="441"/>
      <c r="AB157" s="246"/>
      <c r="AC157" s="441"/>
      <c r="AD157" s="246"/>
      <c r="AE157" s="441"/>
      <c r="AF157" s="246"/>
      <c r="AG157" s="261"/>
      <c r="AH157" s="441"/>
      <c r="AI157" s="246"/>
      <c r="AJ157" s="441"/>
      <c r="AK157" s="246"/>
      <c r="AL157" s="405" t="s">
        <v>462</v>
      </c>
      <c r="AM157" s="246"/>
      <c r="AN157" s="261"/>
      <c r="AO157" s="441"/>
      <c r="AP157" s="246"/>
      <c r="AQ157" s="441"/>
      <c r="AR157" s="246"/>
      <c r="AS157" s="441"/>
      <c r="AT157" s="254" t="str">
        <f t="shared" ref="AT157:AT159" si="33">IF(COUNTIF($AO$80:$AT$82, AS157) &gt; 0, "X", "")</f>
        <v/>
      </c>
      <c r="AU157" s="269"/>
      <c r="AV157" s="269"/>
    </row>
    <row r="158">
      <c r="A158" s="94"/>
      <c r="B158" s="454" t="s">
        <v>735</v>
      </c>
      <c r="C158" s="442" t="s">
        <v>736</v>
      </c>
      <c r="D158" s="363"/>
      <c r="E158" s="259"/>
      <c r="F158" s="456"/>
      <c r="G158" s="246"/>
      <c r="H158" s="456"/>
      <c r="I158" s="246"/>
      <c r="J158" s="766" t="s">
        <v>529</v>
      </c>
      <c r="K158" s="246"/>
      <c r="L158" s="261"/>
      <c r="M158" s="456"/>
      <c r="N158" s="246"/>
      <c r="O158" s="456"/>
      <c r="P158" s="246"/>
      <c r="Q158" s="766" t="s">
        <v>529</v>
      </c>
      <c r="R158" s="246"/>
      <c r="S158" s="261"/>
      <c r="T158" s="456"/>
      <c r="U158" s="246"/>
      <c r="V158" s="456"/>
      <c r="W158" s="246"/>
      <c r="X158" s="766" t="s">
        <v>529</v>
      </c>
      <c r="Y158" s="246"/>
      <c r="Z158" s="261"/>
      <c r="AA158" s="456"/>
      <c r="AB158" s="246"/>
      <c r="AC158" s="456"/>
      <c r="AD158" s="246"/>
      <c r="AE158" s="766" t="s">
        <v>529</v>
      </c>
      <c r="AF158" s="246"/>
      <c r="AG158" s="261"/>
      <c r="AH158" s="456"/>
      <c r="AI158" s="246"/>
      <c r="AJ158" s="456"/>
      <c r="AK158" s="246"/>
      <c r="AL158" s="766" t="s">
        <v>529</v>
      </c>
      <c r="AM158" s="246"/>
      <c r="AN158" s="261"/>
      <c r="AO158" s="456"/>
      <c r="AP158" s="246"/>
      <c r="AQ158" s="456"/>
      <c r="AR158" s="246"/>
      <c r="AS158" s="456"/>
      <c r="AT158" s="254" t="str">
        <f t="shared" si="33"/>
        <v/>
      </c>
      <c r="AU158" s="269"/>
      <c r="AV158" s="269"/>
    </row>
    <row r="159">
      <c r="A159" s="94"/>
      <c r="B159" s="457" t="s">
        <v>735</v>
      </c>
      <c r="C159" s="458" t="s">
        <v>737</v>
      </c>
      <c r="D159" s="363"/>
      <c r="E159" s="259"/>
      <c r="F159" s="406"/>
      <c r="G159" s="246"/>
      <c r="H159" s="406"/>
      <c r="I159" s="246"/>
      <c r="J159" s="406"/>
      <c r="K159" s="246"/>
      <c r="L159" s="261"/>
      <c r="M159" s="406"/>
      <c r="N159" s="246"/>
      <c r="O159" s="406"/>
      <c r="P159" s="246"/>
      <c r="Q159" s="406"/>
      <c r="R159" s="246"/>
      <c r="S159" s="261"/>
      <c r="T159" s="406"/>
      <c r="U159" s="246"/>
      <c r="V159" s="406"/>
      <c r="W159" s="246"/>
      <c r="X159" s="406"/>
      <c r="Y159" s="246"/>
      <c r="Z159" s="261"/>
      <c r="AA159" s="406"/>
      <c r="AB159" s="246"/>
      <c r="AC159" s="406"/>
      <c r="AD159" s="246"/>
      <c r="AE159" s="406"/>
      <c r="AF159" s="246"/>
      <c r="AG159" s="261"/>
      <c r="AH159" s="406"/>
      <c r="AI159" s="246"/>
      <c r="AJ159" s="406"/>
      <c r="AK159" s="246"/>
      <c r="AL159" s="406"/>
      <c r="AM159" s="246"/>
      <c r="AN159" s="261"/>
      <c r="AO159" s="406"/>
      <c r="AP159" s="246"/>
      <c r="AQ159" s="406"/>
      <c r="AR159" s="246"/>
      <c r="AS159" s="406"/>
      <c r="AT159" s="254" t="str">
        <f t="shared" si="33"/>
        <v/>
      </c>
      <c r="AU159" s="269"/>
      <c r="AV159" s="269"/>
    </row>
    <row r="160">
      <c r="A160" s="94"/>
      <c r="B160" s="459"/>
      <c r="C160" s="460" t="s">
        <v>738</v>
      </c>
      <c r="D160" s="363"/>
      <c r="E160" s="259"/>
      <c r="F160" s="461" t="s">
        <v>1067</v>
      </c>
      <c r="G160" s="246"/>
      <c r="H160" s="132"/>
      <c r="I160" s="246"/>
      <c r="J160" s="132"/>
      <c r="K160" s="246"/>
      <c r="L160" s="462"/>
      <c r="M160" s="461" t="s">
        <v>1068</v>
      </c>
      <c r="N160" s="246"/>
      <c r="O160" s="132"/>
      <c r="P160" s="246"/>
      <c r="Q160" s="132"/>
      <c r="R160" s="246"/>
      <c r="S160" s="462"/>
      <c r="T160" s="461"/>
      <c r="U160" s="246"/>
      <c r="V160" s="132"/>
      <c r="W160" s="246"/>
      <c r="X160" s="132"/>
      <c r="Y160" s="246"/>
      <c r="Z160" s="462"/>
      <c r="AA160" s="461" t="s">
        <v>499</v>
      </c>
      <c r="AB160" s="246"/>
      <c r="AC160" s="132"/>
      <c r="AD160" s="246"/>
      <c r="AE160" s="132"/>
      <c r="AF160" s="246"/>
      <c r="AG160" s="462"/>
      <c r="AH160" s="461" t="s">
        <v>1069</v>
      </c>
      <c r="AI160" s="246"/>
      <c r="AJ160" s="132"/>
      <c r="AK160" s="246"/>
      <c r="AL160" s="132"/>
      <c r="AM160" s="246"/>
      <c r="AN160" s="462"/>
      <c r="AO160" s="461" t="s">
        <v>1070</v>
      </c>
      <c r="AP160" s="246"/>
      <c r="AQ160" s="132"/>
      <c r="AR160" s="246"/>
      <c r="AS160" s="132"/>
      <c r="AT160" s="460"/>
      <c r="AU160" s="269"/>
      <c r="AV160" s="269"/>
    </row>
    <row r="161">
      <c r="A161" s="270"/>
      <c r="B161" s="459"/>
      <c r="C161" s="460" t="s">
        <v>738</v>
      </c>
      <c r="D161" s="363"/>
      <c r="E161" s="259"/>
      <c r="F161" s="461"/>
      <c r="G161" s="246"/>
      <c r="H161" s="132"/>
      <c r="I161" s="246"/>
      <c r="J161" s="132"/>
      <c r="K161" s="246"/>
      <c r="L161" s="462"/>
      <c r="M161" s="461"/>
      <c r="N161" s="246"/>
      <c r="O161" s="132"/>
      <c r="P161" s="246"/>
      <c r="Q161" s="132"/>
      <c r="R161" s="246"/>
      <c r="S161" s="462"/>
      <c r="T161" s="461"/>
      <c r="U161" s="246"/>
      <c r="V161" s="132"/>
      <c r="W161" s="246"/>
      <c r="X161" s="132"/>
      <c r="Y161" s="246"/>
      <c r="Z161" s="462"/>
      <c r="AA161" s="461"/>
      <c r="AB161" s="246"/>
      <c r="AC161" s="132"/>
      <c r="AD161" s="246"/>
      <c r="AE161" s="132"/>
      <c r="AF161" s="246"/>
      <c r="AG161" s="462"/>
      <c r="AH161" s="461"/>
      <c r="AI161" s="246"/>
      <c r="AJ161" s="132"/>
      <c r="AK161" s="246"/>
      <c r="AL161" s="132"/>
      <c r="AM161" s="246"/>
      <c r="AN161" s="462"/>
      <c r="AO161" s="461"/>
      <c r="AP161" s="246"/>
      <c r="AQ161" s="132"/>
      <c r="AR161" s="246"/>
      <c r="AS161" s="132"/>
      <c r="AT161" s="460"/>
      <c r="AU161" s="236"/>
      <c r="AV161" s="236"/>
    </row>
    <row r="162">
      <c r="A162" s="236"/>
      <c r="B162" s="459"/>
      <c r="C162" s="460" t="s">
        <v>738</v>
      </c>
      <c r="D162" s="363"/>
      <c r="E162" s="259"/>
      <c r="F162" s="461" t="s">
        <v>1071</v>
      </c>
      <c r="G162" s="246"/>
      <c r="H162" s="132"/>
      <c r="I162" s="246"/>
      <c r="J162" s="132"/>
      <c r="K162" s="246"/>
      <c r="L162" s="462"/>
      <c r="M162" s="461" t="s">
        <v>1072</v>
      </c>
      <c r="N162" s="246"/>
      <c r="O162" s="132"/>
      <c r="P162" s="246"/>
      <c r="Q162" s="132"/>
      <c r="R162" s="246"/>
      <c r="S162" s="462"/>
      <c r="T162" s="461" t="s">
        <v>1071</v>
      </c>
      <c r="U162" s="246"/>
      <c r="V162" s="132"/>
      <c r="W162" s="246"/>
      <c r="X162" s="132"/>
      <c r="Y162" s="246"/>
      <c r="Z162" s="462"/>
      <c r="AA162" s="461" t="s">
        <v>1071</v>
      </c>
      <c r="AB162" s="246"/>
      <c r="AC162" s="132"/>
      <c r="AD162" s="246"/>
      <c r="AE162" s="132"/>
      <c r="AF162" s="246"/>
      <c r="AG162" s="462"/>
      <c r="AH162" s="461" t="s">
        <v>1071</v>
      </c>
      <c r="AI162" s="246"/>
      <c r="AJ162" s="132"/>
      <c r="AK162" s="246"/>
      <c r="AL162" s="132"/>
      <c r="AM162" s="246"/>
      <c r="AN162" s="462"/>
      <c r="AO162" s="461" t="s">
        <v>1073</v>
      </c>
      <c r="AP162" s="246"/>
      <c r="AQ162" s="132"/>
      <c r="AR162" s="246"/>
      <c r="AS162" s="132"/>
      <c r="AT162" s="460"/>
      <c r="AU162" s="236"/>
      <c r="AV162" s="236"/>
    </row>
    <row r="163">
      <c r="A163" s="182"/>
      <c r="B163" s="183" t="s">
        <v>778</v>
      </c>
      <c r="C163" s="184" t="s">
        <v>605</v>
      </c>
      <c r="D163" s="185" t="s">
        <v>486</v>
      </c>
      <c r="E163" s="186"/>
      <c r="F163" s="185" t="s">
        <v>487</v>
      </c>
      <c r="M163" s="185" t="s">
        <v>488</v>
      </c>
      <c r="T163" s="185" t="s">
        <v>489</v>
      </c>
      <c r="AA163" s="185" t="s">
        <v>490</v>
      </c>
      <c r="AH163" s="185" t="s">
        <v>491</v>
      </c>
      <c r="AO163" s="185" t="s">
        <v>492</v>
      </c>
      <c r="AU163" s="182"/>
      <c r="AV163" s="182"/>
    </row>
    <row r="164">
      <c r="A164" s="182"/>
      <c r="B164" s="187"/>
      <c r="C164" s="187"/>
      <c r="D164" s="188">
        <f>AO84+1</f>
        <v>14</v>
      </c>
      <c r="E164" s="189"/>
      <c r="F164" s="188">
        <f>D164+1</f>
        <v>15</v>
      </c>
      <c r="M164" s="188">
        <f>F164+1</f>
        <v>16</v>
      </c>
      <c r="T164" s="188">
        <f>M164+1</f>
        <v>17</v>
      </c>
      <c r="AA164" s="188">
        <f>T164+1</f>
        <v>18</v>
      </c>
      <c r="AH164" s="188">
        <f>AA164+1</f>
        <v>19</v>
      </c>
      <c r="AO164" s="188">
        <f>AH164+1</f>
        <v>20</v>
      </c>
      <c r="AU164" s="182"/>
      <c r="AV164" s="182"/>
    </row>
    <row r="165">
      <c r="A165" s="182"/>
      <c r="B165" s="193" t="s">
        <v>608</v>
      </c>
      <c r="C165" s="193" t="s">
        <v>609</v>
      </c>
      <c r="D165" s="187"/>
      <c r="E165" s="189"/>
      <c r="F165" s="194" t="s">
        <v>610</v>
      </c>
      <c r="G165" s="195"/>
      <c r="H165" s="193" t="s">
        <v>611</v>
      </c>
      <c r="J165" s="194" t="s">
        <v>612</v>
      </c>
      <c r="M165" s="194" t="s">
        <v>610</v>
      </c>
      <c r="N165" s="195"/>
      <c r="O165" s="193" t="s">
        <v>611</v>
      </c>
      <c r="P165" s="195"/>
      <c r="Q165" s="194" t="s">
        <v>612</v>
      </c>
      <c r="S165" s="193"/>
      <c r="T165" s="194" t="s">
        <v>610</v>
      </c>
      <c r="U165" s="195"/>
      <c r="V165" s="193" t="s">
        <v>611</v>
      </c>
      <c r="W165" s="195"/>
      <c r="X165" s="194" t="s">
        <v>612</v>
      </c>
      <c r="Z165" s="193"/>
      <c r="AA165" s="194" t="s">
        <v>610</v>
      </c>
      <c r="AB165" s="195"/>
      <c r="AC165" s="193" t="s">
        <v>611</v>
      </c>
      <c r="AD165" s="195"/>
      <c r="AE165" s="194" t="s">
        <v>612</v>
      </c>
      <c r="AG165" s="193"/>
      <c r="AH165" s="194" t="s">
        <v>610</v>
      </c>
      <c r="AI165" s="195"/>
      <c r="AJ165" s="193" t="s">
        <v>611</v>
      </c>
      <c r="AK165" s="195"/>
      <c r="AL165" s="194" t="s">
        <v>612</v>
      </c>
      <c r="AN165" s="193"/>
      <c r="AO165" s="194" t="s">
        <v>610</v>
      </c>
      <c r="AP165" s="195"/>
      <c r="AQ165" s="193" t="s">
        <v>611</v>
      </c>
      <c r="AR165" s="195"/>
      <c r="AS165" s="194" t="s">
        <v>612</v>
      </c>
      <c r="AU165" s="182"/>
      <c r="AV165" s="182"/>
    </row>
    <row r="166">
      <c r="A166" s="199"/>
      <c r="B166" s="200" t="s">
        <v>620</v>
      </c>
      <c r="C166" s="201"/>
      <c r="D166" s="203"/>
      <c r="E166" s="202"/>
      <c r="F166" s="203"/>
      <c r="G166" s="204"/>
      <c r="H166" s="203"/>
      <c r="I166" s="204"/>
      <c r="J166" s="203"/>
      <c r="K166" s="204"/>
      <c r="L166" s="205"/>
      <c r="M166" s="203"/>
      <c r="N166" s="204"/>
      <c r="O166" s="203"/>
      <c r="P166" s="204"/>
      <c r="Q166" s="203"/>
      <c r="R166" s="204"/>
      <c r="S166" s="205"/>
      <c r="T166" s="203"/>
      <c r="U166" s="204"/>
      <c r="V166" s="682" t="s">
        <v>1014</v>
      </c>
      <c r="W166" s="204"/>
      <c r="X166" s="203"/>
      <c r="Y166" s="204"/>
      <c r="Z166" s="205"/>
      <c r="AA166" s="203"/>
      <c r="AB166" s="204"/>
      <c r="AC166" s="203"/>
      <c r="AD166" s="204"/>
      <c r="AE166" s="203"/>
      <c r="AF166" s="204"/>
      <c r="AG166" s="205"/>
      <c r="AH166" s="203"/>
      <c r="AI166" s="204"/>
      <c r="AJ166" s="203"/>
      <c r="AK166" s="204"/>
      <c r="AL166" s="203"/>
      <c r="AM166" s="204"/>
      <c r="AN166" s="205"/>
      <c r="AO166" s="203"/>
      <c r="AP166" s="204"/>
      <c r="AQ166" s="203"/>
      <c r="AR166" s="204"/>
      <c r="AS166" s="203"/>
      <c r="AT166" s="204"/>
      <c r="AU166" s="199"/>
      <c r="AV166" s="199"/>
    </row>
    <row r="167">
      <c r="A167" s="234"/>
      <c r="B167" s="235" t="s">
        <v>608</v>
      </c>
      <c r="C167" s="195" t="s">
        <v>609</v>
      </c>
      <c r="D167" s="236"/>
      <c r="E167" s="237"/>
      <c r="F167" s="238"/>
      <c r="G167" s="182"/>
      <c r="H167" s="238"/>
      <c r="I167" s="239"/>
      <c r="J167" s="238"/>
      <c r="K167" s="239"/>
      <c r="L167" s="237"/>
      <c r="M167" s="238"/>
      <c r="N167" s="182"/>
      <c r="O167" s="238"/>
      <c r="P167" s="239"/>
      <c r="Q167" s="238"/>
      <c r="R167" s="239"/>
      <c r="S167" s="237"/>
      <c r="T167" s="238"/>
      <c r="U167" s="182"/>
      <c r="V167" s="238"/>
      <c r="W167" s="239"/>
      <c r="X167" s="238"/>
      <c r="Y167" s="239"/>
      <c r="Z167" s="237"/>
      <c r="AA167" s="238"/>
      <c r="AB167" s="182"/>
      <c r="AC167" s="238"/>
      <c r="AD167" s="239"/>
      <c r="AE167" s="238"/>
      <c r="AF167" s="239"/>
      <c r="AG167" s="237"/>
      <c r="AH167" s="238"/>
      <c r="AI167" s="182"/>
      <c r="AJ167" s="238"/>
      <c r="AK167" s="239"/>
      <c r="AL167" s="238"/>
      <c r="AM167" s="239"/>
      <c r="AN167" s="237"/>
      <c r="AO167" s="238"/>
      <c r="AP167" s="182"/>
      <c r="AQ167" s="238"/>
      <c r="AR167" s="239"/>
      <c r="AS167" s="238"/>
      <c r="AT167" s="239"/>
      <c r="AU167" s="236"/>
      <c r="AV167" s="236"/>
    </row>
    <row r="168">
      <c r="A168" s="240"/>
      <c r="B168" s="241" t="s">
        <v>638</v>
      </c>
      <c r="C168" s="242" t="s">
        <v>639</v>
      </c>
      <c r="D168" s="243"/>
      <c r="E168" s="244"/>
      <c r="F168" s="371"/>
      <c r="G168" s="246"/>
      <c r="H168" s="274" t="s">
        <v>419</v>
      </c>
      <c r="I168" s="246"/>
      <c r="K168" s="246"/>
      <c r="L168" s="249"/>
      <c r="M168" s="250"/>
      <c r="N168" s="246"/>
      <c r="P168" s="246"/>
      <c r="Q168" s="251" t="s">
        <v>405</v>
      </c>
      <c r="R168" s="246"/>
      <c r="S168" s="249"/>
      <c r="T168" s="250"/>
      <c r="U168" s="246"/>
      <c r="W168" s="246"/>
      <c r="X168" s="251" t="s">
        <v>405</v>
      </c>
      <c r="Y168" s="246"/>
      <c r="Z168" s="249"/>
      <c r="AA168" s="250"/>
      <c r="AB168" s="246"/>
      <c r="AC168" s="282"/>
      <c r="AD168" s="246"/>
      <c r="AF168" s="246"/>
      <c r="AG168" s="249"/>
      <c r="AH168" s="371"/>
      <c r="AI168" s="246"/>
      <c r="AJ168" s="282"/>
      <c r="AK168" s="246"/>
      <c r="AL168" s="274"/>
      <c r="AM168" s="246"/>
      <c r="AN168" s="249"/>
      <c r="AO168" s="286"/>
      <c r="AP168" s="246"/>
      <c r="AQ168" s="781" t="s">
        <v>1074</v>
      </c>
      <c r="AR168" s="246"/>
      <c r="AT168" s="254" t="str">
        <f>IF(COUNTIF($AO$80:$AT$82, #REF!) &gt; 0, "X", "")</f>
        <v/>
      </c>
      <c r="AU168" s="255"/>
      <c r="AV168" s="255"/>
    </row>
    <row r="169">
      <c r="A169" s="94"/>
      <c r="B169" s="256" t="s">
        <v>638</v>
      </c>
      <c r="C169" s="257" t="s">
        <v>639</v>
      </c>
      <c r="D169" s="258"/>
      <c r="E169" s="259"/>
      <c r="F169" s="371"/>
      <c r="G169" s="246"/>
      <c r="H169" s="426"/>
      <c r="I169" s="246"/>
      <c r="J169" s="274" t="s">
        <v>414</v>
      </c>
      <c r="K169" s="246"/>
      <c r="L169" s="249"/>
      <c r="M169" s="250"/>
      <c r="N169" s="246"/>
      <c r="P169" s="246"/>
      <c r="R169" s="246"/>
      <c r="S169" s="249"/>
      <c r="T169" s="250"/>
      <c r="U169" s="246"/>
      <c r="V169" s="282"/>
      <c r="W169" s="246"/>
      <c r="X169" s="274" t="s">
        <v>414</v>
      </c>
      <c r="Y169" s="246"/>
      <c r="Z169" s="249"/>
      <c r="AA169" s="250"/>
      <c r="AB169" s="246"/>
      <c r="AC169" s="282"/>
      <c r="AD169" s="246"/>
      <c r="AE169" s="274" t="s">
        <v>419</v>
      </c>
      <c r="AF169" s="246"/>
      <c r="AG169" s="249"/>
      <c r="AH169" s="371"/>
      <c r="AI169" s="246"/>
      <c r="AJ169" s="282"/>
      <c r="AK169" s="246"/>
      <c r="AM169" s="246"/>
      <c r="AN169" s="249"/>
      <c r="AO169" s="286"/>
      <c r="AP169" s="246"/>
      <c r="AQ169" s="251" t="s">
        <v>440</v>
      </c>
      <c r="AR169" s="246"/>
      <c r="AT169" s="254" t="str">
        <f>IF(COUNTIF($AO$80:$AT$82, AS175) &gt; 0, "X", "")</f>
        <v/>
      </c>
      <c r="AU169" s="269"/>
      <c r="AV169" s="269"/>
    </row>
    <row r="170">
      <c r="A170" s="270"/>
      <c r="B170" s="271" t="s">
        <v>642</v>
      </c>
      <c r="C170" s="272" t="s">
        <v>639</v>
      </c>
      <c r="D170" s="258"/>
      <c r="E170" s="259"/>
      <c r="F170" s="426"/>
      <c r="G170" s="246"/>
      <c r="H170" s="426"/>
      <c r="I170" s="246"/>
      <c r="K170" s="246"/>
      <c r="L170" s="261"/>
      <c r="M170" s="262"/>
      <c r="N170" s="246"/>
      <c r="O170" s="265"/>
      <c r="P170" s="246"/>
      <c r="R170" s="246"/>
      <c r="S170" s="261"/>
      <c r="T170" s="262"/>
      <c r="U170" s="246"/>
      <c r="V170" s="340" t="s">
        <v>406</v>
      </c>
      <c r="W170" s="246"/>
      <c r="Y170" s="246"/>
      <c r="Z170" s="261"/>
      <c r="AA170" s="262"/>
      <c r="AB170" s="246"/>
      <c r="AC170" s="265"/>
      <c r="AD170" s="246"/>
      <c r="AE170" s="274" t="s">
        <v>414</v>
      </c>
      <c r="AF170" s="246"/>
      <c r="AG170" s="261"/>
      <c r="AH170" s="426"/>
      <c r="AI170" s="246"/>
      <c r="AJ170" s="265"/>
      <c r="AK170" s="246"/>
      <c r="AM170" s="246"/>
      <c r="AN170" s="261"/>
      <c r="AO170" s="262"/>
      <c r="AP170" s="246"/>
      <c r="AQ170" s="586" t="s">
        <v>397</v>
      </c>
      <c r="AR170" s="246"/>
      <c r="AT170" s="254" t="str">
        <f>IF(COUNTIF($AO$80:$AT$82, #REF!) &gt; 0, "X", "")</f>
        <v/>
      </c>
      <c r="AU170" s="269"/>
      <c r="AV170" s="269"/>
    </row>
    <row r="171">
      <c r="A171" s="234"/>
      <c r="B171" s="277" t="s">
        <v>644</v>
      </c>
      <c r="C171" s="278" t="s">
        <v>645</v>
      </c>
      <c r="D171" s="258"/>
      <c r="E171" s="259"/>
      <c r="F171" s="281"/>
      <c r="G171" s="246"/>
      <c r="H171" s="280" t="s">
        <v>400</v>
      </c>
      <c r="I171" s="246"/>
      <c r="J171" s="282"/>
      <c r="K171" s="246"/>
      <c r="L171" s="261"/>
      <c r="M171" s="250"/>
      <c r="N171" s="246"/>
      <c r="O171" s="280" t="s">
        <v>400</v>
      </c>
      <c r="P171" s="246"/>
      <c r="Q171" s="282"/>
      <c r="R171" s="246"/>
      <c r="S171" s="261"/>
      <c r="T171" s="250"/>
      <c r="U171" s="246"/>
      <c r="W171" s="246"/>
      <c r="X171" s="280" t="s">
        <v>400</v>
      </c>
      <c r="Y171" s="246"/>
      <c r="Z171" s="261"/>
      <c r="AA171" s="250"/>
      <c r="AB171" s="246"/>
      <c r="AC171" s="281"/>
      <c r="AD171" s="246"/>
      <c r="AE171" s="280" t="s">
        <v>400</v>
      </c>
      <c r="AF171" s="246"/>
      <c r="AG171" s="261"/>
      <c r="AH171" s="280" t="s">
        <v>400</v>
      </c>
      <c r="AI171" s="246"/>
      <c r="AK171" s="246"/>
      <c r="AL171" s="281"/>
      <c r="AM171" s="246"/>
      <c r="AN171" s="261"/>
      <c r="AO171" s="250"/>
      <c r="AP171" s="246"/>
      <c r="AQ171" s="311" t="s">
        <v>432</v>
      </c>
      <c r="AR171" s="246"/>
      <c r="AT171" s="254" t="str">
        <f>IF(COUNTIF($AO$80:$AT$82, AO172) &gt; 0, "X", "")</f>
        <v/>
      </c>
      <c r="AU171" s="269"/>
      <c r="AV171" s="269"/>
    </row>
    <row r="172">
      <c r="A172" s="94"/>
      <c r="B172" s="256" t="s">
        <v>757</v>
      </c>
      <c r="C172" s="257" t="s">
        <v>645</v>
      </c>
      <c r="D172" s="258"/>
      <c r="E172" s="259"/>
      <c r="F172" s="274" t="s">
        <v>402</v>
      </c>
      <c r="G172" s="246"/>
      <c r="H172" s="371"/>
      <c r="I172" s="246"/>
      <c r="J172" s="371"/>
      <c r="K172" s="246"/>
      <c r="L172" s="261"/>
      <c r="M172" s="250"/>
      <c r="N172" s="246"/>
      <c r="O172" s="280" t="s">
        <v>402</v>
      </c>
      <c r="P172" s="246"/>
      <c r="R172" s="246"/>
      <c r="S172" s="261"/>
      <c r="T172" s="250"/>
      <c r="U172" s="246"/>
      <c r="V172" s="371"/>
      <c r="W172" s="246"/>
      <c r="X172" s="274" t="s">
        <v>402</v>
      </c>
      <c r="Y172" s="246"/>
      <c r="Z172" s="261"/>
      <c r="AA172" s="250"/>
      <c r="AB172" s="246"/>
      <c r="AC172" s="274" t="s">
        <v>402</v>
      </c>
      <c r="AD172" s="246"/>
      <c r="AE172" s="282"/>
      <c r="AF172" s="246"/>
      <c r="AG172" s="261"/>
      <c r="AH172" s="371"/>
      <c r="AI172" s="246"/>
      <c r="AJ172" s="371"/>
      <c r="AK172" s="246"/>
      <c r="AL172" s="274" t="s">
        <v>402</v>
      </c>
      <c r="AM172" s="246"/>
      <c r="AN172" s="261"/>
      <c r="AO172" s="332"/>
      <c r="AP172" s="246"/>
      <c r="AQ172" s="252"/>
      <c r="AR172" s="246"/>
      <c r="AS172" s="252"/>
      <c r="AT172" s="254" t="str">
        <f>IF(COUNTIF($AO$80:$AT$82, AS174) &gt; 0, "X", "")</f>
        <v/>
      </c>
      <c r="AU172" s="269"/>
      <c r="AV172" s="269"/>
    </row>
    <row r="173">
      <c r="A173" s="94"/>
      <c r="B173" s="284" t="s">
        <v>646</v>
      </c>
      <c r="C173" s="285" t="s">
        <v>647</v>
      </c>
      <c r="D173" s="258"/>
      <c r="E173" s="259"/>
      <c r="F173" s="251" t="s">
        <v>427</v>
      </c>
      <c r="G173" s="246"/>
      <c r="H173" s="399"/>
      <c r="I173" s="246"/>
      <c r="J173" s="399"/>
      <c r="K173" s="246"/>
      <c r="L173" s="261"/>
      <c r="M173" s="324"/>
      <c r="N173" s="246"/>
      <c r="O173" s="399"/>
      <c r="P173" s="246"/>
      <c r="Q173" s="287" t="s">
        <v>427</v>
      </c>
      <c r="R173" s="246"/>
      <c r="S173" s="261"/>
      <c r="T173" s="324"/>
      <c r="U173" s="246"/>
      <c r="W173" s="246"/>
      <c r="X173" s="251" t="s">
        <v>427</v>
      </c>
      <c r="Y173" s="246"/>
      <c r="Z173" s="261"/>
      <c r="AA173" s="324"/>
      <c r="AB173" s="246"/>
      <c r="AD173" s="246"/>
      <c r="AE173" s="251" t="s">
        <v>427</v>
      </c>
      <c r="AF173" s="246"/>
      <c r="AG173" s="261"/>
      <c r="AH173" s="251" t="s">
        <v>427</v>
      </c>
      <c r="AI173" s="246"/>
      <c r="AJ173" s="282"/>
      <c r="AK173" s="246"/>
      <c r="AL173" s="282"/>
      <c r="AM173" s="246"/>
      <c r="AN173" s="261"/>
      <c r="AO173" s="250"/>
      <c r="AP173" s="246"/>
      <c r="AQ173" s="252"/>
      <c r="AR173" s="246"/>
      <c r="AS173" s="252"/>
      <c r="AT173" s="254" t="str">
        <f t="shared" ref="AT173:AT175" si="34">IF(COUNTIF($AO$80:$AT$82, #REF!) &gt; 0, "X", "")</f>
        <v/>
      </c>
      <c r="AU173" s="269"/>
      <c r="AV173" s="269"/>
    </row>
    <row r="174">
      <c r="A174" s="270"/>
      <c r="B174" s="291" t="s">
        <v>648</v>
      </c>
      <c r="C174" s="292" t="s">
        <v>649</v>
      </c>
      <c r="D174" s="258"/>
      <c r="E174" s="259"/>
      <c r="F174" s="294"/>
      <c r="G174" s="246"/>
      <c r="H174" s="293"/>
      <c r="I174" s="246"/>
      <c r="J174" s="294"/>
      <c r="K174" s="246"/>
      <c r="L174" s="261"/>
      <c r="M174" s="250"/>
      <c r="N174" s="246"/>
      <c r="O174" s="293" t="s">
        <v>418</v>
      </c>
      <c r="P174" s="246"/>
      <c r="Q174" s="294"/>
      <c r="R174" s="246"/>
      <c r="S174" s="261"/>
      <c r="T174" s="250"/>
      <c r="U174" s="246"/>
      <c r="V174" s="294"/>
      <c r="W174" s="246"/>
      <c r="X174" s="293" t="s">
        <v>418</v>
      </c>
      <c r="Y174" s="246"/>
      <c r="Z174" s="261"/>
      <c r="AA174" s="250"/>
      <c r="AB174" s="246"/>
      <c r="AC174" s="294"/>
      <c r="AD174" s="246"/>
      <c r="AE174" s="293" t="s">
        <v>418</v>
      </c>
      <c r="AF174" s="246"/>
      <c r="AG174" s="261"/>
      <c r="AH174" s="294"/>
      <c r="AI174" s="246"/>
      <c r="AJ174" s="293" t="s">
        <v>418</v>
      </c>
      <c r="AK174" s="246"/>
      <c r="AL174" s="294"/>
      <c r="AM174" s="246"/>
      <c r="AN174" s="261"/>
      <c r="AO174" s="250"/>
      <c r="AP174" s="246"/>
      <c r="AQ174" s="293" t="s">
        <v>418</v>
      </c>
      <c r="AR174" s="246"/>
      <c r="AS174" s="294"/>
      <c r="AT174" s="254" t="str">
        <f t="shared" si="34"/>
        <v/>
      </c>
      <c r="AU174" s="269"/>
      <c r="AV174" s="269"/>
    </row>
    <row r="175">
      <c r="A175" s="94"/>
      <c r="B175" s="296" t="s">
        <v>650</v>
      </c>
      <c r="C175" s="297" t="s">
        <v>649</v>
      </c>
      <c r="D175" s="258"/>
      <c r="E175" s="259"/>
      <c r="F175" s="299"/>
      <c r="G175" s="298"/>
      <c r="H175" s="299"/>
      <c r="I175" s="298"/>
      <c r="J175" s="299"/>
      <c r="K175" s="298"/>
      <c r="L175" s="261"/>
      <c r="M175" s="250"/>
      <c r="N175" s="298"/>
      <c r="O175" s="299"/>
      <c r="P175" s="298"/>
      <c r="Q175" s="299"/>
      <c r="R175" s="298"/>
      <c r="S175" s="261"/>
      <c r="T175" s="250"/>
      <c r="U175" s="298"/>
      <c r="V175" s="299"/>
      <c r="W175" s="298"/>
      <c r="X175" s="299"/>
      <c r="Y175" s="298"/>
      <c r="Z175" s="261"/>
      <c r="AA175" s="250"/>
      <c r="AB175" s="298"/>
      <c r="AC175" s="299"/>
      <c r="AD175" s="298"/>
      <c r="AE175" s="299"/>
      <c r="AF175" s="298"/>
      <c r="AG175" s="261"/>
      <c r="AH175" s="299"/>
      <c r="AI175" s="298"/>
      <c r="AJ175" s="299"/>
      <c r="AK175" s="298"/>
      <c r="AL175" s="299"/>
      <c r="AM175" s="298"/>
      <c r="AN175" s="261"/>
      <c r="AO175" s="250"/>
      <c r="AP175" s="298"/>
      <c r="AQ175" s="300"/>
      <c r="AR175" s="298"/>
      <c r="AS175" s="300"/>
      <c r="AT175" s="254" t="str">
        <f t="shared" si="34"/>
        <v/>
      </c>
      <c r="AU175" s="269"/>
      <c r="AV175" s="269"/>
    </row>
    <row r="176">
      <c r="A176" s="94"/>
      <c r="B176" s="301" t="s">
        <v>651</v>
      </c>
      <c r="C176" s="302" t="s">
        <v>652</v>
      </c>
      <c r="D176" s="243"/>
      <c r="E176" s="259"/>
      <c r="F176" s="303"/>
      <c r="G176" s="298"/>
      <c r="H176" s="303"/>
      <c r="I176" s="298"/>
      <c r="J176" s="303"/>
      <c r="K176" s="298"/>
      <c r="L176" s="261"/>
      <c r="M176" s="250"/>
      <c r="N176" s="298"/>
      <c r="O176" s="303"/>
      <c r="P176" s="298"/>
      <c r="Q176" s="303"/>
      <c r="R176" s="298"/>
      <c r="S176" s="261"/>
      <c r="T176" s="250"/>
      <c r="U176" s="298"/>
      <c r="V176" s="303"/>
      <c r="W176" s="298"/>
      <c r="X176" s="303"/>
      <c r="Y176" s="298"/>
      <c r="Z176" s="261"/>
      <c r="AA176" s="250"/>
      <c r="AB176" s="298"/>
      <c r="AC176" s="303"/>
      <c r="AD176" s="298"/>
      <c r="AE176" s="303"/>
      <c r="AF176" s="298"/>
      <c r="AG176" s="261"/>
      <c r="AH176" s="303"/>
      <c r="AI176" s="298"/>
      <c r="AJ176" s="303"/>
      <c r="AK176" s="298"/>
      <c r="AL176" s="303"/>
      <c r="AM176" s="298"/>
      <c r="AN176" s="261"/>
      <c r="AO176" s="250"/>
      <c r="AP176" s="298"/>
      <c r="AQ176" s="304"/>
      <c r="AR176" s="298"/>
      <c r="AS176" s="304"/>
      <c r="AT176" s="254" t="str">
        <f t="shared" ref="AT176:AT177" si="35">IF(COUNTIF($AO$80:$AT$82, AS177) &gt; 0, "X", "")</f>
        <v/>
      </c>
      <c r="AU176" s="269"/>
      <c r="AV176" s="269"/>
    </row>
    <row r="177">
      <c r="A177" s="94"/>
      <c r="B177" s="305" t="s">
        <v>653</v>
      </c>
      <c r="C177" s="306" t="s">
        <v>654</v>
      </c>
      <c r="D177" s="243"/>
      <c r="E177" s="259"/>
      <c r="F177" s="307"/>
      <c r="G177" s="298"/>
      <c r="H177" s="307"/>
      <c r="I177" s="298"/>
      <c r="J177" s="307"/>
      <c r="K177" s="298"/>
      <c r="L177" s="261"/>
      <c r="M177" s="250"/>
      <c r="N177" s="298"/>
      <c r="O177" s="274" t="s">
        <v>458</v>
      </c>
      <c r="P177" s="298"/>
      <c r="Q177" s="307"/>
      <c r="R177" s="298"/>
      <c r="S177" s="261"/>
      <c r="T177" s="250"/>
      <c r="U177" s="298"/>
      <c r="V177" s="307"/>
      <c r="W177" s="298"/>
      <c r="X177" s="307"/>
      <c r="Y177" s="298"/>
      <c r="Z177" s="261"/>
      <c r="AA177" s="250"/>
      <c r="AB177" s="298"/>
      <c r="AC177" s="307"/>
      <c r="AD177" s="298"/>
      <c r="AE177" s="307"/>
      <c r="AF177" s="298"/>
      <c r="AG177" s="261"/>
      <c r="AH177" s="307"/>
      <c r="AI177" s="298"/>
      <c r="AJ177" s="307"/>
      <c r="AK177" s="298"/>
      <c r="AL177" s="307"/>
      <c r="AM177" s="298"/>
      <c r="AN177" s="261"/>
      <c r="AO177" s="250"/>
      <c r="AP177" s="298"/>
      <c r="AQ177" s="307"/>
      <c r="AR177" s="298"/>
      <c r="AS177" s="307"/>
      <c r="AT177" s="254" t="str">
        <f t="shared" si="35"/>
        <v/>
      </c>
      <c r="AU177" s="269"/>
      <c r="AV177" s="269"/>
    </row>
    <row r="178">
      <c r="A178" s="94"/>
      <c r="B178" s="310" t="s">
        <v>656</v>
      </c>
      <c r="C178" s="278" t="s">
        <v>657</v>
      </c>
      <c r="D178" s="243"/>
      <c r="E178" s="259"/>
      <c r="F178" s="281"/>
      <c r="G178" s="246"/>
      <c r="H178" s="282"/>
      <c r="I178" s="246"/>
      <c r="J178" s="282"/>
      <c r="K178" s="246"/>
      <c r="L178" s="261"/>
      <c r="M178" s="250"/>
      <c r="N178" s="246"/>
      <c r="O178" s="311" t="s">
        <v>434</v>
      </c>
      <c r="P178" s="246"/>
      <c r="Q178" s="281"/>
      <c r="R178" s="246"/>
      <c r="S178" s="261"/>
      <c r="T178" s="250"/>
      <c r="U178" s="246"/>
      <c r="V178" s="282"/>
      <c r="W178" s="246"/>
      <c r="X178" s="782" t="s">
        <v>1075</v>
      </c>
      <c r="Y178" s="246"/>
      <c r="Z178" s="261"/>
      <c r="AA178" s="250"/>
      <c r="AB178" s="246"/>
      <c r="AC178" s="282"/>
      <c r="AD178" s="246"/>
      <c r="AE178" s="274" t="s">
        <v>449</v>
      </c>
      <c r="AF178" s="246"/>
      <c r="AG178" s="261"/>
      <c r="AH178" s="282"/>
      <c r="AI178" s="246"/>
      <c r="AJ178" s="282"/>
      <c r="AK178" s="246"/>
      <c r="AL178" s="282"/>
      <c r="AM178" s="246"/>
      <c r="AN178" s="261"/>
      <c r="AO178" s="250"/>
      <c r="AP178" s="246"/>
      <c r="AQ178" s="276"/>
      <c r="AR178" s="246"/>
      <c r="AS178" s="276"/>
      <c r="AT178" s="254" t="str">
        <f t="shared" ref="AT178:AT183" si="36">IF(COUNTIF($AO$80:$AT$82, #REF!) &gt; 0, "X", "")</f>
        <v/>
      </c>
      <c r="AU178" s="269"/>
      <c r="AV178" s="269"/>
    </row>
    <row r="179">
      <c r="A179" s="94"/>
      <c r="B179" s="277" t="s">
        <v>658</v>
      </c>
      <c r="C179" s="278" t="s">
        <v>657</v>
      </c>
      <c r="D179" s="243"/>
      <c r="E179" s="259"/>
      <c r="F179" s="282"/>
      <c r="G179" s="246"/>
      <c r="I179" s="246"/>
      <c r="K179" s="246"/>
      <c r="L179" s="261"/>
      <c r="M179" s="250"/>
      <c r="N179" s="246"/>
      <c r="P179" s="246"/>
      <c r="R179" s="246"/>
      <c r="S179" s="261"/>
      <c r="T179" s="250"/>
      <c r="U179" s="246"/>
      <c r="W179" s="246"/>
      <c r="X179" s="519" t="s">
        <v>419</v>
      </c>
      <c r="Y179" s="246"/>
      <c r="Z179" s="261"/>
      <c r="AA179" s="250"/>
      <c r="AB179" s="246"/>
      <c r="AD179" s="246"/>
      <c r="AE179" s="311" t="s">
        <v>434</v>
      </c>
      <c r="AF179" s="246"/>
      <c r="AG179" s="261"/>
      <c r="AH179" s="282"/>
      <c r="AI179" s="246"/>
      <c r="AJ179" s="282"/>
      <c r="AK179" s="246"/>
      <c r="AL179" s="471" t="s">
        <v>419</v>
      </c>
      <c r="AM179" s="246"/>
      <c r="AN179" s="261"/>
      <c r="AO179" s="250"/>
      <c r="AP179" s="246"/>
      <c r="AR179" s="246"/>
      <c r="AT179" s="254" t="str">
        <f t="shared" si="36"/>
        <v/>
      </c>
      <c r="AU179" s="269"/>
      <c r="AV179" s="269"/>
    </row>
    <row r="180">
      <c r="A180" s="94"/>
      <c r="B180" s="314" t="s">
        <v>660</v>
      </c>
      <c r="C180" s="315" t="s">
        <v>649</v>
      </c>
      <c r="D180" s="243"/>
      <c r="E180" s="259"/>
      <c r="F180" s="632" t="s">
        <v>423</v>
      </c>
      <c r="G180" s="246"/>
      <c r="H180" s="353" t="s">
        <v>416</v>
      </c>
      <c r="I180" s="246"/>
      <c r="J180" s="353" t="s">
        <v>424</v>
      </c>
      <c r="K180" s="246"/>
      <c r="L180" s="261"/>
      <c r="M180" s="316"/>
      <c r="N180" s="246"/>
      <c r="O180" s="353" t="s">
        <v>416</v>
      </c>
      <c r="P180" s="246"/>
      <c r="Q180" s="353" t="s">
        <v>424</v>
      </c>
      <c r="R180" s="246"/>
      <c r="S180" s="261"/>
      <c r="T180" s="316"/>
      <c r="U180" s="246"/>
      <c r="V180" s="632" t="s">
        <v>423</v>
      </c>
      <c r="W180" s="246"/>
      <c r="X180" s="293" t="s">
        <v>421</v>
      </c>
      <c r="Y180" s="246"/>
      <c r="Z180" s="261"/>
      <c r="AA180" s="316"/>
      <c r="AB180" s="246"/>
      <c r="AC180" s="293" t="s">
        <v>421</v>
      </c>
      <c r="AD180" s="246"/>
      <c r="AE180" s="356" t="s">
        <v>423</v>
      </c>
      <c r="AF180" s="246"/>
      <c r="AG180" s="261"/>
      <c r="AH180" s="317"/>
      <c r="AI180" s="246"/>
      <c r="AJ180" s="293" t="s">
        <v>416</v>
      </c>
      <c r="AK180" s="246"/>
      <c r="AL180" s="293" t="s">
        <v>421</v>
      </c>
      <c r="AM180" s="246"/>
      <c r="AN180" s="261"/>
      <c r="AO180" s="286"/>
      <c r="AP180" s="246"/>
      <c r="AQ180" s="293" t="s">
        <v>416</v>
      </c>
      <c r="AR180" s="246"/>
      <c r="AS180" s="293" t="s">
        <v>421</v>
      </c>
      <c r="AT180" s="254" t="str">
        <f t="shared" si="36"/>
        <v/>
      </c>
      <c r="AU180" s="269"/>
      <c r="AV180" s="269"/>
    </row>
    <row r="181">
      <c r="A181" s="94"/>
      <c r="B181" s="296" t="s">
        <v>650</v>
      </c>
      <c r="C181" s="297" t="s">
        <v>649</v>
      </c>
      <c r="D181" s="243"/>
      <c r="E181" s="259"/>
      <c r="F181" s="300"/>
      <c r="G181" s="298"/>
      <c r="H181" s="300"/>
      <c r="I181" s="298"/>
      <c r="J181" s="253" t="s">
        <v>417</v>
      </c>
      <c r="K181" s="298"/>
      <c r="L181" s="261"/>
      <c r="M181" s="250"/>
      <c r="N181" s="298"/>
      <c r="O181" s="300"/>
      <c r="P181" s="298"/>
      <c r="Q181" s="632" t="s">
        <v>423</v>
      </c>
      <c r="R181" s="298"/>
      <c r="S181" s="261"/>
      <c r="T181" s="250"/>
      <c r="U181" s="298"/>
      <c r="V181" s="300"/>
      <c r="W181" s="298"/>
      <c r="X181" s="300"/>
      <c r="Y181" s="298"/>
      <c r="Z181" s="261"/>
      <c r="AA181" s="250"/>
      <c r="AB181" s="298"/>
      <c r="AC181" s="319"/>
      <c r="AD181" s="298"/>
      <c r="AE181" s="293" t="s">
        <v>424</v>
      </c>
      <c r="AF181" s="298"/>
      <c r="AG181" s="261"/>
      <c r="AH181" s="317"/>
      <c r="AI181" s="298"/>
      <c r="AJ181" s="300"/>
      <c r="AK181" s="298"/>
      <c r="AL181" s="300"/>
      <c r="AM181" s="298"/>
      <c r="AN181" s="261"/>
      <c r="AO181" s="286"/>
      <c r="AP181" s="298"/>
      <c r="AQ181" s="300"/>
      <c r="AR181" s="298"/>
      <c r="AS181" s="299"/>
      <c r="AT181" s="254" t="str">
        <f t="shared" si="36"/>
        <v/>
      </c>
      <c r="AU181" s="269"/>
      <c r="AV181" s="269"/>
    </row>
    <row r="182">
      <c r="A182" s="94"/>
      <c r="B182" s="301" t="s">
        <v>651</v>
      </c>
      <c r="C182" s="302" t="s">
        <v>652</v>
      </c>
      <c r="D182" s="323"/>
      <c r="E182" s="259"/>
      <c r="F182" s="303"/>
      <c r="G182" s="298"/>
      <c r="H182" s="303"/>
      <c r="I182" s="298"/>
      <c r="J182" s="321" t="s">
        <v>1065</v>
      </c>
      <c r="K182" s="298"/>
      <c r="L182" s="261"/>
      <c r="M182" s="250"/>
      <c r="N182" s="298"/>
      <c r="O182" s="303"/>
      <c r="P182" s="298"/>
      <c r="Q182" s="321" t="s">
        <v>1065</v>
      </c>
      <c r="R182" s="298"/>
      <c r="S182" s="261"/>
      <c r="T182" s="250"/>
      <c r="U182" s="298"/>
      <c r="V182" s="303"/>
      <c r="W182" s="298"/>
      <c r="X182" s="321" t="s">
        <v>1065</v>
      </c>
      <c r="Y182" s="298"/>
      <c r="Z182" s="261"/>
      <c r="AA182" s="250"/>
      <c r="AB182" s="298"/>
      <c r="AC182" s="303"/>
      <c r="AD182" s="298"/>
      <c r="AE182" s="321" t="s">
        <v>1065</v>
      </c>
      <c r="AF182" s="298"/>
      <c r="AG182" s="261"/>
      <c r="AH182" s="320"/>
      <c r="AI182" s="298"/>
      <c r="AJ182" s="303"/>
      <c r="AK182" s="298"/>
      <c r="AL182" s="321" t="s">
        <v>1065</v>
      </c>
      <c r="AM182" s="298"/>
      <c r="AN182" s="261"/>
      <c r="AO182" s="286"/>
      <c r="AP182" s="298"/>
      <c r="AQ182" s="303"/>
      <c r="AR182" s="298"/>
      <c r="AS182" s="303"/>
      <c r="AT182" s="254" t="str">
        <f t="shared" si="36"/>
        <v/>
      </c>
      <c r="AU182" s="269"/>
      <c r="AV182" s="269"/>
    </row>
    <row r="183">
      <c r="A183" s="94"/>
      <c r="B183" s="322" t="s">
        <v>662</v>
      </c>
      <c r="C183" s="306" t="s">
        <v>663</v>
      </c>
      <c r="D183" s="330"/>
      <c r="E183" s="259"/>
      <c r="F183" s="307"/>
      <c r="G183" s="298"/>
      <c r="H183" s="307"/>
      <c r="I183" s="298"/>
      <c r="J183" s="309" t="s">
        <v>409</v>
      </c>
      <c r="K183" s="298"/>
      <c r="L183" s="261"/>
      <c r="M183" s="324"/>
      <c r="N183" s="298"/>
      <c r="O183" s="307"/>
      <c r="P183" s="298"/>
      <c r="Q183" s="309" t="s">
        <v>409</v>
      </c>
      <c r="R183" s="298"/>
      <c r="S183" s="261"/>
      <c r="T183" s="324"/>
      <c r="U183" s="298"/>
      <c r="V183" s="307"/>
      <c r="W183" s="298"/>
      <c r="X183" s="309" t="s">
        <v>409</v>
      </c>
      <c r="Y183" s="298"/>
      <c r="Z183" s="261"/>
      <c r="AA183" s="324"/>
      <c r="AB183" s="298"/>
      <c r="AC183" s="307"/>
      <c r="AD183" s="298"/>
      <c r="AE183" s="309" t="s">
        <v>409</v>
      </c>
      <c r="AF183" s="298"/>
      <c r="AG183" s="261"/>
      <c r="AH183" s="317"/>
      <c r="AI183" s="298"/>
      <c r="AJ183" s="307"/>
      <c r="AK183" s="298"/>
      <c r="AL183" s="309" t="s">
        <v>409</v>
      </c>
      <c r="AM183" s="298"/>
      <c r="AN183" s="261"/>
      <c r="AO183" s="286"/>
      <c r="AP183" s="298"/>
      <c r="AQ183" s="307"/>
      <c r="AR183" s="298"/>
      <c r="AS183" s="307"/>
      <c r="AT183" s="254" t="str">
        <f t="shared" si="36"/>
        <v/>
      </c>
      <c r="AU183" s="269"/>
      <c r="AV183" s="269"/>
    </row>
    <row r="184">
      <c r="A184" s="94"/>
      <c r="B184" s="328" t="s">
        <v>665</v>
      </c>
      <c r="C184" s="329" t="s">
        <v>654</v>
      </c>
      <c r="D184" s="330"/>
      <c r="E184" s="259"/>
      <c r="F184" s="311" t="s">
        <v>439</v>
      </c>
      <c r="G184" s="246"/>
      <c r="H184" s="274" t="s">
        <v>458</v>
      </c>
      <c r="I184" s="246"/>
      <c r="J184" s="311" t="s">
        <v>434</v>
      </c>
      <c r="K184" s="246"/>
      <c r="L184" s="261"/>
      <c r="M184" s="333"/>
      <c r="N184" s="246"/>
      <c r="O184" s="311" t="s">
        <v>439</v>
      </c>
      <c r="P184" s="246"/>
      <c r="Q184" s="274" t="s">
        <v>449</v>
      </c>
      <c r="R184" s="246"/>
      <c r="S184" s="261"/>
      <c r="T184" s="333"/>
      <c r="U184" s="246"/>
      <c r="V184" s="311" t="s">
        <v>459</v>
      </c>
      <c r="W184" s="246"/>
      <c r="X184" s="311" t="s">
        <v>434</v>
      </c>
      <c r="Y184" s="246"/>
      <c r="Z184" s="261"/>
      <c r="AA184" s="333"/>
      <c r="AB184" s="246"/>
      <c r="AC184" s="311" t="s">
        <v>459</v>
      </c>
      <c r="AD184" s="246"/>
      <c r="AE184" s="274" t="s">
        <v>443</v>
      </c>
      <c r="AF184" s="246"/>
      <c r="AG184" s="261"/>
      <c r="AH184" s="320"/>
      <c r="AI184" s="246"/>
      <c r="AJ184" s="274" t="s">
        <v>439</v>
      </c>
      <c r="AK184" s="246"/>
      <c r="AL184" s="311" t="s">
        <v>434</v>
      </c>
      <c r="AM184" s="246"/>
      <c r="AN184" s="261"/>
      <c r="AO184" s="286"/>
      <c r="AP184" s="246"/>
      <c r="AQ184" s="274" t="s">
        <v>458</v>
      </c>
      <c r="AR184" s="246"/>
      <c r="AS184" s="274" t="s">
        <v>448</v>
      </c>
      <c r="AT184" s="254" t="str">
        <f>IF(COUNTIF($AO$80:$AT$82, AH192) &gt; 0, "X", "")</f>
        <v/>
      </c>
      <c r="AU184" s="269"/>
      <c r="AV184" s="269"/>
    </row>
    <row r="185">
      <c r="A185" s="94"/>
      <c r="B185" s="337" t="s">
        <v>665</v>
      </c>
      <c r="C185" s="338" t="s">
        <v>657</v>
      </c>
      <c r="D185" s="330"/>
      <c r="E185" s="259"/>
      <c r="F185" s="339" t="s">
        <v>468</v>
      </c>
      <c r="G185" s="246"/>
      <c r="H185" s="339" t="s">
        <v>431</v>
      </c>
      <c r="I185" s="246"/>
      <c r="J185" s="339" t="s">
        <v>447</v>
      </c>
      <c r="K185" s="246"/>
      <c r="L185" s="261"/>
      <c r="M185" s="324"/>
      <c r="N185" s="246"/>
      <c r="O185" s="311" t="s">
        <v>459</v>
      </c>
      <c r="P185" s="246"/>
      <c r="Q185" s="339" t="s">
        <v>447</v>
      </c>
      <c r="R185" s="246"/>
      <c r="S185" s="261"/>
      <c r="T185" s="324"/>
      <c r="U185" s="246"/>
      <c r="V185" s="274" t="s">
        <v>458</v>
      </c>
      <c r="W185" s="246"/>
      <c r="X185" s="339" t="s">
        <v>447</v>
      </c>
      <c r="Y185" s="246"/>
      <c r="Z185" s="261"/>
      <c r="AA185" s="324"/>
      <c r="AB185" s="246"/>
      <c r="AC185" s="274" t="s">
        <v>458</v>
      </c>
      <c r="AD185" s="246"/>
      <c r="AE185" s="339" t="s">
        <v>447</v>
      </c>
      <c r="AF185" s="246"/>
      <c r="AG185" s="261"/>
      <c r="AH185" s="320"/>
      <c r="AI185" s="246"/>
      <c r="AJ185" s="311" t="s">
        <v>459</v>
      </c>
      <c r="AK185" s="246"/>
      <c r="AL185" s="339" t="s">
        <v>447</v>
      </c>
      <c r="AM185" s="246"/>
      <c r="AN185" s="261"/>
      <c r="AO185" s="286"/>
      <c r="AP185" s="246"/>
      <c r="AQ185" s="311" t="s">
        <v>459</v>
      </c>
      <c r="AR185" s="246"/>
      <c r="AS185" s="274" t="s">
        <v>449</v>
      </c>
      <c r="AT185" s="254" t="str">
        <f t="shared" ref="AT185:AT200" si="37">IF(COUNTIF($AO$80:$AT$82, #REF!) &gt; 0, "X", "")</f>
        <v/>
      </c>
      <c r="AU185" s="269"/>
      <c r="AV185" s="269"/>
    </row>
    <row r="186">
      <c r="A186" s="94"/>
      <c r="B186" s="256" t="s">
        <v>665</v>
      </c>
      <c r="C186" s="257" t="s">
        <v>663</v>
      </c>
      <c r="D186" s="330"/>
      <c r="E186" s="259"/>
      <c r="G186" s="246"/>
      <c r="I186" s="246"/>
      <c r="J186" s="274" t="s">
        <v>448</v>
      </c>
      <c r="K186" s="246"/>
      <c r="L186" s="261"/>
      <c r="M186" s="341"/>
      <c r="N186" s="246"/>
      <c r="O186" s="274" t="s">
        <v>448</v>
      </c>
      <c r="P186" s="246"/>
      <c r="R186" s="246"/>
      <c r="S186" s="261"/>
      <c r="T186" s="341"/>
      <c r="U186" s="246"/>
      <c r="V186" s="532" t="s">
        <v>764</v>
      </c>
      <c r="W186" s="246"/>
      <c r="Y186" s="246"/>
      <c r="Z186" s="261"/>
      <c r="AA186" s="341"/>
      <c r="AB186" s="246"/>
      <c r="AC186" s="274" t="s">
        <v>415</v>
      </c>
      <c r="AD186" s="246"/>
      <c r="AE186" s="274" t="s">
        <v>448</v>
      </c>
      <c r="AF186" s="246"/>
      <c r="AG186" s="261"/>
      <c r="AH186" s="320"/>
      <c r="AI186" s="246"/>
      <c r="AJ186" s="336" t="s">
        <v>450</v>
      </c>
      <c r="AK186" s="246"/>
      <c r="AL186" s="274" t="s">
        <v>415</v>
      </c>
      <c r="AM186" s="246"/>
      <c r="AN186" s="261"/>
      <c r="AO186" s="286"/>
      <c r="AP186" s="246"/>
      <c r="AR186" s="246"/>
      <c r="AS186" s="516"/>
      <c r="AT186" s="254" t="str">
        <f t="shared" si="37"/>
        <v/>
      </c>
      <c r="AU186" s="269"/>
      <c r="AV186" s="269"/>
    </row>
    <row r="187">
      <c r="A187" s="94"/>
      <c r="B187" s="328" t="s">
        <v>665</v>
      </c>
      <c r="C187" s="329" t="s">
        <v>645</v>
      </c>
      <c r="D187" s="323"/>
      <c r="E187" s="261"/>
      <c r="F187" s="274" t="s">
        <v>415</v>
      </c>
      <c r="G187" s="246"/>
      <c r="H187" s="336" t="s">
        <v>450</v>
      </c>
      <c r="I187" s="246"/>
      <c r="J187" s="274" t="s">
        <v>443</v>
      </c>
      <c r="K187" s="246"/>
      <c r="L187" s="261"/>
      <c r="M187" s="532" t="s">
        <v>764</v>
      </c>
      <c r="N187" s="246"/>
      <c r="O187" s="339" t="s">
        <v>431</v>
      </c>
      <c r="P187" s="246"/>
      <c r="Q187" s="339" t="s">
        <v>468</v>
      </c>
      <c r="R187" s="246"/>
      <c r="S187" s="261"/>
      <c r="T187" s="341"/>
      <c r="U187" s="246"/>
      <c r="V187" s="336" t="s">
        <v>398</v>
      </c>
      <c r="W187" s="246"/>
      <c r="X187" s="274" t="s">
        <v>415</v>
      </c>
      <c r="Y187" s="246"/>
      <c r="Z187" s="261"/>
      <c r="AA187" s="341"/>
      <c r="AB187" s="246"/>
      <c r="AC187" s="339" t="s">
        <v>431</v>
      </c>
      <c r="AD187" s="246"/>
      <c r="AE187" s="339" t="s">
        <v>468</v>
      </c>
      <c r="AF187" s="246"/>
      <c r="AG187" s="261"/>
      <c r="AH187" s="320"/>
      <c r="AI187" s="246"/>
      <c r="AJ187" s="339" t="s">
        <v>431</v>
      </c>
      <c r="AK187" s="246"/>
      <c r="AL187" s="339" t="s">
        <v>468</v>
      </c>
      <c r="AM187" s="246"/>
      <c r="AN187" s="261"/>
      <c r="AO187" s="286"/>
      <c r="AP187" s="246"/>
      <c r="AQ187" s="336" t="s">
        <v>450</v>
      </c>
      <c r="AR187" s="246"/>
      <c r="AS187" s="339" t="s">
        <v>431</v>
      </c>
      <c r="AT187" s="254" t="str">
        <f t="shared" si="37"/>
        <v/>
      </c>
      <c r="AU187" s="269"/>
      <c r="AV187" s="269"/>
    </row>
    <row r="188">
      <c r="A188" s="94"/>
      <c r="B188" s="342" t="s">
        <v>667</v>
      </c>
      <c r="C188" s="343" t="s">
        <v>657</v>
      </c>
      <c r="D188" s="351"/>
      <c r="E188" s="259"/>
      <c r="F188" s="345" t="s">
        <v>401</v>
      </c>
      <c r="G188" s="246"/>
      <c r="I188" s="246"/>
      <c r="K188" s="246"/>
      <c r="L188" s="261"/>
      <c r="M188" s="346"/>
      <c r="N188" s="246"/>
      <c r="O188" s="345" t="s">
        <v>401</v>
      </c>
      <c r="P188" s="246"/>
      <c r="R188" s="246"/>
      <c r="S188" s="261"/>
      <c r="T188" s="347" t="s">
        <v>401</v>
      </c>
      <c r="U188" s="246"/>
      <c r="V188" s="274" t="s">
        <v>448</v>
      </c>
      <c r="W188" s="246"/>
      <c r="X188" s="339" t="s">
        <v>468</v>
      </c>
      <c r="Y188" s="246"/>
      <c r="Z188" s="261"/>
      <c r="AA188" s="690"/>
      <c r="AB188" s="246"/>
      <c r="AC188" s="347" t="s">
        <v>401</v>
      </c>
      <c r="AD188" s="246"/>
      <c r="AF188" s="246"/>
      <c r="AG188" s="261"/>
      <c r="AH188" s="345" t="s">
        <v>401</v>
      </c>
      <c r="AI188" s="246"/>
      <c r="AK188" s="246"/>
      <c r="AL188" s="274" t="s">
        <v>449</v>
      </c>
      <c r="AM188" s="246"/>
      <c r="AN188" s="261"/>
      <c r="AO188" s="286"/>
      <c r="AP188" s="246"/>
      <c r="AQ188" s="345"/>
      <c r="AR188" s="246"/>
      <c r="AT188" s="254" t="str">
        <f t="shared" si="37"/>
        <v/>
      </c>
      <c r="AU188" s="269"/>
      <c r="AV188" s="269"/>
    </row>
    <row r="189">
      <c r="A189" s="94"/>
      <c r="B189" s="349" t="s">
        <v>669</v>
      </c>
      <c r="C189" s="350" t="s">
        <v>649</v>
      </c>
      <c r="D189" s="323"/>
      <c r="E189" s="259"/>
      <c r="F189" s="293" t="s">
        <v>422</v>
      </c>
      <c r="G189" s="246"/>
      <c r="H189" s="633" t="s">
        <v>420</v>
      </c>
      <c r="I189" s="246"/>
      <c r="J189" s="293" t="s">
        <v>426</v>
      </c>
      <c r="K189" s="246"/>
      <c r="L189" s="261"/>
      <c r="M189" s="354"/>
      <c r="N189" s="246"/>
      <c r="O189" s="355" t="s">
        <v>670</v>
      </c>
      <c r="P189" s="246"/>
      <c r="Q189" s="293" t="s">
        <v>421</v>
      </c>
      <c r="R189" s="246"/>
      <c r="S189" s="261"/>
      <c r="T189" s="354"/>
      <c r="U189" s="246"/>
      <c r="V189" s="355" t="s">
        <v>420</v>
      </c>
      <c r="W189" s="246"/>
      <c r="X189" s="353" t="s">
        <v>424</v>
      </c>
      <c r="Y189" s="246"/>
      <c r="Z189" s="261"/>
      <c r="AA189" s="354"/>
      <c r="AB189" s="246"/>
      <c r="AC189" s="355" t="s">
        <v>670</v>
      </c>
      <c r="AD189" s="246"/>
      <c r="AE189" s="293" t="s">
        <v>422</v>
      </c>
      <c r="AF189" s="246"/>
      <c r="AG189" s="261"/>
      <c r="AH189" s="353" t="s">
        <v>424</v>
      </c>
      <c r="AI189" s="246"/>
      <c r="AJ189" s="357" t="s">
        <v>420</v>
      </c>
      <c r="AK189" s="246"/>
      <c r="AL189" s="293" t="s">
        <v>422</v>
      </c>
      <c r="AM189" s="246"/>
      <c r="AN189" s="261"/>
      <c r="AO189" s="286"/>
      <c r="AP189" s="246"/>
      <c r="AQ189" s="632" t="s">
        <v>423</v>
      </c>
      <c r="AR189" s="246"/>
      <c r="AS189" s="353" t="s">
        <v>422</v>
      </c>
      <c r="AT189" s="254" t="str">
        <f t="shared" si="37"/>
        <v/>
      </c>
      <c r="AU189" s="269"/>
      <c r="AV189" s="269"/>
    </row>
    <row r="190">
      <c r="A190" s="234"/>
      <c r="B190" s="296" t="s">
        <v>650</v>
      </c>
      <c r="C190" s="297" t="s">
        <v>649</v>
      </c>
      <c r="D190" s="330"/>
      <c r="E190" s="259"/>
      <c r="F190" s="299"/>
      <c r="G190" s="298"/>
      <c r="H190" s="617" t="s">
        <v>397</v>
      </c>
      <c r="I190" s="298"/>
      <c r="J190" s="358"/>
      <c r="K190" s="298"/>
      <c r="L190" s="261"/>
      <c r="M190" s="324"/>
      <c r="N190" s="298"/>
      <c r="O190" s="645" t="s">
        <v>417</v>
      </c>
      <c r="P190" s="298"/>
      <c r="Q190" s="319"/>
      <c r="R190" s="298"/>
      <c r="S190" s="261"/>
      <c r="T190" s="324"/>
      <c r="U190" s="298"/>
      <c r="V190" s="617" t="s">
        <v>397</v>
      </c>
      <c r="W190" s="298"/>
      <c r="X190" s="293" t="s">
        <v>422</v>
      </c>
      <c r="Y190" s="298"/>
      <c r="Z190" s="261"/>
      <c r="AA190" s="324"/>
      <c r="AB190" s="298"/>
      <c r="AC190" s="617" t="s">
        <v>397</v>
      </c>
      <c r="AD190" s="298"/>
      <c r="AE190" s="319"/>
      <c r="AF190" s="298"/>
      <c r="AG190" s="261"/>
      <c r="AH190" s="319"/>
      <c r="AI190" s="298"/>
      <c r="AJ190" s="319"/>
      <c r="AK190" s="298"/>
      <c r="AL190" s="319"/>
      <c r="AM190" s="298"/>
      <c r="AN190" s="261"/>
      <c r="AO190" s="286"/>
      <c r="AP190" s="298"/>
      <c r="AQ190" s="359"/>
      <c r="AR190" s="298"/>
      <c r="AS190" s="359"/>
      <c r="AT190" s="254" t="str">
        <f t="shared" si="37"/>
        <v/>
      </c>
      <c r="AU190" s="269"/>
      <c r="AV190" s="269"/>
    </row>
    <row r="191">
      <c r="A191" s="94"/>
      <c r="B191" s="301" t="s">
        <v>651</v>
      </c>
      <c r="C191" s="302" t="s">
        <v>652</v>
      </c>
      <c r="D191" s="363"/>
      <c r="E191" s="259"/>
      <c r="F191" s="303"/>
      <c r="G191" s="298"/>
      <c r="H191" s="304"/>
      <c r="I191" s="298"/>
      <c r="J191" s="303"/>
      <c r="K191" s="298"/>
      <c r="L191" s="261"/>
      <c r="M191" s="250"/>
      <c r="N191" s="298"/>
      <c r="O191" s="304"/>
      <c r="P191" s="298"/>
      <c r="Q191" s="303"/>
      <c r="R191" s="298"/>
      <c r="S191" s="261"/>
      <c r="T191" s="250"/>
      <c r="U191" s="298"/>
      <c r="V191" s="303"/>
      <c r="W191" s="298"/>
      <c r="X191" s="303"/>
      <c r="Y191" s="298"/>
      <c r="Z191" s="261"/>
      <c r="AA191" s="250"/>
      <c r="AB191" s="298"/>
      <c r="AC191" s="304"/>
      <c r="AD191" s="298"/>
      <c r="AE191" s="303"/>
      <c r="AF191" s="298"/>
      <c r="AG191" s="261"/>
      <c r="AH191" s="303"/>
      <c r="AI191" s="298"/>
      <c r="AJ191" s="304"/>
      <c r="AK191" s="298"/>
      <c r="AL191" s="303"/>
      <c r="AM191" s="298"/>
      <c r="AN191" s="261"/>
      <c r="AO191" s="286"/>
      <c r="AP191" s="298"/>
      <c r="AQ191" s="303"/>
      <c r="AR191" s="298"/>
      <c r="AS191" s="303"/>
      <c r="AT191" s="254" t="str">
        <f t="shared" si="37"/>
        <v/>
      </c>
      <c r="AU191" s="269"/>
      <c r="AV191" s="269"/>
    </row>
    <row r="192">
      <c r="A192" s="94"/>
      <c r="B192" s="361" t="s">
        <v>673</v>
      </c>
      <c r="C192" s="362" t="s">
        <v>674</v>
      </c>
      <c r="D192" s="369"/>
      <c r="E192" s="259"/>
      <c r="F192" s="339" t="s">
        <v>765</v>
      </c>
      <c r="G192" s="298"/>
      <c r="H192" s="336" t="s">
        <v>412</v>
      </c>
      <c r="I192" s="298"/>
      <c r="J192" s="311" t="s">
        <v>394</v>
      </c>
      <c r="K192" s="298"/>
      <c r="L192" s="261"/>
      <c r="M192" s="324"/>
      <c r="N192" s="298"/>
      <c r="O192" s="336" t="s">
        <v>412</v>
      </c>
      <c r="P192" s="298"/>
      <c r="Q192" s="339" t="s">
        <v>765</v>
      </c>
      <c r="R192" s="298"/>
      <c r="S192" s="261"/>
      <c r="T192" s="324"/>
      <c r="U192" s="298"/>
      <c r="V192" s="336" t="s">
        <v>412</v>
      </c>
      <c r="W192" s="298"/>
      <c r="X192" s="339" t="s">
        <v>765</v>
      </c>
      <c r="Y192" s="298"/>
      <c r="Z192" s="261"/>
      <c r="AA192" s="324"/>
      <c r="AB192" s="298"/>
      <c r="AC192" s="336" t="s">
        <v>412</v>
      </c>
      <c r="AD192" s="298"/>
      <c r="AE192" s="251" t="s">
        <v>457</v>
      </c>
      <c r="AF192" s="298"/>
      <c r="AG192" s="261"/>
      <c r="AH192" s="251" t="s">
        <v>433</v>
      </c>
      <c r="AI192" s="298"/>
      <c r="AJ192" s="336" t="s">
        <v>412</v>
      </c>
      <c r="AK192" s="298"/>
      <c r="AL192" s="339" t="s">
        <v>765</v>
      </c>
      <c r="AM192" s="298"/>
      <c r="AN192" s="261"/>
      <c r="AO192" s="286"/>
      <c r="AP192" s="298"/>
      <c r="AQ192" s="311" t="s">
        <v>765</v>
      </c>
      <c r="AR192" s="298"/>
      <c r="AS192" s="251" t="s">
        <v>457</v>
      </c>
      <c r="AT192" s="254" t="str">
        <f t="shared" si="37"/>
        <v/>
      </c>
      <c r="AU192" s="269"/>
      <c r="AV192" s="269"/>
    </row>
    <row r="193">
      <c r="A193" s="94"/>
      <c r="B193" s="367" t="s">
        <v>677</v>
      </c>
      <c r="C193" s="368" t="s">
        <v>674</v>
      </c>
      <c r="D193" s="330"/>
      <c r="E193" s="259"/>
      <c r="F193" s="282"/>
      <c r="G193" s="246"/>
      <c r="H193" s="339" t="s">
        <v>931</v>
      </c>
      <c r="I193" s="246"/>
      <c r="K193" s="246"/>
      <c r="L193" s="261"/>
      <c r="M193" s="250"/>
      <c r="N193" s="246"/>
      <c r="O193" s="339" t="s">
        <v>931</v>
      </c>
      <c r="P193" s="246"/>
      <c r="Q193" s="339"/>
      <c r="R193" s="246"/>
      <c r="S193" s="261"/>
      <c r="T193" s="250"/>
      <c r="U193" s="246"/>
      <c r="V193" s="339" t="s">
        <v>931</v>
      </c>
      <c r="W193" s="246"/>
      <c r="X193" s="339"/>
      <c r="Y193" s="246"/>
      <c r="Z193" s="261"/>
      <c r="AA193" s="250"/>
      <c r="AB193" s="246"/>
      <c r="AC193" s="339" t="s">
        <v>931</v>
      </c>
      <c r="AD193" s="246"/>
      <c r="AF193" s="246"/>
      <c r="AG193" s="261"/>
      <c r="AH193" s="371"/>
      <c r="AI193" s="246"/>
      <c r="AK193" s="246"/>
      <c r="AL193" s="339"/>
      <c r="AM193" s="246"/>
      <c r="AN193" s="261"/>
      <c r="AO193" s="286"/>
      <c r="AP193" s="246"/>
      <c r="AQ193" s="339" t="s">
        <v>931</v>
      </c>
      <c r="AR193" s="246"/>
      <c r="AS193" s="339"/>
      <c r="AT193" s="254" t="str">
        <f t="shared" si="37"/>
        <v/>
      </c>
      <c r="AU193" s="269"/>
      <c r="AV193" s="269"/>
    </row>
    <row r="194">
      <c r="A194" s="94"/>
      <c r="B194" s="256" t="s">
        <v>679</v>
      </c>
      <c r="C194" s="257" t="s">
        <v>680</v>
      </c>
      <c r="D194" s="330"/>
      <c r="E194" s="259"/>
      <c r="F194" s="311" t="s">
        <v>393</v>
      </c>
      <c r="G194" s="246"/>
      <c r="H194" s="374" t="s">
        <v>436</v>
      </c>
      <c r="I194" s="246"/>
      <c r="J194" s="251" t="s">
        <v>433</v>
      </c>
      <c r="K194" s="246"/>
      <c r="L194" s="261"/>
      <c r="M194" s="333"/>
      <c r="N194" s="246"/>
      <c r="O194" s="374" t="s">
        <v>436</v>
      </c>
      <c r="P194" s="246"/>
      <c r="Q194" s="274" t="s">
        <v>443</v>
      </c>
      <c r="R194" s="246"/>
      <c r="S194" s="261"/>
      <c r="T194" s="333"/>
      <c r="U194" s="246"/>
      <c r="V194" s="374" t="s">
        <v>436</v>
      </c>
      <c r="W194" s="246"/>
      <c r="X194" s="251" t="s">
        <v>433</v>
      </c>
      <c r="Y194" s="246"/>
      <c r="Z194" s="261"/>
      <c r="AA194" s="333"/>
      <c r="AB194" s="246"/>
      <c r="AC194" s="340" t="s">
        <v>406</v>
      </c>
      <c r="AD194" s="246"/>
      <c r="AE194" s="365" t="s">
        <v>433</v>
      </c>
      <c r="AF194" s="246"/>
      <c r="AG194" s="261"/>
      <c r="AH194" s="311" t="s">
        <v>393</v>
      </c>
      <c r="AI194" s="246"/>
      <c r="AJ194" s="374" t="s">
        <v>436</v>
      </c>
      <c r="AK194" s="246"/>
      <c r="AL194" s="251" t="s">
        <v>457</v>
      </c>
      <c r="AM194" s="246"/>
      <c r="AN194" s="261"/>
      <c r="AO194" s="286"/>
      <c r="AP194" s="246"/>
      <c r="AQ194" s="274" t="s">
        <v>406</v>
      </c>
      <c r="AR194" s="246"/>
      <c r="AS194" s="251" t="s">
        <v>433</v>
      </c>
      <c r="AT194" s="254" t="str">
        <f t="shared" si="37"/>
        <v/>
      </c>
      <c r="AU194" s="269"/>
      <c r="AV194" s="269"/>
    </row>
    <row r="195">
      <c r="A195" s="372"/>
      <c r="B195" s="328" t="s">
        <v>679</v>
      </c>
      <c r="C195" s="329" t="s">
        <v>652</v>
      </c>
      <c r="D195" s="330"/>
      <c r="E195" s="259"/>
      <c r="G195" s="246"/>
      <c r="I195" s="246"/>
      <c r="J195" s="282"/>
      <c r="K195" s="246"/>
      <c r="L195" s="261"/>
      <c r="M195" s="346"/>
      <c r="N195" s="246"/>
      <c r="P195" s="246"/>
      <c r="Q195" s="282"/>
      <c r="R195" s="246"/>
      <c r="S195" s="261"/>
      <c r="T195" s="346"/>
      <c r="U195" s="246"/>
      <c r="W195" s="246"/>
      <c r="Y195" s="246"/>
      <c r="Z195" s="261"/>
      <c r="AA195" s="346"/>
      <c r="AB195" s="246"/>
      <c r="AC195" s="516"/>
      <c r="AD195" s="246"/>
      <c r="AE195" s="282"/>
      <c r="AF195" s="246"/>
      <c r="AG195" s="261"/>
      <c r="AH195" s="282"/>
      <c r="AI195" s="246"/>
      <c r="AK195" s="246"/>
      <c r="AM195" s="246"/>
      <c r="AN195" s="261"/>
      <c r="AO195" s="286"/>
      <c r="AP195" s="246"/>
      <c r="AR195" s="246"/>
      <c r="AT195" s="254" t="str">
        <f t="shared" si="37"/>
        <v/>
      </c>
      <c r="AU195" s="269"/>
      <c r="AV195" s="269"/>
    </row>
    <row r="196">
      <c r="A196" s="94"/>
      <c r="B196" s="328" t="s">
        <v>679</v>
      </c>
      <c r="C196" s="329" t="s">
        <v>683</v>
      </c>
      <c r="D196" s="379"/>
      <c r="E196" s="380"/>
      <c r="G196" s="246"/>
      <c r="H196" s="336" t="s">
        <v>398</v>
      </c>
      <c r="I196" s="246"/>
      <c r="J196" s="274" t="s">
        <v>437</v>
      </c>
      <c r="K196" s="246"/>
      <c r="L196" s="261"/>
      <c r="M196" s="341"/>
      <c r="N196" s="246"/>
      <c r="O196" s="336" t="s">
        <v>398</v>
      </c>
      <c r="P196" s="246"/>
      <c r="Q196" s="311" t="s">
        <v>455</v>
      </c>
      <c r="R196" s="246"/>
      <c r="S196" s="261"/>
      <c r="T196" s="341"/>
      <c r="U196" s="246"/>
      <c r="V196" s="311" t="s">
        <v>439</v>
      </c>
      <c r="W196" s="246"/>
      <c r="X196" s="274" t="s">
        <v>443</v>
      </c>
      <c r="Y196" s="246"/>
      <c r="Z196" s="261"/>
      <c r="AA196" s="341"/>
      <c r="AB196" s="246"/>
      <c r="AC196" s="311" t="s">
        <v>439</v>
      </c>
      <c r="AD196" s="246"/>
      <c r="AE196" s="311" t="s">
        <v>455</v>
      </c>
      <c r="AF196" s="246"/>
      <c r="AG196" s="261"/>
      <c r="AI196" s="246"/>
      <c r="AJ196" s="586" t="s">
        <v>397</v>
      </c>
      <c r="AK196" s="246"/>
      <c r="AL196" s="274" t="s">
        <v>443</v>
      </c>
      <c r="AM196" s="246"/>
      <c r="AN196" s="261"/>
      <c r="AO196" s="286"/>
      <c r="AP196" s="246"/>
      <c r="AQ196" s="311" t="s">
        <v>436</v>
      </c>
      <c r="AR196" s="246"/>
      <c r="AS196" s="274" t="s">
        <v>437</v>
      </c>
      <c r="AT196" s="254" t="str">
        <f t="shared" si="37"/>
        <v/>
      </c>
      <c r="AU196" s="269"/>
      <c r="AV196" s="269"/>
    </row>
    <row r="197">
      <c r="A197" s="94"/>
      <c r="B197" s="377" t="s">
        <v>684</v>
      </c>
      <c r="C197" s="378" t="s">
        <v>685</v>
      </c>
      <c r="D197" s="363"/>
      <c r="E197" s="259"/>
      <c r="F197" s="376" t="s">
        <v>466</v>
      </c>
      <c r="G197" s="246"/>
      <c r="H197" s="282"/>
      <c r="I197" s="246"/>
      <c r="J197" s="325" t="s">
        <v>711</v>
      </c>
      <c r="K197" s="246"/>
      <c r="L197" s="381"/>
      <c r="M197" s="341"/>
      <c r="N197" s="246"/>
      <c r="O197" s="282"/>
      <c r="P197" s="246"/>
      <c r="R197" s="246"/>
      <c r="S197" s="381"/>
      <c r="T197" s="341"/>
      <c r="U197" s="246"/>
      <c r="W197" s="246"/>
      <c r="Y197" s="246"/>
      <c r="Z197" s="381"/>
      <c r="AA197" s="341"/>
      <c r="AB197" s="246"/>
      <c r="AD197" s="246"/>
      <c r="AF197" s="246"/>
      <c r="AG197" s="381"/>
      <c r="AH197" s="311" t="s">
        <v>455</v>
      </c>
      <c r="AI197" s="246"/>
      <c r="AK197" s="246"/>
      <c r="AM197" s="246"/>
      <c r="AN197" s="381"/>
      <c r="AO197" s="286"/>
      <c r="AP197" s="246"/>
      <c r="AQ197" s="282"/>
      <c r="AR197" s="246"/>
      <c r="AT197" s="254" t="str">
        <f t="shared" si="37"/>
        <v/>
      </c>
      <c r="AU197" s="269"/>
      <c r="AV197" s="269"/>
    </row>
    <row r="198">
      <c r="A198" s="270"/>
      <c r="B198" s="382" t="s">
        <v>686</v>
      </c>
      <c r="C198" s="242" t="s">
        <v>652</v>
      </c>
      <c r="D198" s="330"/>
      <c r="E198" s="259"/>
      <c r="F198" s="376" t="s">
        <v>453</v>
      </c>
      <c r="G198" s="246"/>
      <c r="H198" s="251" t="s">
        <v>435</v>
      </c>
      <c r="I198" s="246"/>
      <c r="J198" s="251" t="s">
        <v>429</v>
      </c>
      <c r="K198" s="246"/>
      <c r="L198" s="261"/>
      <c r="M198" s="341"/>
      <c r="N198" s="246"/>
      <c r="O198" s="251" t="s">
        <v>435</v>
      </c>
      <c r="P198" s="246"/>
      <c r="Q198" s="251" t="s">
        <v>429</v>
      </c>
      <c r="R198" s="246"/>
      <c r="S198" s="261"/>
      <c r="T198" s="341"/>
      <c r="U198" s="246"/>
      <c r="V198" s="251" t="s">
        <v>435</v>
      </c>
      <c r="W198" s="246"/>
      <c r="X198" s="376" t="s">
        <v>453</v>
      </c>
      <c r="Y198" s="246"/>
      <c r="Z198" s="261"/>
      <c r="AA198" s="341"/>
      <c r="AB198" s="246"/>
      <c r="AC198" s="251" t="s">
        <v>435</v>
      </c>
      <c r="AD198" s="246"/>
      <c r="AE198" s="251" t="s">
        <v>429</v>
      </c>
      <c r="AF198" s="246"/>
      <c r="AG198" s="261"/>
      <c r="AH198" s="376" t="s">
        <v>453</v>
      </c>
      <c r="AI198" s="246"/>
      <c r="AJ198" s="385" t="s">
        <v>428</v>
      </c>
      <c r="AK198" s="246"/>
      <c r="AL198" s="251" t="s">
        <v>429</v>
      </c>
      <c r="AM198" s="246"/>
      <c r="AN198" s="261"/>
      <c r="AO198" s="286"/>
      <c r="AP198" s="246"/>
      <c r="AQ198" s="385" t="s">
        <v>428</v>
      </c>
      <c r="AR198" s="246"/>
      <c r="AS198" s="251" t="s">
        <v>429</v>
      </c>
      <c r="AT198" s="254" t="str">
        <f t="shared" si="37"/>
        <v/>
      </c>
      <c r="AU198" s="269"/>
      <c r="AV198" s="269"/>
    </row>
    <row r="199">
      <c r="A199" s="234"/>
      <c r="B199" s="337" t="s">
        <v>686</v>
      </c>
      <c r="C199" s="338" t="s">
        <v>687</v>
      </c>
      <c r="D199" s="330"/>
      <c r="E199" s="259"/>
      <c r="F199" s="282"/>
      <c r="G199" s="246"/>
      <c r="H199" s="385" t="s">
        <v>428</v>
      </c>
      <c r="I199" s="246"/>
      <c r="K199" s="246"/>
      <c r="L199" s="261"/>
      <c r="M199" s="250"/>
      <c r="N199" s="246"/>
      <c r="O199" s="385" t="s">
        <v>428</v>
      </c>
      <c r="P199" s="246"/>
      <c r="Q199" s="376" t="s">
        <v>466</v>
      </c>
      <c r="R199" s="246"/>
      <c r="S199" s="261"/>
      <c r="T199" s="250"/>
      <c r="U199" s="246"/>
      <c r="V199" s="383" t="s">
        <v>428</v>
      </c>
      <c r="W199" s="246"/>
      <c r="X199" s="311" t="s">
        <v>455</v>
      </c>
      <c r="Y199" s="246"/>
      <c r="Z199" s="261"/>
      <c r="AA199" s="250"/>
      <c r="AB199" s="246"/>
      <c r="AC199" s="376" t="s">
        <v>453</v>
      </c>
      <c r="AD199" s="246"/>
      <c r="AE199" s="376" t="s">
        <v>466</v>
      </c>
      <c r="AF199" s="246"/>
      <c r="AG199" s="261"/>
      <c r="AI199" s="246"/>
      <c r="AJ199" s="251" t="s">
        <v>435</v>
      </c>
      <c r="AK199" s="246"/>
      <c r="AL199" s="376" t="s">
        <v>466</v>
      </c>
      <c r="AM199" s="246"/>
      <c r="AN199" s="261"/>
      <c r="AO199" s="286"/>
      <c r="AP199" s="246"/>
      <c r="AQ199" s="311" t="s">
        <v>466</v>
      </c>
      <c r="AR199" s="246"/>
      <c r="AT199" s="254" t="str">
        <f t="shared" si="37"/>
        <v/>
      </c>
      <c r="AU199" s="269"/>
      <c r="AV199" s="269"/>
    </row>
    <row r="200">
      <c r="A200" s="94"/>
      <c r="B200" s="337" t="s">
        <v>688</v>
      </c>
      <c r="C200" s="285" t="s">
        <v>687</v>
      </c>
      <c r="D200" s="389"/>
      <c r="E200" s="259"/>
      <c r="F200" s="265"/>
      <c r="G200" s="246"/>
      <c r="H200" s="265"/>
      <c r="I200" s="246"/>
      <c r="K200" s="246"/>
      <c r="L200" s="261"/>
      <c r="M200" s="262"/>
      <c r="N200" s="246"/>
      <c r="P200" s="246"/>
      <c r="Q200" s="265"/>
      <c r="R200" s="246"/>
      <c r="S200" s="261"/>
      <c r="T200" s="262"/>
      <c r="U200" s="246"/>
      <c r="W200" s="246"/>
      <c r="X200" s="274" t="s">
        <v>437</v>
      </c>
      <c r="Y200" s="246"/>
      <c r="Z200" s="261"/>
      <c r="AA200" s="262"/>
      <c r="AB200" s="246"/>
      <c r="AC200" s="265"/>
      <c r="AD200" s="246"/>
      <c r="AF200" s="246"/>
      <c r="AG200" s="261"/>
      <c r="AH200" s="265"/>
      <c r="AI200" s="246"/>
      <c r="AK200" s="246"/>
      <c r="AL200" s="265"/>
      <c r="AM200" s="246"/>
      <c r="AN200" s="261"/>
      <c r="AO200" s="386"/>
      <c r="AP200" s="246"/>
      <c r="AR200" s="246"/>
      <c r="AT200" s="254" t="str">
        <f t="shared" si="37"/>
        <v/>
      </c>
      <c r="AU200" s="269"/>
      <c r="AV200" s="269"/>
    </row>
    <row r="201">
      <c r="A201" s="94"/>
      <c r="B201" s="387" t="s">
        <v>690</v>
      </c>
      <c r="C201" s="388" t="s">
        <v>649</v>
      </c>
      <c r="D201" s="323"/>
      <c r="E201" s="259"/>
      <c r="F201" s="390"/>
      <c r="G201" s="246"/>
      <c r="H201" s="390"/>
      <c r="I201" s="246"/>
      <c r="J201" s="390"/>
      <c r="K201" s="246"/>
      <c r="L201" s="261"/>
      <c r="M201" s="250"/>
      <c r="N201" s="246"/>
      <c r="O201" s="357" t="s">
        <v>420</v>
      </c>
      <c r="P201" s="246"/>
      <c r="Q201" s="390"/>
      <c r="R201" s="246"/>
      <c r="S201" s="261"/>
      <c r="T201" s="250"/>
      <c r="U201" s="246"/>
      <c r="V201" s="390"/>
      <c r="W201" s="246"/>
      <c r="X201" s="390"/>
      <c r="Y201" s="246"/>
      <c r="Z201" s="261"/>
      <c r="AA201" s="250"/>
      <c r="AB201" s="246"/>
      <c r="AC201" s="357" t="s">
        <v>420</v>
      </c>
      <c r="AD201" s="246"/>
      <c r="AE201" s="390"/>
      <c r="AF201" s="246"/>
      <c r="AG201" s="261"/>
      <c r="AH201" s="390"/>
      <c r="AI201" s="246"/>
      <c r="AJ201" s="390"/>
      <c r="AK201" s="246"/>
      <c r="AL201" s="390"/>
      <c r="AM201" s="246"/>
      <c r="AN201" s="261"/>
      <c r="AO201" s="279"/>
      <c r="AP201" s="246"/>
      <c r="AQ201" s="390"/>
      <c r="AR201" s="246"/>
      <c r="AS201" s="390"/>
      <c r="AT201" s="254" t="str">
        <f t="shared" ref="AT201:AT208" si="38">IF(COUNTIF($AO$80:$AT$82, AS202) &gt; 0, "X", "")</f>
        <v/>
      </c>
      <c r="AU201" s="269"/>
      <c r="AV201" s="269"/>
    </row>
    <row r="202">
      <c r="A202" s="94"/>
      <c r="B202" s="296" t="s">
        <v>650</v>
      </c>
      <c r="C202" s="297" t="s">
        <v>649</v>
      </c>
      <c r="D202" s="323"/>
      <c r="E202" s="261"/>
      <c r="F202" s="300"/>
      <c r="G202" s="246"/>
      <c r="H202" s="319"/>
      <c r="I202" s="246"/>
      <c r="J202" s="300"/>
      <c r="K202" s="246"/>
      <c r="L202" s="261"/>
      <c r="M202" s="250"/>
      <c r="N202" s="246"/>
      <c r="O202" s="300"/>
      <c r="P202" s="246"/>
      <c r="Q202" s="300"/>
      <c r="R202" s="246"/>
      <c r="S202" s="261"/>
      <c r="T202" s="250"/>
      <c r="U202" s="246"/>
      <c r="V202" s="300"/>
      <c r="W202" s="246"/>
      <c r="X202" s="300"/>
      <c r="Y202" s="246"/>
      <c r="Z202" s="261"/>
      <c r="AA202" s="250"/>
      <c r="AB202" s="246"/>
      <c r="AC202" s="300"/>
      <c r="AD202" s="246"/>
      <c r="AE202" s="300"/>
      <c r="AF202" s="246"/>
      <c r="AG202" s="261"/>
      <c r="AH202" s="300"/>
      <c r="AI202" s="246"/>
      <c r="AJ202" s="300"/>
      <c r="AK202" s="246"/>
      <c r="AL202" s="300"/>
      <c r="AM202" s="246"/>
      <c r="AN202" s="261"/>
      <c r="AO202" s="250"/>
      <c r="AP202" s="246"/>
      <c r="AQ202" s="300"/>
      <c r="AR202" s="246"/>
      <c r="AS202" s="300"/>
      <c r="AT202" s="254" t="str">
        <f t="shared" si="38"/>
        <v/>
      </c>
      <c r="AU202" s="269"/>
      <c r="AV202" s="269"/>
    </row>
    <row r="203">
      <c r="A203" s="94"/>
      <c r="B203" s="301" t="s">
        <v>651</v>
      </c>
      <c r="C203" s="391" t="s">
        <v>652</v>
      </c>
      <c r="D203" s="323"/>
      <c r="E203" s="259"/>
      <c r="F203" s="304"/>
      <c r="G203" s="246"/>
      <c r="H203" s="304"/>
      <c r="I203" s="246"/>
      <c r="J203" s="304"/>
      <c r="K203" s="246"/>
      <c r="L203" s="261"/>
      <c r="M203" s="250"/>
      <c r="N203" s="246"/>
      <c r="O203" s="304"/>
      <c r="P203" s="246"/>
      <c r="Q203" s="304"/>
      <c r="R203" s="246"/>
      <c r="S203" s="261"/>
      <c r="T203" s="250"/>
      <c r="U203" s="246"/>
      <c r="V203" s="304"/>
      <c r="W203" s="246"/>
      <c r="X203" s="304"/>
      <c r="Y203" s="246"/>
      <c r="Z203" s="261"/>
      <c r="AA203" s="250"/>
      <c r="AB203" s="246"/>
      <c r="AC203" s="304"/>
      <c r="AD203" s="246"/>
      <c r="AE203" s="304"/>
      <c r="AF203" s="246"/>
      <c r="AG203" s="261"/>
      <c r="AH203" s="304"/>
      <c r="AI203" s="246"/>
      <c r="AJ203" s="304"/>
      <c r="AK203" s="246"/>
      <c r="AL203" s="304"/>
      <c r="AM203" s="246"/>
      <c r="AN203" s="261"/>
      <c r="AO203" s="250"/>
      <c r="AP203" s="246"/>
      <c r="AQ203" s="304"/>
      <c r="AR203" s="246"/>
      <c r="AS203" s="304"/>
      <c r="AT203" s="254" t="str">
        <f t="shared" si="38"/>
        <v/>
      </c>
      <c r="AU203" s="269"/>
      <c r="AV203" s="269"/>
    </row>
    <row r="204">
      <c r="A204" s="94"/>
      <c r="B204" s="392" t="s">
        <v>691</v>
      </c>
      <c r="C204" s="393" t="s">
        <v>652</v>
      </c>
      <c r="D204" s="330"/>
      <c r="E204" s="259"/>
      <c r="F204" s="307"/>
      <c r="G204" s="246"/>
      <c r="H204" s="307"/>
      <c r="I204" s="246"/>
      <c r="J204" s="307"/>
      <c r="K204" s="246"/>
      <c r="L204" s="261"/>
      <c r="M204" s="250"/>
      <c r="N204" s="246"/>
      <c r="O204" s="647" t="s">
        <v>397</v>
      </c>
      <c r="P204" s="246"/>
      <c r="Q204" s="307"/>
      <c r="R204" s="246"/>
      <c r="S204" s="261"/>
      <c r="T204" s="250"/>
      <c r="U204" s="246"/>
      <c r="V204" s="307"/>
      <c r="W204" s="246"/>
      <c r="X204" s="307"/>
      <c r="Y204" s="246"/>
      <c r="Z204" s="261"/>
      <c r="AA204" s="250"/>
      <c r="AB204" s="246"/>
      <c r="AC204" s="395" t="s">
        <v>398</v>
      </c>
      <c r="AD204" s="246"/>
      <c r="AE204" s="307"/>
      <c r="AF204" s="246"/>
      <c r="AG204" s="261"/>
      <c r="AH204" s="307"/>
      <c r="AI204" s="246"/>
      <c r="AJ204" s="307"/>
      <c r="AK204" s="246"/>
      <c r="AL204" s="307"/>
      <c r="AM204" s="246"/>
      <c r="AN204" s="261"/>
      <c r="AO204" s="250"/>
      <c r="AP204" s="246"/>
      <c r="AQ204" s="307"/>
      <c r="AR204" s="246"/>
      <c r="AS204" s="307"/>
      <c r="AT204" s="254" t="str">
        <f t="shared" si="38"/>
        <v/>
      </c>
      <c r="AU204" s="269"/>
      <c r="AV204" s="269"/>
    </row>
    <row r="205">
      <c r="A205" s="94"/>
      <c r="B205" s="328" t="s">
        <v>692</v>
      </c>
      <c r="C205" s="329" t="s">
        <v>652</v>
      </c>
      <c r="D205" s="369"/>
      <c r="E205" s="259"/>
      <c r="F205" s="371"/>
      <c r="G205" s="246"/>
      <c r="H205" s="371"/>
      <c r="I205" s="246"/>
      <c r="K205" s="246"/>
      <c r="L205" s="261"/>
      <c r="M205" s="250"/>
      <c r="N205" s="246"/>
      <c r="O205" s="371"/>
      <c r="P205" s="246"/>
      <c r="Q205" s="371"/>
      <c r="R205" s="246"/>
      <c r="S205" s="261"/>
      <c r="T205" s="250"/>
      <c r="U205" s="246"/>
      <c r="W205" s="246"/>
      <c r="Y205" s="246"/>
      <c r="Z205" s="261"/>
      <c r="AA205" s="250"/>
      <c r="AB205" s="246"/>
      <c r="AC205" s="371"/>
      <c r="AD205" s="246"/>
      <c r="AE205" s="371"/>
      <c r="AF205" s="246"/>
      <c r="AG205" s="261"/>
      <c r="AH205" s="371"/>
      <c r="AI205" s="246"/>
      <c r="AK205" s="246"/>
      <c r="AL205" s="371"/>
      <c r="AM205" s="246"/>
      <c r="AN205" s="261"/>
      <c r="AO205" s="279"/>
      <c r="AP205" s="246"/>
      <c r="AQ205" s="371"/>
      <c r="AR205" s="246"/>
      <c r="AS205" s="371"/>
      <c r="AT205" s="254" t="str">
        <f t="shared" si="38"/>
        <v/>
      </c>
      <c r="AU205" s="269"/>
      <c r="AV205" s="269"/>
    </row>
    <row r="206">
      <c r="A206" s="94"/>
      <c r="B206" s="397" t="s">
        <v>692</v>
      </c>
      <c r="C206" s="398" t="s">
        <v>687</v>
      </c>
      <c r="D206" s="389"/>
      <c r="E206" s="259"/>
      <c r="F206" s="399"/>
      <c r="G206" s="246"/>
      <c r="H206" s="399"/>
      <c r="I206" s="246"/>
      <c r="J206" s="399"/>
      <c r="K206" s="246"/>
      <c r="L206" s="261"/>
      <c r="M206" s="250"/>
      <c r="N206" s="246"/>
      <c r="O206" s="282"/>
      <c r="P206" s="246"/>
      <c r="Q206" s="282"/>
      <c r="R206" s="246"/>
      <c r="S206" s="261"/>
      <c r="T206" s="250"/>
      <c r="U206" s="246"/>
      <c r="V206" s="282"/>
      <c r="W206" s="246"/>
      <c r="X206" s="399"/>
      <c r="Y206" s="246"/>
      <c r="Z206" s="261"/>
      <c r="AA206" s="250"/>
      <c r="AB206" s="246"/>
      <c r="AC206" s="399"/>
      <c r="AD206" s="246"/>
      <c r="AE206" s="399"/>
      <c r="AF206" s="246"/>
      <c r="AG206" s="261"/>
      <c r="AH206" s="399"/>
      <c r="AI206" s="246"/>
      <c r="AJ206" s="399"/>
      <c r="AK206" s="246"/>
      <c r="AL206" s="399"/>
      <c r="AM206" s="246"/>
      <c r="AN206" s="261"/>
      <c r="AO206" s="273"/>
      <c r="AP206" s="246"/>
      <c r="AQ206" s="399"/>
      <c r="AR206" s="246"/>
      <c r="AS206" s="399"/>
      <c r="AT206" s="254" t="str">
        <f t="shared" si="38"/>
        <v/>
      </c>
      <c r="AU206" s="269"/>
      <c r="AV206" s="269"/>
    </row>
    <row r="207">
      <c r="A207" s="94"/>
      <c r="B207" s="387" t="s">
        <v>694</v>
      </c>
      <c r="C207" s="388" t="s">
        <v>649</v>
      </c>
      <c r="D207" s="323"/>
      <c r="E207" s="259"/>
      <c r="F207" s="390"/>
      <c r="G207" s="246"/>
      <c r="H207" s="390"/>
      <c r="I207" s="246"/>
      <c r="J207" s="390"/>
      <c r="K207" s="246"/>
      <c r="L207" s="261"/>
      <c r="M207" s="250"/>
      <c r="N207" s="246"/>
      <c r="O207" s="390"/>
      <c r="P207" s="246"/>
      <c r="Q207" s="357" t="s">
        <v>425</v>
      </c>
      <c r="R207" s="246"/>
      <c r="S207" s="261"/>
      <c r="T207" s="250"/>
      <c r="U207" s="246"/>
      <c r="V207" s="390"/>
      <c r="W207" s="246"/>
      <c r="X207" s="357" t="s">
        <v>425</v>
      </c>
      <c r="Y207" s="246"/>
      <c r="Z207" s="261"/>
      <c r="AA207" s="250"/>
      <c r="AB207" s="246"/>
      <c r="AC207" s="390"/>
      <c r="AD207" s="246"/>
      <c r="AE207" s="357" t="s">
        <v>425</v>
      </c>
      <c r="AF207" s="246"/>
      <c r="AG207" s="261"/>
      <c r="AH207" s="390"/>
      <c r="AI207" s="246"/>
      <c r="AJ207" s="390"/>
      <c r="AK207" s="246"/>
      <c r="AL207" s="357" t="s">
        <v>425</v>
      </c>
      <c r="AM207" s="246"/>
      <c r="AN207" s="261"/>
      <c r="AO207" s="279"/>
      <c r="AP207" s="246"/>
      <c r="AQ207" s="390"/>
      <c r="AR207" s="246"/>
      <c r="AS207" s="357" t="s">
        <v>425</v>
      </c>
      <c r="AT207" s="254" t="str">
        <f t="shared" si="38"/>
        <v/>
      </c>
      <c r="AU207" s="269"/>
      <c r="AV207" s="269"/>
    </row>
    <row r="208">
      <c r="A208" s="94"/>
      <c r="B208" s="296" t="s">
        <v>650</v>
      </c>
      <c r="C208" s="297" t="s">
        <v>649</v>
      </c>
      <c r="D208" s="323"/>
      <c r="E208" s="261"/>
      <c r="F208" s="300"/>
      <c r="G208" s="298"/>
      <c r="H208" s="300"/>
      <c r="I208" s="298"/>
      <c r="J208" s="300"/>
      <c r="K208" s="298"/>
      <c r="L208" s="261"/>
      <c r="M208" s="250"/>
      <c r="N208" s="298"/>
      <c r="O208" s="300"/>
      <c r="P208" s="298"/>
      <c r="Q208" s="319"/>
      <c r="R208" s="298"/>
      <c r="S208" s="261"/>
      <c r="T208" s="250"/>
      <c r="U208" s="298"/>
      <c r="V208" s="300"/>
      <c r="W208" s="298"/>
      <c r="X208" s="300"/>
      <c r="Y208" s="298"/>
      <c r="Z208" s="261"/>
      <c r="AA208" s="250"/>
      <c r="AB208" s="298"/>
      <c r="AC208" s="300"/>
      <c r="AD208" s="298"/>
      <c r="AE208" s="300"/>
      <c r="AF208" s="298"/>
      <c r="AG208" s="261"/>
      <c r="AH208" s="300"/>
      <c r="AI208" s="298"/>
      <c r="AJ208" s="300"/>
      <c r="AK208" s="298"/>
      <c r="AL208" s="300"/>
      <c r="AM208" s="298"/>
      <c r="AN208" s="261"/>
      <c r="AO208" s="250"/>
      <c r="AP208" s="298"/>
      <c r="AQ208" s="300"/>
      <c r="AR208" s="298"/>
      <c r="AS208" s="300"/>
      <c r="AT208" s="254" t="str">
        <f t="shared" si="38"/>
        <v/>
      </c>
      <c r="AU208" s="269"/>
      <c r="AV208" s="269"/>
    </row>
    <row r="209">
      <c r="A209" s="94"/>
      <c r="B209" s="301" t="s">
        <v>651</v>
      </c>
      <c r="C209" s="391" t="s">
        <v>652</v>
      </c>
      <c r="D209" s="323"/>
      <c r="E209" s="259"/>
      <c r="F209" s="304"/>
      <c r="G209" s="298"/>
      <c r="H209" s="304"/>
      <c r="I209" s="298"/>
      <c r="J209" s="304"/>
      <c r="K209" s="298"/>
      <c r="L209" s="261"/>
      <c r="M209" s="250"/>
      <c r="N209" s="298"/>
      <c r="O209" s="304"/>
      <c r="P209" s="298"/>
      <c r="Q209" s="304"/>
      <c r="R209" s="298"/>
      <c r="S209" s="261"/>
      <c r="T209" s="250"/>
      <c r="U209" s="298"/>
      <c r="V209" s="304"/>
      <c r="W209" s="298"/>
      <c r="X209" s="304"/>
      <c r="Y209" s="298"/>
      <c r="Z209" s="261"/>
      <c r="AA209" s="250"/>
      <c r="AB209" s="298"/>
      <c r="AC209" s="304"/>
      <c r="AD209" s="298"/>
      <c r="AE209" s="304"/>
      <c r="AF209" s="298"/>
      <c r="AG209" s="261"/>
      <c r="AH209" s="304"/>
      <c r="AI209" s="298"/>
      <c r="AJ209" s="304"/>
      <c r="AK209" s="298"/>
      <c r="AL209" s="304"/>
      <c r="AM209" s="298"/>
      <c r="AN209" s="261"/>
      <c r="AO209" s="250"/>
      <c r="AP209" s="298"/>
      <c r="AQ209" s="304"/>
      <c r="AR209" s="298"/>
      <c r="AS209" s="304"/>
      <c r="AT209" s="254" t="str">
        <f t="shared" ref="AT209:AT210" si="39">IF(COUNTIF($AO$80:$AT$82, #REF!) &gt; 0, "X", "")</f>
        <v/>
      </c>
      <c r="AU209" s="269"/>
      <c r="AV209" s="269"/>
    </row>
    <row r="210">
      <c r="A210" s="94"/>
      <c r="B210" s="392" t="s">
        <v>691</v>
      </c>
      <c r="C210" s="393" t="s">
        <v>652</v>
      </c>
      <c r="D210" s="330"/>
      <c r="E210" s="259"/>
      <c r="F210" s="307"/>
      <c r="G210" s="298"/>
      <c r="H210" s="307"/>
      <c r="I210" s="298"/>
      <c r="J210" s="307"/>
      <c r="K210" s="298"/>
      <c r="L210" s="261"/>
      <c r="M210" s="250"/>
      <c r="N210" s="298"/>
      <c r="O210" s="307"/>
      <c r="P210" s="298"/>
      <c r="Q210" s="309" t="s">
        <v>414</v>
      </c>
      <c r="R210" s="298"/>
      <c r="S210" s="261"/>
      <c r="T210" s="250"/>
      <c r="U210" s="298"/>
      <c r="V210" s="307"/>
      <c r="W210" s="298"/>
      <c r="X210" s="395" t="s">
        <v>430</v>
      </c>
      <c r="Y210" s="298"/>
      <c r="Z210" s="261"/>
      <c r="AA210" s="250"/>
      <c r="AB210" s="298"/>
      <c r="AC210" s="307"/>
      <c r="AD210" s="298"/>
      <c r="AE210" s="395" t="s">
        <v>430</v>
      </c>
      <c r="AF210" s="298"/>
      <c r="AG210" s="261"/>
      <c r="AH210" s="307"/>
      <c r="AI210" s="298"/>
      <c r="AJ210" s="307"/>
      <c r="AK210" s="298"/>
      <c r="AL210" s="308" t="s">
        <v>445</v>
      </c>
      <c r="AM210" s="298"/>
      <c r="AN210" s="261"/>
      <c r="AO210" s="250"/>
      <c r="AP210" s="298"/>
      <c r="AQ210" s="307"/>
      <c r="AR210" s="298"/>
      <c r="AS210" s="308" t="s">
        <v>445</v>
      </c>
      <c r="AT210" s="254" t="str">
        <f t="shared" si="39"/>
        <v/>
      </c>
      <c r="AU210" s="269"/>
      <c r="AV210" s="269"/>
    </row>
    <row r="211">
      <c r="A211" s="94"/>
      <c r="B211" s="328" t="s">
        <v>692</v>
      </c>
      <c r="C211" s="329" t="s">
        <v>652</v>
      </c>
      <c r="D211" s="369"/>
      <c r="E211" s="259"/>
      <c r="F211" s="371"/>
      <c r="G211" s="246"/>
      <c r="H211" s="371"/>
      <c r="I211" s="246"/>
      <c r="J211" s="371"/>
      <c r="K211" s="246"/>
      <c r="L211" s="261"/>
      <c r="M211" s="250"/>
      <c r="N211" s="246"/>
      <c r="P211" s="246"/>
      <c r="Q211" s="371"/>
      <c r="R211" s="246"/>
      <c r="S211" s="261"/>
      <c r="T211" s="250"/>
      <c r="U211" s="246"/>
      <c r="V211" s="371"/>
      <c r="W211" s="246"/>
      <c r="X211" s="282"/>
      <c r="Y211" s="246"/>
      <c r="Z211" s="261"/>
      <c r="AA211" s="250"/>
      <c r="AB211" s="246"/>
      <c r="AC211" s="282"/>
      <c r="AD211" s="246"/>
      <c r="AE211" s="584"/>
      <c r="AF211" s="246"/>
      <c r="AG211" s="261"/>
      <c r="AH211" s="371"/>
      <c r="AI211" s="246"/>
      <c r="AK211" s="246"/>
      <c r="AL211" s="282"/>
      <c r="AM211" s="246"/>
      <c r="AN211" s="261"/>
      <c r="AO211" s="279"/>
      <c r="AP211" s="246"/>
      <c r="AQ211" s="371"/>
      <c r="AR211" s="246"/>
      <c r="AS211" s="282"/>
      <c r="AT211" s="254" t="str">
        <f t="shared" ref="AT211:AT214" si="40">IF(COUNTIF($AO$80:$AT$82, AS212) &gt; 0, "X", "")</f>
        <v/>
      </c>
      <c r="AU211" s="269"/>
      <c r="AV211" s="269"/>
    </row>
    <row r="212">
      <c r="A212" s="94"/>
      <c r="B212" s="397" t="s">
        <v>692</v>
      </c>
      <c r="C212" s="398" t="s">
        <v>687</v>
      </c>
      <c r="D212" s="404"/>
      <c r="E212" s="259"/>
      <c r="F212" s="399"/>
      <c r="G212" s="246"/>
      <c r="H212" s="399"/>
      <c r="I212" s="246"/>
      <c r="J212" s="399"/>
      <c r="K212" s="246"/>
      <c r="L212" s="261"/>
      <c r="M212" s="250"/>
      <c r="N212" s="246"/>
      <c r="O212" s="399"/>
      <c r="P212" s="246"/>
      <c r="Q212" s="282"/>
      <c r="R212" s="246"/>
      <c r="S212" s="261"/>
      <c r="T212" s="250"/>
      <c r="U212" s="246"/>
      <c r="V212" s="399"/>
      <c r="W212" s="246"/>
      <c r="X212" s="399"/>
      <c r="Y212" s="246"/>
      <c r="Z212" s="261"/>
      <c r="AA212" s="250"/>
      <c r="AB212" s="246"/>
      <c r="AC212" s="282"/>
      <c r="AD212" s="246"/>
      <c r="AE212" s="399"/>
      <c r="AF212" s="246"/>
      <c r="AG212" s="261"/>
      <c r="AH212" s="399"/>
      <c r="AI212" s="246"/>
      <c r="AJ212" s="399"/>
      <c r="AK212" s="246"/>
      <c r="AL212" s="399"/>
      <c r="AM212" s="246"/>
      <c r="AN212" s="261"/>
      <c r="AO212" s="273"/>
      <c r="AP212" s="246"/>
      <c r="AQ212" s="399"/>
      <c r="AR212" s="246"/>
      <c r="AS212" s="399"/>
      <c r="AT212" s="254" t="str">
        <f t="shared" si="40"/>
        <v/>
      </c>
      <c r="AU212" s="269"/>
      <c r="AV212" s="269"/>
    </row>
    <row r="213">
      <c r="A213" s="270"/>
      <c r="B213" s="402" t="s">
        <v>699</v>
      </c>
      <c r="C213" s="403" t="s">
        <v>649</v>
      </c>
      <c r="D213" s="330"/>
      <c r="E213" s="259"/>
      <c r="F213" s="294"/>
      <c r="G213" s="246"/>
      <c r="H213" s="294"/>
      <c r="I213" s="246"/>
      <c r="J213" s="294"/>
      <c r="K213" s="246"/>
      <c r="L213" s="261"/>
      <c r="M213" s="250"/>
      <c r="N213" s="246"/>
      <c r="O213" s="294"/>
      <c r="P213" s="246"/>
      <c r="Q213" s="353" t="s">
        <v>426</v>
      </c>
      <c r="R213" s="246"/>
      <c r="S213" s="261"/>
      <c r="T213" s="250"/>
      <c r="U213" s="246"/>
      <c r="V213" s="294"/>
      <c r="W213" s="246"/>
      <c r="X213" s="294"/>
      <c r="Y213" s="246"/>
      <c r="Z213" s="261"/>
      <c r="AA213" s="250"/>
      <c r="AB213" s="246"/>
      <c r="AC213" s="294"/>
      <c r="AD213" s="246"/>
      <c r="AE213" s="293" t="s">
        <v>416</v>
      </c>
      <c r="AF213" s="246"/>
      <c r="AG213" s="261"/>
      <c r="AH213" s="294"/>
      <c r="AI213" s="246"/>
      <c r="AJ213" s="294"/>
      <c r="AK213" s="246"/>
      <c r="AL213" s="294"/>
      <c r="AM213" s="246"/>
      <c r="AN213" s="261"/>
      <c r="AO213" s="250"/>
      <c r="AP213" s="246"/>
      <c r="AQ213" s="294"/>
      <c r="AR213" s="246"/>
      <c r="AS213" s="294"/>
      <c r="AT213" s="254" t="str">
        <f t="shared" si="40"/>
        <v/>
      </c>
      <c r="AU213" s="269"/>
      <c r="AV213" s="269"/>
    </row>
    <row r="214">
      <c r="A214" s="94"/>
      <c r="B214" s="328" t="s">
        <v>700</v>
      </c>
      <c r="C214" s="329" t="s">
        <v>657</v>
      </c>
      <c r="D214" s="330"/>
      <c r="E214" s="259"/>
      <c r="F214" s="371"/>
      <c r="G214" s="246"/>
      <c r="H214" s="282"/>
      <c r="I214" s="246"/>
      <c r="J214" s="371"/>
      <c r="K214" s="246"/>
      <c r="L214" s="261"/>
      <c r="M214" s="250"/>
      <c r="N214" s="246"/>
      <c r="O214" s="371"/>
      <c r="P214" s="246"/>
      <c r="Q214" s="274" t="s">
        <v>437</v>
      </c>
      <c r="R214" s="246"/>
      <c r="S214" s="261"/>
      <c r="T214" s="250"/>
      <c r="U214" s="246"/>
      <c r="V214" s="371"/>
      <c r="W214" s="246"/>
      <c r="X214" s="371"/>
      <c r="Y214" s="246"/>
      <c r="Z214" s="261"/>
      <c r="AA214" s="250"/>
      <c r="AB214" s="246"/>
      <c r="AC214" s="371"/>
      <c r="AD214" s="246"/>
      <c r="AE214" s="347" t="s">
        <v>437</v>
      </c>
      <c r="AF214" s="246"/>
      <c r="AG214" s="261"/>
      <c r="AH214" s="371"/>
      <c r="AI214" s="246"/>
      <c r="AJ214" s="371"/>
      <c r="AK214" s="246"/>
      <c r="AL214" s="371"/>
      <c r="AM214" s="246"/>
      <c r="AN214" s="261"/>
      <c r="AO214" s="312"/>
      <c r="AP214" s="246"/>
      <c r="AQ214" s="282"/>
      <c r="AR214" s="246"/>
      <c r="AS214" s="371"/>
      <c r="AT214" s="254" t="str">
        <f t="shared" si="40"/>
        <v/>
      </c>
      <c r="AU214" s="269"/>
      <c r="AV214" s="269"/>
    </row>
    <row r="215">
      <c r="A215" s="94"/>
      <c r="B215" s="328" t="s">
        <v>700</v>
      </c>
      <c r="C215" s="329" t="s">
        <v>657</v>
      </c>
      <c r="D215" s="330"/>
      <c r="E215" s="259"/>
      <c r="F215" s="264"/>
      <c r="G215" s="246"/>
      <c r="I215" s="246"/>
      <c r="K215" s="246"/>
      <c r="L215" s="261"/>
      <c r="M215" s="262"/>
      <c r="N215" s="246"/>
      <c r="O215" s="265"/>
      <c r="P215" s="246"/>
      <c r="Q215" s="405" t="s">
        <v>462</v>
      </c>
      <c r="R215" s="246"/>
      <c r="S215" s="261"/>
      <c r="T215" s="262"/>
      <c r="U215" s="246"/>
      <c r="V215" s="264"/>
      <c r="W215" s="246"/>
      <c r="X215" s="371"/>
      <c r="Y215" s="246"/>
      <c r="Z215" s="261"/>
      <c r="AA215" s="262"/>
      <c r="AB215" s="246"/>
      <c r="AC215" s="264"/>
      <c r="AD215" s="246"/>
      <c r="AE215" s="405" t="s">
        <v>462</v>
      </c>
      <c r="AF215" s="246"/>
      <c r="AG215" s="261"/>
      <c r="AH215" s="264"/>
      <c r="AI215" s="246"/>
      <c r="AJ215" s="264"/>
      <c r="AK215" s="246"/>
      <c r="AL215" s="264"/>
      <c r="AM215" s="246"/>
      <c r="AN215" s="261"/>
      <c r="AO215" s="260"/>
      <c r="AP215" s="246"/>
      <c r="AQ215" s="264"/>
      <c r="AR215" s="246"/>
      <c r="AS215" s="264"/>
      <c r="AT215" s="254" t="str">
        <f>IF(COUNTIF($AO$80:$AT$82, #REF!) &gt; 0, "X", "")</f>
        <v/>
      </c>
      <c r="AU215" s="269"/>
      <c r="AV215" s="269"/>
    </row>
    <row r="216">
      <c r="A216" s="94"/>
      <c r="B216" s="328" t="s">
        <v>700</v>
      </c>
      <c r="C216" s="329" t="s">
        <v>657</v>
      </c>
      <c r="D216" s="351"/>
      <c r="E216" s="259"/>
      <c r="F216" s="282"/>
      <c r="G216" s="246"/>
      <c r="H216" s="282"/>
      <c r="I216" s="246"/>
      <c r="K216" s="246"/>
      <c r="L216" s="261"/>
      <c r="M216" s="250"/>
      <c r="N216" s="246"/>
      <c r="P216" s="246"/>
      <c r="R216" s="246"/>
      <c r="S216" s="261"/>
      <c r="T216" s="250"/>
      <c r="U216" s="246"/>
      <c r="V216" s="282"/>
      <c r="W216" s="246"/>
      <c r="Y216" s="246"/>
      <c r="Z216" s="261"/>
      <c r="AA216" s="250"/>
      <c r="AB216" s="246"/>
      <c r="AC216" s="282"/>
      <c r="AD216" s="246"/>
      <c r="AE216" s="282"/>
      <c r="AF216" s="246"/>
      <c r="AG216" s="261"/>
      <c r="AH216" s="371"/>
      <c r="AI216" s="246"/>
      <c r="AJ216" s="282"/>
      <c r="AK216" s="246"/>
      <c r="AL216" s="399"/>
      <c r="AM216" s="246"/>
      <c r="AN216" s="261"/>
      <c r="AO216" s="279"/>
      <c r="AP216" s="246"/>
      <c r="AQ216" s="371"/>
      <c r="AR216" s="246"/>
      <c r="AS216" s="282"/>
      <c r="AT216" s="254" t="str">
        <f t="shared" ref="AT216:AT217" si="41">IF(COUNTIF($AO$80:$AT$82, AS217) &gt; 0, "X", "")</f>
        <v/>
      </c>
      <c r="AU216" s="269"/>
      <c r="AV216" s="269"/>
    </row>
    <row r="217">
      <c r="A217" s="94"/>
      <c r="B217" s="408" t="s">
        <v>702</v>
      </c>
      <c r="C217" s="409" t="s">
        <v>652</v>
      </c>
      <c r="D217" s="323"/>
      <c r="E217" s="259"/>
      <c r="F217" s="411"/>
      <c r="G217" s="246"/>
      <c r="H217" s="411"/>
      <c r="I217" s="246"/>
      <c r="J217" s="411"/>
      <c r="K217" s="246"/>
      <c r="L217" s="261"/>
      <c r="M217" s="262"/>
      <c r="N217" s="246"/>
      <c r="O217" s="411"/>
      <c r="P217" s="246"/>
      <c r="Q217" s="411"/>
      <c r="R217" s="246"/>
      <c r="S217" s="261"/>
      <c r="T217" s="262"/>
      <c r="U217" s="246"/>
      <c r="V217" s="411"/>
      <c r="W217" s="246"/>
      <c r="X217" s="411"/>
      <c r="Y217" s="246"/>
      <c r="Z217" s="261"/>
      <c r="AA217" s="262"/>
      <c r="AB217" s="246"/>
      <c r="AC217" s="411"/>
      <c r="AD217" s="246"/>
      <c r="AE217" s="411"/>
      <c r="AF217" s="246"/>
      <c r="AG217" s="261"/>
      <c r="AH217" s="411"/>
      <c r="AI217" s="246"/>
      <c r="AJ217" s="411"/>
      <c r="AK217" s="246"/>
      <c r="AL217" s="411"/>
      <c r="AM217" s="246"/>
      <c r="AN217" s="261"/>
      <c r="AO217" s="279"/>
      <c r="AP217" s="246"/>
      <c r="AQ217" s="411"/>
      <c r="AR217" s="246"/>
      <c r="AS217" s="411"/>
      <c r="AT217" s="254" t="str">
        <f t="shared" si="41"/>
        <v/>
      </c>
      <c r="AU217" s="269"/>
      <c r="AV217" s="269"/>
    </row>
    <row r="218">
      <c r="A218" s="234"/>
      <c r="B218" s="401" t="s">
        <v>703</v>
      </c>
      <c r="C218" s="412" t="s">
        <v>704</v>
      </c>
      <c r="D218" s="330"/>
      <c r="E218" s="259"/>
      <c r="F218" s="413"/>
      <c r="G218" s="246"/>
      <c r="H218" s="413"/>
      <c r="I218" s="246"/>
      <c r="J218" s="413"/>
      <c r="K218" s="246"/>
      <c r="L218" s="261"/>
      <c r="M218" s="262"/>
      <c r="N218" s="246"/>
      <c r="O218" s="413"/>
      <c r="P218" s="246"/>
      <c r="Q218" s="413"/>
      <c r="R218" s="246"/>
      <c r="S218" s="261"/>
      <c r="T218" s="262"/>
      <c r="U218" s="246"/>
      <c r="V218" s="413"/>
      <c r="W218" s="246"/>
      <c r="X218" s="413"/>
      <c r="Y218" s="246"/>
      <c r="Z218" s="261"/>
      <c r="AA218" s="262"/>
      <c r="AB218" s="246"/>
      <c r="AC218" s="413"/>
      <c r="AD218" s="246"/>
      <c r="AE218" s="413"/>
      <c r="AF218" s="246"/>
      <c r="AG218" s="261"/>
      <c r="AH218" s="413"/>
      <c r="AI218" s="246"/>
      <c r="AJ218" s="413"/>
      <c r="AK218" s="246"/>
      <c r="AL218" s="413"/>
      <c r="AM218" s="246"/>
      <c r="AN218" s="261"/>
      <c r="AO218" s="279"/>
      <c r="AP218" s="246"/>
      <c r="AQ218" s="413"/>
      <c r="AR218" s="246"/>
      <c r="AS218" s="413"/>
      <c r="AT218" s="254" t="str">
        <f t="shared" ref="AT218:AT222" si="42">IF(COUNTIF($AO$80:$AT$82, #REF!) &gt; 0, "X", "")</f>
        <v/>
      </c>
      <c r="AU218" s="269"/>
      <c r="AV218" s="269"/>
    </row>
    <row r="219">
      <c r="A219" s="234"/>
      <c r="B219" s="414" t="s">
        <v>705</v>
      </c>
      <c r="C219" s="415" t="s">
        <v>704</v>
      </c>
      <c r="D219" s="330"/>
      <c r="E219" s="259"/>
      <c r="F219" s="311" t="s">
        <v>470</v>
      </c>
      <c r="G219" s="246"/>
      <c r="H219" s="311" t="s">
        <v>438</v>
      </c>
      <c r="I219" s="246"/>
      <c r="J219" s="586" t="s">
        <v>452</v>
      </c>
      <c r="K219" s="246"/>
      <c r="L219" s="261"/>
      <c r="M219" s="341"/>
      <c r="N219" s="246"/>
      <c r="O219" s="311" t="s">
        <v>438</v>
      </c>
      <c r="P219" s="246"/>
      <c r="Q219" s="311" t="s">
        <v>394</v>
      </c>
      <c r="R219" s="246"/>
      <c r="S219" s="261"/>
      <c r="T219" s="341"/>
      <c r="U219" s="246"/>
      <c r="V219" s="311" t="s">
        <v>438</v>
      </c>
      <c r="W219" s="246"/>
      <c r="X219" s="311" t="s">
        <v>394</v>
      </c>
      <c r="Y219" s="246"/>
      <c r="Z219" s="261"/>
      <c r="AA219" s="341"/>
      <c r="AB219" s="246"/>
      <c r="AC219" s="311" t="s">
        <v>470</v>
      </c>
      <c r="AD219" s="246"/>
      <c r="AE219" s="251" t="s">
        <v>410</v>
      </c>
      <c r="AF219" s="246"/>
      <c r="AG219" s="261"/>
      <c r="AH219" s="282"/>
      <c r="AI219" s="246"/>
      <c r="AJ219" s="311" t="s">
        <v>438</v>
      </c>
      <c r="AK219" s="246"/>
      <c r="AL219" s="311" t="s">
        <v>394</v>
      </c>
      <c r="AM219" s="246"/>
      <c r="AN219" s="261"/>
      <c r="AO219" s="279"/>
      <c r="AP219" s="246"/>
      <c r="AQ219" s="311" t="s">
        <v>438</v>
      </c>
      <c r="AR219" s="246"/>
      <c r="AS219" s="374" t="s">
        <v>410</v>
      </c>
      <c r="AT219" s="254" t="str">
        <f t="shared" si="42"/>
        <v/>
      </c>
      <c r="AU219" s="269"/>
      <c r="AV219" s="269"/>
    </row>
    <row r="220">
      <c r="A220" s="94"/>
      <c r="B220" s="328" t="s">
        <v>705</v>
      </c>
      <c r="C220" s="257" t="s">
        <v>657</v>
      </c>
      <c r="D220" s="330"/>
      <c r="E220" s="259"/>
      <c r="F220" s="311" t="s">
        <v>467</v>
      </c>
      <c r="G220" s="246"/>
      <c r="H220" s="339" t="s">
        <v>404</v>
      </c>
      <c r="I220" s="246"/>
      <c r="J220" s="311" t="s">
        <v>410</v>
      </c>
      <c r="K220" s="246"/>
      <c r="L220" s="261"/>
      <c r="M220" s="341"/>
      <c r="N220" s="246"/>
      <c r="O220" s="311" t="s">
        <v>470</v>
      </c>
      <c r="P220" s="246"/>
      <c r="Q220" s="311" t="s">
        <v>410</v>
      </c>
      <c r="R220" s="246"/>
      <c r="S220" s="261"/>
      <c r="T220" s="341"/>
      <c r="U220" s="246"/>
      <c r="V220" s="311" t="s">
        <v>440</v>
      </c>
      <c r="W220" s="246"/>
      <c r="X220" s="311" t="s">
        <v>410</v>
      </c>
      <c r="Y220" s="246"/>
      <c r="Z220" s="261"/>
      <c r="AA220" s="341"/>
      <c r="AB220" s="246"/>
      <c r="AC220" s="339" t="s">
        <v>404</v>
      </c>
      <c r="AD220" s="246"/>
      <c r="AE220" s="311" t="s">
        <v>467</v>
      </c>
      <c r="AF220" s="246"/>
      <c r="AG220" s="261"/>
      <c r="AH220" s="311" t="s">
        <v>470</v>
      </c>
      <c r="AI220" s="246"/>
      <c r="AJ220" s="783" t="s">
        <v>406</v>
      </c>
      <c r="AK220" s="246"/>
      <c r="AL220" s="586" t="s">
        <v>452</v>
      </c>
      <c r="AM220" s="246"/>
      <c r="AN220" s="261"/>
      <c r="AO220" s="279"/>
      <c r="AP220" s="246"/>
      <c r="AQ220" s="339" t="s">
        <v>404</v>
      </c>
      <c r="AR220" s="246"/>
      <c r="AS220" s="311" t="s">
        <v>394</v>
      </c>
      <c r="AT220" s="254" t="str">
        <f t="shared" si="42"/>
        <v/>
      </c>
      <c r="AU220" s="269"/>
      <c r="AV220" s="269"/>
    </row>
    <row r="221">
      <c r="A221" s="94"/>
      <c r="B221" s="277" t="s">
        <v>705</v>
      </c>
      <c r="C221" s="329" t="s">
        <v>685</v>
      </c>
      <c r="D221" s="369"/>
      <c r="E221" s="259"/>
      <c r="G221" s="246"/>
      <c r="H221" s="274" t="s">
        <v>406</v>
      </c>
      <c r="I221" s="246"/>
      <c r="J221" s="726" t="s">
        <v>405</v>
      </c>
      <c r="K221" s="246"/>
      <c r="L221" s="261"/>
      <c r="M221" s="341"/>
      <c r="N221" s="246"/>
      <c r="O221" s="311" t="s">
        <v>440</v>
      </c>
      <c r="P221" s="246"/>
      <c r="Q221" s="311" t="s">
        <v>467</v>
      </c>
      <c r="R221" s="246"/>
      <c r="S221" s="261"/>
      <c r="T221" s="341"/>
      <c r="U221" s="246"/>
      <c r="V221" s="311" t="s">
        <v>470</v>
      </c>
      <c r="W221" s="246"/>
      <c r="X221" s="586" t="s">
        <v>452</v>
      </c>
      <c r="Y221" s="246"/>
      <c r="Z221" s="261"/>
      <c r="AA221" s="341"/>
      <c r="AB221" s="246"/>
      <c r="AC221" s="311" t="s">
        <v>440</v>
      </c>
      <c r="AD221" s="246"/>
      <c r="AE221" s="251" t="s">
        <v>405</v>
      </c>
      <c r="AF221" s="246"/>
      <c r="AG221" s="261"/>
      <c r="AH221" s="311" t="s">
        <v>467</v>
      </c>
      <c r="AI221" s="246"/>
      <c r="AJ221" s="311" t="s">
        <v>440</v>
      </c>
      <c r="AK221" s="246"/>
      <c r="AL221" s="726" t="s">
        <v>405</v>
      </c>
      <c r="AM221" s="246"/>
      <c r="AN221" s="261"/>
      <c r="AO221" s="279"/>
      <c r="AP221" s="246"/>
      <c r="AQ221" s="738" t="s">
        <v>453</v>
      </c>
      <c r="AR221" s="246"/>
      <c r="AS221" s="586" t="s">
        <v>452</v>
      </c>
      <c r="AT221" s="254" t="str">
        <f t="shared" si="42"/>
        <v/>
      </c>
      <c r="AU221" s="269"/>
      <c r="AV221" s="269"/>
    </row>
    <row r="222">
      <c r="A222" s="94"/>
      <c r="B222" s="271" t="s">
        <v>705</v>
      </c>
      <c r="C222" s="272" t="s">
        <v>687</v>
      </c>
      <c r="D222" s="330"/>
      <c r="E222" s="259"/>
      <c r="F222" s="282"/>
      <c r="G222" s="246"/>
      <c r="I222" s="246"/>
      <c r="J222" s="339" t="s">
        <v>472</v>
      </c>
      <c r="K222" s="246"/>
      <c r="L222" s="261"/>
      <c r="M222" s="341"/>
      <c r="N222" s="246"/>
      <c r="O222" s="282"/>
      <c r="P222" s="246"/>
      <c r="Q222" s="339" t="s">
        <v>1033</v>
      </c>
      <c r="R222" s="246"/>
      <c r="S222" s="261"/>
      <c r="T222" s="341"/>
      <c r="U222" s="246"/>
      <c r="V222" s="339" t="s">
        <v>472</v>
      </c>
      <c r="W222" s="246"/>
      <c r="X222" s="339" t="s">
        <v>1033</v>
      </c>
      <c r="Y222" s="246"/>
      <c r="Z222" s="261"/>
      <c r="AA222" s="341"/>
      <c r="AB222" s="246"/>
      <c r="AC222" s="339" t="s">
        <v>472</v>
      </c>
      <c r="AD222" s="246"/>
      <c r="AE222" s="339" t="s">
        <v>1033</v>
      </c>
      <c r="AF222" s="246"/>
      <c r="AG222" s="261"/>
      <c r="AH222" s="282"/>
      <c r="AI222" s="246"/>
      <c r="AK222" s="246"/>
      <c r="AL222" s="339" t="s">
        <v>472</v>
      </c>
      <c r="AM222" s="246"/>
      <c r="AN222" s="261"/>
      <c r="AO222" s="279"/>
      <c r="AP222" s="246"/>
      <c r="AQ222" s="282"/>
      <c r="AR222" s="246"/>
      <c r="AT222" s="254" t="str">
        <f t="shared" si="42"/>
        <v/>
      </c>
      <c r="AU222" s="269"/>
      <c r="AV222" s="269"/>
    </row>
    <row r="223">
      <c r="A223" s="270"/>
      <c r="B223" s="397" t="s">
        <v>708</v>
      </c>
      <c r="C223" s="398" t="s">
        <v>654</v>
      </c>
      <c r="D223" s="330"/>
      <c r="E223" s="259"/>
      <c r="F223" s="275"/>
      <c r="G223" s="246"/>
      <c r="H223" s="311" t="s">
        <v>441</v>
      </c>
      <c r="I223" s="246"/>
      <c r="J223" s="374" t="s">
        <v>446</v>
      </c>
      <c r="K223" s="246"/>
      <c r="L223" s="261"/>
      <c r="M223" s="341"/>
      <c r="N223" s="246"/>
      <c r="O223" s="311" t="s">
        <v>441</v>
      </c>
      <c r="P223" s="246"/>
      <c r="Q223" s="339" t="s">
        <v>472</v>
      </c>
      <c r="R223" s="246"/>
      <c r="S223" s="261"/>
      <c r="T223" s="341"/>
      <c r="U223" s="246"/>
      <c r="V223" s="365" t="s">
        <v>469</v>
      </c>
      <c r="W223" s="246"/>
      <c r="X223" s="311" t="s">
        <v>441</v>
      </c>
      <c r="Y223" s="246"/>
      <c r="Z223" s="261"/>
      <c r="AA223" s="341"/>
      <c r="AB223" s="246"/>
      <c r="AC223" s="311" t="s">
        <v>441</v>
      </c>
      <c r="AD223" s="246"/>
      <c r="AF223" s="246"/>
      <c r="AG223" s="261"/>
      <c r="AH223" s="275"/>
      <c r="AI223" s="246"/>
      <c r="AJ223" s="251" t="s">
        <v>469</v>
      </c>
      <c r="AK223" s="246"/>
      <c r="AL223" s="311" t="s">
        <v>441</v>
      </c>
      <c r="AM223" s="246"/>
      <c r="AN223" s="261"/>
      <c r="AO223" s="279"/>
      <c r="AP223" s="246"/>
      <c r="AQ223" s="365" t="s">
        <v>469</v>
      </c>
      <c r="AR223" s="246"/>
      <c r="AS223" s="374"/>
      <c r="AT223" s="254" t="str">
        <f t="shared" ref="AT223:AT224" si="43">IF(COUNTIF($AO$80:$AT$82, AS224) &gt; 0, "X", "")</f>
        <v/>
      </c>
      <c r="AU223" s="269"/>
      <c r="AV223" s="269"/>
    </row>
    <row r="224">
      <c r="A224" s="94"/>
      <c r="B224" s="277" t="s">
        <v>709</v>
      </c>
      <c r="C224" s="278" t="s">
        <v>710</v>
      </c>
      <c r="D224" s="323"/>
      <c r="E224" s="259"/>
      <c r="F224" s="281"/>
      <c r="G224" s="246"/>
      <c r="I224" s="246"/>
      <c r="K224" s="246"/>
      <c r="L224" s="261"/>
      <c r="M224" s="286"/>
      <c r="N224" s="246"/>
      <c r="O224" s="281"/>
      <c r="P224" s="246"/>
      <c r="Q224" s="325" t="s">
        <v>842</v>
      </c>
      <c r="R224" s="246"/>
      <c r="S224" s="261"/>
      <c r="T224" s="286"/>
      <c r="U224" s="246"/>
      <c r="V224" s="282"/>
      <c r="W224" s="246"/>
      <c r="X224" s="282"/>
      <c r="Y224" s="246"/>
      <c r="Z224" s="261"/>
      <c r="AA224" s="286"/>
      <c r="AB224" s="246"/>
      <c r="AD224" s="246"/>
      <c r="AE224" s="282"/>
      <c r="AF224" s="246"/>
      <c r="AG224" s="261"/>
      <c r="AH224" s="281"/>
      <c r="AI224" s="246"/>
      <c r="AJ224" s="276"/>
      <c r="AK224" s="246"/>
      <c r="AL224" s="282"/>
      <c r="AM224" s="246"/>
      <c r="AN224" s="261"/>
      <c r="AO224" s="279"/>
      <c r="AP224" s="246"/>
      <c r="AQ224" s="281"/>
      <c r="AR224" s="246"/>
      <c r="AS224" s="281"/>
      <c r="AT224" s="254" t="str">
        <f t="shared" si="43"/>
        <v/>
      </c>
      <c r="AU224" s="269"/>
      <c r="AV224" s="269"/>
    </row>
    <row r="225">
      <c r="A225" s="94"/>
      <c r="B225" s="673" t="s">
        <v>944</v>
      </c>
      <c r="C225" s="272" t="s">
        <v>639</v>
      </c>
      <c r="D225" s="431"/>
      <c r="E225" s="259"/>
      <c r="F225" s="282"/>
      <c r="G225" s="246"/>
      <c r="I225" s="246"/>
      <c r="J225" s="282"/>
      <c r="K225" s="246"/>
      <c r="L225" s="261"/>
      <c r="M225" s="341"/>
      <c r="N225" s="246"/>
      <c r="O225" s="311" t="s">
        <v>432</v>
      </c>
      <c r="P225" s="246"/>
      <c r="Q225" s="282"/>
      <c r="R225" s="246"/>
      <c r="S225" s="261"/>
      <c r="T225" s="341"/>
      <c r="U225" s="246"/>
      <c r="V225" s="311" t="s">
        <v>432</v>
      </c>
      <c r="W225" s="246"/>
      <c r="X225" s="282"/>
      <c r="Y225" s="246"/>
      <c r="Z225" s="261"/>
      <c r="AA225" s="341"/>
      <c r="AB225" s="246"/>
      <c r="AC225" s="311" t="s">
        <v>432</v>
      </c>
      <c r="AD225" s="246"/>
      <c r="AE225" s="282"/>
      <c r="AF225" s="246"/>
      <c r="AG225" s="261"/>
      <c r="AH225" s="282"/>
      <c r="AI225" s="246"/>
      <c r="AJ225" s="311" t="s">
        <v>432</v>
      </c>
      <c r="AK225" s="246"/>
      <c r="AL225" s="282"/>
      <c r="AM225" s="246"/>
      <c r="AN225" s="261"/>
      <c r="AO225" s="279"/>
      <c r="AP225" s="246"/>
      <c r="AQ225" s="282"/>
      <c r="AR225" s="246"/>
      <c r="AS225" s="282"/>
      <c r="AT225" s="430"/>
      <c r="AU225" s="269"/>
      <c r="AV225" s="269"/>
    </row>
    <row r="226">
      <c r="A226" s="94"/>
      <c r="B226" s="429" t="s">
        <v>714</v>
      </c>
      <c r="C226" s="430"/>
      <c r="D226" s="323"/>
      <c r="E226" s="259"/>
      <c r="F226" s="432"/>
      <c r="G226" s="432"/>
      <c r="H226" s="432"/>
      <c r="I226" s="432"/>
      <c r="J226" s="432"/>
      <c r="K226" s="432"/>
      <c r="L226" s="261"/>
      <c r="M226" s="432"/>
      <c r="N226" s="433"/>
      <c r="O226" s="432"/>
      <c r="P226" s="432"/>
      <c r="Q226" s="432"/>
      <c r="R226" s="432"/>
      <c r="S226" s="261"/>
      <c r="T226" s="432"/>
      <c r="U226" s="433"/>
      <c r="V226" s="432"/>
      <c r="W226" s="432"/>
      <c r="X226" s="432"/>
      <c r="Y226" s="432"/>
      <c r="Z226" s="261"/>
      <c r="AA226" s="432"/>
      <c r="AB226" s="433"/>
      <c r="AC226" s="432"/>
      <c r="AD226" s="432"/>
      <c r="AE226" s="432"/>
      <c r="AF226" s="432"/>
      <c r="AG226" s="261"/>
      <c r="AH226" s="432"/>
      <c r="AI226" s="433"/>
      <c r="AJ226" s="432"/>
      <c r="AK226" s="432"/>
      <c r="AL226" s="432"/>
      <c r="AM226" s="432"/>
      <c r="AN226" s="261"/>
      <c r="AO226" s="432"/>
      <c r="AP226" s="433"/>
      <c r="AQ226" s="432"/>
      <c r="AR226" s="432"/>
      <c r="AS226" s="432"/>
      <c r="AT226" s="254" t="str">
        <f t="shared" ref="AT226:AT231" si="44">IF(COUNTIF($AO$80:$AT$82, AS227) &gt; 0, "X", "")</f>
        <v/>
      </c>
      <c r="AU226" s="269"/>
      <c r="AV226" s="269"/>
    </row>
    <row r="227">
      <c r="A227" s="94"/>
      <c r="B227" s="401" t="s">
        <v>715</v>
      </c>
      <c r="C227" s="412" t="s">
        <v>716</v>
      </c>
      <c r="D227" s="323"/>
      <c r="E227" s="259"/>
      <c r="F227" s="434" t="s">
        <v>465</v>
      </c>
      <c r="G227" s="246"/>
      <c r="H227" s="434" t="s">
        <v>403</v>
      </c>
      <c r="I227" s="246"/>
      <c r="J227" s="434"/>
      <c r="K227" s="246"/>
      <c r="L227" s="261"/>
      <c r="M227" s="434"/>
      <c r="N227" s="246"/>
      <c r="O227" s="434" t="s">
        <v>403</v>
      </c>
      <c r="P227" s="246"/>
      <c r="Q227" s="434"/>
      <c r="R227" s="246"/>
      <c r="S227" s="261"/>
      <c r="T227" s="434"/>
      <c r="U227" s="246"/>
      <c r="V227" s="434" t="s">
        <v>403</v>
      </c>
      <c r="W227" s="246"/>
      <c r="X227" s="434"/>
      <c r="Y227" s="246"/>
      <c r="Z227" s="261"/>
      <c r="AA227" s="434"/>
      <c r="AB227" s="246"/>
      <c r="AC227" s="434" t="s">
        <v>403</v>
      </c>
      <c r="AD227" s="246"/>
      <c r="AE227" s="434"/>
      <c r="AF227" s="246"/>
      <c r="AG227" s="261"/>
      <c r="AH227" s="434"/>
      <c r="AI227" s="246"/>
      <c r="AJ227" s="434" t="s">
        <v>403</v>
      </c>
      <c r="AK227" s="246"/>
      <c r="AL227" s="434"/>
      <c r="AM227" s="246"/>
      <c r="AN227" s="261"/>
      <c r="AO227" s="434"/>
      <c r="AP227" s="246"/>
      <c r="AQ227" s="434"/>
      <c r="AR227" s="246"/>
      <c r="AS227" s="434"/>
      <c r="AT227" s="254" t="str">
        <f t="shared" si="44"/>
        <v/>
      </c>
      <c r="AU227" s="269"/>
      <c r="AV227" s="269"/>
    </row>
    <row r="228">
      <c r="A228" s="94"/>
      <c r="B228" s="435" t="s">
        <v>717</v>
      </c>
      <c r="C228" s="415" t="s">
        <v>718</v>
      </c>
      <c r="D228" s="363"/>
      <c r="E228" s="259"/>
      <c r="F228" s="434"/>
      <c r="G228" s="246"/>
      <c r="H228" s="406" t="s">
        <v>442</v>
      </c>
      <c r="I228" s="246"/>
      <c r="J228" s="434"/>
      <c r="K228" s="246"/>
      <c r="L228" s="261"/>
      <c r="M228" s="434"/>
      <c r="N228" s="246"/>
      <c r="O228" s="406" t="s">
        <v>442</v>
      </c>
      <c r="P228" s="246"/>
      <c r="Q228" s="434"/>
      <c r="R228" s="246"/>
      <c r="S228" s="261"/>
      <c r="T228" s="434"/>
      <c r="U228" s="246"/>
      <c r="V228" s="406" t="s">
        <v>442</v>
      </c>
      <c r="W228" s="246"/>
      <c r="X228" s="434"/>
      <c r="Y228" s="246"/>
      <c r="Z228" s="261"/>
      <c r="AA228" s="434"/>
      <c r="AB228" s="246"/>
      <c r="AC228" s="406" t="s">
        <v>442</v>
      </c>
      <c r="AD228" s="246"/>
      <c r="AE228" s="434"/>
      <c r="AF228" s="246"/>
      <c r="AG228" s="261"/>
      <c r="AH228" s="434"/>
      <c r="AI228" s="246"/>
      <c r="AJ228" s="406" t="s">
        <v>442</v>
      </c>
      <c r="AK228" s="246"/>
      <c r="AL228" s="434"/>
      <c r="AM228" s="246"/>
      <c r="AN228" s="261"/>
      <c r="AO228" s="434"/>
      <c r="AP228" s="246"/>
      <c r="AQ228" s="406" t="s">
        <v>463</v>
      </c>
      <c r="AR228" s="246"/>
      <c r="AS228" s="434"/>
      <c r="AT228" s="254" t="str">
        <f t="shared" si="44"/>
        <v/>
      </c>
      <c r="AU228" s="269"/>
      <c r="AV228" s="269"/>
    </row>
    <row r="229">
      <c r="A229" s="94"/>
      <c r="B229" s="436" t="s">
        <v>719</v>
      </c>
      <c r="C229" s="437" t="s">
        <v>720</v>
      </c>
      <c r="D229" s="330"/>
      <c r="E229" s="259"/>
      <c r="F229" s="406"/>
      <c r="G229" s="246"/>
      <c r="H229" s="406" t="s">
        <v>463</v>
      </c>
      <c r="I229" s="246"/>
      <c r="J229" s="406"/>
      <c r="K229" s="246"/>
      <c r="L229" s="261"/>
      <c r="M229" s="406"/>
      <c r="N229" s="246"/>
      <c r="O229" s="406" t="s">
        <v>463</v>
      </c>
      <c r="P229" s="246"/>
      <c r="Q229" s="406"/>
      <c r="R229" s="246"/>
      <c r="S229" s="261"/>
      <c r="T229" s="406"/>
      <c r="U229" s="246"/>
      <c r="V229" s="406" t="s">
        <v>463</v>
      </c>
      <c r="W229" s="246"/>
      <c r="X229" s="406"/>
      <c r="Y229" s="246"/>
      <c r="Z229" s="261"/>
      <c r="AA229" s="406"/>
      <c r="AB229" s="246"/>
      <c r="AC229" s="406" t="s">
        <v>456</v>
      </c>
      <c r="AD229" s="246"/>
      <c r="AE229" s="406"/>
      <c r="AF229" s="246"/>
      <c r="AG229" s="261"/>
      <c r="AH229" s="406"/>
      <c r="AI229" s="246"/>
      <c r="AJ229" s="406" t="s">
        <v>946</v>
      </c>
      <c r="AK229" s="246"/>
      <c r="AL229" s="406"/>
      <c r="AM229" s="246"/>
      <c r="AN229" s="261"/>
      <c r="AO229" s="406"/>
      <c r="AP229" s="246"/>
      <c r="AQ229" s="406"/>
      <c r="AR229" s="246"/>
      <c r="AS229" s="406"/>
      <c r="AT229" s="254" t="str">
        <f t="shared" si="44"/>
        <v/>
      </c>
      <c r="AU229" s="269"/>
      <c r="AV229" s="269"/>
    </row>
    <row r="230">
      <c r="A230" s="94"/>
      <c r="B230" s="439" t="s">
        <v>721</v>
      </c>
      <c r="C230" s="440" t="s">
        <v>722</v>
      </c>
      <c r="D230" s="330"/>
      <c r="E230" s="259"/>
      <c r="F230" s="406"/>
      <c r="G230" s="246"/>
      <c r="H230" s="406" t="s">
        <v>454</v>
      </c>
      <c r="I230" s="246"/>
      <c r="J230" s="406"/>
      <c r="K230" s="246"/>
      <c r="L230" s="261"/>
      <c r="M230" s="406"/>
      <c r="N230" s="246"/>
      <c r="O230" s="406" t="s">
        <v>454</v>
      </c>
      <c r="P230" s="246"/>
      <c r="Q230" s="406"/>
      <c r="R230" s="246"/>
      <c r="S230" s="261"/>
      <c r="T230" s="406"/>
      <c r="U230" s="246"/>
      <c r="V230" s="406" t="s">
        <v>454</v>
      </c>
      <c r="W230" s="246"/>
      <c r="X230" s="406"/>
      <c r="Y230" s="246"/>
      <c r="Z230" s="261"/>
      <c r="AA230" s="406"/>
      <c r="AB230" s="246"/>
      <c r="AC230" s="406" t="s">
        <v>454</v>
      </c>
      <c r="AD230" s="246"/>
      <c r="AE230" s="406"/>
      <c r="AF230" s="246"/>
      <c r="AG230" s="261"/>
      <c r="AH230" s="406"/>
      <c r="AI230" s="246"/>
      <c r="AJ230" s="406" t="s">
        <v>454</v>
      </c>
      <c r="AK230" s="246"/>
      <c r="AL230" s="406"/>
      <c r="AM230" s="246"/>
      <c r="AN230" s="261"/>
      <c r="AO230" s="406"/>
      <c r="AP230" s="246"/>
      <c r="AQ230" s="406"/>
      <c r="AR230" s="246"/>
      <c r="AS230" s="406"/>
      <c r="AT230" s="254" t="str">
        <f t="shared" si="44"/>
        <v/>
      </c>
      <c r="AU230" s="269"/>
      <c r="AV230" s="269"/>
    </row>
    <row r="231">
      <c r="A231" s="94"/>
      <c r="B231" s="439" t="s">
        <v>723</v>
      </c>
      <c r="C231" s="440" t="s">
        <v>724</v>
      </c>
      <c r="D231" s="330"/>
      <c r="E231" s="259"/>
      <c r="F231" s="406"/>
      <c r="G231" s="246"/>
      <c r="H231" s="592" t="s">
        <v>1076</v>
      </c>
      <c r="I231" s="246"/>
      <c r="J231" s="406" t="s">
        <v>1066</v>
      </c>
      <c r="K231" s="246"/>
      <c r="L231" s="261"/>
      <c r="M231" s="406"/>
      <c r="N231" s="246"/>
      <c r="O231" s="406" t="s">
        <v>1077</v>
      </c>
      <c r="P231" s="246"/>
      <c r="Q231" s="406" t="s">
        <v>1066</v>
      </c>
      <c r="R231" s="246"/>
      <c r="S231" s="261"/>
      <c r="T231" s="406"/>
      <c r="U231" s="246"/>
      <c r="V231" s="406" t="s">
        <v>970</v>
      </c>
      <c r="W231" s="246"/>
      <c r="X231" s="406" t="s">
        <v>1066</v>
      </c>
      <c r="Y231" s="246"/>
      <c r="Z231" s="261"/>
      <c r="AA231" s="406"/>
      <c r="AB231" s="246"/>
      <c r="AC231" s="406" t="s">
        <v>946</v>
      </c>
      <c r="AD231" s="246"/>
      <c r="AE231" s="406" t="s">
        <v>1066</v>
      </c>
      <c r="AF231" s="246"/>
      <c r="AG231" s="261"/>
      <c r="AH231" s="406"/>
      <c r="AI231" s="246"/>
      <c r="AJ231" s="406" t="s">
        <v>463</v>
      </c>
      <c r="AK231" s="246"/>
      <c r="AL231" s="406"/>
      <c r="AM231" s="246"/>
      <c r="AN231" s="261"/>
      <c r="AO231" s="406"/>
      <c r="AP231" s="246"/>
      <c r="AQ231" s="406" t="s">
        <v>970</v>
      </c>
      <c r="AR231" s="246"/>
      <c r="AS231" s="406"/>
      <c r="AT231" s="254" t="str">
        <f t="shared" si="44"/>
        <v/>
      </c>
      <c r="AU231" s="269"/>
      <c r="AV231" s="269"/>
    </row>
    <row r="232">
      <c r="A232" s="94"/>
      <c r="B232" s="439" t="s">
        <v>725</v>
      </c>
      <c r="C232" s="442" t="s">
        <v>726</v>
      </c>
      <c r="D232" s="330"/>
      <c r="E232" s="259"/>
      <c r="F232" s="441"/>
      <c r="G232" s="246"/>
      <c r="H232" s="406" t="s">
        <v>970</v>
      </c>
      <c r="I232" s="246"/>
      <c r="J232" s="441"/>
      <c r="K232" s="246"/>
      <c r="L232" s="261"/>
      <c r="M232" s="441"/>
      <c r="N232" s="246"/>
      <c r="O232" s="406" t="s">
        <v>970</v>
      </c>
      <c r="P232" s="246"/>
      <c r="Q232" s="441"/>
      <c r="R232" s="246"/>
      <c r="S232" s="261"/>
      <c r="T232" s="441"/>
      <c r="U232" s="246"/>
      <c r="V232" s="406" t="s">
        <v>460</v>
      </c>
      <c r="W232" s="246"/>
      <c r="X232" s="441"/>
      <c r="Y232" s="246"/>
      <c r="Z232" s="261"/>
      <c r="AA232" s="441"/>
      <c r="AB232" s="246"/>
      <c r="AC232" s="406" t="s">
        <v>970</v>
      </c>
      <c r="AD232" s="246"/>
      <c r="AE232" s="441"/>
      <c r="AF232" s="246"/>
      <c r="AG232" s="261"/>
      <c r="AH232" s="441"/>
      <c r="AI232" s="246"/>
      <c r="AJ232" s="406" t="s">
        <v>456</v>
      </c>
      <c r="AK232" s="246"/>
      <c r="AL232" s="441"/>
      <c r="AM232" s="246"/>
      <c r="AN232" s="261"/>
      <c r="AO232" s="441"/>
      <c r="AP232" s="246"/>
      <c r="AQ232" s="406" t="s">
        <v>456</v>
      </c>
      <c r="AR232" s="246"/>
      <c r="AS232" s="441"/>
      <c r="AT232" s="254" t="str">
        <f>IF(COUNTIF($AO$80:$AT$82, #REF!) &gt; 0, "X", "")</f>
        <v/>
      </c>
      <c r="AU232" s="269"/>
      <c r="AV232" s="269"/>
    </row>
    <row r="233">
      <c r="A233" s="94"/>
      <c r="B233" s="447" t="s">
        <v>729</v>
      </c>
      <c r="C233" s="448" t="s">
        <v>730</v>
      </c>
      <c r="D233" s="330"/>
      <c r="E233" s="259"/>
      <c r="F233" s="441"/>
      <c r="G233" s="246"/>
      <c r="H233" s="406"/>
      <c r="I233" s="246"/>
      <c r="J233" s="441"/>
      <c r="K233" s="246"/>
      <c r="L233" s="261"/>
      <c r="M233" s="441"/>
      <c r="N233" s="246"/>
      <c r="O233" s="406"/>
      <c r="P233" s="246"/>
      <c r="Q233" s="441"/>
      <c r="R233" s="246"/>
      <c r="S233" s="261"/>
      <c r="T233" s="441"/>
      <c r="U233" s="246"/>
      <c r="V233" s="406" t="s">
        <v>456</v>
      </c>
      <c r="W233" s="246"/>
      <c r="X233" s="441"/>
      <c r="Y233" s="246"/>
      <c r="Z233" s="261"/>
      <c r="AA233" s="441"/>
      <c r="AB233" s="246"/>
      <c r="AC233" s="406"/>
      <c r="AD233" s="246"/>
      <c r="AE233" s="441"/>
      <c r="AF233" s="246"/>
      <c r="AG233" s="261"/>
      <c r="AH233" s="441"/>
      <c r="AI233" s="246"/>
      <c r="AJ233" s="406"/>
      <c r="AK233" s="246"/>
      <c r="AL233" s="441"/>
      <c r="AM233" s="246"/>
      <c r="AN233" s="261"/>
      <c r="AO233" s="441"/>
      <c r="AP233" s="246"/>
      <c r="AQ233" s="406"/>
      <c r="AR233" s="246"/>
      <c r="AS233" s="441"/>
      <c r="AT233" s="254" t="str">
        <f t="shared" ref="AT233:AT235" si="45">IF(COUNTIF($AO$80:$AT$82, AS233) &gt; 0, "X", "")</f>
        <v/>
      </c>
      <c r="AU233" s="269"/>
      <c r="AV233" s="269"/>
    </row>
    <row r="234">
      <c r="A234" s="94"/>
      <c r="B234" s="450" t="s">
        <v>731</v>
      </c>
      <c r="C234" s="451" t="s">
        <v>732</v>
      </c>
      <c r="D234" s="363"/>
      <c r="E234" s="259"/>
      <c r="F234" s="206"/>
      <c r="G234" s="246"/>
      <c r="H234" s="406" t="s">
        <v>946</v>
      </c>
      <c r="I234" s="246"/>
      <c r="J234" s="206"/>
      <c r="K234" s="246"/>
      <c r="L234" s="261"/>
      <c r="M234" s="206"/>
      <c r="N234" s="246"/>
      <c r="O234" s="406" t="s">
        <v>946</v>
      </c>
      <c r="P234" s="246"/>
      <c r="Q234" s="206"/>
      <c r="R234" s="246"/>
      <c r="S234" s="261"/>
      <c r="T234" s="206"/>
      <c r="U234" s="246"/>
      <c r="V234" s="406" t="s">
        <v>946</v>
      </c>
      <c r="W234" s="246"/>
      <c r="X234" s="206"/>
      <c r="Y234" s="246"/>
      <c r="Z234" s="261"/>
      <c r="AA234" s="206"/>
      <c r="AB234" s="246"/>
      <c r="AC234" s="406" t="s">
        <v>460</v>
      </c>
      <c r="AD234" s="246"/>
      <c r="AE234" s="206"/>
      <c r="AF234" s="246"/>
      <c r="AG234" s="261"/>
      <c r="AH234" s="206"/>
      <c r="AI234" s="246"/>
      <c r="AJ234" s="406" t="s">
        <v>460</v>
      </c>
      <c r="AK234" s="246"/>
      <c r="AL234" s="206"/>
      <c r="AM234" s="246"/>
      <c r="AN234" s="261"/>
      <c r="AO234" s="206"/>
      <c r="AP234" s="246"/>
      <c r="AQ234" s="206"/>
      <c r="AR234" s="246"/>
      <c r="AS234" s="206"/>
      <c r="AT234" s="254" t="str">
        <f t="shared" si="45"/>
        <v/>
      </c>
      <c r="AU234" s="269"/>
      <c r="AV234" s="269"/>
    </row>
    <row r="235">
      <c r="A235" s="94"/>
      <c r="B235" s="452" t="s">
        <v>733</v>
      </c>
      <c r="C235" s="453" t="s">
        <v>734</v>
      </c>
      <c r="D235" s="363"/>
      <c r="E235" s="259"/>
      <c r="F235" s="74"/>
      <c r="G235" s="246"/>
      <c r="H235" s="594" t="s">
        <v>395</v>
      </c>
      <c r="I235" s="246"/>
      <c r="J235" s="74"/>
      <c r="K235" s="246"/>
      <c r="L235" s="261"/>
      <c r="M235" s="74"/>
      <c r="N235" s="246"/>
      <c r="O235" s="594" t="s">
        <v>395</v>
      </c>
      <c r="P235" s="246"/>
      <c r="Q235" s="74"/>
      <c r="R235" s="246"/>
      <c r="S235" s="261"/>
      <c r="T235" s="74"/>
      <c r="U235" s="246"/>
      <c r="V235" s="594" t="s">
        <v>395</v>
      </c>
      <c r="W235" s="246"/>
      <c r="X235" s="74"/>
      <c r="Y235" s="246"/>
      <c r="Z235" s="261"/>
      <c r="AA235" s="74"/>
      <c r="AB235" s="246"/>
      <c r="AC235" s="594" t="s">
        <v>395</v>
      </c>
      <c r="AD235" s="246"/>
      <c r="AE235" s="74"/>
      <c r="AF235" s="246"/>
      <c r="AG235" s="261"/>
      <c r="AH235" s="74"/>
      <c r="AI235" s="246"/>
      <c r="AJ235" s="594" t="s">
        <v>957</v>
      </c>
      <c r="AK235" s="246"/>
      <c r="AL235" s="406" t="s">
        <v>1066</v>
      </c>
      <c r="AM235" s="246"/>
      <c r="AN235" s="261"/>
      <c r="AO235" s="74"/>
      <c r="AP235" s="246"/>
      <c r="AQ235" s="406" t="s">
        <v>460</v>
      </c>
      <c r="AR235" s="246"/>
      <c r="AS235" s="654"/>
      <c r="AT235" s="254" t="str">
        <f t="shared" si="45"/>
        <v/>
      </c>
      <c r="AU235" s="269"/>
      <c r="AV235" s="269"/>
    </row>
    <row r="236">
      <c r="A236" s="94"/>
      <c r="B236" s="636"/>
      <c r="C236" s="637"/>
      <c r="D236" s="269"/>
      <c r="E236" s="638"/>
      <c r="F236" s="446"/>
      <c r="G236" s="246"/>
      <c r="H236" s="446"/>
      <c r="I236" s="246"/>
      <c r="J236" s="446"/>
      <c r="K236" s="246"/>
      <c r="L236" s="462"/>
      <c r="M236" s="446"/>
      <c r="N236" s="246"/>
      <c r="O236" s="446"/>
      <c r="P236" s="246"/>
      <c r="Q236" s="446"/>
      <c r="R236" s="246"/>
      <c r="S236" s="462"/>
      <c r="T236" s="446"/>
      <c r="U236" s="246"/>
      <c r="V236" s="446"/>
      <c r="W236" s="246"/>
      <c r="X236" s="446"/>
      <c r="Y236" s="246"/>
      <c r="Z236" s="462"/>
      <c r="AA236" s="446"/>
      <c r="AB236" s="246"/>
      <c r="AC236" s="446"/>
      <c r="AD236" s="246"/>
      <c r="AE236" s="446"/>
      <c r="AF236" s="246"/>
      <c r="AG236" s="462"/>
      <c r="AH236" s="446"/>
      <c r="AI236" s="246"/>
      <c r="AJ236" s="446"/>
      <c r="AK236" s="246"/>
      <c r="AL236" s="446"/>
      <c r="AM236" s="246"/>
      <c r="AN236" s="462"/>
      <c r="AO236" s="446"/>
      <c r="AP236" s="246"/>
      <c r="AQ236" s="446"/>
      <c r="AR236" s="246"/>
      <c r="AS236" s="446"/>
      <c r="AT236" s="254"/>
      <c r="AU236" s="269"/>
      <c r="AV236" s="269"/>
    </row>
    <row r="237">
      <c r="A237" s="94"/>
      <c r="B237" s="454" t="s">
        <v>735</v>
      </c>
      <c r="C237" s="455" t="s">
        <v>736</v>
      </c>
      <c r="D237" s="363"/>
      <c r="E237" s="259"/>
      <c r="F237" s="441"/>
      <c r="G237" s="246"/>
      <c r="H237" s="441"/>
      <c r="I237" s="246"/>
      <c r="J237" s="405" t="s">
        <v>462</v>
      </c>
      <c r="K237" s="246"/>
      <c r="L237" s="261"/>
      <c r="M237" s="441"/>
      <c r="N237" s="246"/>
      <c r="O237" s="441"/>
      <c r="P237" s="246"/>
      <c r="Q237" s="441"/>
      <c r="R237" s="246"/>
      <c r="S237" s="261"/>
      <c r="T237" s="441"/>
      <c r="U237" s="246"/>
      <c r="V237" s="441"/>
      <c r="W237" s="246"/>
      <c r="X237" s="405" t="s">
        <v>462</v>
      </c>
      <c r="Y237" s="246"/>
      <c r="Z237" s="261"/>
      <c r="AA237" s="441"/>
      <c r="AB237" s="246"/>
      <c r="AC237" s="441"/>
      <c r="AD237" s="246"/>
      <c r="AE237" s="441"/>
      <c r="AF237" s="246"/>
      <c r="AG237" s="261"/>
      <c r="AH237" s="441"/>
      <c r="AI237" s="246"/>
      <c r="AJ237" s="441"/>
      <c r="AK237" s="246"/>
      <c r="AL237" s="405" t="s">
        <v>462</v>
      </c>
      <c r="AM237" s="246"/>
      <c r="AN237" s="261"/>
      <c r="AO237" s="441"/>
      <c r="AP237" s="246"/>
      <c r="AQ237" s="441"/>
      <c r="AR237" s="246"/>
      <c r="AS237" s="441"/>
      <c r="AT237" s="254" t="str">
        <f t="shared" ref="AT237:AT239" si="46">IF(COUNTIF($AO$80:$AT$82, AS237) &gt; 0, "X", "")</f>
        <v/>
      </c>
      <c r="AU237" s="269"/>
      <c r="AV237" s="269"/>
    </row>
    <row r="238">
      <c r="A238" s="94"/>
      <c r="B238" s="454" t="s">
        <v>735</v>
      </c>
      <c r="C238" s="442" t="s">
        <v>736</v>
      </c>
      <c r="D238" s="363"/>
      <c r="E238" s="259"/>
      <c r="F238" s="456"/>
      <c r="G238" s="246"/>
      <c r="H238" s="456"/>
      <c r="I238" s="246"/>
      <c r="J238" s="766" t="s">
        <v>529</v>
      </c>
      <c r="K238" s="246"/>
      <c r="L238" s="261"/>
      <c r="M238" s="456"/>
      <c r="N238" s="246"/>
      <c r="O238" s="456"/>
      <c r="P238" s="246"/>
      <c r="Q238" s="766" t="s">
        <v>529</v>
      </c>
      <c r="R238" s="246"/>
      <c r="S238" s="261"/>
      <c r="T238" s="456"/>
      <c r="U238" s="246"/>
      <c r="V238" s="456"/>
      <c r="W238" s="246"/>
      <c r="X238" s="766" t="s">
        <v>529</v>
      </c>
      <c r="Y238" s="246"/>
      <c r="Z238" s="261"/>
      <c r="AA238" s="456"/>
      <c r="AB238" s="246"/>
      <c r="AC238" s="456"/>
      <c r="AD238" s="246"/>
      <c r="AE238" s="766" t="s">
        <v>529</v>
      </c>
      <c r="AF238" s="246"/>
      <c r="AG238" s="261"/>
      <c r="AH238" s="456"/>
      <c r="AI238" s="246"/>
      <c r="AJ238" s="456"/>
      <c r="AK238" s="246"/>
      <c r="AL238" s="766" t="s">
        <v>529</v>
      </c>
      <c r="AM238" s="246"/>
      <c r="AN238" s="261"/>
      <c r="AO238" s="456"/>
      <c r="AP238" s="246"/>
      <c r="AQ238" s="456"/>
      <c r="AR238" s="246"/>
      <c r="AS238" s="456"/>
      <c r="AT238" s="254" t="str">
        <f t="shared" si="46"/>
        <v/>
      </c>
      <c r="AU238" s="269"/>
      <c r="AV238" s="269"/>
    </row>
    <row r="239">
      <c r="A239" s="94"/>
      <c r="B239" s="457" t="s">
        <v>735</v>
      </c>
      <c r="C239" s="458" t="s">
        <v>737</v>
      </c>
      <c r="D239" s="363"/>
      <c r="E239" s="259"/>
      <c r="F239" s="406"/>
      <c r="G239" s="246"/>
      <c r="H239" s="406"/>
      <c r="I239" s="246"/>
      <c r="J239" s="406"/>
      <c r="K239" s="246"/>
      <c r="L239" s="261"/>
      <c r="M239" s="406"/>
      <c r="N239" s="246"/>
      <c r="O239" s="406"/>
      <c r="P239" s="246"/>
      <c r="Q239" s="406"/>
      <c r="R239" s="246"/>
      <c r="S239" s="261"/>
      <c r="T239" s="406"/>
      <c r="U239" s="246"/>
      <c r="V239" s="406"/>
      <c r="W239" s="246"/>
      <c r="X239" s="406"/>
      <c r="Y239" s="246"/>
      <c r="Z239" s="261"/>
      <c r="AA239" s="406"/>
      <c r="AB239" s="246"/>
      <c r="AC239" s="406"/>
      <c r="AD239" s="246"/>
      <c r="AE239" s="406"/>
      <c r="AF239" s="246"/>
      <c r="AG239" s="261"/>
      <c r="AH239" s="406"/>
      <c r="AI239" s="246"/>
      <c r="AJ239" s="406"/>
      <c r="AK239" s="246"/>
      <c r="AL239" s="406"/>
      <c r="AM239" s="246"/>
      <c r="AN239" s="261"/>
      <c r="AO239" s="406"/>
      <c r="AP239" s="246"/>
      <c r="AQ239" s="406"/>
      <c r="AR239" s="246"/>
      <c r="AS239" s="406"/>
      <c r="AT239" s="254" t="str">
        <f t="shared" si="46"/>
        <v/>
      </c>
      <c r="AU239" s="269"/>
      <c r="AV239" s="269"/>
    </row>
    <row r="240">
      <c r="A240" s="94"/>
      <c r="B240" s="459"/>
      <c r="C240" s="460" t="s">
        <v>738</v>
      </c>
      <c r="D240" s="363"/>
      <c r="E240" s="259"/>
      <c r="F240" s="461" t="s">
        <v>1078</v>
      </c>
      <c r="G240" s="246"/>
      <c r="H240" s="132"/>
      <c r="I240" s="246"/>
      <c r="J240" s="132"/>
      <c r="K240" s="246"/>
      <c r="L240" s="462"/>
      <c r="M240" s="461" t="s">
        <v>1079</v>
      </c>
      <c r="N240" s="246"/>
      <c r="O240" s="132"/>
      <c r="P240" s="246"/>
      <c r="Q240" s="132"/>
      <c r="R240" s="246"/>
      <c r="S240" s="462"/>
      <c r="T240" s="461" t="s">
        <v>1080</v>
      </c>
      <c r="U240" s="246"/>
      <c r="V240" s="132"/>
      <c r="W240" s="246"/>
      <c r="X240" s="132"/>
      <c r="Y240" s="246"/>
      <c r="Z240" s="462"/>
      <c r="AA240" s="461" t="s">
        <v>1081</v>
      </c>
      <c r="AB240" s="246"/>
      <c r="AC240" s="132"/>
      <c r="AD240" s="246"/>
      <c r="AE240" s="132"/>
      <c r="AF240" s="246"/>
      <c r="AG240" s="462"/>
      <c r="AH240" s="461" t="s">
        <v>1082</v>
      </c>
      <c r="AI240" s="246"/>
      <c r="AJ240" s="132"/>
      <c r="AK240" s="246"/>
      <c r="AL240" s="132"/>
      <c r="AM240" s="246"/>
      <c r="AN240" s="462"/>
      <c r="AO240" s="461" t="s">
        <v>1083</v>
      </c>
      <c r="AP240" s="246"/>
      <c r="AQ240" s="132"/>
      <c r="AR240" s="246"/>
      <c r="AS240" s="132"/>
      <c r="AT240" s="460"/>
      <c r="AU240" s="269"/>
      <c r="AV240" s="269"/>
    </row>
    <row r="241">
      <c r="A241" s="270"/>
      <c r="B241" s="459"/>
      <c r="C241" s="460" t="s">
        <v>738</v>
      </c>
      <c r="D241" s="363"/>
      <c r="E241" s="259"/>
      <c r="F241" s="461"/>
      <c r="G241" s="246"/>
      <c r="H241" s="132"/>
      <c r="I241" s="246"/>
      <c r="J241" s="132"/>
      <c r="K241" s="246"/>
      <c r="L241" s="462"/>
      <c r="M241" s="461"/>
      <c r="N241" s="246"/>
      <c r="O241" s="132"/>
      <c r="P241" s="246"/>
      <c r="Q241" s="132"/>
      <c r="R241" s="246"/>
      <c r="S241" s="462"/>
      <c r="T241" s="461"/>
      <c r="U241" s="246"/>
      <c r="V241" s="132"/>
      <c r="W241" s="246"/>
      <c r="X241" s="132"/>
      <c r="Y241" s="246"/>
      <c r="Z241" s="462"/>
      <c r="AA241" s="461"/>
      <c r="AB241" s="246"/>
      <c r="AC241" s="132"/>
      <c r="AD241" s="246"/>
      <c r="AE241" s="132"/>
      <c r="AF241" s="246"/>
      <c r="AG241" s="462"/>
      <c r="AH241" s="461"/>
      <c r="AI241" s="246"/>
      <c r="AJ241" s="132"/>
      <c r="AK241" s="246"/>
      <c r="AL241" s="132"/>
      <c r="AM241" s="246"/>
      <c r="AN241" s="462"/>
      <c r="AO241" s="132"/>
      <c r="AP241" s="246"/>
      <c r="AQ241" s="132"/>
      <c r="AR241" s="246"/>
      <c r="AS241" s="132"/>
      <c r="AT241" s="460"/>
      <c r="AU241" s="236"/>
      <c r="AV241" s="236"/>
    </row>
    <row r="242">
      <c r="A242" s="236"/>
      <c r="B242" s="459"/>
      <c r="C242" s="460" t="s">
        <v>738</v>
      </c>
      <c r="D242" s="363"/>
      <c r="E242" s="259"/>
      <c r="F242" s="461"/>
      <c r="G242" s="246"/>
      <c r="H242" s="132"/>
      <c r="I242" s="246"/>
      <c r="J242" s="132"/>
      <c r="K242" s="246"/>
      <c r="L242" s="462"/>
      <c r="M242" s="461" t="s">
        <v>562</v>
      </c>
      <c r="N242" s="246"/>
      <c r="O242" s="132"/>
      <c r="P242" s="246"/>
      <c r="Q242" s="132"/>
      <c r="R242" s="246"/>
      <c r="S242" s="462"/>
      <c r="T242" s="132"/>
      <c r="U242" s="246"/>
      <c r="V242" s="132"/>
      <c r="W242" s="246"/>
      <c r="X242" s="132"/>
      <c r="Y242" s="246"/>
      <c r="Z242" s="462"/>
      <c r="AA242" s="461"/>
      <c r="AB242" s="246"/>
      <c r="AC242" s="132"/>
      <c r="AD242" s="246"/>
      <c r="AE242" s="132"/>
      <c r="AF242" s="246"/>
      <c r="AG242" s="462"/>
      <c r="AH242" s="461" t="s">
        <v>1084</v>
      </c>
      <c r="AI242" s="246"/>
      <c r="AJ242" s="132"/>
      <c r="AK242" s="246"/>
      <c r="AL242" s="132"/>
      <c r="AM242" s="246"/>
      <c r="AN242" s="462"/>
      <c r="AO242" s="461" t="s">
        <v>1084</v>
      </c>
      <c r="AP242" s="246"/>
      <c r="AQ242" s="132"/>
      <c r="AR242" s="246"/>
      <c r="AS242" s="132"/>
      <c r="AT242" s="460"/>
      <c r="AU242" s="236"/>
      <c r="AV242" s="236"/>
    </row>
    <row r="243">
      <c r="A243" s="182"/>
      <c r="B243" s="183" t="s">
        <v>791</v>
      </c>
      <c r="C243" s="184" t="s">
        <v>605</v>
      </c>
      <c r="D243" s="185" t="s">
        <v>486</v>
      </c>
      <c r="E243" s="186"/>
      <c r="F243" s="185" t="s">
        <v>487</v>
      </c>
      <c r="M243" s="185" t="s">
        <v>488</v>
      </c>
      <c r="T243" s="185" t="s">
        <v>489</v>
      </c>
      <c r="AA243" s="185" t="s">
        <v>490</v>
      </c>
      <c r="AH243" s="185" t="s">
        <v>491</v>
      </c>
      <c r="AO243" s="185" t="s">
        <v>492</v>
      </c>
      <c r="AU243" s="182"/>
      <c r="AV243" s="182"/>
    </row>
    <row r="244">
      <c r="A244" s="182"/>
      <c r="B244" s="187"/>
      <c r="C244" s="187"/>
      <c r="D244" s="188">
        <f>AO164+1</f>
        <v>21</v>
      </c>
      <c r="E244" s="189"/>
      <c r="F244" s="188">
        <f>D244+1</f>
        <v>22</v>
      </c>
      <c r="M244" s="188">
        <f>F244+1</f>
        <v>23</v>
      </c>
      <c r="T244" s="188">
        <f>M244+1</f>
        <v>24</v>
      </c>
      <c r="AA244" s="188">
        <f>T244+1</f>
        <v>25</v>
      </c>
      <c r="AH244" s="188">
        <f>AA244+1</f>
        <v>26</v>
      </c>
      <c r="AO244" s="188">
        <f>AH244+1</f>
        <v>27</v>
      </c>
      <c r="AU244" s="182"/>
      <c r="AV244" s="182"/>
    </row>
    <row r="245">
      <c r="A245" s="182"/>
      <c r="B245" s="193" t="s">
        <v>608</v>
      </c>
      <c r="C245" s="193" t="s">
        <v>609</v>
      </c>
      <c r="D245" s="187"/>
      <c r="E245" s="189"/>
      <c r="F245" s="194" t="s">
        <v>610</v>
      </c>
      <c r="G245" s="195"/>
      <c r="H245" s="193" t="s">
        <v>611</v>
      </c>
      <c r="J245" s="194" t="s">
        <v>612</v>
      </c>
      <c r="M245" s="194" t="s">
        <v>610</v>
      </c>
      <c r="N245" s="195"/>
      <c r="O245" s="193" t="s">
        <v>611</v>
      </c>
      <c r="P245" s="195"/>
      <c r="Q245" s="194" t="s">
        <v>612</v>
      </c>
      <c r="S245" s="193"/>
      <c r="T245" s="194" t="s">
        <v>610</v>
      </c>
      <c r="U245" s="195"/>
      <c r="V245" s="193" t="s">
        <v>611</v>
      </c>
      <c r="W245" s="195"/>
      <c r="X245" s="194" t="s">
        <v>612</v>
      </c>
      <c r="Z245" s="193"/>
      <c r="AA245" s="194" t="s">
        <v>610</v>
      </c>
      <c r="AB245" s="195"/>
      <c r="AC245" s="193" t="s">
        <v>611</v>
      </c>
      <c r="AD245" s="195"/>
      <c r="AE245" s="194" t="s">
        <v>612</v>
      </c>
      <c r="AG245" s="193"/>
      <c r="AH245" s="194" t="s">
        <v>610</v>
      </c>
      <c r="AI245" s="195"/>
      <c r="AJ245" s="193" t="s">
        <v>611</v>
      </c>
      <c r="AK245" s="195"/>
      <c r="AL245" s="194" t="s">
        <v>612</v>
      </c>
      <c r="AN245" s="193"/>
      <c r="AO245" s="194" t="s">
        <v>610</v>
      </c>
      <c r="AP245" s="195"/>
      <c r="AQ245" s="193" t="s">
        <v>611</v>
      </c>
      <c r="AR245" s="195"/>
      <c r="AS245" s="194" t="s">
        <v>612</v>
      </c>
      <c r="AU245" s="182"/>
      <c r="AV245" s="182"/>
    </row>
    <row r="246">
      <c r="A246" s="199"/>
      <c r="B246" s="200" t="s">
        <v>620</v>
      </c>
      <c r="C246" s="201"/>
      <c r="D246" s="201"/>
      <c r="E246" s="202"/>
      <c r="F246" s="203"/>
      <c r="G246" s="204"/>
      <c r="H246" s="203"/>
      <c r="I246" s="204"/>
      <c r="J246" s="203"/>
      <c r="K246" s="204"/>
      <c r="L246" s="205"/>
      <c r="M246" s="203"/>
      <c r="N246" s="204"/>
      <c r="O246" s="203"/>
      <c r="P246" s="204"/>
      <c r="Q246" s="203"/>
      <c r="R246" s="204"/>
      <c r="S246" s="205"/>
      <c r="T246" s="203"/>
      <c r="U246" s="204"/>
      <c r="V246" s="203"/>
      <c r="W246" s="204"/>
      <c r="X246" s="203"/>
      <c r="Y246" s="204"/>
      <c r="Z246" s="205"/>
      <c r="AA246" s="203" t="s">
        <v>792</v>
      </c>
      <c r="AB246" s="204"/>
      <c r="AC246" s="203" t="s">
        <v>793</v>
      </c>
      <c r="AD246" s="204"/>
      <c r="AE246" s="203" t="s">
        <v>620</v>
      </c>
      <c r="AF246" s="204"/>
      <c r="AG246" s="205"/>
      <c r="AH246" s="203"/>
      <c r="AI246" s="204"/>
      <c r="AJ246" s="203"/>
      <c r="AK246" s="204"/>
      <c r="AL246" s="203"/>
      <c r="AM246" s="204"/>
      <c r="AN246" s="205"/>
      <c r="AO246" s="203"/>
      <c r="AP246" s="204"/>
      <c r="AQ246" s="203"/>
      <c r="AR246" s="204"/>
      <c r="AS246" s="203"/>
      <c r="AT246" s="204"/>
      <c r="AU246" s="199"/>
      <c r="AV246" s="199"/>
    </row>
    <row r="247">
      <c r="A247" s="234"/>
      <c r="B247" s="235" t="s">
        <v>608</v>
      </c>
      <c r="C247" s="195" t="s">
        <v>609</v>
      </c>
      <c r="D247" s="236"/>
      <c r="E247" s="237"/>
      <c r="F247" s="238"/>
      <c r="G247" s="182"/>
      <c r="H247" s="238"/>
      <c r="I247" s="239"/>
      <c r="J247" s="238"/>
      <c r="K247" s="239"/>
      <c r="L247" s="237"/>
      <c r="M247" s="238"/>
      <c r="N247" s="182"/>
      <c r="O247" s="238"/>
      <c r="P247" s="239"/>
      <c r="Q247" s="238"/>
      <c r="R247" s="239"/>
      <c r="S247" s="237"/>
      <c r="T247" s="238"/>
      <c r="U247" s="182"/>
      <c r="V247" s="238"/>
      <c r="W247" s="239"/>
      <c r="X247" s="238"/>
      <c r="Y247" s="239"/>
      <c r="Z247" s="237"/>
      <c r="AA247" s="238"/>
      <c r="AB247" s="182"/>
      <c r="AC247" s="238"/>
      <c r="AD247" s="239"/>
      <c r="AE247" s="238"/>
      <c r="AF247" s="239"/>
      <c r="AG247" s="237"/>
      <c r="AH247" s="238"/>
      <c r="AI247" s="182"/>
      <c r="AJ247" s="238"/>
      <c r="AK247" s="239"/>
      <c r="AL247" s="238"/>
      <c r="AM247" s="239"/>
      <c r="AN247" s="237"/>
      <c r="AO247" s="238"/>
      <c r="AP247" s="182"/>
      <c r="AQ247" s="238"/>
      <c r="AR247" s="239"/>
      <c r="AS247" s="238"/>
      <c r="AT247" s="239"/>
      <c r="AU247" s="236"/>
      <c r="AV247" s="236"/>
    </row>
    <row r="248">
      <c r="A248" s="240"/>
      <c r="B248" s="241" t="s">
        <v>638</v>
      </c>
      <c r="C248" s="242" t="s">
        <v>639</v>
      </c>
      <c r="D248" s="243"/>
      <c r="E248" s="244"/>
      <c r="F248" s="371"/>
      <c r="G248" s="246"/>
      <c r="H248" s="274"/>
      <c r="I248" s="246"/>
      <c r="J248" s="251" t="s">
        <v>405</v>
      </c>
      <c r="K248" s="246"/>
      <c r="L248" s="249"/>
      <c r="M248" s="250"/>
      <c r="N248" s="246"/>
      <c r="O248" s="282"/>
      <c r="P248" s="246"/>
      <c r="R248" s="246"/>
      <c r="S248" s="249"/>
      <c r="T248" s="250"/>
      <c r="U248" s="246"/>
      <c r="V248" s="282"/>
      <c r="W248" s="246"/>
      <c r="Y248" s="246"/>
      <c r="Z248" s="249"/>
      <c r="AA248" s="250"/>
      <c r="AB248" s="246"/>
      <c r="AC248" s="282"/>
      <c r="AD248" s="246"/>
      <c r="AE248" s="251" t="s">
        <v>405</v>
      </c>
      <c r="AF248" s="246"/>
      <c r="AG248" s="249"/>
      <c r="AH248" s="371"/>
      <c r="AI248" s="246"/>
      <c r="AJ248" s="282"/>
      <c r="AK248" s="246"/>
      <c r="AL248" s="274"/>
      <c r="AM248" s="246"/>
      <c r="AN248" s="249"/>
      <c r="AO248" s="250"/>
      <c r="AP248" s="246"/>
      <c r="AQ248" s="276"/>
      <c r="AR248" s="246"/>
      <c r="AS248" s="252"/>
      <c r="AT248" s="254" t="str">
        <f>IF(COUNTIF($AO$80:$AT$82, #REF!) &gt; 0, "X", "")</f>
        <v/>
      </c>
      <c r="AU248" s="255"/>
      <c r="AV248" s="255"/>
    </row>
    <row r="249">
      <c r="A249" s="94"/>
      <c r="B249" s="256" t="s">
        <v>638</v>
      </c>
      <c r="C249" s="257" t="s">
        <v>639</v>
      </c>
      <c r="D249" s="243"/>
      <c r="E249" s="259"/>
      <c r="F249" s="371"/>
      <c r="G249" s="246"/>
      <c r="H249" s="274"/>
      <c r="I249" s="246"/>
      <c r="J249" s="686"/>
      <c r="K249" s="246"/>
      <c r="L249" s="249"/>
      <c r="M249" s="250"/>
      <c r="N249" s="246"/>
      <c r="O249" s="282"/>
      <c r="P249" s="246"/>
      <c r="Q249" s="686"/>
      <c r="R249" s="246"/>
      <c r="S249" s="249"/>
      <c r="T249" s="250"/>
      <c r="U249" s="246"/>
      <c r="V249" s="282"/>
      <c r="W249" s="246"/>
      <c r="Y249" s="246"/>
      <c r="Z249" s="249"/>
      <c r="AA249" s="250"/>
      <c r="AB249" s="246"/>
      <c r="AD249" s="246"/>
      <c r="AE249" s="686" t="s">
        <v>419</v>
      </c>
      <c r="AF249" s="246"/>
      <c r="AG249" s="249"/>
      <c r="AH249" s="371"/>
      <c r="AI249" s="246"/>
      <c r="AJ249" s="282"/>
      <c r="AK249" s="246"/>
      <c r="AL249" s="274"/>
      <c r="AM249" s="246"/>
      <c r="AN249" s="249"/>
      <c r="AO249" s="250"/>
      <c r="AP249" s="246"/>
      <c r="AQ249" s="276"/>
      <c r="AR249" s="246"/>
      <c r="AS249" s="252"/>
      <c r="AT249" s="254" t="str">
        <f>IF(COUNTIF($AO$80:$AT$82, AS255) &gt; 0, "X", "")</f>
        <v/>
      </c>
      <c r="AU249" s="269"/>
      <c r="AV249" s="269"/>
    </row>
    <row r="250">
      <c r="A250" s="270"/>
      <c r="B250" s="271" t="s">
        <v>642</v>
      </c>
      <c r="C250" s="272" t="s">
        <v>639</v>
      </c>
      <c r="D250" s="243"/>
      <c r="E250" s="259"/>
      <c r="F250" s="426"/>
      <c r="G250" s="246"/>
      <c r="H250" s="426"/>
      <c r="I250" s="246"/>
      <c r="J250" s="265"/>
      <c r="K250" s="246"/>
      <c r="L250" s="261"/>
      <c r="M250" s="262"/>
      <c r="N250" s="246"/>
      <c r="O250" s="274" t="s">
        <v>406</v>
      </c>
      <c r="P250" s="246"/>
      <c r="R250" s="246"/>
      <c r="S250" s="261"/>
      <c r="T250" s="262"/>
      <c r="U250" s="246"/>
      <c r="W250" s="246"/>
      <c r="X250" s="265"/>
      <c r="Y250" s="246"/>
      <c r="Z250" s="261"/>
      <c r="AA250" s="262"/>
      <c r="AB250" s="246"/>
      <c r="AD250" s="246"/>
      <c r="AF250" s="246"/>
      <c r="AG250" s="261"/>
      <c r="AH250" s="426"/>
      <c r="AI250" s="246"/>
      <c r="AK250" s="246"/>
      <c r="AL250" s="289"/>
      <c r="AM250" s="246"/>
      <c r="AN250" s="261"/>
      <c r="AO250" s="262"/>
      <c r="AP250" s="246"/>
      <c r="AQ250" s="598"/>
      <c r="AR250" s="246"/>
      <c r="AS250" s="598"/>
      <c r="AT250" s="254" t="str">
        <f>IF(COUNTIF($AO$80:$AT$82, #REF!) &gt; 0, "X", "")</f>
        <v/>
      </c>
      <c r="AU250" s="269"/>
      <c r="AV250" s="269"/>
    </row>
    <row r="251">
      <c r="A251" s="234"/>
      <c r="B251" s="277" t="s">
        <v>644</v>
      </c>
      <c r="C251" s="278" t="s">
        <v>645</v>
      </c>
      <c r="D251" s="243"/>
      <c r="E251" s="259"/>
      <c r="F251" s="281"/>
      <c r="G251" s="246"/>
      <c r="I251" s="246"/>
      <c r="J251" s="280" t="s">
        <v>400</v>
      </c>
      <c r="K251" s="246"/>
      <c r="L251" s="261"/>
      <c r="M251" s="250"/>
      <c r="N251" s="246"/>
      <c r="O251" s="281"/>
      <c r="P251" s="246"/>
      <c r="R251" s="246"/>
      <c r="S251" s="261"/>
      <c r="T251" s="250"/>
      <c r="U251" s="246"/>
      <c r="W251" s="246"/>
      <c r="X251" s="280" t="s">
        <v>400</v>
      </c>
      <c r="Y251" s="246"/>
      <c r="Z251" s="261"/>
      <c r="AA251" s="250"/>
      <c r="AB251" s="246"/>
      <c r="AC251" s="281"/>
      <c r="AD251" s="246"/>
      <c r="AE251" s="280" t="s">
        <v>400</v>
      </c>
      <c r="AF251" s="246"/>
      <c r="AG251" s="261"/>
      <c r="AH251" s="282"/>
      <c r="AI251" s="246"/>
      <c r="AJ251" s="280" t="s">
        <v>400</v>
      </c>
      <c r="AK251" s="246"/>
      <c r="AL251" s="281"/>
      <c r="AM251" s="246"/>
      <c r="AN251" s="261"/>
      <c r="AO251" s="250"/>
      <c r="AP251" s="246"/>
      <c r="AQ251" s="276"/>
      <c r="AR251" s="246"/>
      <c r="AS251" s="276"/>
      <c r="AT251" s="254" t="str">
        <f t="shared" ref="AT251:AT253" si="47">IF(COUNTIF($AO$80:$AT$82, AS252) &gt; 0, "X", "")</f>
        <v/>
      </c>
      <c r="AU251" s="269"/>
      <c r="AV251" s="269"/>
    </row>
    <row r="252">
      <c r="A252" s="94"/>
      <c r="B252" s="256" t="s">
        <v>757</v>
      </c>
      <c r="C252" s="257" t="s">
        <v>645</v>
      </c>
      <c r="D252" s="243"/>
      <c r="E252" s="259"/>
      <c r="F252" s="371"/>
      <c r="G252" s="246"/>
      <c r="H252" s="371"/>
      <c r="I252" s="246"/>
      <c r="J252" s="371"/>
      <c r="K252" s="246"/>
      <c r="L252" s="261"/>
      <c r="M252" s="250"/>
      <c r="N252" s="246"/>
      <c r="O252" s="280" t="s">
        <v>400</v>
      </c>
      <c r="P252" s="246"/>
      <c r="R252" s="246"/>
      <c r="S252" s="261"/>
      <c r="T252" s="250"/>
      <c r="U252" s="246"/>
      <c r="V252" s="371"/>
      <c r="W252" s="246"/>
      <c r="X252" s="371"/>
      <c r="Y252" s="246"/>
      <c r="Z252" s="261"/>
      <c r="AA252" s="250"/>
      <c r="AB252" s="246"/>
      <c r="AC252" s="282"/>
      <c r="AD252" s="246"/>
      <c r="AE252" s="282"/>
      <c r="AF252" s="246"/>
      <c r="AG252" s="261"/>
      <c r="AH252" s="371"/>
      <c r="AI252" s="246"/>
      <c r="AJ252" s="371"/>
      <c r="AK252" s="246"/>
      <c r="AL252" s="371"/>
      <c r="AM252" s="246"/>
      <c r="AN252" s="261"/>
      <c r="AO252" s="250"/>
      <c r="AP252" s="246"/>
      <c r="AQ252" s="252"/>
      <c r="AR252" s="246"/>
      <c r="AS252" s="252"/>
      <c r="AT252" s="254" t="str">
        <f t="shared" si="47"/>
        <v/>
      </c>
      <c r="AU252" s="269"/>
      <c r="AV252" s="269"/>
    </row>
    <row r="253">
      <c r="A253" s="94"/>
      <c r="B253" s="284" t="s">
        <v>646</v>
      </c>
      <c r="C253" s="285" t="s">
        <v>647</v>
      </c>
      <c r="D253" s="243"/>
      <c r="E253" s="259"/>
      <c r="F253" s="251" t="s">
        <v>427</v>
      </c>
      <c r="G253" s="246"/>
      <c r="H253" s="399"/>
      <c r="I253" s="246"/>
      <c r="J253" s="399"/>
      <c r="K253" s="246"/>
      <c r="L253" s="261"/>
      <c r="M253" s="324"/>
      <c r="N253" s="246"/>
      <c r="O253" s="399"/>
      <c r="P253" s="246"/>
      <c r="Q253" s="251" t="s">
        <v>427</v>
      </c>
      <c r="R253" s="246"/>
      <c r="S253" s="261"/>
      <c r="T253" s="324"/>
      <c r="U253" s="246"/>
      <c r="W253" s="246"/>
      <c r="X253" s="251" t="s">
        <v>427</v>
      </c>
      <c r="Y253" s="246"/>
      <c r="Z253" s="261"/>
      <c r="AA253" s="324"/>
      <c r="AB253" s="246"/>
      <c r="AC253" s="282"/>
      <c r="AD253" s="246"/>
      <c r="AE253" s="251" t="s">
        <v>427</v>
      </c>
      <c r="AF253" s="246"/>
      <c r="AG253" s="261"/>
      <c r="AH253" s="251" t="s">
        <v>427</v>
      </c>
      <c r="AI253" s="246"/>
      <c r="AJ253" s="282"/>
      <c r="AK253" s="246"/>
      <c r="AL253" s="282"/>
      <c r="AM253" s="246"/>
      <c r="AN253" s="261"/>
      <c r="AO253" s="324"/>
      <c r="AP253" s="246"/>
      <c r="AQ253" s="252"/>
      <c r="AR253" s="246"/>
      <c r="AS253" s="252"/>
      <c r="AT253" s="254" t="str">
        <f t="shared" si="47"/>
        <v/>
      </c>
      <c r="AU253" s="269"/>
      <c r="AV253" s="269"/>
    </row>
    <row r="254">
      <c r="A254" s="270"/>
      <c r="B254" s="291" t="s">
        <v>648</v>
      </c>
      <c r="C254" s="292" t="s">
        <v>649</v>
      </c>
      <c r="D254" s="243"/>
      <c r="E254" s="259"/>
      <c r="F254" s="294"/>
      <c r="G254" s="246"/>
      <c r="H254" s="293" t="s">
        <v>418</v>
      </c>
      <c r="I254" s="246"/>
      <c r="J254" s="294"/>
      <c r="K254" s="246"/>
      <c r="L254" s="261"/>
      <c r="M254" s="250"/>
      <c r="N254" s="246"/>
      <c r="O254" s="293" t="s">
        <v>418</v>
      </c>
      <c r="P254" s="246"/>
      <c r="Q254" s="294"/>
      <c r="R254" s="246"/>
      <c r="S254" s="261"/>
      <c r="T254" s="250"/>
      <c r="U254" s="246"/>
      <c r="V254" s="294"/>
      <c r="W254" s="246"/>
      <c r="X254" s="293" t="s">
        <v>418</v>
      </c>
      <c r="Y254" s="246"/>
      <c r="Z254" s="261"/>
      <c r="AA254" s="250"/>
      <c r="AB254" s="246"/>
      <c r="AC254" s="294"/>
      <c r="AD254" s="246"/>
      <c r="AE254" s="293" t="s">
        <v>418</v>
      </c>
      <c r="AF254" s="246"/>
      <c r="AG254" s="261"/>
      <c r="AH254" s="294"/>
      <c r="AI254" s="246"/>
      <c r="AJ254" s="293" t="s">
        <v>418</v>
      </c>
      <c r="AK254" s="246"/>
      <c r="AL254" s="294"/>
      <c r="AM254" s="246"/>
      <c r="AN254" s="261"/>
      <c r="AO254" s="250"/>
      <c r="AP254" s="246"/>
      <c r="AQ254" s="294"/>
      <c r="AR254" s="246"/>
      <c r="AS254" s="294"/>
      <c r="AT254" s="254" t="str">
        <f t="shared" ref="AT254:AT255" si="48">IF(COUNTIF($AO$80:$AT$82, #REF!) &gt; 0, "X", "")</f>
        <v/>
      </c>
      <c r="AU254" s="269"/>
      <c r="AV254" s="269"/>
    </row>
    <row r="255">
      <c r="A255" s="94"/>
      <c r="B255" s="296" t="s">
        <v>650</v>
      </c>
      <c r="C255" s="297" t="s">
        <v>649</v>
      </c>
      <c r="D255" s="243"/>
      <c r="E255" s="259"/>
      <c r="F255" s="299"/>
      <c r="G255" s="298"/>
      <c r="H255" s="299"/>
      <c r="I255" s="298"/>
      <c r="J255" s="299"/>
      <c r="K255" s="298"/>
      <c r="L255" s="261"/>
      <c r="M255" s="250"/>
      <c r="N255" s="298"/>
      <c r="O255" s="299"/>
      <c r="P255" s="298"/>
      <c r="Q255" s="299"/>
      <c r="R255" s="298"/>
      <c r="S255" s="261"/>
      <c r="T255" s="250"/>
      <c r="U255" s="298"/>
      <c r="V255" s="299"/>
      <c r="W255" s="298"/>
      <c r="X255" s="299"/>
      <c r="Y255" s="298"/>
      <c r="Z255" s="261"/>
      <c r="AA255" s="250"/>
      <c r="AB255" s="298"/>
      <c r="AC255" s="299"/>
      <c r="AD255" s="298"/>
      <c r="AE255" s="299"/>
      <c r="AF255" s="298"/>
      <c r="AG255" s="261"/>
      <c r="AH255" s="299"/>
      <c r="AI255" s="298"/>
      <c r="AJ255" s="299"/>
      <c r="AK255" s="298"/>
      <c r="AL255" s="299"/>
      <c r="AM255" s="298"/>
      <c r="AN255" s="261"/>
      <c r="AO255" s="250"/>
      <c r="AP255" s="298"/>
      <c r="AQ255" s="300"/>
      <c r="AR255" s="298"/>
      <c r="AS255" s="300"/>
      <c r="AT255" s="254" t="str">
        <f t="shared" si="48"/>
        <v/>
      </c>
      <c r="AU255" s="269"/>
      <c r="AV255" s="269"/>
    </row>
    <row r="256">
      <c r="A256" s="94"/>
      <c r="B256" s="301" t="s">
        <v>651</v>
      </c>
      <c r="C256" s="302" t="s">
        <v>652</v>
      </c>
      <c r="D256" s="243"/>
      <c r="E256" s="259"/>
      <c r="F256" s="303"/>
      <c r="G256" s="298"/>
      <c r="H256" s="303"/>
      <c r="I256" s="298"/>
      <c r="J256" s="303"/>
      <c r="K256" s="298"/>
      <c r="L256" s="261"/>
      <c r="M256" s="250"/>
      <c r="N256" s="298"/>
      <c r="O256" s="303"/>
      <c r="P256" s="298"/>
      <c r="Q256" s="303"/>
      <c r="R256" s="298"/>
      <c r="S256" s="261"/>
      <c r="T256" s="250"/>
      <c r="U256" s="298"/>
      <c r="V256" s="303"/>
      <c r="W256" s="298"/>
      <c r="X256" s="303"/>
      <c r="Y256" s="298"/>
      <c r="Z256" s="261"/>
      <c r="AA256" s="250"/>
      <c r="AB256" s="298"/>
      <c r="AC256" s="303"/>
      <c r="AD256" s="298"/>
      <c r="AE256" s="303"/>
      <c r="AF256" s="298"/>
      <c r="AG256" s="261"/>
      <c r="AH256" s="303"/>
      <c r="AI256" s="298"/>
      <c r="AJ256" s="303"/>
      <c r="AK256" s="298"/>
      <c r="AL256" s="303"/>
      <c r="AM256" s="298"/>
      <c r="AN256" s="261"/>
      <c r="AO256" s="250"/>
      <c r="AP256" s="298"/>
      <c r="AQ256" s="304"/>
      <c r="AR256" s="298"/>
      <c r="AS256" s="304"/>
      <c r="AT256" s="254" t="str">
        <f t="shared" ref="AT256:AT257" si="49">IF(COUNTIF($AO$80:$AT$82, AS257) &gt; 0, "X", "")</f>
        <v/>
      </c>
      <c r="AU256" s="269"/>
      <c r="AV256" s="269"/>
    </row>
    <row r="257">
      <c r="A257" s="94"/>
      <c r="B257" s="305" t="s">
        <v>653</v>
      </c>
      <c r="C257" s="306" t="s">
        <v>654</v>
      </c>
      <c r="D257" s="243"/>
      <c r="E257" s="259"/>
      <c r="F257" s="307"/>
      <c r="G257" s="298"/>
      <c r="H257" s="307"/>
      <c r="I257" s="298"/>
      <c r="J257" s="307"/>
      <c r="K257" s="298"/>
      <c r="L257" s="261"/>
      <c r="M257" s="250"/>
      <c r="N257" s="298"/>
      <c r="O257" s="309" t="s">
        <v>458</v>
      </c>
      <c r="P257" s="298"/>
      <c r="Q257" s="307"/>
      <c r="R257" s="298"/>
      <c r="S257" s="261"/>
      <c r="T257" s="250"/>
      <c r="U257" s="298"/>
      <c r="V257" s="307"/>
      <c r="W257" s="298"/>
      <c r="X257" s="307"/>
      <c r="Y257" s="298"/>
      <c r="Z257" s="261"/>
      <c r="AA257" s="250"/>
      <c r="AB257" s="298"/>
      <c r="AC257" s="307"/>
      <c r="AD257" s="298"/>
      <c r="AE257" s="309" t="s">
        <v>449</v>
      </c>
      <c r="AF257" s="298"/>
      <c r="AG257" s="261"/>
      <c r="AH257" s="307"/>
      <c r="AI257" s="298"/>
      <c r="AJ257" s="307"/>
      <c r="AK257" s="298"/>
      <c r="AL257" s="307"/>
      <c r="AM257" s="298"/>
      <c r="AN257" s="261"/>
      <c r="AO257" s="250"/>
      <c r="AP257" s="298"/>
      <c r="AQ257" s="307"/>
      <c r="AR257" s="298"/>
      <c r="AS257" s="307"/>
      <c r="AT257" s="254" t="str">
        <f t="shared" si="49"/>
        <v/>
      </c>
      <c r="AU257" s="269"/>
      <c r="AV257" s="269"/>
    </row>
    <row r="258">
      <c r="A258" s="94"/>
      <c r="B258" s="310" t="s">
        <v>656</v>
      </c>
      <c r="C258" s="278" t="s">
        <v>657</v>
      </c>
      <c r="D258" s="243"/>
      <c r="E258" s="259"/>
      <c r="F258" s="281"/>
      <c r="G258" s="246"/>
      <c r="H258" s="282"/>
      <c r="I258" s="246"/>
      <c r="J258" s="282"/>
      <c r="K258" s="246"/>
      <c r="L258" s="261"/>
      <c r="M258" s="250"/>
      <c r="N258" s="246"/>
      <c r="O258" s="336" t="s">
        <v>398</v>
      </c>
      <c r="P258" s="246"/>
      <c r="R258" s="246"/>
      <c r="S258" s="261"/>
      <c r="T258" s="250"/>
      <c r="U258" s="246"/>
      <c r="W258" s="246"/>
      <c r="X258" s="282"/>
      <c r="Y258" s="246"/>
      <c r="Z258" s="261"/>
      <c r="AA258" s="250"/>
      <c r="AB258" s="246"/>
      <c r="AC258" s="282"/>
      <c r="AD258" s="246"/>
      <c r="AE258" s="336" t="s">
        <v>398</v>
      </c>
      <c r="AF258" s="246"/>
      <c r="AG258" s="261"/>
      <c r="AH258" s="282"/>
      <c r="AI258" s="246"/>
      <c r="AK258" s="246"/>
      <c r="AL258" s="282"/>
      <c r="AM258" s="246"/>
      <c r="AN258" s="261"/>
      <c r="AO258" s="250"/>
      <c r="AP258" s="246"/>
      <c r="AR258" s="246"/>
      <c r="AS258" s="276"/>
      <c r="AT258" s="254" t="str">
        <f t="shared" ref="AT258:AT260" si="50">IF(COUNTIF($AO$80:$AT$82, #REF!) &gt; 0, "X", "")</f>
        <v/>
      </c>
      <c r="AU258" s="269"/>
      <c r="AV258" s="269"/>
    </row>
    <row r="259">
      <c r="A259" s="94"/>
      <c r="B259" s="277" t="s">
        <v>658</v>
      </c>
      <c r="C259" s="278" t="s">
        <v>657</v>
      </c>
      <c r="D259" s="243"/>
      <c r="E259" s="259"/>
      <c r="F259" s="282"/>
      <c r="G259" s="246"/>
      <c r="I259" s="246"/>
      <c r="J259" s="282"/>
      <c r="K259" s="246"/>
      <c r="L259" s="261"/>
      <c r="M259" s="250"/>
      <c r="N259" s="246"/>
      <c r="P259" s="246"/>
      <c r="R259" s="246"/>
      <c r="S259" s="261"/>
      <c r="T259" s="250"/>
      <c r="U259" s="246"/>
      <c r="W259" s="246"/>
      <c r="X259" s="282"/>
      <c r="Y259" s="246"/>
      <c r="Z259" s="261"/>
      <c r="AA259" s="250"/>
      <c r="AB259" s="246"/>
      <c r="AD259" s="246"/>
      <c r="AF259" s="246"/>
      <c r="AG259" s="261"/>
      <c r="AH259" s="282"/>
      <c r="AI259" s="246"/>
      <c r="AK259" s="246"/>
      <c r="AL259" s="282"/>
      <c r="AM259" s="246"/>
      <c r="AN259" s="261"/>
      <c r="AO259" s="250"/>
      <c r="AP259" s="246"/>
      <c r="AR259" s="246"/>
      <c r="AS259" s="282"/>
      <c r="AT259" s="254" t="str">
        <f t="shared" si="50"/>
        <v/>
      </c>
      <c r="AU259" s="269"/>
      <c r="AV259" s="269"/>
    </row>
    <row r="260">
      <c r="A260" s="94"/>
      <c r="B260" s="314" t="s">
        <v>660</v>
      </c>
      <c r="C260" s="315" t="s">
        <v>649</v>
      </c>
      <c r="D260" s="243"/>
      <c r="E260" s="259"/>
      <c r="F260" s="286"/>
      <c r="G260" s="246"/>
      <c r="H260" s="293" t="s">
        <v>416</v>
      </c>
      <c r="I260" s="246"/>
      <c r="J260" s="293" t="s">
        <v>424</v>
      </c>
      <c r="K260" s="246"/>
      <c r="L260" s="261"/>
      <c r="M260" s="316"/>
      <c r="N260" s="246"/>
      <c r="O260" s="632" t="s">
        <v>423</v>
      </c>
      <c r="P260" s="246"/>
      <c r="Q260" s="353" t="s">
        <v>421</v>
      </c>
      <c r="R260" s="246"/>
      <c r="S260" s="261"/>
      <c r="T260" s="316"/>
      <c r="U260" s="246"/>
      <c r="V260" s="293" t="s">
        <v>416</v>
      </c>
      <c r="W260" s="246"/>
      <c r="X260" s="293" t="s">
        <v>424</v>
      </c>
      <c r="Y260" s="246"/>
      <c r="Z260" s="261"/>
      <c r="AA260" s="250"/>
      <c r="AB260" s="246"/>
      <c r="AC260" s="353" t="s">
        <v>421</v>
      </c>
      <c r="AD260" s="246"/>
      <c r="AE260" s="356" t="s">
        <v>423</v>
      </c>
      <c r="AF260" s="246"/>
      <c r="AG260" s="261"/>
      <c r="AH260" s="317"/>
      <c r="AI260" s="246"/>
      <c r="AJ260" s="353" t="s">
        <v>421</v>
      </c>
      <c r="AK260" s="246"/>
      <c r="AL260" s="632" t="s">
        <v>423</v>
      </c>
      <c r="AM260" s="246"/>
      <c r="AN260" s="261"/>
      <c r="AO260" s="316"/>
      <c r="AP260" s="246"/>
      <c r="AQ260" s="293" t="s">
        <v>416</v>
      </c>
      <c r="AR260" s="246"/>
      <c r="AS260" s="353" t="s">
        <v>421</v>
      </c>
      <c r="AT260" s="254" t="str">
        <f t="shared" si="50"/>
        <v/>
      </c>
      <c r="AU260" s="269"/>
      <c r="AV260" s="269"/>
    </row>
    <row r="261">
      <c r="A261" s="94"/>
      <c r="B261" s="296" t="s">
        <v>650</v>
      </c>
      <c r="C261" s="297" t="s">
        <v>649</v>
      </c>
      <c r="D261" s="243"/>
      <c r="E261" s="259"/>
      <c r="F261" s="250"/>
      <c r="G261" s="298"/>
      <c r="H261" s="300"/>
      <c r="I261" s="298"/>
      <c r="J261" s="632" t="s">
        <v>423</v>
      </c>
      <c r="K261" s="298"/>
      <c r="L261" s="261"/>
      <c r="M261" s="250"/>
      <c r="N261" s="298"/>
      <c r="O261" s="300"/>
      <c r="P261" s="298"/>
      <c r="Q261" s="300"/>
      <c r="R261" s="298"/>
      <c r="S261" s="261"/>
      <c r="T261" s="250"/>
      <c r="U261" s="298"/>
      <c r="V261" s="300"/>
      <c r="W261" s="298"/>
      <c r="X261" s="632" t="s">
        <v>423</v>
      </c>
      <c r="Y261" s="298"/>
      <c r="Z261" s="261"/>
      <c r="AA261" s="250"/>
      <c r="AB261" s="298"/>
      <c r="AC261" s="319"/>
      <c r="AD261" s="298"/>
      <c r="AE261" s="353" t="s">
        <v>424</v>
      </c>
      <c r="AF261" s="298"/>
      <c r="AG261" s="261"/>
      <c r="AH261" s="317"/>
      <c r="AI261" s="298"/>
      <c r="AJ261" s="300"/>
      <c r="AK261" s="298"/>
      <c r="AL261" s="300"/>
      <c r="AM261" s="298"/>
      <c r="AN261" s="261"/>
      <c r="AO261" s="250"/>
      <c r="AP261" s="298"/>
      <c r="AQ261" s="300"/>
      <c r="AR261" s="298"/>
      <c r="AS261" s="299"/>
      <c r="AT261" s="254" t="str">
        <f>IF(COUNTIF($AO$80:$AT$82, AS262) &gt; 0, "X", "")</f>
        <v/>
      </c>
      <c r="AU261" s="269"/>
      <c r="AV261" s="269"/>
    </row>
    <row r="262">
      <c r="A262" s="94"/>
      <c r="B262" s="301" t="s">
        <v>651</v>
      </c>
      <c r="C262" s="302" t="s">
        <v>652</v>
      </c>
      <c r="D262" s="323"/>
      <c r="E262" s="259"/>
      <c r="F262" s="279"/>
      <c r="G262" s="298"/>
      <c r="H262" s="303"/>
      <c r="I262" s="298"/>
      <c r="J262" s="321" t="s">
        <v>1085</v>
      </c>
      <c r="K262" s="298"/>
      <c r="L262" s="261"/>
      <c r="M262" s="250"/>
      <c r="N262" s="298"/>
      <c r="O262" s="303"/>
      <c r="P262" s="298"/>
      <c r="Q262" s="321" t="s">
        <v>1085</v>
      </c>
      <c r="R262" s="298"/>
      <c r="S262" s="261"/>
      <c r="T262" s="250"/>
      <c r="U262" s="298"/>
      <c r="V262" s="303"/>
      <c r="W262" s="298"/>
      <c r="X262" s="321" t="s">
        <v>1085</v>
      </c>
      <c r="Y262" s="298"/>
      <c r="Z262" s="261"/>
      <c r="AA262" s="250"/>
      <c r="AB262" s="298"/>
      <c r="AC262" s="303"/>
      <c r="AD262" s="298"/>
      <c r="AE262" s="321" t="s">
        <v>1085</v>
      </c>
      <c r="AF262" s="298"/>
      <c r="AG262" s="261"/>
      <c r="AH262" s="320"/>
      <c r="AI262" s="298"/>
      <c r="AJ262" s="303"/>
      <c r="AK262" s="298"/>
      <c r="AL262" s="321" t="s">
        <v>1085</v>
      </c>
      <c r="AM262" s="298"/>
      <c r="AN262" s="261"/>
      <c r="AO262" s="250"/>
      <c r="AP262" s="298"/>
      <c r="AQ262" s="303"/>
      <c r="AR262" s="298"/>
      <c r="AS262" s="303"/>
      <c r="AT262" s="254" t="str">
        <f t="shared" ref="AT262:AT263" si="51">IF(COUNTIF($AO$80:$AT$82, #REF!) &gt; 0, "X", "")</f>
        <v/>
      </c>
      <c r="AU262" s="269"/>
      <c r="AV262" s="269"/>
    </row>
    <row r="263">
      <c r="A263" s="94"/>
      <c r="B263" s="322" t="s">
        <v>662</v>
      </c>
      <c r="C263" s="306" t="s">
        <v>663</v>
      </c>
      <c r="D263" s="330"/>
      <c r="E263" s="259"/>
      <c r="F263" s="250"/>
      <c r="G263" s="298"/>
      <c r="H263" s="307"/>
      <c r="I263" s="298"/>
      <c r="J263" s="309" t="s">
        <v>415</v>
      </c>
      <c r="K263" s="298"/>
      <c r="L263" s="261"/>
      <c r="M263" s="324"/>
      <c r="N263" s="298"/>
      <c r="O263" s="307"/>
      <c r="P263" s="298"/>
      <c r="Q263" s="307"/>
      <c r="R263" s="298"/>
      <c r="S263" s="261"/>
      <c r="T263" s="324"/>
      <c r="U263" s="298"/>
      <c r="V263" s="307"/>
      <c r="W263" s="298"/>
      <c r="X263" s="309" t="s">
        <v>448</v>
      </c>
      <c r="Y263" s="298"/>
      <c r="Z263" s="261"/>
      <c r="AA263" s="250"/>
      <c r="AB263" s="298"/>
      <c r="AC263" s="307"/>
      <c r="AD263" s="298"/>
      <c r="AE263" s="348" t="s">
        <v>831</v>
      </c>
      <c r="AF263" s="298"/>
      <c r="AG263" s="261"/>
      <c r="AH263" s="317"/>
      <c r="AI263" s="298"/>
      <c r="AJ263" s="307"/>
      <c r="AK263" s="298"/>
      <c r="AL263" s="327"/>
      <c r="AM263" s="298"/>
      <c r="AN263" s="261"/>
      <c r="AO263" s="324"/>
      <c r="AP263" s="298"/>
      <c r="AQ263" s="307"/>
      <c r="AR263" s="298"/>
      <c r="AS263" s="307"/>
      <c r="AT263" s="254" t="str">
        <f t="shared" si="51"/>
        <v/>
      </c>
      <c r="AU263" s="269"/>
      <c r="AV263" s="269"/>
    </row>
    <row r="264">
      <c r="A264" s="94"/>
      <c r="B264" s="328" t="s">
        <v>665</v>
      </c>
      <c r="C264" s="329" t="s">
        <v>654</v>
      </c>
      <c r="D264" s="330"/>
      <c r="E264" s="259"/>
      <c r="F264" s="286"/>
      <c r="G264" s="246"/>
      <c r="H264" s="311" t="s">
        <v>459</v>
      </c>
      <c r="I264" s="246"/>
      <c r="J264" s="311" t="s">
        <v>434</v>
      </c>
      <c r="K264" s="246"/>
      <c r="L264" s="261"/>
      <c r="M264" s="333"/>
      <c r="N264" s="246"/>
      <c r="O264" s="311" t="s">
        <v>459</v>
      </c>
      <c r="P264" s="246"/>
      <c r="Q264" s="311" t="s">
        <v>434</v>
      </c>
      <c r="R264" s="246"/>
      <c r="S264" s="261"/>
      <c r="T264" s="333"/>
      <c r="U264" s="246"/>
      <c r="V264" s="325" t="s">
        <v>664</v>
      </c>
      <c r="W264" s="246"/>
      <c r="X264" s="311" t="s">
        <v>434</v>
      </c>
      <c r="Y264" s="246"/>
      <c r="Z264" s="261"/>
      <c r="AA264" s="250"/>
      <c r="AB264" s="246"/>
      <c r="AC264" s="311" t="s">
        <v>439</v>
      </c>
      <c r="AD264" s="246"/>
      <c r="AE264" s="311" t="s">
        <v>434</v>
      </c>
      <c r="AF264" s="246"/>
      <c r="AG264" s="261"/>
      <c r="AH264" s="320"/>
      <c r="AI264" s="246"/>
      <c r="AJ264" s="274" t="s">
        <v>439</v>
      </c>
      <c r="AK264" s="246"/>
      <c r="AL264" s="311" t="s">
        <v>434</v>
      </c>
      <c r="AM264" s="246"/>
      <c r="AN264" s="261"/>
      <c r="AO264" s="333"/>
      <c r="AP264" s="246"/>
      <c r="AQ264" s="274" t="s">
        <v>458</v>
      </c>
      <c r="AR264" s="246"/>
      <c r="AS264" s="274" t="s">
        <v>449</v>
      </c>
      <c r="AT264" s="254" t="str">
        <f>IF(COUNTIF($AO$80:$AT$82, AL274) &gt; 0, "X", "")</f>
        <v/>
      </c>
      <c r="AU264" s="269"/>
      <c r="AV264" s="269"/>
    </row>
    <row r="265">
      <c r="A265" s="94"/>
      <c r="B265" s="337" t="s">
        <v>665</v>
      </c>
      <c r="C265" s="338" t="s">
        <v>657</v>
      </c>
      <c r="D265" s="330"/>
      <c r="E265" s="259"/>
      <c r="F265" s="286"/>
      <c r="G265" s="246"/>
      <c r="H265" s="274" t="s">
        <v>458</v>
      </c>
      <c r="I265" s="246"/>
      <c r="J265" s="339" t="s">
        <v>447</v>
      </c>
      <c r="K265" s="246"/>
      <c r="L265" s="261"/>
      <c r="M265" s="324"/>
      <c r="N265" s="246"/>
      <c r="O265" s="339" t="s">
        <v>431</v>
      </c>
      <c r="P265" s="246"/>
      <c r="Q265" s="274" t="s">
        <v>443</v>
      </c>
      <c r="R265" s="246"/>
      <c r="S265" s="261"/>
      <c r="T265" s="324"/>
      <c r="U265" s="246"/>
      <c r="V265" s="274" t="s">
        <v>458</v>
      </c>
      <c r="W265" s="246"/>
      <c r="X265" s="339" t="s">
        <v>447</v>
      </c>
      <c r="Y265" s="246"/>
      <c r="Z265" s="261"/>
      <c r="AA265" s="250"/>
      <c r="AB265" s="246"/>
      <c r="AC265" s="339" t="s">
        <v>431</v>
      </c>
      <c r="AD265" s="246"/>
      <c r="AE265" s="339" t="s">
        <v>447</v>
      </c>
      <c r="AF265" s="246"/>
      <c r="AG265" s="261"/>
      <c r="AH265" s="320"/>
      <c r="AI265" s="246"/>
      <c r="AJ265" s="325" t="s">
        <v>1086</v>
      </c>
      <c r="AK265" s="246"/>
      <c r="AL265" s="339" t="s">
        <v>447</v>
      </c>
      <c r="AM265" s="246"/>
      <c r="AN265" s="261"/>
      <c r="AO265" s="324"/>
      <c r="AP265" s="246"/>
      <c r="AQ265" s="325" t="s">
        <v>1086</v>
      </c>
      <c r="AR265" s="246"/>
      <c r="AS265" s="339" t="s">
        <v>447</v>
      </c>
      <c r="AT265" s="254" t="str">
        <f t="shared" ref="AT265:AT269" si="52">IF(COUNTIF($AO$80:$AT$82, #REF!) &gt; 0, "X", "")</f>
        <v/>
      </c>
      <c r="AU265" s="269"/>
      <c r="AV265" s="269"/>
    </row>
    <row r="266">
      <c r="A266" s="94"/>
      <c r="B266" s="256" t="s">
        <v>665</v>
      </c>
      <c r="C266" s="257" t="s">
        <v>663</v>
      </c>
      <c r="D266" s="330"/>
      <c r="E266" s="259"/>
      <c r="F266" s="286"/>
      <c r="G266" s="246"/>
      <c r="H266" s="336" t="s">
        <v>450</v>
      </c>
      <c r="I266" s="246"/>
      <c r="J266" s="280" t="s">
        <v>448</v>
      </c>
      <c r="K266" s="246"/>
      <c r="L266" s="261"/>
      <c r="M266" s="341"/>
      <c r="N266" s="246"/>
      <c r="O266" s="339" t="s">
        <v>1087</v>
      </c>
      <c r="P266" s="246"/>
      <c r="Q266" s="339" t="s">
        <v>468</v>
      </c>
      <c r="R266" s="246"/>
      <c r="S266" s="261"/>
      <c r="T266" s="341"/>
      <c r="U266" s="246"/>
      <c r="V266" s="336" t="s">
        <v>450</v>
      </c>
      <c r="W266" s="246"/>
      <c r="X266" s="339" t="s">
        <v>468</v>
      </c>
      <c r="Y266" s="246"/>
      <c r="Z266" s="261"/>
      <c r="AA266" s="250"/>
      <c r="AB266" s="246"/>
      <c r="AC266" s="336" t="s">
        <v>450</v>
      </c>
      <c r="AD266" s="246"/>
      <c r="AE266" s="274" t="s">
        <v>448</v>
      </c>
      <c r="AF266" s="246"/>
      <c r="AG266" s="261"/>
      <c r="AH266" s="320"/>
      <c r="AI266" s="246"/>
      <c r="AJ266" s="336" t="s">
        <v>450</v>
      </c>
      <c r="AK266" s="246"/>
      <c r="AL266" s="274" t="s">
        <v>415</v>
      </c>
      <c r="AM266" s="246"/>
      <c r="AN266" s="261"/>
      <c r="AO266" s="341"/>
      <c r="AP266" s="246"/>
      <c r="AQ266" s="336" t="s">
        <v>450</v>
      </c>
      <c r="AR266" s="246"/>
      <c r="AT266" s="254" t="str">
        <f t="shared" si="52"/>
        <v/>
      </c>
      <c r="AU266" s="269"/>
      <c r="AV266" s="269"/>
    </row>
    <row r="267">
      <c r="A267" s="94"/>
      <c r="B267" s="328" t="s">
        <v>665</v>
      </c>
      <c r="C267" s="329" t="s">
        <v>645</v>
      </c>
      <c r="D267" s="323"/>
      <c r="E267" s="261"/>
      <c r="G267" s="246"/>
      <c r="H267" s="339" t="s">
        <v>431</v>
      </c>
      <c r="I267" s="246"/>
      <c r="J267" s="339" t="s">
        <v>468</v>
      </c>
      <c r="K267" s="246"/>
      <c r="L267" s="261"/>
      <c r="M267" s="341"/>
      <c r="N267" s="246"/>
      <c r="O267" s="274" t="s">
        <v>415</v>
      </c>
      <c r="P267" s="246"/>
      <c r="Q267" s="280" t="s">
        <v>448</v>
      </c>
      <c r="R267" s="246"/>
      <c r="S267" s="261"/>
      <c r="T267" s="341"/>
      <c r="U267" s="246"/>
      <c r="V267" s="311" t="s">
        <v>459</v>
      </c>
      <c r="W267" s="246"/>
      <c r="Y267" s="246"/>
      <c r="Z267" s="261"/>
      <c r="AA267" s="250"/>
      <c r="AB267" s="246"/>
      <c r="AC267" s="339" t="s">
        <v>1087</v>
      </c>
      <c r="AD267" s="246"/>
      <c r="AE267" s="274" t="s">
        <v>443</v>
      </c>
      <c r="AF267" s="246"/>
      <c r="AG267" s="261"/>
      <c r="AH267" s="320"/>
      <c r="AI267" s="246"/>
      <c r="AJ267" s="339" t="s">
        <v>431</v>
      </c>
      <c r="AK267" s="246"/>
      <c r="AL267" s="339" t="s">
        <v>468</v>
      </c>
      <c r="AM267" s="246"/>
      <c r="AN267" s="261"/>
      <c r="AO267" s="341"/>
      <c r="AP267" s="246"/>
      <c r="AQ267" s="339" t="s">
        <v>431</v>
      </c>
      <c r="AR267" s="246"/>
      <c r="AS267" s="274" t="s">
        <v>415</v>
      </c>
      <c r="AT267" s="254" t="str">
        <f t="shared" si="52"/>
        <v/>
      </c>
      <c r="AU267" s="269"/>
      <c r="AV267" s="269"/>
    </row>
    <row r="268">
      <c r="A268" s="94"/>
      <c r="B268" s="342" t="s">
        <v>667</v>
      </c>
      <c r="C268" s="343" t="s">
        <v>657</v>
      </c>
      <c r="D268" s="351"/>
      <c r="E268" s="259"/>
      <c r="F268" s="345" t="s">
        <v>401</v>
      </c>
      <c r="G268" s="246"/>
      <c r="H268" s="339" t="s">
        <v>1087</v>
      </c>
      <c r="I268" s="246"/>
      <c r="J268" s="274" t="s">
        <v>449</v>
      </c>
      <c r="K268" s="246"/>
      <c r="L268" s="261"/>
      <c r="M268" s="346"/>
      <c r="N268" s="246"/>
      <c r="O268" s="345" t="s">
        <v>401</v>
      </c>
      <c r="P268" s="246"/>
      <c r="R268" s="246"/>
      <c r="S268" s="261"/>
      <c r="T268" s="347" t="s">
        <v>401</v>
      </c>
      <c r="U268" s="246"/>
      <c r="V268" s="339" t="s">
        <v>1087</v>
      </c>
      <c r="W268" s="246"/>
      <c r="X268" s="274" t="s">
        <v>449</v>
      </c>
      <c r="Y268" s="246"/>
      <c r="Z268" s="261"/>
      <c r="AA268" s="347" t="s">
        <v>401</v>
      </c>
      <c r="AB268" s="246"/>
      <c r="AD268" s="246"/>
      <c r="AE268" s="339" t="s">
        <v>468</v>
      </c>
      <c r="AF268" s="246"/>
      <c r="AG268" s="261"/>
      <c r="AH268" s="345" t="s">
        <v>401</v>
      </c>
      <c r="AI268" s="246"/>
      <c r="AJ268" s="339" t="s">
        <v>1087</v>
      </c>
      <c r="AK268" s="246"/>
      <c r="AL268" s="274" t="s">
        <v>449</v>
      </c>
      <c r="AM268" s="246"/>
      <c r="AN268" s="261"/>
      <c r="AO268" s="346"/>
      <c r="AP268" s="246"/>
      <c r="AQ268" s="345" t="s">
        <v>401</v>
      </c>
      <c r="AR268" s="246"/>
      <c r="AS268" s="282"/>
      <c r="AT268" s="254" t="str">
        <f t="shared" si="52"/>
        <v/>
      </c>
      <c r="AU268" s="269"/>
      <c r="AV268" s="269"/>
    </row>
    <row r="269">
      <c r="A269" s="94"/>
      <c r="B269" s="349" t="s">
        <v>669</v>
      </c>
      <c r="C269" s="350" t="s">
        <v>649</v>
      </c>
      <c r="D269" s="323"/>
      <c r="E269" s="259"/>
      <c r="F269" s="353" t="s">
        <v>422</v>
      </c>
      <c r="G269" s="246"/>
      <c r="H269" s="633" t="s">
        <v>420</v>
      </c>
      <c r="I269" s="246"/>
      <c r="J269" s="353" t="s">
        <v>421</v>
      </c>
      <c r="K269" s="246"/>
      <c r="L269" s="261"/>
      <c r="M269" s="354"/>
      <c r="N269" s="246"/>
      <c r="O269" s="633" t="s">
        <v>420</v>
      </c>
      <c r="P269" s="246"/>
      <c r="Q269" s="353" t="s">
        <v>424</v>
      </c>
      <c r="R269" s="246"/>
      <c r="S269" s="261"/>
      <c r="T269" s="354"/>
      <c r="U269" s="246"/>
      <c r="V269" s="633" t="s">
        <v>420</v>
      </c>
      <c r="W269" s="246"/>
      <c r="X269" s="353" t="s">
        <v>422</v>
      </c>
      <c r="Y269" s="246"/>
      <c r="Z269" s="261"/>
      <c r="AA269" s="354"/>
      <c r="AB269" s="246"/>
      <c r="AC269" s="253" t="s">
        <v>417</v>
      </c>
      <c r="AD269" s="246"/>
      <c r="AE269" s="633" t="s">
        <v>420</v>
      </c>
      <c r="AF269" s="246"/>
      <c r="AG269" s="261"/>
      <c r="AH269" s="353" t="s">
        <v>424</v>
      </c>
      <c r="AI269" s="246"/>
      <c r="AJ269" s="633" t="s">
        <v>420</v>
      </c>
      <c r="AK269" s="246"/>
      <c r="AL269" s="353" t="s">
        <v>422</v>
      </c>
      <c r="AM269" s="246"/>
      <c r="AN269" s="261"/>
      <c r="AO269" s="354"/>
      <c r="AP269" s="246"/>
      <c r="AQ269" s="253" t="s">
        <v>417</v>
      </c>
      <c r="AR269" s="246"/>
      <c r="AS269" s="353" t="s">
        <v>422</v>
      </c>
      <c r="AT269" s="254" t="str">
        <f t="shared" si="52"/>
        <v/>
      </c>
      <c r="AU269" s="269"/>
      <c r="AV269" s="269"/>
    </row>
    <row r="270">
      <c r="A270" s="234"/>
      <c r="B270" s="296" t="s">
        <v>650</v>
      </c>
      <c r="C270" s="297" t="s">
        <v>649</v>
      </c>
      <c r="D270" s="330"/>
      <c r="E270" s="259"/>
      <c r="F270" s="358"/>
      <c r="G270" s="298"/>
      <c r="H270" s="358"/>
      <c r="I270" s="298"/>
      <c r="J270" s="358"/>
      <c r="K270" s="298"/>
      <c r="L270" s="261"/>
      <c r="M270" s="324"/>
      <c r="N270" s="298"/>
      <c r="O270" s="253" t="s">
        <v>417</v>
      </c>
      <c r="P270" s="298"/>
      <c r="Q270" s="358"/>
      <c r="R270" s="298"/>
      <c r="S270" s="261"/>
      <c r="T270" s="324"/>
      <c r="U270" s="298"/>
      <c r="V270" s="253" t="s">
        <v>417</v>
      </c>
      <c r="W270" s="298"/>
      <c r="X270" s="300"/>
      <c r="Y270" s="298"/>
      <c r="Z270" s="261"/>
      <c r="AA270" s="324"/>
      <c r="AB270" s="298"/>
      <c r="AC270" s="319"/>
      <c r="AD270" s="298"/>
      <c r="AE270" s="353" t="s">
        <v>422</v>
      </c>
      <c r="AF270" s="298"/>
      <c r="AG270" s="261"/>
      <c r="AH270" s="319"/>
      <c r="AI270" s="298"/>
      <c r="AJ270" s="253" t="s">
        <v>417</v>
      </c>
      <c r="AK270" s="298"/>
      <c r="AL270" s="319"/>
      <c r="AM270" s="298"/>
      <c r="AN270" s="261"/>
      <c r="AO270" s="324"/>
      <c r="AP270" s="298"/>
      <c r="AQ270" s="359"/>
      <c r="AR270" s="298"/>
      <c r="AS270" s="359"/>
      <c r="AT270" s="254" t="str">
        <f>IF(COUNTIF($AO$80:$AT$82, AS271) &gt; 0, "X", "")</f>
        <v/>
      </c>
      <c r="AU270" s="269"/>
      <c r="AV270" s="269"/>
    </row>
    <row r="271">
      <c r="A271" s="94"/>
      <c r="B271" s="301" t="s">
        <v>651</v>
      </c>
      <c r="C271" s="302" t="s">
        <v>652</v>
      </c>
      <c r="D271" s="363"/>
      <c r="E271" s="259"/>
      <c r="F271" s="303"/>
      <c r="G271" s="298"/>
      <c r="H271" s="304"/>
      <c r="I271" s="298"/>
      <c r="J271" s="303"/>
      <c r="K271" s="298"/>
      <c r="L271" s="261"/>
      <c r="M271" s="250"/>
      <c r="N271" s="298"/>
      <c r="O271" s="304"/>
      <c r="P271" s="298"/>
      <c r="Q271" s="303"/>
      <c r="R271" s="298"/>
      <c r="S271" s="261"/>
      <c r="T271" s="250"/>
      <c r="U271" s="298"/>
      <c r="V271" s="303"/>
      <c r="W271" s="298"/>
      <c r="X271" s="303"/>
      <c r="Y271" s="298"/>
      <c r="Z271" s="261"/>
      <c r="AA271" s="250"/>
      <c r="AB271" s="298"/>
      <c r="AC271" s="532" t="s">
        <v>675</v>
      </c>
      <c r="AD271" s="298"/>
      <c r="AE271" s="303"/>
      <c r="AF271" s="298"/>
      <c r="AG271" s="261"/>
      <c r="AH271" s="303"/>
      <c r="AI271" s="298"/>
      <c r="AJ271" s="484"/>
      <c r="AK271" s="298"/>
      <c r="AL271" s="484"/>
      <c r="AM271" s="298"/>
      <c r="AN271" s="261"/>
      <c r="AO271" s="250"/>
      <c r="AP271" s="298"/>
      <c r="AQ271" s="303"/>
      <c r="AR271" s="298"/>
      <c r="AS271" s="303"/>
      <c r="AT271" s="254" t="str">
        <f t="shared" ref="AT271:AT272" si="53">IF(COUNTIF($AO$80:$AT$82, #REF!) &gt; 0, "X", "")</f>
        <v/>
      </c>
      <c r="AU271" s="269"/>
      <c r="AV271" s="269"/>
    </row>
    <row r="272">
      <c r="A272" s="94"/>
      <c r="B272" s="361" t="s">
        <v>673</v>
      </c>
      <c r="C272" s="362" t="s">
        <v>674</v>
      </c>
      <c r="D272" s="369"/>
      <c r="E272" s="259"/>
      <c r="F272" s="311" t="s">
        <v>394</v>
      </c>
      <c r="G272" s="298"/>
      <c r="H272" s="336" t="s">
        <v>412</v>
      </c>
      <c r="I272" s="298"/>
      <c r="J272" s="339" t="s">
        <v>765</v>
      </c>
      <c r="K272" s="298"/>
      <c r="L272" s="261"/>
      <c r="M272" s="324"/>
      <c r="N272" s="298"/>
      <c r="O272" s="336" t="s">
        <v>412</v>
      </c>
      <c r="P272" s="298"/>
      <c r="Q272" s="311" t="s">
        <v>394</v>
      </c>
      <c r="R272" s="298"/>
      <c r="S272" s="261"/>
      <c r="T272" s="324"/>
      <c r="U272" s="298"/>
      <c r="V272" s="532" t="s">
        <v>675</v>
      </c>
      <c r="W272" s="298"/>
      <c r="X272" s="311" t="s">
        <v>394</v>
      </c>
      <c r="Y272" s="298"/>
      <c r="Z272" s="261"/>
      <c r="AA272" s="324"/>
      <c r="AB272" s="298"/>
      <c r="AC272" s="311" t="s">
        <v>438</v>
      </c>
      <c r="AD272" s="298"/>
      <c r="AE272" s="251" t="s">
        <v>457</v>
      </c>
      <c r="AF272" s="298"/>
      <c r="AG272" s="261"/>
      <c r="AH272" s="251" t="s">
        <v>457</v>
      </c>
      <c r="AI272" s="298"/>
      <c r="AJ272" s="311" t="s">
        <v>438</v>
      </c>
      <c r="AK272" s="298"/>
      <c r="AL272" s="339" t="s">
        <v>765</v>
      </c>
      <c r="AM272" s="298"/>
      <c r="AN272" s="261"/>
      <c r="AO272" s="324"/>
      <c r="AP272" s="298"/>
      <c r="AQ272" s="251" t="s">
        <v>457</v>
      </c>
      <c r="AR272" s="298"/>
      <c r="AS272" s="311" t="s">
        <v>394</v>
      </c>
      <c r="AT272" s="254" t="str">
        <f t="shared" si="53"/>
        <v/>
      </c>
      <c r="AU272" s="269"/>
      <c r="AV272" s="269"/>
    </row>
    <row r="273">
      <c r="A273" s="94"/>
      <c r="B273" s="367" t="s">
        <v>677</v>
      </c>
      <c r="C273" s="368" t="s">
        <v>674</v>
      </c>
      <c r="D273" s="330"/>
      <c r="E273" s="259"/>
      <c r="G273" s="246"/>
      <c r="H273" s="339" t="s">
        <v>931</v>
      </c>
      <c r="I273" s="246"/>
      <c r="K273" s="246"/>
      <c r="L273" s="261"/>
      <c r="M273" s="250"/>
      <c r="N273" s="246"/>
      <c r="P273" s="246"/>
      <c r="Q273" s="339" t="s">
        <v>931</v>
      </c>
      <c r="R273" s="246"/>
      <c r="S273" s="261"/>
      <c r="T273" s="250"/>
      <c r="U273" s="246"/>
      <c r="V273" s="282"/>
      <c r="W273" s="246"/>
      <c r="X273" s="339" t="s">
        <v>931</v>
      </c>
      <c r="Y273" s="246"/>
      <c r="Z273" s="261"/>
      <c r="AA273" s="250"/>
      <c r="AB273" s="246"/>
      <c r="AD273" s="246"/>
      <c r="AE273" s="339" t="s">
        <v>931</v>
      </c>
      <c r="AF273" s="246"/>
      <c r="AG273" s="261"/>
      <c r="AI273" s="246"/>
      <c r="AJ273" s="282"/>
      <c r="AK273" s="246"/>
      <c r="AL273" s="339" t="s">
        <v>931</v>
      </c>
      <c r="AM273" s="246"/>
      <c r="AN273" s="261"/>
      <c r="AO273" s="250"/>
      <c r="AP273" s="246"/>
      <c r="AQ273" s="282"/>
      <c r="AR273" s="246"/>
      <c r="AT273" s="254" t="str">
        <f>IF(COUNTIF($AO$80:$AT$82, X273) &gt; 0, "X", "")</f>
        <v/>
      </c>
      <c r="AU273" s="269"/>
      <c r="AV273" s="269"/>
    </row>
    <row r="274">
      <c r="A274" s="94"/>
      <c r="B274" s="256" t="s">
        <v>679</v>
      </c>
      <c r="C274" s="257" t="s">
        <v>680</v>
      </c>
      <c r="D274" s="330"/>
      <c r="E274" s="259"/>
      <c r="F274" s="311" t="s">
        <v>393</v>
      </c>
      <c r="G274" s="246"/>
      <c r="H274" s="374" t="s">
        <v>436</v>
      </c>
      <c r="I274" s="246"/>
      <c r="J274" s="274" t="s">
        <v>443</v>
      </c>
      <c r="K274" s="246"/>
      <c r="L274" s="261"/>
      <c r="M274" s="333"/>
      <c r="N274" s="246"/>
      <c r="O274" s="374" t="s">
        <v>436</v>
      </c>
      <c r="P274" s="246"/>
      <c r="Q274" s="376" t="s">
        <v>453</v>
      </c>
      <c r="R274" s="246"/>
      <c r="S274" s="261"/>
      <c r="T274" s="333"/>
      <c r="U274" s="246"/>
      <c r="V274" s="311" t="s">
        <v>436</v>
      </c>
      <c r="W274" s="246"/>
      <c r="X274" s="365" t="s">
        <v>433</v>
      </c>
      <c r="Y274" s="246"/>
      <c r="Z274" s="261"/>
      <c r="AA274" s="333"/>
      <c r="AB274" s="246"/>
      <c r="AC274" s="274" t="s">
        <v>406</v>
      </c>
      <c r="AD274" s="246"/>
      <c r="AE274" s="365" t="s">
        <v>433</v>
      </c>
      <c r="AF274" s="246"/>
      <c r="AG274" s="261"/>
      <c r="AH274" s="311" t="s">
        <v>393</v>
      </c>
      <c r="AI274" s="246"/>
      <c r="AJ274" s="311" t="s">
        <v>436</v>
      </c>
      <c r="AK274" s="246"/>
      <c r="AL274" s="274" t="s">
        <v>443</v>
      </c>
      <c r="AM274" s="246"/>
      <c r="AN274" s="261"/>
      <c r="AO274" s="333"/>
      <c r="AP274" s="246"/>
      <c r="AQ274" s="274" t="s">
        <v>406</v>
      </c>
      <c r="AR274" s="246"/>
      <c r="AS274" s="365" t="s">
        <v>433</v>
      </c>
      <c r="AT274" s="254" t="str">
        <f t="shared" ref="AT274:AT278" si="54">IF(COUNTIF($AO$80:$AT$82, #REF!) &gt; 0, "X", "")</f>
        <v/>
      </c>
      <c r="AU274" s="269"/>
      <c r="AV274" s="269"/>
    </row>
    <row r="275">
      <c r="A275" s="372"/>
      <c r="B275" s="328" t="s">
        <v>679</v>
      </c>
      <c r="C275" s="329" t="s">
        <v>652</v>
      </c>
      <c r="D275" s="330"/>
      <c r="E275" s="259"/>
      <c r="F275" s="282"/>
      <c r="G275" s="246"/>
      <c r="H275" s="311" t="s">
        <v>439</v>
      </c>
      <c r="I275" s="246"/>
      <c r="K275" s="246"/>
      <c r="L275" s="261"/>
      <c r="M275" s="346"/>
      <c r="N275" s="246"/>
      <c r="P275" s="246"/>
      <c r="R275" s="246"/>
      <c r="S275" s="261"/>
      <c r="T275" s="346"/>
      <c r="U275" s="246"/>
      <c r="W275" s="246"/>
      <c r="X275" s="579" t="s">
        <v>837</v>
      </c>
      <c r="Y275" s="246"/>
      <c r="Z275" s="261"/>
      <c r="AA275" s="346"/>
      <c r="AB275" s="246"/>
      <c r="AD275" s="246"/>
      <c r="AF275" s="246"/>
      <c r="AG275" s="261"/>
      <c r="AH275" s="282"/>
      <c r="AI275" s="246"/>
      <c r="AJ275" s="586" t="s">
        <v>397</v>
      </c>
      <c r="AK275" s="246"/>
      <c r="AM275" s="246"/>
      <c r="AN275" s="261"/>
      <c r="AO275" s="346"/>
      <c r="AP275" s="246"/>
      <c r="AR275" s="246"/>
      <c r="AT275" s="254" t="str">
        <f t="shared" si="54"/>
        <v/>
      </c>
      <c r="AU275" s="269"/>
      <c r="AV275" s="269"/>
    </row>
    <row r="276">
      <c r="A276" s="94"/>
      <c r="B276" s="328" t="s">
        <v>679</v>
      </c>
      <c r="C276" s="329" t="s">
        <v>683</v>
      </c>
      <c r="D276" s="379"/>
      <c r="E276" s="380"/>
      <c r="F276" s="251" t="s">
        <v>433</v>
      </c>
      <c r="G276" s="246"/>
      <c r="H276" s="274" t="s">
        <v>406</v>
      </c>
      <c r="I276" s="246"/>
      <c r="J276" s="336" t="s">
        <v>398</v>
      </c>
      <c r="K276" s="246"/>
      <c r="L276" s="261"/>
      <c r="M276" s="341"/>
      <c r="N276" s="246"/>
      <c r="O276" s="311" t="s">
        <v>439</v>
      </c>
      <c r="P276" s="246"/>
      <c r="Q276" s="376" t="s">
        <v>466</v>
      </c>
      <c r="R276" s="246"/>
      <c r="S276" s="261"/>
      <c r="T276" s="341"/>
      <c r="U276" s="246"/>
      <c r="V276" s="336" t="s">
        <v>398</v>
      </c>
      <c r="W276" s="246"/>
      <c r="X276" s="274" t="s">
        <v>443</v>
      </c>
      <c r="Y276" s="246"/>
      <c r="Z276" s="261"/>
      <c r="AA276" s="341"/>
      <c r="AB276" s="246"/>
      <c r="AC276" s="311" t="s">
        <v>436</v>
      </c>
      <c r="AD276" s="246"/>
      <c r="AE276" s="311" t="s">
        <v>455</v>
      </c>
      <c r="AF276" s="246"/>
      <c r="AG276" s="261"/>
      <c r="AH276" s="251" t="s">
        <v>433</v>
      </c>
      <c r="AI276" s="246"/>
      <c r="AJ276" s="336" t="s">
        <v>398</v>
      </c>
      <c r="AK276" s="246"/>
      <c r="AL276" s="274" t="s">
        <v>437</v>
      </c>
      <c r="AM276" s="246"/>
      <c r="AN276" s="261"/>
      <c r="AO276" s="341"/>
      <c r="AP276" s="246"/>
      <c r="AQ276" s="586" t="s">
        <v>397</v>
      </c>
      <c r="AR276" s="246"/>
      <c r="AS276" s="274" t="s">
        <v>437</v>
      </c>
      <c r="AT276" s="254" t="str">
        <f t="shared" si="54"/>
        <v/>
      </c>
      <c r="AU276" s="269"/>
      <c r="AV276" s="269"/>
    </row>
    <row r="277">
      <c r="A277" s="94"/>
      <c r="B277" s="377" t="s">
        <v>684</v>
      </c>
      <c r="C277" s="378" t="s">
        <v>685</v>
      </c>
      <c r="D277" s="363"/>
      <c r="E277" s="259"/>
      <c r="F277" s="282"/>
      <c r="G277" s="246"/>
      <c r="I277" s="246"/>
      <c r="K277" s="246"/>
      <c r="L277" s="381"/>
      <c r="M277" s="341"/>
      <c r="N277" s="246"/>
      <c r="P277" s="246"/>
      <c r="Q277" s="251" t="s">
        <v>405</v>
      </c>
      <c r="R277" s="246"/>
      <c r="S277" s="381"/>
      <c r="T277" s="341"/>
      <c r="U277" s="246"/>
      <c r="W277" s="246"/>
      <c r="X277" s="251" t="s">
        <v>405</v>
      </c>
      <c r="Y277" s="246"/>
      <c r="Z277" s="381"/>
      <c r="AA277" s="341"/>
      <c r="AB277" s="246"/>
      <c r="AD277" s="246"/>
      <c r="AE277" s="311" t="s">
        <v>410</v>
      </c>
      <c r="AF277" s="246"/>
      <c r="AG277" s="381"/>
      <c r="AH277" s="282"/>
      <c r="AI277" s="246"/>
      <c r="AK277" s="246"/>
      <c r="AM277" s="246"/>
      <c r="AN277" s="381"/>
      <c r="AO277" s="341"/>
      <c r="AP277" s="246"/>
      <c r="AR277" s="246"/>
      <c r="AS277" s="282"/>
      <c r="AT277" s="254" t="str">
        <f t="shared" si="54"/>
        <v/>
      </c>
      <c r="AU277" s="269"/>
      <c r="AV277" s="269"/>
    </row>
    <row r="278">
      <c r="A278" s="270"/>
      <c r="B278" s="382" t="s">
        <v>686</v>
      </c>
      <c r="C278" s="242" t="s">
        <v>652</v>
      </c>
      <c r="D278" s="330"/>
      <c r="E278" s="259"/>
      <c r="F278" s="311" t="s">
        <v>455</v>
      </c>
      <c r="G278" s="246"/>
      <c r="H278" s="251" t="s">
        <v>435</v>
      </c>
      <c r="I278" s="246"/>
      <c r="J278" s="251" t="s">
        <v>429</v>
      </c>
      <c r="K278" s="246"/>
      <c r="L278" s="261"/>
      <c r="M278" s="341"/>
      <c r="N278" s="246"/>
      <c r="O278" s="251" t="s">
        <v>435</v>
      </c>
      <c r="P278" s="246"/>
      <c r="Q278" s="311" t="s">
        <v>455</v>
      </c>
      <c r="R278" s="246"/>
      <c r="S278" s="261"/>
      <c r="T278" s="341"/>
      <c r="U278" s="246"/>
      <c r="V278" s="383" t="s">
        <v>428</v>
      </c>
      <c r="W278" s="246"/>
      <c r="X278" s="376" t="s">
        <v>453</v>
      </c>
      <c r="Y278" s="246"/>
      <c r="Z278" s="261"/>
      <c r="AA278" s="341"/>
      <c r="AB278" s="246"/>
      <c r="AC278" s="251" t="s">
        <v>435</v>
      </c>
      <c r="AD278" s="246"/>
      <c r="AE278" s="251" t="s">
        <v>429</v>
      </c>
      <c r="AF278" s="246"/>
      <c r="AG278" s="261"/>
      <c r="AH278" s="376" t="s">
        <v>453</v>
      </c>
      <c r="AI278" s="246"/>
      <c r="AJ278" s="274" t="s">
        <v>435</v>
      </c>
      <c r="AK278" s="246"/>
      <c r="AL278" s="385" t="s">
        <v>428</v>
      </c>
      <c r="AM278" s="246"/>
      <c r="AN278" s="261"/>
      <c r="AO278" s="341"/>
      <c r="AP278" s="246"/>
      <c r="AQ278" s="274" t="s">
        <v>435</v>
      </c>
      <c r="AR278" s="246"/>
      <c r="AS278" s="311" t="s">
        <v>455</v>
      </c>
      <c r="AT278" s="254" t="str">
        <f t="shared" si="54"/>
        <v/>
      </c>
      <c r="AU278" s="269"/>
      <c r="AV278" s="269"/>
    </row>
    <row r="279">
      <c r="A279" s="234"/>
      <c r="B279" s="337" t="s">
        <v>686</v>
      </c>
      <c r="C279" s="338" t="s">
        <v>687</v>
      </c>
      <c r="D279" s="330"/>
      <c r="E279" s="259"/>
      <c r="G279" s="246"/>
      <c r="H279" s="385" t="s">
        <v>428</v>
      </c>
      <c r="I279" s="246"/>
      <c r="J279" s="376" t="s">
        <v>466</v>
      </c>
      <c r="K279" s="246"/>
      <c r="L279" s="261"/>
      <c r="M279" s="250"/>
      <c r="N279" s="246"/>
      <c r="O279" s="385" t="s">
        <v>428</v>
      </c>
      <c r="P279" s="246"/>
      <c r="Q279" s="251" t="s">
        <v>429</v>
      </c>
      <c r="R279" s="246"/>
      <c r="S279" s="261"/>
      <c r="T279" s="250"/>
      <c r="U279" s="246"/>
      <c r="V279" s="311" t="s">
        <v>455</v>
      </c>
      <c r="W279" s="246"/>
      <c r="X279" s="251" t="s">
        <v>429</v>
      </c>
      <c r="Y279" s="246"/>
      <c r="Z279" s="261"/>
      <c r="AA279" s="250"/>
      <c r="AB279" s="246"/>
      <c r="AC279" s="376" t="s">
        <v>466</v>
      </c>
      <c r="AD279" s="246"/>
      <c r="AE279" s="376" t="s">
        <v>453</v>
      </c>
      <c r="AF279" s="246"/>
      <c r="AG279" s="261"/>
      <c r="AH279" s="282"/>
      <c r="AI279" s="246"/>
      <c r="AK279" s="246"/>
      <c r="AL279" s="251" t="s">
        <v>429</v>
      </c>
      <c r="AM279" s="246"/>
      <c r="AN279" s="261"/>
      <c r="AO279" s="250"/>
      <c r="AP279" s="246"/>
      <c r="AQ279" s="385" t="s">
        <v>428</v>
      </c>
      <c r="AR279" s="246"/>
      <c r="AS279" s="376" t="s">
        <v>453</v>
      </c>
      <c r="AT279" s="254" t="str">
        <f>IF(COUNTIF($AO$80:$AT$82, AS280) &gt; 0, "X", "")</f>
        <v/>
      </c>
      <c r="AU279" s="269"/>
      <c r="AV279" s="269"/>
    </row>
    <row r="280">
      <c r="A280" s="94"/>
      <c r="B280" s="337" t="s">
        <v>688</v>
      </c>
      <c r="C280" s="285" t="s">
        <v>687</v>
      </c>
      <c r="D280" s="389"/>
      <c r="E280" s="259"/>
      <c r="F280" s="274" t="s">
        <v>437</v>
      </c>
      <c r="G280" s="246"/>
      <c r="H280" s="265"/>
      <c r="I280" s="246"/>
      <c r="K280" s="246"/>
      <c r="L280" s="261"/>
      <c r="M280" s="262"/>
      <c r="N280" s="246"/>
      <c r="P280" s="246"/>
      <c r="R280" s="246"/>
      <c r="S280" s="261"/>
      <c r="T280" s="262"/>
      <c r="U280" s="246"/>
      <c r="V280" s="265"/>
      <c r="W280" s="246"/>
      <c r="X280" s="265"/>
      <c r="Y280" s="246"/>
      <c r="Z280" s="261"/>
      <c r="AA280" s="262"/>
      <c r="AB280" s="246"/>
      <c r="AC280" s="265"/>
      <c r="AD280" s="246"/>
      <c r="AF280" s="246"/>
      <c r="AG280" s="261"/>
      <c r="AH280" s="265"/>
      <c r="AI280" s="246"/>
      <c r="AJ280" s="265"/>
      <c r="AK280" s="246"/>
      <c r="AM280" s="246"/>
      <c r="AN280" s="261"/>
      <c r="AO280" s="262"/>
      <c r="AP280" s="246"/>
      <c r="AR280" s="246"/>
      <c r="AS280" s="251" t="s">
        <v>429</v>
      </c>
      <c r="AT280" s="254" t="str">
        <f>IF(COUNTIF($AO$80:$AT$82, #REF!) &gt; 0, "X", "")</f>
        <v/>
      </c>
      <c r="AU280" s="269"/>
      <c r="AV280" s="269"/>
    </row>
    <row r="281">
      <c r="A281" s="94"/>
      <c r="B281" s="387" t="s">
        <v>690</v>
      </c>
      <c r="C281" s="388" t="s">
        <v>649</v>
      </c>
      <c r="D281" s="323"/>
      <c r="E281" s="259"/>
      <c r="F281" s="390"/>
      <c r="G281" s="246"/>
      <c r="H281" s="390"/>
      <c r="I281" s="246"/>
      <c r="J281" s="390"/>
      <c r="K281" s="246"/>
      <c r="L281" s="261"/>
      <c r="M281" s="250"/>
      <c r="N281" s="246"/>
      <c r="O281" s="357" t="s">
        <v>670</v>
      </c>
      <c r="P281" s="246"/>
      <c r="Q281" s="390"/>
      <c r="R281" s="246"/>
      <c r="S281" s="261"/>
      <c r="T281" s="250"/>
      <c r="U281" s="246"/>
      <c r="V281" s="355" t="s">
        <v>670</v>
      </c>
      <c r="W281" s="246"/>
      <c r="X281" s="390"/>
      <c r="Y281" s="246"/>
      <c r="Z281" s="261"/>
      <c r="AA281" s="250"/>
      <c r="AB281" s="246"/>
      <c r="AC281" s="390"/>
      <c r="AD281" s="246"/>
      <c r="AE281" s="355" t="s">
        <v>670</v>
      </c>
      <c r="AF281" s="246"/>
      <c r="AG281" s="261"/>
      <c r="AH281" s="390"/>
      <c r="AI281" s="246"/>
      <c r="AJ281" s="390"/>
      <c r="AK281" s="246"/>
      <c r="AL281" s="390"/>
      <c r="AM281" s="246"/>
      <c r="AN281" s="261"/>
      <c r="AO281" s="250"/>
      <c r="AP281" s="246"/>
      <c r="AQ281" s="390"/>
      <c r="AR281" s="246"/>
      <c r="AS281" s="390"/>
      <c r="AT281" s="254" t="str">
        <f t="shared" ref="AT281:AT288" si="55">IF(COUNTIF($AO$80:$AT$82, AS282) &gt; 0, "X", "")</f>
        <v/>
      </c>
      <c r="AU281" s="269"/>
      <c r="AV281" s="269"/>
    </row>
    <row r="282">
      <c r="A282" s="94"/>
      <c r="B282" s="296" t="s">
        <v>650</v>
      </c>
      <c r="C282" s="297" t="s">
        <v>649</v>
      </c>
      <c r="D282" s="323"/>
      <c r="E282" s="261"/>
      <c r="F282" s="300"/>
      <c r="G282" s="246"/>
      <c r="H282" s="319"/>
      <c r="I282" s="246"/>
      <c r="J282" s="300"/>
      <c r="K282" s="246"/>
      <c r="L282" s="261"/>
      <c r="M282" s="250"/>
      <c r="N282" s="246"/>
      <c r="O282" s="300"/>
      <c r="P282" s="246"/>
      <c r="Q282" s="300"/>
      <c r="R282" s="246"/>
      <c r="S282" s="261"/>
      <c r="T282" s="250"/>
      <c r="U282" s="246"/>
      <c r="V282" s="300"/>
      <c r="W282" s="246"/>
      <c r="X282" s="300"/>
      <c r="Y282" s="246"/>
      <c r="Z282" s="261"/>
      <c r="AA282" s="250"/>
      <c r="AB282" s="246"/>
      <c r="AC282" s="300"/>
      <c r="AD282" s="246"/>
      <c r="AE282" s="300"/>
      <c r="AF282" s="246"/>
      <c r="AG282" s="261"/>
      <c r="AH282" s="300"/>
      <c r="AI282" s="246"/>
      <c r="AJ282" s="300"/>
      <c r="AK282" s="246"/>
      <c r="AL282" s="300"/>
      <c r="AM282" s="246"/>
      <c r="AN282" s="261"/>
      <c r="AO282" s="250"/>
      <c r="AP282" s="246"/>
      <c r="AQ282" s="300"/>
      <c r="AR282" s="246"/>
      <c r="AS282" s="300"/>
      <c r="AT282" s="254" t="str">
        <f t="shared" si="55"/>
        <v/>
      </c>
      <c r="AU282" s="269"/>
      <c r="AV282" s="269"/>
    </row>
    <row r="283">
      <c r="A283" s="94"/>
      <c r="B283" s="301" t="s">
        <v>651</v>
      </c>
      <c r="C283" s="391" t="s">
        <v>652</v>
      </c>
      <c r="D283" s="323"/>
      <c r="E283" s="259"/>
      <c r="F283" s="304"/>
      <c r="G283" s="246"/>
      <c r="H283" s="304"/>
      <c r="I283" s="246"/>
      <c r="J283" s="304"/>
      <c r="K283" s="246"/>
      <c r="L283" s="261"/>
      <c r="M283" s="250"/>
      <c r="N283" s="246"/>
      <c r="O283" s="304"/>
      <c r="P283" s="246"/>
      <c r="Q283" s="304"/>
      <c r="R283" s="246"/>
      <c r="S283" s="261"/>
      <c r="T283" s="250"/>
      <c r="U283" s="246"/>
      <c r="V283" s="304"/>
      <c r="W283" s="246"/>
      <c r="X283" s="304"/>
      <c r="Y283" s="246"/>
      <c r="Z283" s="261"/>
      <c r="AA283" s="250"/>
      <c r="AB283" s="246"/>
      <c r="AC283" s="304"/>
      <c r="AD283" s="246"/>
      <c r="AE283" s="304"/>
      <c r="AF283" s="246"/>
      <c r="AG283" s="261"/>
      <c r="AH283" s="304"/>
      <c r="AI283" s="246"/>
      <c r="AJ283" s="304"/>
      <c r="AK283" s="246"/>
      <c r="AL283" s="304"/>
      <c r="AM283" s="246"/>
      <c r="AN283" s="261"/>
      <c r="AO283" s="250"/>
      <c r="AP283" s="246"/>
      <c r="AQ283" s="304"/>
      <c r="AR283" s="246"/>
      <c r="AS283" s="304"/>
      <c r="AT283" s="254" t="str">
        <f t="shared" si="55"/>
        <v/>
      </c>
      <c r="AU283" s="269"/>
      <c r="AV283" s="269"/>
    </row>
    <row r="284">
      <c r="A284" s="94"/>
      <c r="B284" s="392" t="s">
        <v>691</v>
      </c>
      <c r="C284" s="393" t="s">
        <v>652</v>
      </c>
      <c r="D284" s="330"/>
      <c r="E284" s="259"/>
      <c r="F284" s="307"/>
      <c r="G284" s="246"/>
      <c r="H284" s="307"/>
      <c r="I284" s="246"/>
      <c r="J284" s="307"/>
      <c r="K284" s="246"/>
      <c r="L284" s="261"/>
      <c r="M284" s="250"/>
      <c r="N284" s="246"/>
      <c r="O284" s="647" t="s">
        <v>397</v>
      </c>
      <c r="P284" s="246"/>
      <c r="Q284" s="307"/>
      <c r="R284" s="246"/>
      <c r="S284" s="261"/>
      <c r="T284" s="250"/>
      <c r="U284" s="246"/>
      <c r="V284" s="647" t="s">
        <v>397</v>
      </c>
      <c r="W284" s="246"/>
      <c r="X284" s="307"/>
      <c r="Y284" s="246"/>
      <c r="Z284" s="261"/>
      <c r="AA284" s="250"/>
      <c r="AB284" s="246"/>
      <c r="AC284" s="307"/>
      <c r="AD284" s="246"/>
      <c r="AE284" s="647" t="s">
        <v>397</v>
      </c>
      <c r="AF284" s="246"/>
      <c r="AG284" s="261"/>
      <c r="AH284" s="307"/>
      <c r="AI284" s="246"/>
      <c r="AJ284" s="307"/>
      <c r="AK284" s="246"/>
      <c r="AL284" s="307"/>
      <c r="AM284" s="246"/>
      <c r="AN284" s="261"/>
      <c r="AO284" s="250"/>
      <c r="AP284" s="246"/>
      <c r="AQ284" s="307"/>
      <c r="AR284" s="246"/>
      <c r="AS284" s="307"/>
      <c r="AT284" s="254" t="str">
        <f t="shared" si="55"/>
        <v/>
      </c>
      <c r="AU284" s="269"/>
      <c r="AV284" s="269"/>
    </row>
    <row r="285">
      <c r="A285" s="94"/>
      <c r="B285" s="328" t="s">
        <v>692</v>
      </c>
      <c r="C285" s="329" t="s">
        <v>652</v>
      </c>
      <c r="D285" s="369"/>
      <c r="E285" s="259"/>
      <c r="F285" s="371"/>
      <c r="G285" s="246"/>
      <c r="H285" s="371"/>
      <c r="I285" s="246"/>
      <c r="J285" s="282"/>
      <c r="K285" s="246"/>
      <c r="L285" s="261"/>
      <c r="M285" s="250"/>
      <c r="N285" s="246"/>
      <c r="O285" s="371"/>
      <c r="P285" s="246"/>
      <c r="R285" s="246"/>
      <c r="S285" s="261"/>
      <c r="T285" s="250"/>
      <c r="U285" s="246"/>
      <c r="W285" s="246"/>
      <c r="X285" s="371"/>
      <c r="Y285" s="246"/>
      <c r="Z285" s="261"/>
      <c r="AA285" s="250"/>
      <c r="AB285" s="246"/>
      <c r="AC285" s="371"/>
      <c r="AD285" s="246"/>
      <c r="AE285" s="371"/>
      <c r="AF285" s="246"/>
      <c r="AG285" s="261"/>
      <c r="AH285" s="371"/>
      <c r="AI285" s="246"/>
      <c r="AJ285" s="371"/>
      <c r="AK285" s="246"/>
      <c r="AL285" s="371"/>
      <c r="AM285" s="246"/>
      <c r="AN285" s="261"/>
      <c r="AO285" s="250"/>
      <c r="AP285" s="246"/>
      <c r="AQ285" s="371"/>
      <c r="AR285" s="246"/>
      <c r="AS285" s="282"/>
      <c r="AT285" s="254" t="str">
        <f t="shared" si="55"/>
        <v/>
      </c>
      <c r="AU285" s="269"/>
      <c r="AV285" s="269"/>
    </row>
    <row r="286">
      <c r="A286" s="94"/>
      <c r="B286" s="397" t="s">
        <v>692</v>
      </c>
      <c r="C286" s="398" t="s">
        <v>687</v>
      </c>
      <c r="D286" s="389"/>
      <c r="E286" s="259"/>
      <c r="F286" s="399"/>
      <c r="G286" s="246"/>
      <c r="H286" s="399"/>
      <c r="I286" s="246"/>
      <c r="J286" s="399"/>
      <c r="K286" s="246"/>
      <c r="L286" s="261"/>
      <c r="M286" s="250"/>
      <c r="N286" s="246"/>
      <c r="O286" s="282"/>
      <c r="P286" s="246"/>
      <c r="R286" s="246"/>
      <c r="S286" s="261"/>
      <c r="T286" s="250"/>
      <c r="U286" s="246"/>
      <c r="V286" s="282"/>
      <c r="W286" s="246"/>
      <c r="X286" s="399"/>
      <c r="Y286" s="246"/>
      <c r="Z286" s="261"/>
      <c r="AA286" s="250"/>
      <c r="AB286" s="246"/>
      <c r="AD286" s="246"/>
      <c r="AE286" s="399"/>
      <c r="AF286" s="246"/>
      <c r="AG286" s="261"/>
      <c r="AH286" s="399"/>
      <c r="AI286" s="246"/>
      <c r="AJ286" s="399"/>
      <c r="AK286" s="246"/>
      <c r="AL286" s="399"/>
      <c r="AM286" s="246"/>
      <c r="AN286" s="261"/>
      <c r="AO286" s="250"/>
      <c r="AP286" s="246"/>
      <c r="AQ286" s="399"/>
      <c r="AR286" s="246"/>
      <c r="AS286" s="399"/>
      <c r="AT286" s="254" t="str">
        <f t="shared" si="55"/>
        <v/>
      </c>
      <c r="AU286" s="269"/>
      <c r="AV286" s="269"/>
    </row>
    <row r="287">
      <c r="A287" s="94"/>
      <c r="B287" s="387" t="s">
        <v>694</v>
      </c>
      <c r="C287" s="388" t="s">
        <v>649</v>
      </c>
      <c r="D287" s="323"/>
      <c r="E287" s="259"/>
      <c r="F287" s="390"/>
      <c r="G287" s="246"/>
      <c r="H287" s="390"/>
      <c r="I287" s="246"/>
      <c r="J287" s="390"/>
      <c r="K287" s="246"/>
      <c r="L287" s="261"/>
      <c r="M287" s="250"/>
      <c r="N287" s="246"/>
      <c r="O287" s="390"/>
      <c r="P287" s="246"/>
      <c r="Q287" s="357"/>
      <c r="R287" s="246"/>
      <c r="S287" s="261"/>
      <c r="T287" s="250"/>
      <c r="U287" s="246"/>
      <c r="V287" s="390"/>
      <c r="W287" s="246"/>
      <c r="X287" s="357" t="s">
        <v>425</v>
      </c>
      <c r="Y287" s="246"/>
      <c r="Z287" s="261"/>
      <c r="AA287" s="250"/>
      <c r="AB287" s="246"/>
      <c r="AC287" s="390"/>
      <c r="AD287" s="246"/>
      <c r="AE287" s="357" t="s">
        <v>425</v>
      </c>
      <c r="AF287" s="246"/>
      <c r="AG287" s="261"/>
      <c r="AH287" s="390"/>
      <c r="AI287" s="246"/>
      <c r="AJ287" s="390"/>
      <c r="AK287" s="246"/>
      <c r="AL287" s="357" t="s">
        <v>425</v>
      </c>
      <c r="AM287" s="246"/>
      <c r="AN287" s="261"/>
      <c r="AO287" s="250"/>
      <c r="AP287" s="246"/>
      <c r="AQ287" s="390"/>
      <c r="AR287" s="246"/>
      <c r="AS287" s="357" t="s">
        <v>425</v>
      </c>
      <c r="AT287" s="254" t="str">
        <f t="shared" si="55"/>
        <v/>
      </c>
      <c r="AU287" s="269"/>
      <c r="AV287" s="269"/>
    </row>
    <row r="288">
      <c r="A288" s="94"/>
      <c r="B288" s="296" t="s">
        <v>650</v>
      </c>
      <c r="C288" s="297" t="s">
        <v>649</v>
      </c>
      <c r="D288" s="323"/>
      <c r="E288" s="261"/>
      <c r="F288" s="300"/>
      <c r="G288" s="298"/>
      <c r="H288" s="300"/>
      <c r="I288" s="298"/>
      <c r="J288" s="300"/>
      <c r="K288" s="298"/>
      <c r="L288" s="261"/>
      <c r="M288" s="250"/>
      <c r="N288" s="298"/>
      <c r="O288" s="300"/>
      <c r="P288" s="298"/>
      <c r="Q288" s="319"/>
      <c r="R288" s="298"/>
      <c r="S288" s="261"/>
      <c r="T288" s="250"/>
      <c r="U288" s="298"/>
      <c r="V288" s="300"/>
      <c r="W288" s="298"/>
      <c r="X288" s="300"/>
      <c r="Y288" s="298"/>
      <c r="Z288" s="261"/>
      <c r="AA288" s="250"/>
      <c r="AB288" s="298"/>
      <c r="AC288" s="300"/>
      <c r="AD288" s="298"/>
      <c r="AE288" s="300"/>
      <c r="AF288" s="298"/>
      <c r="AG288" s="261"/>
      <c r="AH288" s="300"/>
      <c r="AI288" s="298"/>
      <c r="AJ288" s="300"/>
      <c r="AK288" s="298"/>
      <c r="AL288" s="300"/>
      <c r="AM288" s="298"/>
      <c r="AN288" s="261"/>
      <c r="AO288" s="250"/>
      <c r="AP288" s="298"/>
      <c r="AQ288" s="300"/>
      <c r="AR288" s="298"/>
      <c r="AS288" s="300"/>
      <c r="AT288" s="254" t="str">
        <f t="shared" si="55"/>
        <v/>
      </c>
      <c r="AU288" s="269"/>
      <c r="AV288" s="269"/>
    </row>
    <row r="289">
      <c r="A289" s="94"/>
      <c r="B289" s="301" t="s">
        <v>651</v>
      </c>
      <c r="C289" s="391" t="s">
        <v>652</v>
      </c>
      <c r="D289" s="323"/>
      <c r="E289" s="259"/>
      <c r="F289" s="304"/>
      <c r="G289" s="298"/>
      <c r="H289" s="304"/>
      <c r="I289" s="298"/>
      <c r="J289" s="304"/>
      <c r="K289" s="298"/>
      <c r="L289" s="261"/>
      <c r="M289" s="250"/>
      <c r="N289" s="298"/>
      <c r="O289" s="304"/>
      <c r="P289" s="298"/>
      <c r="Q289" s="304"/>
      <c r="R289" s="298"/>
      <c r="S289" s="261"/>
      <c r="T289" s="250"/>
      <c r="U289" s="298"/>
      <c r="V289" s="304"/>
      <c r="W289" s="298"/>
      <c r="X289" s="304"/>
      <c r="Y289" s="298"/>
      <c r="Z289" s="261"/>
      <c r="AA289" s="250"/>
      <c r="AB289" s="298"/>
      <c r="AC289" s="304"/>
      <c r="AD289" s="298"/>
      <c r="AE289" s="304"/>
      <c r="AF289" s="298"/>
      <c r="AG289" s="261"/>
      <c r="AH289" s="304"/>
      <c r="AI289" s="298"/>
      <c r="AJ289" s="304"/>
      <c r="AK289" s="298"/>
      <c r="AL289" s="304"/>
      <c r="AM289" s="298"/>
      <c r="AN289" s="261"/>
      <c r="AO289" s="250"/>
      <c r="AP289" s="298"/>
      <c r="AQ289" s="304"/>
      <c r="AR289" s="298"/>
      <c r="AS289" s="304"/>
      <c r="AT289" s="254" t="str">
        <f t="shared" ref="AT289:AT290" si="56">IF(COUNTIF($AO$80:$AT$82, #REF!) &gt; 0, "X", "")</f>
        <v/>
      </c>
      <c r="AU289" s="269"/>
      <c r="AV289" s="269"/>
    </row>
    <row r="290">
      <c r="A290" s="94"/>
      <c r="B290" s="392" t="s">
        <v>691</v>
      </c>
      <c r="C290" s="393" t="s">
        <v>652</v>
      </c>
      <c r="D290" s="330"/>
      <c r="E290" s="259"/>
      <c r="F290" s="307"/>
      <c r="G290" s="298"/>
      <c r="H290" s="307"/>
      <c r="I290" s="298"/>
      <c r="J290" s="307"/>
      <c r="K290" s="298"/>
      <c r="L290" s="261"/>
      <c r="M290" s="250"/>
      <c r="N290" s="298"/>
      <c r="O290" s="307"/>
      <c r="P290" s="298"/>
      <c r="Q290" s="307"/>
      <c r="R290" s="298"/>
      <c r="S290" s="261"/>
      <c r="T290" s="250"/>
      <c r="U290" s="298"/>
      <c r="V290" s="307"/>
      <c r="W290" s="298"/>
      <c r="X290" s="395" t="s">
        <v>430</v>
      </c>
      <c r="Y290" s="298"/>
      <c r="Z290" s="261"/>
      <c r="AA290" s="250"/>
      <c r="AB290" s="298"/>
      <c r="AC290" s="307"/>
      <c r="AD290" s="298"/>
      <c r="AE290" s="395" t="s">
        <v>430</v>
      </c>
      <c r="AF290" s="298"/>
      <c r="AG290" s="261"/>
      <c r="AH290" s="307"/>
      <c r="AI290" s="298"/>
      <c r="AJ290" s="307"/>
      <c r="AK290" s="298"/>
      <c r="AL290" s="308" t="s">
        <v>445</v>
      </c>
      <c r="AM290" s="298"/>
      <c r="AN290" s="261"/>
      <c r="AO290" s="250"/>
      <c r="AP290" s="298"/>
      <c r="AQ290" s="307"/>
      <c r="AR290" s="298"/>
      <c r="AS290" s="308" t="s">
        <v>445</v>
      </c>
      <c r="AT290" s="254" t="str">
        <f t="shared" si="56"/>
        <v/>
      </c>
      <c r="AU290" s="269"/>
      <c r="AV290" s="269"/>
    </row>
    <row r="291">
      <c r="A291" s="94"/>
      <c r="B291" s="328" t="s">
        <v>692</v>
      </c>
      <c r="C291" s="329" t="s">
        <v>652</v>
      </c>
      <c r="D291" s="369"/>
      <c r="E291" s="259"/>
      <c r="F291" s="371"/>
      <c r="G291" s="246"/>
      <c r="H291" s="371"/>
      <c r="I291" s="246"/>
      <c r="J291" s="371"/>
      <c r="K291" s="246"/>
      <c r="L291" s="261"/>
      <c r="M291" s="250"/>
      <c r="N291" s="246"/>
      <c r="O291" s="371"/>
      <c r="P291" s="246"/>
      <c r="Q291" s="371"/>
      <c r="R291" s="246"/>
      <c r="S291" s="261"/>
      <c r="T291" s="250"/>
      <c r="U291" s="246"/>
      <c r="V291" s="371"/>
      <c r="W291" s="246"/>
      <c r="X291" s="282"/>
      <c r="Y291" s="246"/>
      <c r="Z291" s="261"/>
      <c r="AA291" s="250"/>
      <c r="AB291" s="246"/>
      <c r="AC291" s="282"/>
      <c r="AD291" s="246"/>
      <c r="AE291" s="584"/>
      <c r="AF291" s="246"/>
      <c r="AG291" s="261"/>
      <c r="AH291" s="371"/>
      <c r="AI291" s="246"/>
      <c r="AJ291" s="371"/>
      <c r="AK291" s="246"/>
      <c r="AL291" s="282"/>
      <c r="AM291" s="246"/>
      <c r="AN291" s="261"/>
      <c r="AO291" s="250"/>
      <c r="AP291" s="246"/>
      <c r="AQ291" s="371"/>
      <c r="AR291" s="246"/>
      <c r="AS291" s="282"/>
      <c r="AT291" s="254" t="str">
        <f t="shared" ref="AT291:AT294" si="57">IF(COUNTIF($AO$80:$AT$82, AS292) &gt; 0, "X", "")</f>
        <v/>
      </c>
      <c r="AU291" s="269"/>
      <c r="AV291" s="269"/>
    </row>
    <row r="292">
      <c r="A292" s="94"/>
      <c r="B292" s="397" t="s">
        <v>692</v>
      </c>
      <c r="C292" s="398" t="s">
        <v>687</v>
      </c>
      <c r="D292" s="404"/>
      <c r="E292" s="259"/>
      <c r="F292" s="399"/>
      <c r="G292" s="246"/>
      <c r="H292" s="399"/>
      <c r="I292" s="246"/>
      <c r="J292" s="399"/>
      <c r="K292" s="246"/>
      <c r="L292" s="261"/>
      <c r="M292" s="250"/>
      <c r="N292" s="246"/>
      <c r="O292" s="399"/>
      <c r="P292" s="246"/>
      <c r="Q292" s="371"/>
      <c r="R292" s="246"/>
      <c r="S292" s="261"/>
      <c r="T292" s="250"/>
      <c r="U292" s="246"/>
      <c r="V292" s="399"/>
      <c r="W292" s="246"/>
      <c r="X292" s="399"/>
      <c r="Y292" s="246"/>
      <c r="Z292" s="261"/>
      <c r="AA292" s="250"/>
      <c r="AB292" s="246"/>
      <c r="AC292" s="282"/>
      <c r="AD292" s="246"/>
      <c r="AF292" s="246"/>
      <c r="AG292" s="261"/>
      <c r="AH292" s="399"/>
      <c r="AI292" s="246"/>
      <c r="AJ292" s="399"/>
      <c r="AK292" s="246"/>
      <c r="AL292" s="399"/>
      <c r="AM292" s="246"/>
      <c r="AN292" s="261"/>
      <c r="AO292" s="250"/>
      <c r="AP292" s="246"/>
      <c r="AQ292" s="399"/>
      <c r="AR292" s="246"/>
      <c r="AS292" s="399"/>
      <c r="AT292" s="254" t="str">
        <f t="shared" si="57"/>
        <v/>
      </c>
      <c r="AU292" s="269"/>
      <c r="AV292" s="269"/>
    </row>
    <row r="293">
      <c r="A293" s="270"/>
      <c r="B293" s="402" t="s">
        <v>699</v>
      </c>
      <c r="C293" s="403" t="s">
        <v>649</v>
      </c>
      <c r="D293" s="330"/>
      <c r="E293" s="259"/>
      <c r="F293" s="294"/>
      <c r="G293" s="246"/>
      <c r="H293" s="294"/>
      <c r="I293" s="246"/>
      <c r="J293" s="294"/>
      <c r="K293" s="246"/>
      <c r="L293" s="261"/>
      <c r="M293" s="250"/>
      <c r="N293" s="246"/>
      <c r="O293" s="294"/>
      <c r="P293" s="246"/>
      <c r="Q293" s="293" t="s">
        <v>416</v>
      </c>
      <c r="R293" s="246"/>
      <c r="S293" s="261"/>
      <c r="T293" s="250"/>
      <c r="U293" s="246"/>
      <c r="V293" s="294"/>
      <c r="W293" s="246"/>
      <c r="X293" s="294"/>
      <c r="Y293" s="246"/>
      <c r="Z293" s="261"/>
      <c r="AA293" s="250"/>
      <c r="AB293" s="246"/>
      <c r="AC293" s="294"/>
      <c r="AD293" s="246"/>
      <c r="AE293" s="293" t="s">
        <v>416</v>
      </c>
      <c r="AF293" s="246"/>
      <c r="AG293" s="261"/>
      <c r="AH293" s="294"/>
      <c r="AI293" s="246"/>
      <c r="AJ293" s="294"/>
      <c r="AK293" s="246"/>
      <c r="AL293" s="294"/>
      <c r="AM293" s="246"/>
      <c r="AN293" s="261"/>
      <c r="AO293" s="250"/>
      <c r="AP293" s="246"/>
      <c r="AQ293" s="294"/>
      <c r="AR293" s="246"/>
      <c r="AS293" s="294"/>
      <c r="AT293" s="254" t="str">
        <f t="shared" si="57"/>
        <v/>
      </c>
      <c r="AU293" s="269"/>
      <c r="AV293" s="269"/>
    </row>
    <row r="294">
      <c r="A294" s="94"/>
      <c r="B294" s="328" t="s">
        <v>700</v>
      </c>
      <c r="C294" s="329" t="s">
        <v>657</v>
      </c>
      <c r="D294" s="330"/>
      <c r="E294" s="259"/>
      <c r="F294" s="371"/>
      <c r="G294" s="246"/>
      <c r="H294" s="282"/>
      <c r="I294" s="246"/>
      <c r="J294" s="371"/>
      <c r="K294" s="246"/>
      <c r="L294" s="261"/>
      <c r="M294" s="250"/>
      <c r="N294" s="246"/>
      <c r="O294" s="371"/>
      <c r="P294" s="246"/>
      <c r="Q294" s="274" t="s">
        <v>437</v>
      </c>
      <c r="R294" s="246"/>
      <c r="S294" s="261"/>
      <c r="T294" s="250"/>
      <c r="U294" s="246"/>
      <c r="V294" s="371"/>
      <c r="W294" s="246"/>
      <c r="X294" s="371"/>
      <c r="Y294" s="246"/>
      <c r="Z294" s="261"/>
      <c r="AA294" s="250"/>
      <c r="AB294" s="246"/>
      <c r="AC294" s="371"/>
      <c r="AD294" s="246"/>
      <c r="AE294" s="274" t="s">
        <v>437</v>
      </c>
      <c r="AF294" s="246"/>
      <c r="AG294" s="261"/>
      <c r="AH294" s="371"/>
      <c r="AI294" s="246"/>
      <c r="AJ294" s="371"/>
      <c r="AK294" s="246"/>
      <c r="AL294" s="371"/>
      <c r="AM294" s="246"/>
      <c r="AN294" s="261"/>
      <c r="AO294" s="250"/>
      <c r="AP294" s="246"/>
      <c r="AQ294" s="282"/>
      <c r="AR294" s="246"/>
      <c r="AS294" s="371"/>
      <c r="AT294" s="254" t="str">
        <f t="shared" si="57"/>
        <v/>
      </c>
      <c r="AU294" s="269"/>
      <c r="AV294" s="269"/>
    </row>
    <row r="295">
      <c r="A295" s="94"/>
      <c r="B295" s="328" t="s">
        <v>700</v>
      </c>
      <c r="C295" s="329" t="s">
        <v>657</v>
      </c>
      <c r="D295" s="330"/>
      <c r="E295" s="259"/>
      <c r="F295" s="264"/>
      <c r="G295" s="246"/>
      <c r="H295" s="265"/>
      <c r="I295" s="246"/>
      <c r="J295" s="371"/>
      <c r="K295" s="246"/>
      <c r="L295" s="261"/>
      <c r="M295" s="262"/>
      <c r="N295" s="246"/>
      <c r="P295" s="246"/>
      <c r="Q295" s="405" t="s">
        <v>462</v>
      </c>
      <c r="R295" s="246"/>
      <c r="S295" s="261"/>
      <c r="T295" s="262"/>
      <c r="U295" s="246"/>
      <c r="V295" s="264"/>
      <c r="W295" s="246"/>
      <c r="Y295" s="246"/>
      <c r="Z295" s="261"/>
      <c r="AA295" s="262"/>
      <c r="AB295" s="246"/>
      <c r="AC295" s="264"/>
      <c r="AD295" s="246"/>
      <c r="AE295" s="405" t="s">
        <v>462</v>
      </c>
      <c r="AF295" s="246"/>
      <c r="AG295" s="261"/>
      <c r="AH295" s="264"/>
      <c r="AI295" s="246"/>
      <c r="AJ295" s="264"/>
      <c r="AK295" s="246"/>
      <c r="AM295" s="246"/>
      <c r="AN295" s="261"/>
      <c r="AO295" s="262"/>
      <c r="AP295" s="246"/>
      <c r="AR295" s="246"/>
      <c r="AS295" s="264"/>
      <c r="AT295" s="254" t="str">
        <f>IF(COUNTIF($AO$80:$AT$82, #REF!) &gt; 0, "X", "")</f>
        <v/>
      </c>
      <c r="AU295" s="269"/>
      <c r="AV295" s="269"/>
    </row>
    <row r="296">
      <c r="A296" s="94"/>
      <c r="B296" s="328" t="s">
        <v>700</v>
      </c>
      <c r="C296" s="329" t="s">
        <v>657</v>
      </c>
      <c r="D296" s="351"/>
      <c r="E296" s="259"/>
      <c r="F296" s="282"/>
      <c r="G296" s="246"/>
      <c r="H296" s="282"/>
      <c r="I296" s="246"/>
      <c r="K296" s="246"/>
      <c r="L296" s="261"/>
      <c r="M296" s="250"/>
      <c r="N296" s="246"/>
      <c r="P296" s="246"/>
      <c r="Q296" s="282"/>
      <c r="R296" s="246"/>
      <c r="S296" s="261"/>
      <c r="T296" s="250"/>
      <c r="U296" s="246"/>
      <c r="V296" s="766"/>
      <c r="W296" s="246"/>
      <c r="Y296" s="246"/>
      <c r="Z296" s="261"/>
      <c r="AA296" s="250"/>
      <c r="AB296" s="246"/>
      <c r="AC296" s="766"/>
      <c r="AD296" s="246"/>
      <c r="AE296" s="282"/>
      <c r="AF296" s="246"/>
      <c r="AG296" s="261"/>
      <c r="AH296" s="766"/>
      <c r="AI296" s="246"/>
      <c r="AJ296" s="282"/>
      <c r="AK296" s="246"/>
      <c r="AM296" s="246"/>
      <c r="AN296" s="261"/>
      <c r="AO296" s="250"/>
      <c r="AP296" s="246"/>
      <c r="AQ296" s="371"/>
      <c r="AR296" s="246"/>
      <c r="AS296" s="282"/>
      <c r="AT296" s="254" t="str">
        <f t="shared" ref="AT296:AT297" si="58">IF(COUNTIF($AO$80:$AT$82, AS297) &gt; 0, "X", "")</f>
        <v/>
      </c>
      <c r="AU296" s="269"/>
      <c r="AV296" s="269"/>
    </row>
    <row r="297">
      <c r="A297" s="94"/>
      <c r="B297" s="408" t="s">
        <v>702</v>
      </c>
      <c r="C297" s="409" t="s">
        <v>652</v>
      </c>
      <c r="D297" s="323"/>
      <c r="E297" s="259"/>
      <c r="F297" s="411"/>
      <c r="G297" s="246"/>
      <c r="H297" s="411"/>
      <c r="I297" s="246"/>
      <c r="J297" s="411"/>
      <c r="K297" s="246"/>
      <c r="L297" s="261"/>
      <c r="M297" s="262"/>
      <c r="N297" s="246"/>
      <c r="O297" s="411"/>
      <c r="P297" s="246"/>
      <c r="Q297" s="411"/>
      <c r="R297" s="246"/>
      <c r="S297" s="261"/>
      <c r="T297" s="262"/>
      <c r="U297" s="246"/>
      <c r="V297" s="411"/>
      <c r="W297" s="246"/>
      <c r="X297" s="411"/>
      <c r="Y297" s="246"/>
      <c r="Z297" s="261"/>
      <c r="AA297" s="262"/>
      <c r="AB297" s="246"/>
      <c r="AC297" s="411"/>
      <c r="AD297" s="246"/>
      <c r="AE297" s="411"/>
      <c r="AF297" s="246"/>
      <c r="AG297" s="261"/>
      <c r="AH297" s="411"/>
      <c r="AI297" s="246"/>
      <c r="AJ297" s="411"/>
      <c r="AK297" s="246"/>
      <c r="AL297" s="411"/>
      <c r="AM297" s="246"/>
      <c r="AN297" s="261"/>
      <c r="AO297" s="262"/>
      <c r="AP297" s="246"/>
      <c r="AQ297" s="411"/>
      <c r="AR297" s="246"/>
      <c r="AS297" s="411"/>
      <c r="AT297" s="254" t="str">
        <f t="shared" si="58"/>
        <v/>
      </c>
      <c r="AU297" s="269"/>
      <c r="AV297" s="269"/>
    </row>
    <row r="298">
      <c r="A298" s="234"/>
      <c r="B298" s="401" t="s">
        <v>703</v>
      </c>
      <c r="C298" s="412" t="s">
        <v>704</v>
      </c>
      <c r="D298" s="330"/>
      <c r="E298" s="259"/>
      <c r="F298" s="413"/>
      <c r="G298" s="246"/>
      <c r="H298" s="413"/>
      <c r="I298" s="246"/>
      <c r="J298" s="413"/>
      <c r="K298" s="246"/>
      <c r="L298" s="261"/>
      <c r="M298" s="262"/>
      <c r="N298" s="246"/>
      <c r="O298" s="413"/>
      <c r="P298" s="246"/>
      <c r="Q298" s="413"/>
      <c r="R298" s="246"/>
      <c r="S298" s="261"/>
      <c r="T298" s="262"/>
      <c r="U298" s="246"/>
      <c r="V298" s="413"/>
      <c r="W298" s="246"/>
      <c r="X298" s="413"/>
      <c r="Y298" s="246"/>
      <c r="Z298" s="261"/>
      <c r="AA298" s="262"/>
      <c r="AB298" s="246"/>
      <c r="AC298" s="413"/>
      <c r="AD298" s="246"/>
      <c r="AE298" s="413"/>
      <c r="AF298" s="246"/>
      <c r="AG298" s="261"/>
      <c r="AH298" s="413"/>
      <c r="AI298" s="246"/>
      <c r="AJ298" s="413"/>
      <c r="AK298" s="246"/>
      <c r="AL298" s="413"/>
      <c r="AM298" s="246"/>
      <c r="AN298" s="261"/>
      <c r="AO298" s="262"/>
      <c r="AP298" s="246"/>
      <c r="AQ298" s="413"/>
      <c r="AR298" s="246"/>
      <c r="AS298" s="413"/>
      <c r="AT298" s="254" t="str">
        <f t="shared" ref="AT298:AT300" si="59">IF(COUNTIF($AO$80:$AT$82, #REF!) &gt; 0, "X", "")</f>
        <v/>
      </c>
      <c r="AU298" s="269"/>
      <c r="AV298" s="269"/>
    </row>
    <row r="299">
      <c r="A299" s="234"/>
      <c r="B299" s="414" t="s">
        <v>705</v>
      </c>
      <c r="C299" s="415" t="s">
        <v>704</v>
      </c>
      <c r="D299" s="330"/>
      <c r="E299" s="259"/>
      <c r="F299" s="586" t="s">
        <v>452</v>
      </c>
      <c r="G299" s="246"/>
      <c r="H299" s="311" t="s">
        <v>438</v>
      </c>
      <c r="I299" s="246"/>
      <c r="J299" s="311" t="s">
        <v>410</v>
      </c>
      <c r="K299" s="246"/>
      <c r="L299" s="261"/>
      <c r="M299" s="341"/>
      <c r="N299" s="246"/>
      <c r="O299" s="311" t="s">
        <v>438</v>
      </c>
      <c r="P299" s="246"/>
      <c r="Q299" s="311" t="s">
        <v>410</v>
      </c>
      <c r="R299" s="246"/>
      <c r="S299" s="261"/>
      <c r="T299" s="341"/>
      <c r="U299" s="246"/>
      <c r="V299" s="311" t="s">
        <v>438</v>
      </c>
      <c r="W299" s="246"/>
      <c r="X299" s="311" t="s">
        <v>410</v>
      </c>
      <c r="Y299" s="246"/>
      <c r="Z299" s="261"/>
      <c r="AA299" s="262"/>
      <c r="AB299" s="246"/>
      <c r="AD299" s="246"/>
      <c r="AE299" s="311" t="s">
        <v>467</v>
      </c>
      <c r="AF299" s="246"/>
      <c r="AG299" s="261"/>
      <c r="AH299" s="311" t="s">
        <v>470</v>
      </c>
      <c r="AI299" s="246"/>
      <c r="AJ299" s="274" t="s">
        <v>406</v>
      </c>
      <c r="AK299" s="246"/>
      <c r="AL299" s="311" t="s">
        <v>394</v>
      </c>
      <c r="AM299" s="246"/>
      <c r="AN299" s="261"/>
      <c r="AO299" s="341"/>
      <c r="AP299" s="246"/>
      <c r="AQ299" s="251" t="s">
        <v>407</v>
      </c>
      <c r="AR299" s="246"/>
      <c r="AS299" s="374" t="s">
        <v>410</v>
      </c>
      <c r="AT299" s="254" t="str">
        <f t="shared" si="59"/>
        <v/>
      </c>
      <c r="AU299" s="269"/>
      <c r="AV299" s="269"/>
    </row>
    <row r="300">
      <c r="A300" s="94"/>
      <c r="B300" s="328" t="s">
        <v>705</v>
      </c>
      <c r="C300" s="257" t="s">
        <v>657</v>
      </c>
      <c r="D300" s="330"/>
      <c r="E300" s="259"/>
      <c r="G300" s="246"/>
      <c r="H300" s="364" t="s">
        <v>836</v>
      </c>
      <c r="I300" s="246"/>
      <c r="J300" s="339" t="s">
        <v>1033</v>
      </c>
      <c r="K300" s="246"/>
      <c r="L300" s="261"/>
      <c r="M300" s="341"/>
      <c r="N300" s="246"/>
      <c r="O300" s="364" t="s">
        <v>836</v>
      </c>
      <c r="P300" s="246"/>
      <c r="Q300" s="339" t="s">
        <v>1033</v>
      </c>
      <c r="R300" s="246"/>
      <c r="S300" s="261"/>
      <c r="T300" s="341"/>
      <c r="U300" s="246"/>
      <c r="V300" s="364" t="s">
        <v>836</v>
      </c>
      <c r="W300" s="246"/>
      <c r="X300" s="339" t="s">
        <v>1033</v>
      </c>
      <c r="Y300" s="246"/>
      <c r="Z300" s="261"/>
      <c r="AA300" s="341"/>
      <c r="AB300" s="246"/>
      <c r="AC300" s="251" t="s">
        <v>440</v>
      </c>
      <c r="AD300" s="246"/>
      <c r="AE300" s="339" t="s">
        <v>1033</v>
      </c>
      <c r="AF300" s="246"/>
      <c r="AG300" s="261"/>
      <c r="AH300" s="311" t="s">
        <v>467</v>
      </c>
      <c r="AI300" s="246"/>
      <c r="AJ300" s="339" t="s">
        <v>404</v>
      </c>
      <c r="AK300" s="246"/>
      <c r="AL300" s="586" t="s">
        <v>452</v>
      </c>
      <c r="AM300" s="246"/>
      <c r="AN300" s="261"/>
      <c r="AO300" s="341"/>
      <c r="AP300" s="246"/>
      <c r="AQ300" s="339" t="s">
        <v>404</v>
      </c>
      <c r="AR300" s="246"/>
      <c r="AS300" s="586" t="s">
        <v>452</v>
      </c>
      <c r="AT300" s="254" t="str">
        <f t="shared" si="59"/>
        <v/>
      </c>
      <c r="AU300" s="269"/>
      <c r="AV300" s="269"/>
    </row>
    <row r="301">
      <c r="A301" s="94"/>
      <c r="B301" s="277" t="s">
        <v>705</v>
      </c>
      <c r="C301" s="329" t="s">
        <v>685</v>
      </c>
      <c r="D301" s="369"/>
      <c r="E301" s="259"/>
      <c r="F301" s="311" t="s">
        <v>470</v>
      </c>
      <c r="G301" s="246"/>
      <c r="H301" s="251" t="s">
        <v>440</v>
      </c>
      <c r="I301" s="246"/>
      <c r="J301" s="311" t="s">
        <v>467</v>
      </c>
      <c r="K301" s="246"/>
      <c r="L301" s="261"/>
      <c r="M301" s="341"/>
      <c r="N301" s="246"/>
      <c r="O301" s="251" t="s">
        <v>440</v>
      </c>
      <c r="P301" s="246"/>
      <c r="Q301" s="311" t="s">
        <v>470</v>
      </c>
      <c r="R301" s="246"/>
      <c r="S301" s="261"/>
      <c r="T301" s="341"/>
      <c r="U301" s="246"/>
      <c r="V301" s="274" t="s">
        <v>406</v>
      </c>
      <c r="W301" s="246"/>
      <c r="X301" s="534" t="s">
        <v>798</v>
      </c>
      <c r="Y301" s="246"/>
      <c r="Z301" s="261"/>
      <c r="AA301" s="341"/>
      <c r="AB301" s="246"/>
      <c r="AC301" s="251" t="s">
        <v>407</v>
      </c>
      <c r="AD301" s="246"/>
      <c r="AE301" s="311" t="s">
        <v>470</v>
      </c>
      <c r="AF301" s="246"/>
      <c r="AG301" s="261"/>
      <c r="AI301" s="246"/>
      <c r="AJ301" s="251" t="s">
        <v>440</v>
      </c>
      <c r="AK301" s="246"/>
      <c r="AL301" s="251" t="s">
        <v>405</v>
      </c>
      <c r="AM301" s="246"/>
      <c r="AN301" s="261"/>
      <c r="AO301" s="341"/>
      <c r="AP301" s="246"/>
      <c r="AQ301" s="251" t="s">
        <v>440</v>
      </c>
      <c r="AR301" s="246"/>
      <c r="AS301" s="311" t="s">
        <v>470</v>
      </c>
      <c r="AT301" s="254" t="str">
        <f>IF(COUNTIF($AO$80:$AT$82, AO301) &gt; 0, "X", "")</f>
        <v/>
      </c>
      <c r="AU301" s="269"/>
      <c r="AV301" s="269"/>
    </row>
    <row r="302">
      <c r="A302" s="94"/>
      <c r="B302" s="271" t="s">
        <v>705</v>
      </c>
      <c r="C302" s="272" t="s">
        <v>687</v>
      </c>
      <c r="D302" s="330"/>
      <c r="E302" s="259"/>
      <c r="G302" s="246"/>
      <c r="H302" s="339" t="s">
        <v>472</v>
      </c>
      <c r="I302" s="246"/>
      <c r="K302" s="246"/>
      <c r="L302" s="261"/>
      <c r="M302" s="341"/>
      <c r="N302" s="246"/>
      <c r="O302" s="339" t="s">
        <v>472</v>
      </c>
      <c r="P302" s="246"/>
      <c r="Q302" s="282"/>
      <c r="R302" s="246"/>
      <c r="S302" s="261"/>
      <c r="T302" s="341"/>
      <c r="U302" s="246"/>
      <c r="V302" s="339" t="s">
        <v>472</v>
      </c>
      <c r="W302" s="246"/>
      <c r="Y302" s="246"/>
      <c r="Z302" s="261"/>
      <c r="AA302" s="341"/>
      <c r="AB302" s="246"/>
      <c r="AC302" s="339" t="s">
        <v>472</v>
      </c>
      <c r="AD302" s="246"/>
      <c r="AF302" s="246"/>
      <c r="AG302" s="261"/>
      <c r="AI302" s="246"/>
      <c r="AK302" s="246"/>
      <c r="AL302" s="339" t="s">
        <v>472</v>
      </c>
      <c r="AM302" s="246"/>
      <c r="AN302" s="261"/>
      <c r="AO302" s="341"/>
      <c r="AP302" s="246"/>
      <c r="AR302" s="246"/>
      <c r="AT302" s="254" t="str">
        <f t="shared" ref="AT302:AT303" si="60">IF(COUNTIF($AO$80:$AT$82, #REF!) &gt; 0, "X", "")</f>
        <v/>
      </c>
      <c r="AU302" s="269"/>
      <c r="AV302" s="269"/>
    </row>
    <row r="303">
      <c r="A303" s="270"/>
      <c r="B303" s="397" t="s">
        <v>708</v>
      </c>
      <c r="C303" s="398" t="s">
        <v>654</v>
      </c>
      <c r="D303" s="330"/>
      <c r="E303" s="259"/>
      <c r="F303" s="275"/>
      <c r="G303" s="246"/>
      <c r="H303" s="311" t="s">
        <v>441</v>
      </c>
      <c r="I303" s="246"/>
      <c r="K303" s="246"/>
      <c r="L303" s="261"/>
      <c r="M303" s="341"/>
      <c r="N303" s="246"/>
      <c r="O303" s="365" t="s">
        <v>469</v>
      </c>
      <c r="P303" s="246"/>
      <c r="Q303" s="311" t="s">
        <v>441</v>
      </c>
      <c r="R303" s="246"/>
      <c r="S303" s="261"/>
      <c r="T303" s="341"/>
      <c r="U303" s="246"/>
      <c r="V303" s="365" t="s">
        <v>469</v>
      </c>
      <c r="W303" s="246"/>
      <c r="X303" s="311" t="s">
        <v>441</v>
      </c>
      <c r="Y303" s="246"/>
      <c r="Z303" s="261"/>
      <c r="AA303" s="341"/>
      <c r="AB303" s="246"/>
      <c r="AD303" s="246"/>
      <c r="AE303" s="311" t="s">
        <v>441</v>
      </c>
      <c r="AF303" s="246"/>
      <c r="AG303" s="261"/>
      <c r="AH303" s="275"/>
      <c r="AI303" s="246"/>
      <c r="AJ303" s="365" t="s">
        <v>469</v>
      </c>
      <c r="AK303" s="246"/>
      <c r="AL303" s="311" t="s">
        <v>441</v>
      </c>
      <c r="AM303" s="246"/>
      <c r="AN303" s="261"/>
      <c r="AO303" s="341"/>
      <c r="AP303" s="246"/>
      <c r="AQ303" s="365" t="s">
        <v>469</v>
      </c>
      <c r="AR303" s="246"/>
      <c r="AS303" s="325" t="s">
        <v>842</v>
      </c>
      <c r="AT303" s="254" t="str">
        <f t="shared" si="60"/>
        <v/>
      </c>
      <c r="AU303" s="269"/>
      <c r="AV303" s="269"/>
    </row>
    <row r="304">
      <c r="A304" s="94"/>
      <c r="B304" s="277" t="s">
        <v>709</v>
      </c>
      <c r="C304" s="278" t="s">
        <v>710</v>
      </c>
      <c r="D304" s="323"/>
      <c r="E304" s="259"/>
      <c r="F304" s="281"/>
      <c r="G304" s="246"/>
      <c r="H304" s="282"/>
      <c r="I304" s="246"/>
      <c r="J304" s="281"/>
      <c r="K304" s="246"/>
      <c r="L304" s="261"/>
      <c r="M304" s="286"/>
      <c r="N304" s="246"/>
      <c r="O304" s="281"/>
      <c r="P304" s="246"/>
      <c r="Q304" s="282"/>
      <c r="R304" s="246"/>
      <c r="S304" s="261"/>
      <c r="T304" s="286"/>
      <c r="U304" s="246"/>
      <c r="V304" s="282"/>
      <c r="W304" s="246"/>
      <c r="X304" s="282"/>
      <c r="Y304" s="246"/>
      <c r="Z304" s="261"/>
      <c r="AA304" s="286"/>
      <c r="AB304" s="246"/>
      <c r="AC304" s="282"/>
      <c r="AD304" s="246"/>
      <c r="AE304" s="325" t="s">
        <v>842</v>
      </c>
      <c r="AF304" s="246"/>
      <c r="AG304" s="261"/>
      <c r="AH304" s="281"/>
      <c r="AI304" s="246"/>
      <c r="AJ304" s="281"/>
      <c r="AK304" s="246"/>
      <c r="AL304" s="282"/>
      <c r="AM304" s="246"/>
      <c r="AN304" s="261"/>
      <c r="AO304" s="286"/>
      <c r="AP304" s="246"/>
      <c r="AQ304" s="281"/>
      <c r="AR304" s="246"/>
      <c r="AT304" s="254" t="str">
        <f>IF(COUNTIF($AO$80:$AT$82, AS305) &gt; 0, "X", "")</f>
        <v/>
      </c>
      <c r="AU304" s="269"/>
      <c r="AV304" s="269"/>
    </row>
    <row r="305">
      <c r="A305" s="94"/>
      <c r="B305" s="673" t="s">
        <v>944</v>
      </c>
      <c r="C305" s="272" t="s">
        <v>639</v>
      </c>
      <c r="D305" s="431"/>
      <c r="E305" s="259"/>
      <c r="F305" s="282"/>
      <c r="G305" s="246"/>
      <c r="H305" s="251" t="s">
        <v>432</v>
      </c>
      <c r="I305" s="246"/>
      <c r="J305" s="325" t="s">
        <v>842</v>
      </c>
      <c r="K305" s="246"/>
      <c r="L305" s="261"/>
      <c r="M305" s="341"/>
      <c r="N305" s="246"/>
      <c r="O305" s="290" t="s">
        <v>432</v>
      </c>
      <c r="P305" s="246"/>
      <c r="Q305" s="325" t="s">
        <v>842</v>
      </c>
      <c r="R305" s="246"/>
      <c r="S305" s="261"/>
      <c r="T305" s="341"/>
      <c r="U305" s="246"/>
      <c r="V305" s="290" t="s">
        <v>432</v>
      </c>
      <c r="W305" s="246"/>
      <c r="X305" s="282"/>
      <c r="Y305" s="246"/>
      <c r="Z305" s="261"/>
      <c r="AA305" s="341"/>
      <c r="AB305" s="246"/>
      <c r="AC305" s="290" t="s">
        <v>432</v>
      </c>
      <c r="AD305" s="246"/>
      <c r="AE305" s="282"/>
      <c r="AF305" s="246"/>
      <c r="AG305" s="261"/>
      <c r="AH305" s="282"/>
      <c r="AI305" s="246"/>
      <c r="AJ305" s="290" t="s">
        <v>432</v>
      </c>
      <c r="AK305" s="246"/>
      <c r="AL305" s="282"/>
      <c r="AM305" s="246"/>
      <c r="AN305" s="261"/>
      <c r="AO305" s="341"/>
      <c r="AP305" s="246"/>
      <c r="AR305" s="246"/>
      <c r="AS305" s="282"/>
      <c r="AT305" s="430"/>
      <c r="AU305" s="269"/>
      <c r="AV305" s="269"/>
    </row>
    <row r="306">
      <c r="A306" s="94"/>
      <c r="B306" s="429" t="s">
        <v>714</v>
      </c>
      <c r="C306" s="430"/>
      <c r="D306" s="323"/>
      <c r="E306" s="259"/>
      <c r="F306" s="432"/>
      <c r="G306" s="432"/>
      <c r="H306" s="432"/>
      <c r="I306" s="432"/>
      <c r="J306" s="432"/>
      <c r="K306" s="432"/>
      <c r="L306" s="261"/>
      <c r="M306" s="432"/>
      <c r="N306" s="433"/>
      <c r="O306" s="432"/>
      <c r="P306" s="432"/>
      <c r="Q306" s="432"/>
      <c r="R306" s="432"/>
      <c r="S306" s="261"/>
      <c r="T306" s="432"/>
      <c r="U306" s="433"/>
      <c r="V306" s="432"/>
      <c r="W306" s="432"/>
      <c r="X306" s="432"/>
      <c r="Y306" s="432"/>
      <c r="Z306" s="261"/>
      <c r="AA306" s="432"/>
      <c r="AB306" s="433"/>
      <c r="AC306" s="432"/>
      <c r="AD306" s="432"/>
      <c r="AE306" s="432"/>
      <c r="AF306" s="432"/>
      <c r="AG306" s="261"/>
      <c r="AH306" s="432"/>
      <c r="AI306" s="433"/>
      <c r="AJ306" s="432"/>
      <c r="AK306" s="432"/>
      <c r="AL306" s="432"/>
      <c r="AM306" s="432"/>
      <c r="AN306" s="261"/>
      <c r="AO306" s="432"/>
      <c r="AP306" s="433"/>
      <c r="AQ306" s="432"/>
      <c r="AR306" s="432"/>
      <c r="AS306" s="432"/>
      <c r="AT306" s="254" t="str">
        <f t="shared" ref="AT306:AT311" si="61">IF(COUNTIF($AO$80:$AT$82, AS307) &gt; 0, "X", "")</f>
        <v/>
      </c>
      <c r="AU306" s="269"/>
      <c r="AV306" s="269"/>
    </row>
    <row r="307">
      <c r="A307" s="94"/>
      <c r="B307" s="401" t="s">
        <v>715</v>
      </c>
      <c r="C307" s="412" t="s">
        <v>716</v>
      </c>
      <c r="D307" s="323"/>
      <c r="E307" s="259"/>
      <c r="F307" s="434" t="s">
        <v>465</v>
      </c>
      <c r="G307" s="246"/>
      <c r="H307" s="434" t="s">
        <v>403</v>
      </c>
      <c r="I307" s="246"/>
      <c r="J307" s="434"/>
      <c r="K307" s="246"/>
      <c r="L307" s="261"/>
      <c r="M307" s="434" t="s">
        <v>465</v>
      </c>
      <c r="N307" s="246"/>
      <c r="O307" s="434" t="s">
        <v>403</v>
      </c>
      <c r="P307" s="246"/>
      <c r="Q307" s="434"/>
      <c r="R307" s="246"/>
      <c r="S307" s="261"/>
      <c r="T307" s="434"/>
      <c r="U307" s="246"/>
      <c r="V307" s="434" t="s">
        <v>403</v>
      </c>
      <c r="W307" s="246"/>
      <c r="X307" s="434"/>
      <c r="Y307" s="246"/>
      <c r="Z307" s="261"/>
      <c r="AA307" s="434" t="s">
        <v>465</v>
      </c>
      <c r="AB307" s="246"/>
      <c r="AC307" s="434" t="s">
        <v>403</v>
      </c>
      <c r="AD307" s="246"/>
      <c r="AE307" s="434"/>
      <c r="AF307" s="246"/>
      <c r="AG307" s="261"/>
      <c r="AH307" s="434" t="s">
        <v>465</v>
      </c>
      <c r="AI307" s="246"/>
      <c r="AJ307" s="434" t="s">
        <v>403</v>
      </c>
      <c r="AK307" s="246"/>
      <c r="AL307" s="434"/>
      <c r="AM307" s="246"/>
      <c r="AN307" s="261"/>
      <c r="AO307" s="434"/>
      <c r="AP307" s="246"/>
      <c r="AQ307" s="434" t="s">
        <v>465</v>
      </c>
      <c r="AR307" s="246"/>
      <c r="AS307" s="434"/>
      <c r="AT307" s="254" t="str">
        <f t="shared" si="61"/>
        <v/>
      </c>
      <c r="AU307" s="269"/>
      <c r="AV307" s="269"/>
    </row>
    <row r="308">
      <c r="A308" s="94"/>
      <c r="B308" s="435" t="s">
        <v>717</v>
      </c>
      <c r="C308" s="415" t="s">
        <v>718</v>
      </c>
      <c r="D308" s="363"/>
      <c r="E308" s="259"/>
      <c r="F308" s="434"/>
      <c r="G308" s="246"/>
      <c r="H308" s="406" t="s">
        <v>460</v>
      </c>
      <c r="I308" s="246"/>
      <c r="J308" s="434"/>
      <c r="K308" s="246"/>
      <c r="L308" s="261"/>
      <c r="M308" s="434"/>
      <c r="N308" s="246"/>
      <c r="O308" s="406" t="s">
        <v>463</v>
      </c>
      <c r="P308" s="246"/>
      <c r="Q308" s="434"/>
      <c r="R308" s="246"/>
      <c r="S308" s="261"/>
      <c r="T308" s="434"/>
      <c r="U308" s="246"/>
      <c r="V308" s="406" t="s">
        <v>463</v>
      </c>
      <c r="W308" s="246"/>
      <c r="X308" s="434"/>
      <c r="Y308" s="246"/>
      <c r="Z308" s="261"/>
      <c r="AA308" s="434"/>
      <c r="AB308" s="246"/>
      <c r="AC308" s="406" t="s">
        <v>463</v>
      </c>
      <c r="AD308" s="246"/>
      <c r="AE308" s="434"/>
      <c r="AF308" s="246"/>
      <c r="AG308" s="261"/>
      <c r="AH308" s="434"/>
      <c r="AI308" s="246"/>
      <c r="AJ308" s="406" t="s">
        <v>463</v>
      </c>
      <c r="AK308" s="246"/>
      <c r="AL308" s="434"/>
      <c r="AM308" s="246"/>
      <c r="AN308" s="261"/>
      <c r="AO308" s="434"/>
      <c r="AP308" s="246"/>
      <c r="AQ308" s="406" t="s">
        <v>463</v>
      </c>
      <c r="AR308" s="246"/>
      <c r="AS308" s="434"/>
      <c r="AT308" s="254" t="str">
        <f t="shared" si="61"/>
        <v/>
      </c>
      <c r="AU308" s="269"/>
      <c r="AV308" s="269"/>
    </row>
    <row r="309">
      <c r="A309" s="94"/>
      <c r="B309" s="436" t="s">
        <v>719</v>
      </c>
      <c r="C309" s="437" t="s">
        <v>720</v>
      </c>
      <c r="D309" s="330"/>
      <c r="E309" s="259"/>
      <c r="F309" s="406"/>
      <c r="G309" s="246"/>
      <c r="H309" s="406" t="s">
        <v>970</v>
      </c>
      <c r="I309" s="246"/>
      <c r="J309" s="406"/>
      <c r="K309" s="246"/>
      <c r="L309" s="261"/>
      <c r="M309" s="406"/>
      <c r="N309" s="246"/>
      <c r="O309" s="406" t="s">
        <v>957</v>
      </c>
      <c r="P309" s="246"/>
      <c r="Q309" s="406" t="s">
        <v>1066</v>
      </c>
      <c r="R309" s="246"/>
      <c r="S309" s="261"/>
      <c r="T309" s="406"/>
      <c r="U309" s="246"/>
      <c r="V309" s="406" t="s">
        <v>957</v>
      </c>
      <c r="W309" s="246"/>
      <c r="X309" s="406" t="s">
        <v>1066</v>
      </c>
      <c r="Y309" s="246"/>
      <c r="Z309" s="261"/>
      <c r="AA309" s="406"/>
      <c r="AB309" s="246"/>
      <c r="AC309" s="406" t="s">
        <v>946</v>
      </c>
      <c r="AD309" s="246"/>
      <c r="AE309" s="406"/>
      <c r="AF309" s="246"/>
      <c r="AG309" s="261"/>
      <c r="AH309" s="406"/>
      <c r="AI309" s="246"/>
      <c r="AJ309" s="406" t="s">
        <v>946</v>
      </c>
      <c r="AK309" s="246"/>
      <c r="AL309" s="406"/>
      <c r="AM309" s="246"/>
      <c r="AN309" s="261"/>
      <c r="AO309" s="406"/>
      <c r="AP309" s="246"/>
      <c r="AQ309" s="406"/>
      <c r="AR309" s="246"/>
      <c r="AS309" s="406"/>
      <c r="AT309" s="254" t="str">
        <f t="shared" si="61"/>
        <v/>
      </c>
      <c r="AU309" s="269"/>
      <c r="AV309" s="269"/>
    </row>
    <row r="310">
      <c r="A310" s="94"/>
      <c r="B310" s="439" t="s">
        <v>721</v>
      </c>
      <c r="C310" s="440" t="s">
        <v>722</v>
      </c>
      <c r="D310" s="330"/>
      <c r="E310" s="259"/>
      <c r="F310" s="406"/>
      <c r="G310" s="246"/>
      <c r="H310" s="406" t="s">
        <v>454</v>
      </c>
      <c r="I310" s="246"/>
      <c r="J310" s="406"/>
      <c r="K310" s="246"/>
      <c r="L310" s="261"/>
      <c r="M310" s="406"/>
      <c r="N310" s="246"/>
      <c r="O310" s="406" t="s">
        <v>454</v>
      </c>
      <c r="P310" s="246"/>
      <c r="Q310" s="406"/>
      <c r="R310" s="246"/>
      <c r="S310" s="261"/>
      <c r="T310" s="406"/>
      <c r="U310" s="246"/>
      <c r="V310" s="406" t="s">
        <v>454</v>
      </c>
      <c r="W310" s="246"/>
      <c r="X310" s="406"/>
      <c r="Y310" s="246"/>
      <c r="Z310" s="261"/>
      <c r="AA310" s="406"/>
      <c r="AB310" s="246"/>
      <c r="AC310" s="406" t="s">
        <v>454</v>
      </c>
      <c r="AD310" s="246"/>
      <c r="AE310" s="406"/>
      <c r="AF310" s="246"/>
      <c r="AG310" s="261"/>
      <c r="AH310" s="406"/>
      <c r="AI310" s="246"/>
      <c r="AJ310" s="406" t="s">
        <v>970</v>
      </c>
      <c r="AK310" s="246"/>
      <c r="AL310" s="406"/>
      <c r="AM310" s="246"/>
      <c r="AN310" s="261"/>
      <c r="AO310" s="406"/>
      <c r="AP310" s="246"/>
      <c r="AQ310" s="406"/>
      <c r="AR310" s="246"/>
      <c r="AS310" s="406"/>
      <c r="AT310" s="254" t="str">
        <f t="shared" si="61"/>
        <v/>
      </c>
      <c r="AU310" s="269"/>
      <c r="AV310" s="269"/>
    </row>
    <row r="311">
      <c r="A311" s="94"/>
      <c r="B311" s="439" t="s">
        <v>723</v>
      </c>
      <c r="C311" s="440" t="s">
        <v>724</v>
      </c>
      <c r="D311" s="330"/>
      <c r="E311" s="259"/>
      <c r="F311" s="406"/>
      <c r="G311" s="246"/>
      <c r="H311" s="406"/>
      <c r="I311" s="246"/>
      <c r="J311" s="406"/>
      <c r="K311" s="246"/>
      <c r="L311" s="261"/>
      <c r="M311" s="406"/>
      <c r="N311" s="246"/>
      <c r="O311" s="406" t="s">
        <v>456</v>
      </c>
      <c r="P311" s="246"/>
      <c r="Q311" s="406"/>
      <c r="R311" s="246"/>
      <c r="S311" s="261"/>
      <c r="T311" s="406"/>
      <c r="U311" s="246"/>
      <c r="V311" s="406" t="s">
        <v>456</v>
      </c>
      <c r="W311" s="246"/>
      <c r="X311" s="406"/>
      <c r="Y311" s="246"/>
      <c r="Z311" s="261"/>
      <c r="AA311" s="406" t="s">
        <v>859</v>
      </c>
      <c r="AB311" s="246"/>
      <c r="AC311" s="406" t="s">
        <v>456</v>
      </c>
      <c r="AD311" s="246"/>
      <c r="AE311" s="406" t="s">
        <v>1066</v>
      </c>
      <c r="AF311" s="246"/>
      <c r="AG311" s="261"/>
      <c r="AH311" s="406" t="s">
        <v>959</v>
      </c>
      <c r="AI311" s="246"/>
      <c r="AJ311" s="406" t="s">
        <v>1066</v>
      </c>
      <c r="AK311" s="246"/>
      <c r="AL311" s="406"/>
      <c r="AM311" s="246"/>
      <c r="AN311" s="261"/>
      <c r="AO311" s="406"/>
      <c r="AP311" s="246"/>
      <c r="AQ311" s="406" t="s">
        <v>958</v>
      </c>
      <c r="AR311" s="246"/>
      <c r="AS311" s="406"/>
      <c r="AT311" s="254" t="str">
        <f t="shared" si="61"/>
        <v/>
      </c>
      <c r="AU311" s="269"/>
      <c r="AV311" s="269"/>
    </row>
    <row r="312">
      <c r="A312" s="94"/>
      <c r="B312" s="439" t="s">
        <v>725</v>
      </c>
      <c r="C312" s="442" t="s">
        <v>726</v>
      </c>
      <c r="D312" s="330"/>
      <c r="E312" s="259"/>
      <c r="F312" s="441"/>
      <c r="G312" s="246"/>
      <c r="H312" s="406" t="s">
        <v>456</v>
      </c>
      <c r="I312" s="246"/>
      <c r="J312" s="441"/>
      <c r="K312" s="246"/>
      <c r="L312" s="261"/>
      <c r="M312" s="441"/>
      <c r="N312" s="246"/>
      <c r="O312" s="406" t="s">
        <v>970</v>
      </c>
      <c r="P312" s="246"/>
      <c r="Q312" s="441"/>
      <c r="R312" s="246"/>
      <c r="S312" s="261"/>
      <c r="T312" s="441"/>
      <c r="U312" s="246"/>
      <c r="V312" s="406" t="s">
        <v>460</v>
      </c>
      <c r="W312" s="246"/>
      <c r="X312" s="441"/>
      <c r="Y312" s="246"/>
      <c r="Z312" s="261"/>
      <c r="AA312" s="441"/>
      <c r="AB312" s="246"/>
      <c r="AC312" s="406" t="s">
        <v>970</v>
      </c>
      <c r="AD312" s="246"/>
      <c r="AE312" s="441"/>
      <c r="AF312" s="246"/>
      <c r="AG312" s="261"/>
      <c r="AH312" s="441"/>
      <c r="AI312" s="246"/>
      <c r="AJ312" s="406" t="s">
        <v>456</v>
      </c>
      <c r="AK312" s="246"/>
      <c r="AL312" s="441"/>
      <c r="AM312" s="246"/>
      <c r="AN312" s="261"/>
      <c r="AO312" s="441"/>
      <c r="AP312" s="246"/>
      <c r="AQ312" s="406"/>
      <c r="AR312" s="246"/>
      <c r="AS312" s="441"/>
      <c r="AT312" s="254" t="str">
        <f>IF(COUNTIF($AO$80:$AT$82, #REF!) &gt; 0, "X", "")</f>
        <v/>
      </c>
      <c r="AU312" s="269"/>
      <c r="AV312" s="269"/>
    </row>
    <row r="313">
      <c r="A313" s="94"/>
      <c r="B313" s="447" t="s">
        <v>729</v>
      </c>
      <c r="C313" s="448" t="s">
        <v>730</v>
      </c>
      <c r="D313" s="330"/>
      <c r="E313" s="259"/>
      <c r="F313" s="441"/>
      <c r="G313" s="246"/>
      <c r="H313" s="441"/>
      <c r="I313" s="246"/>
      <c r="J313" s="441"/>
      <c r="K313" s="246"/>
      <c r="L313" s="261"/>
      <c r="M313" s="441"/>
      <c r="N313" s="246"/>
      <c r="O313" s="441"/>
      <c r="P313" s="246"/>
      <c r="Q313" s="441"/>
      <c r="R313" s="246"/>
      <c r="S313" s="261"/>
      <c r="T313" s="441"/>
      <c r="U313" s="246"/>
      <c r="V313" s="406"/>
      <c r="W313" s="246"/>
      <c r="X313" s="441"/>
      <c r="Y313" s="246"/>
      <c r="Z313" s="261"/>
      <c r="AA313" s="441"/>
      <c r="AB313" s="246"/>
      <c r="AC313" s="441"/>
      <c r="AD313" s="246"/>
      <c r="AE313" s="441"/>
      <c r="AF313" s="246"/>
      <c r="AG313" s="261"/>
      <c r="AH313" s="441"/>
      <c r="AI313" s="246"/>
      <c r="AJ313" s="441"/>
      <c r="AK313" s="246"/>
      <c r="AL313" s="441"/>
      <c r="AM313" s="246"/>
      <c r="AN313" s="261"/>
      <c r="AO313" s="441"/>
      <c r="AP313" s="246"/>
      <c r="AQ313" s="406" t="s">
        <v>970</v>
      </c>
      <c r="AR313" s="246"/>
      <c r="AS313" s="441"/>
      <c r="AT313" s="254" t="str">
        <f t="shared" ref="AT313:AT315" si="62">IF(COUNTIF($AO$80:$AT$82, AS313) &gt; 0, "X", "")</f>
        <v/>
      </c>
      <c r="AU313" s="269"/>
      <c r="AV313" s="269"/>
    </row>
    <row r="314">
      <c r="A314" s="94"/>
      <c r="B314" s="450" t="s">
        <v>731</v>
      </c>
      <c r="C314" s="451" t="s">
        <v>732</v>
      </c>
      <c r="D314" s="363"/>
      <c r="E314" s="259"/>
      <c r="F314" s="206"/>
      <c r="G314" s="246"/>
      <c r="H314" s="406" t="s">
        <v>946</v>
      </c>
      <c r="I314" s="246"/>
      <c r="J314" s="206"/>
      <c r="K314" s="246"/>
      <c r="L314" s="261"/>
      <c r="M314" s="206"/>
      <c r="N314" s="246"/>
      <c r="O314" s="406" t="s">
        <v>946</v>
      </c>
      <c r="P314" s="246"/>
      <c r="Q314" s="206"/>
      <c r="R314" s="246"/>
      <c r="S314" s="261"/>
      <c r="T314" s="206"/>
      <c r="U314" s="246"/>
      <c r="V314" s="406" t="s">
        <v>946</v>
      </c>
      <c r="W314" s="246"/>
      <c r="X314" s="206"/>
      <c r="Y314" s="246"/>
      <c r="Z314" s="261"/>
      <c r="AA314" s="206"/>
      <c r="AB314" s="246"/>
      <c r="AC314" s="406" t="s">
        <v>460</v>
      </c>
      <c r="AD314" s="246"/>
      <c r="AE314" s="206"/>
      <c r="AF314" s="246"/>
      <c r="AG314" s="261"/>
      <c r="AH314" s="206"/>
      <c r="AI314" s="246"/>
      <c r="AJ314" s="406" t="s">
        <v>460</v>
      </c>
      <c r="AK314" s="246"/>
      <c r="AL314" s="206"/>
      <c r="AM314" s="246"/>
      <c r="AN314" s="261"/>
      <c r="AO314" s="206"/>
      <c r="AP314" s="246"/>
      <c r="AQ314" s="206"/>
      <c r="AR314" s="246"/>
      <c r="AS314" s="206"/>
      <c r="AT314" s="254" t="str">
        <f t="shared" si="62"/>
        <v/>
      </c>
      <c r="AU314" s="269"/>
      <c r="AV314" s="269"/>
    </row>
    <row r="315">
      <c r="A315" s="94"/>
      <c r="B315" s="452" t="s">
        <v>733</v>
      </c>
      <c r="C315" s="453" t="s">
        <v>734</v>
      </c>
      <c r="D315" s="363"/>
      <c r="E315" s="259"/>
      <c r="F315" s="74"/>
      <c r="G315" s="246"/>
      <c r="H315" s="594" t="s">
        <v>957</v>
      </c>
      <c r="I315" s="246"/>
      <c r="J315" s="654" t="s">
        <v>1066</v>
      </c>
      <c r="K315" s="246"/>
      <c r="L315" s="261"/>
      <c r="M315" s="74"/>
      <c r="N315" s="246"/>
      <c r="O315" s="406" t="s">
        <v>460</v>
      </c>
      <c r="P315" s="246"/>
      <c r="Q315" s="74"/>
      <c r="R315" s="246"/>
      <c r="S315" s="261"/>
      <c r="T315" s="74"/>
      <c r="U315" s="246"/>
      <c r="V315" s="594" t="s">
        <v>395</v>
      </c>
      <c r="W315" s="246"/>
      <c r="X315" s="74"/>
      <c r="Y315" s="246"/>
      <c r="Z315" s="261"/>
      <c r="AA315" s="74"/>
      <c r="AB315" s="246"/>
      <c r="AC315" s="594" t="s">
        <v>395</v>
      </c>
      <c r="AD315" s="246"/>
      <c r="AE315" s="74"/>
      <c r="AF315" s="246"/>
      <c r="AG315" s="261"/>
      <c r="AH315" s="74"/>
      <c r="AI315" s="246"/>
      <c r="AJ315" s="594" t="s">
        <v>395</v>
      </c>
      <c r="AK315" s="246"/>
      <c r="AL315" s="74"/>
      <c r="AM315" s="246"/>
      <c r="AN315" s="261"/>
      <c r="AO315" s="74"/>
      <c r="AP315" s="246"/>
      <c r="AQ315" s="594" t="s">
        <v>395</v>
      </c>
      <c r="AR315" s="246"/>
      <c r="AS315" s="74"/>
      <c r="AT315" s="254" t="str">
        <f t="shared" si="62"/>
        <v/>
      </c>
      <c r="AU315" s="269"/>
      <c r="AV315" s="269"/>
    </row>
    <row r="316">
      <c r="A316" s="94"/>
      <c r="B316" s="636"/>
      <c r="C316" s="637"/>
      <c r="D316" s="269"/>
      <c r="E316" s="638"/>
      <c r="F316" s="446"/>
      <c r="G316" s="246"/>
      <c r="H316" s="446"/>
      <c r="I316" s="246"/>
      <c r="J316" s="446"/>
      <c r="K316" s="246"/>
      <c r="L316" s="462"/>
      <c r="M316" s="446"/>
      <c r="N316" s="246"/>
      <c r="O316" s="446"/>
      <c r="P316" s="246"/>
      <c r="Q316" s="446"/>
      <c r="R316" s="246"/>
      <c r="S316" s="462"/>
      <c r="T316" s="446"/>
      <c r="U316" s="246"/>
      <c r="V316" s="446"/>
      <c r="W316" s="246"/>
      <c r="X316" s="446"/>
      <c r="Y316" s="246"/>
      <c r="Z316" s="462"/>
      <c r="AA316" s="446"/>
      <c r="AB316" s="246"/>
      <c r="AC316" s="446"/>
      <c r="AD316" s="246"/>
      <c r="AE316" s="446"/>
      <c r="AF316" s="246"/>
      <c r="AG316" s="462"/>
      <c r="AH316" s="446"/>
      <c r="AI316" s="246"/>
      <c r="AJ316" s="446"/>
      <c r="AK316" s="246"/>
      <c r="AL316" s="446"/>
      <c r="AM316" s="246"/>
      <c r="AN316" s="462"/>
      <c r="AO316" s="446"/>
      <c r="AP316" s="246"/>
      <c r="AQ316" s="446"/>
      <c r="AR316" s="246"/>
      <c r="AS316" s="446"/>
      <c r="AT316" s="254"/>
      <c r="AU316" s="269"/>
      <c r="AV316" s="269"/>
    </row>
    <row r="317">
      <c r="A317" s="94"/>
      <c r="B317" s="454" t="s">
        <v>735</v>
      </c>
      <c r="C317" s="455" t="s">
        <v>736</v>
      </c>
      <c r="D317" s="363"/>
      <c r="E317" s="259"/>
      <c r="F317" s="441"/>
      <c r="G317" s="246"/>
      <c r="H317" s="441"/>
      <c r="I317" s="246"/>
      <c r="J317" s="405" t="s">
        <v>462</v>
      </c>
      <c r="K317" s="246"/>
      <c r="L317" s="261"/>
      <c r="M317" s="441"/>
      <c r="N317" s="246"/>
      <c r="O317" s="441"/>
      <c r="P317" s="246"/>
      <c r="R317" s="246"/>
      <c r="S317" s="261"/>
      <c r="T317" s="441"/>
      <c r="U317" s="246"/>
      <c r="V317" s="441"/>
      <c r="W317" s="246"/>
      <c r="X317" s="405" t="s">
        <v>462</v>
      </c>
      <c r="Y317" s="246"/>
      <c r="Z317" s="261"/>
      <c r="AA317" s="441"/>
      <c r="AB317" s="246"/>
      <c r="AC317" s="441"/>
      <c r="AD317" s="246"/>
      <c r="AE317" s="441"/>
      <c r="AF317" s="246"/>
      <c r="AG317" s="261"/>
      <c r="AH317" s="441"/>
      <c r="AI317" s="246"/>
      <c r="AJ317" s="441"/>
      <c r="AK317" s="246"/>
      <c r="AL317" s="405" t="s">
        <v>462</v>
      </c>
      <c r="AM317" s="246"/>
      <c r="AN317" s="261"/>
      <c r="AO317" s="441"/>
      <c r="AP317" s="246"/>
      <c r="AQ317" s="441"/>
      <c r="AR317" s="246"/>
      <c r="AS317" s="441"/>
      <c r="AT317" s="254" t="str">
        <f t="shared" ref="AT317:AT319" si="63">IF(COUNTIF($AO$80:$AT$82, AS317) &gt; 0, "X", "")</f>
        <v/>
      </c>
      <c r="AU317" s="269"/>
      <c r="AV317" s="269"/>
    </row>
    <row r="318">
      <c r="A318" s="94"/>
      <c r="B318" s="454" t="s">
        <v>735</v>
      </c>
      <c r="C318" s="442" t="s">
        <v>736</v>
      </c>
      <c r="D318" s="363"/>
      <c r="E318" s="259"/>
      <c r="F318" s="456"/>
      <c r="G318" s="246"/>
      <c r="H318" s="456"/>
      <c r="I318" s="246"/>
      <c r="K318" s="246"/>
      <c r="L318" s="261"/>
      <c r="M318" s="456"/>
      <c r="N318" s="246"/>
      <c r="O318" s="456"/>
      <c r="P318" s="246"/>
      <c r="Q318" s="456"/>
      <c r="R318" s="246"/>
      <c r="S318" s="261"/>
      <c r="T318" s="456"/>
      <c r="U318" s="246"/>
      <c r="V318" s="456"/>
      <c r="W318" s="246"/>
      <c r="Y318" s="246"/>
      <c r="Z318" s="261"/>
      <c r="AA318" s="456"/>
      <c r="AB318" s="246"/>
      <c r="AC318" s="456"/>
      <c r="AD318" s="246"/>
      <c r="AE318" s="456"/>
      <c r="AF318" s="246"/>
      <c r="AG318" s="261"/>
      <c r="AH318" s="456"/>
      <c r="AI318" s="246"/>
      <c r="AJ318" s="456"/>
      <c r="AK318" s="246"/>
      <c r="AL318" s="456"/>
      <c r="AM318" s="246"/>
      <c r="AN318" s="261"/>
      <c r="AO318" s="456"/>
      <c r="AP318" s="246"/>
      <c r="AQ318" s="456"/>
      <c r="AR318" s="246"/>
      <c r="AS318" s="456"/>
      <c r="AT318" s="254" t="str">
        <f t="shared" si="63"/>
        <v/>
      </c>
      <c r="AU318" s="269"/>
      <c r="AV318" s="269"/>
    </row>
    <row r="319">
      <c r="A319" s="94"/>
      <c r="B319" s="457" t="s">
        <v>735</v>
      </c>
      <c r="C319" s="458" t="s">
        <v>737</v>
      </c>
      <c r="D319" s="363"/>
      <c r="E319" s="259"/>
      <c r="F319" s="406"/>
      <c r="G319" s="246"/>
      <c r="H319" s="406"/>
      <c r="I319" s="246"/>
      <c r="J319" s="766" t="s">
        <v>529</v>
      </c>
      <c r="K319" s="246"/>
      <c r="L319" s="261"/>
      <c r="M319" s="406"/>
      <c r="N319" s="246"/>
      <c r="O319" s="406"/>
      <c r="P319" s="246"/>
      <c r="Q319" s="766" t="s">
        <v>529</v>
      </c>
      <c r="R319" s="246"/>
      <c r="S319" s="261"/>
      <c r="T319" s="406"/>
      <c r="U319" s="246"/>
      <c r="V319" s="406"/>
      <c r="W319" s="246"/>
      <c r="X319" s="766" t="s">
        <v>529</v>
      </c>
      <c r="Y319" s="246"/>
      <c r="Z319" s="261"/>
      <c r="AA319" s="406"/>
      <c r="AB319" s="246"/>
      <c r="AC319" s="406"/>
      <c r="AD319" s="246"/>
      <c r="AE319" s="766" t="s">
        <v>529</v>
      </c>
      <c r="AF319" s="246"/>
      <c r="AG319" s="261"/>
      <c r="AH319" s="406"/>
      <c r="AI319" s="246"/>
      <c r="AJ319" s="406"/>
      <c r="AK319" s="246"/>
      <c r="AL319" s="766" t="s">
        <v>529</v>
      </c>
      <c r="AM319" s="246"/>
      <c r="AN319" s="261"/>
      <c r="AO319" s="406"/>
      <c r="AP319" s="246"/>
      <c r="AQ319" s="406"/>
      <c r="AR319" s="246"/>
      <c r="AS319" s="406"/>
      <c r="AT319" s="254" t="str">
        <f t="shared" si="63"/>
        <v/>
      </c>
      <c r="AU319" s="269"/>
      <c r="AV319" s="269"/>
    </row>
    <row r="320">
      <c r="A320" s="94"/>
      <c r="B320" s="459"/>
      <c r="C320" s="460" t="s">
        <v>738</v>
      </c>
      <c r="D320" s="612" t="s">
        <v>505</v>
      </c>
      <c r="E320" s="259"/>
      <c r="F320" s="461" t="s">
        <v>1088</v>
      </c>
      <c r="G320" s="246"/>
      <c r="H320" s="132"/>
      <c r="I320" s="246"/>
      <c r="J320" s="132"/>
      <c r="K320" s="246"/>
      <c r="L320" s="462"/>
      <c r="M320" s="461" t="s">
        <v>1089</v>
      </c>
      <c r="N320" s="246"/>
      <c r="O320" s="132"/>
      <c r="P320" s="246"/>
      <c r="Q320" s="132"/>
      <c r="R320" s="246"/>
      <c r="S320" s="462"/>
      <c r="T320" s="461" t="s">
        <v>1090</v>
      </c>
      <c r="U320" s="246"/>
      <c r="V320" s="132"/>
      <c r="W320" s="246"/>
      <c r="X320" s="132"/>
      <c r="Y320" s="246"/>
      <c r="Z320" s="462"/>
      <c r="AA320" s="461" t="s">
        <v>1091</v>
      </c>
      <c r="AB320" s="246"/>
      <c r="AC320" s="132"/>
      <c r="AD320" s="246"/>
      <c r="AE320" s="132"/>
      <c r="AF320" s="246"/>
      <c r="AG320" s="462"/>
      <c r="AH320" s="461" t="s">
        <v>1092</v>
      </c>
      <c r="AI320" s="246"/>
      <c r="AJ320" s="132"/>
      <c r="AK320" s="246"/>
      <c r="AL320" s="132"/>
      <c r="AM320" s="246"/>
      <c r="AN320" s="462"/>
      <c r="AO320" s="461" t="s">
        <v>1093</v>
      </c>
      <c r="AP320" s="246"/>
      <c r="AQ320" s="132"/>
      <c r="AR320" s="246"/>
      <c r="AS320" s="132"/>
      <c r="AT320" s="460"/>
      <c r="AU320" s="269"/>
      <c r="AV320" s="269"/>
    </row>
    <row r="321">
      <c r="A321" s="270"/>
      <c r="B321" s="459"/>
      <c r="C321" s="460" t="s">
        <v>738</v>
      </c>
      <c r="D321" s="363"/>
      <c r="E321" s="259"/>
      <c r="F321" s="132"/>
      <c r="G321" s="246"/>
      <c r="H321" s="132"/>
      <c r="I321" s="246"/>
      <c r="J321" s="132"/>
      <c r="K321" s="246"/>
      <c r="L321" s="462"/>
      <c r="M321" s="132"/>
      <c r="N321" s="246"/>
      <c r="O321" s="132"/>
      <c r="P321" s="246"/>
      <c r="Q321" s="132"/>
      <c r="R321" s="246"/>
      <c r="S321" s="462"/>
      <c r="T321" s="132"/>
      <c r="U321" s="246"/>
      <c r="V321" s="132"/>
      <c r="W321" s="246"/>
      <c r="X321" s="132"/>
      <c r="Y321" s="246"/>
      <c r="Z321" s="462"/>
      <c r="AA321" s="132"/>
      <c r="AB321" s="246"/>
      <c r="AC321" s="132"/>
      <c r="AD321" s="246"/>
      <c r="AE321" s="132"/>
      <c r="AF321" s="246"/>
      <c r="AG321" s="462"/>
      <c r="AH321" s="132"/>
      <c r="AI321" s="246"/>
      <c r="AJ321" s="132"/>
      <c r="AK321" s="246"/>
      <c r="AL321" s="132"/>
      <c r="AM321" s="246"/>
      <c r="AN321" s="462"/>
      <c r="AO321" s="461" t="s">
        <v>496</v>
      </c>
      <c r="AP321" s="246"/>
      <c r="AQ321" s="132"/>
      <c r="AR321" s="246"/>
      <c r="AS321" s="132"/>
      <c r="AT321" s="460"/>
      <c r="AU321" s="236"/>
      <c r="AV321" s="236"/>
    </row>
    <row r="322">
      <c r="A322" s="236"/>
      <c r="B322" s="459"/>
      <c r="C322" s="460" t="s">
        <v>738</v>
      </c>
      <c r="D322" s="363"/>
      <c r="E322" s="259"/>
      <c r="F322" s="461" t="s">
        <v>563</v>
      </c>
      <c r="G322" s="246"/>
      <c r="H322" s="132"/>
      <c r="I322" s="246"/>
      <c r="J322" s="132"/>
      <c r="K322" s="246"/>
      <c r="L322" s="462"/>
      <c r="M322" s="461" t="s">
        <v>563</v>
      </c>
      <c r="N322" s="246"/>
      <c r="O322" s="132"/>
      <c r="P322" s="246"/>
      <c r="Q322" s="132"/>
      <c r="R322" s="246"/>
      <c r="S322" s="462"/>
      <c r="T322" s="461"/>
      <c r="U322" s="246"/>
      <c r="V322" s="132"/>
      <c r="W322" s="246"/>
      <c r="X322" s="132"/>
      <c r="Y322" s="246"/>
      <c r="Z322" s="462"/>
      <c r="AA322" s="461"/>
      <c r="AB322" s="246"/>
      <c r="AC322" s="132"/>
      <c r="AD322" s="246"/>
      <c r="AE322" s="132"/>
      <c r="AF322" s="246"/>
      <c r="AG322" s="462"/>
      <c r="AH322" s="461"/>
      <c r="AI322" s="246"/>
      <c r="AJ322" s="132"/>
      <c r="AK322" s="246"/>
      <c r="AL322" s="132"/>
      <c r="AM322" s="246"/>
      <c r="AN322" s="462"/>
      <c r="AO322" s="461"/>
      <c r="AP322" s="246"/>
      <c r="AQ322" s="132"/>
      <c r="AR322" s="246"/>
      <c r="AS322" s="132"/>
      <c r="AT322" s="460"/>
      <c r="AU322" s="236"/>
      <c r="AV322" s="236"/>
    </row>
    <row r="323">
      <c r="A323" s="182"/>
      <c r="B323" s="183" t="s">
        <v>808</v>
      </c>
      <c r="C323" s="184" t="s">
        <v>605</v>
      </c>
      <c r="D323" s="185" t="s">
        <v>486</v>
      </c>
      <c r="E323" s="186"/>
      <c r="F323" s="185" t="s">
        <v>487</v>
      </c>
      <c r="M323" s="185" t="s">
        <v>488</v>
      </c>
      <c r="T323" s="185" t="s">
        <v>489</v>
      </c>
      <c r="AA323" s="185" t="s">
        <v>490</v>
      </c>
      <c r="AH323" s="185" t="s">
        <v>491</v>
      </c>
      <c r="AO323" s="185" t="s">
        <v>492</v>
      </c>
      <c r="AU323" s="182"/>
      <c r="AV323" s="182"/>
    </row>
    <row r="324">
      <c r="A324" s="182"/>
      <c r="B324" s="187"/>
      <c r="C324" s="187"/>
      <c r="D324" s="188">
        <v>28.0</v>
      </c>
      <c r="E324" s="189"/>
      <c r="F324" s="188">
        <f>D324+1</f>
        <v>29</v>
      </c>
      <c r="M324" s="188">
        <f>F324+1</f>
        <v>30</v>
      </c>
      <c r="T324" s="188">
        <v>1.0</v>
      </c>
      <c r="AA324" s="188">
        <v>2.0</v>
      </c>
      <c r="AH324" s="188">
        <v>3.0</v>
      </c>
      <c r="AO324" s="188">
        <f>AH324+1</f>
        <v>4</v>
      </c>
      <c r="AU324" s="182"/>
      <c r="AV324" s="182"/>
    </row>
    <row r="325">
      <c r="A325" s="182"/>
      <c r="B325" s="193" t="s">
        <v>608</v>
      </c>
      <c r="C325" s="193" t="s">
        <v>609</v>
      </c>
      <c r="D325" s="187"/>
      <c r="E325" s="189"/>
      <c r="F325" s="194" t="s">
        <v>610</v>
      </c>
      <c r="G325" s="195"/>
      <c r="H325" s="193" t="s">
        <v>611</v>
      </c>
      <c r="J325" s="194" t="s">
        <v>612</v>
      </c>
      <c r="M325" s="194" t="s">
        <v>610</v>
      </c>
      <c r="N325" s="195"/>
      <c r="O325" s="193" t="s">
        <v>611</v>
      </c>
      <c r="P325" s="195"/>
      <c r="Q325" s="194" t="s">
        <v>612</v>
      </c>
      <c r="S325" s="193"/>
      <c r="T325" s="194" t="s">
        <v>610</v>
      </c>
      <c r="U325" s="195"/>
      <c r="V325" s="193" t="s">
        <v>611</v>
      </c>
      <c r="W325" s="195"/>
      <c r="X325" s="194" t="s">
        <v>612</v>
      </c>
      <c r="Z325" s="193"/>
      <c r="AA325" s="194" t="s">
        <v>610</v>
      </c>
      <c r="AB325" s="195"/>
      <c r="AC325" s="193" t="s">
        <v>611</v>
      </c>
      <c r="AD325" s="195"/>
      <c r="AE325" s="194" t="s">
        <v>612</v>
      </c>
      <c r="AG325" s="193"/>
      <c r="AH325" s="194" t="s">
        <v>610</v>
      </c>
      <c r="AI325" s="195"/>
      <c r="AJ325" s="193" t="s">
        <v>611</v>
      </c>
      <c r="AK325" s="195"/>
      <c r="AL325" s="194" t="s">
        <v>612</v>
      </c>
      <c r="AN325" s="193"/>
      <c r="AO325" s="194" t="s">
        <v>610</v>
      </c>
      <c r="AP325" s="195"/>
      <c r="AQ325" s="193" t="s">
        <v>611</v>
      </c>
      <c r="AR325" s="195"/>
      <c r="AS325" s="194" t="s">
        <v>612</v>
      </c>
      <c r="AU325" s="182"/>
      <c r="AV325" s="182"/>
    </row>
    <row r="326">
      <c r="A326" s="199"/>
      <c r="B326" s="200" t="s">
        <v>620</v>
      </c>
      <c r="C326" s="201"/>
      <c r="D326" s="201"/>
      <c r="E326" s="202"/>
      <c r="F326" s="203"/>
      <c r="G326" s="204"/>
      <c r="H326" s="203"/>
      <c r="I326" s="204"/>
      <c r="J326" s="203"/>
      <c r="K326" s="204"/>
      <c r="L326" s="205"/>
      <c r="M326" s="203"/>
      <c r="N326" s="204"/>
      <c r="O326" s="203"/>
      <c r="P326" s="204"/>
      <c r="Q326" s="203"/>
      <c r="R326" s="204"/>
      <c r="S326" s="205"/>
      <c r="T326" s="724" t="s">
        <v>1050</v>
      </c>
      <c r="U326" s="204"/>
      <c r="V326" s="724" t="s">
        <v>825</v>
      </c>
      <c r="W326" s="204"/>
      <c r="X326" s="724" t="s">
        <v>620</v>
      </c>
      <c r="Y326" s="204"/>
      <c r="Z326" s="205"/>
      <c r="AA326" s="203"/>
      <c r="AB326" s="204"/>
      <c r="AC326" s="203"/>
      <c r="AD326" s="204"/>
      <c r="AE326" s="203"/>
      <c r="AF326" s="204"/>
      <c r="AG326" s="205"/>
      <c r="AH326" s="203"/>
      <c r="AI326" s="204"/>
      <c r="AJ326" s="203"/>
      <c r="AK326" s="204"/>
      <c r="AL326" s="203" t="s">
        <v>1094</v>
      </c>
      <c r="AM326" s="204"/>
      <c r="AN326" s="205"/>
      <c r="AO326" s="203" t="s">
        <v>886</v>
      </c>
      <c r="AP326" s="204"/>
      <c r="AQ326" s="203" t="s">
        <v>1095</v>
      </c>
      <c r="AR326" s="204"/>
      <c r="AS326" s="203" t="s">
        <v>1096</v>
      </c>
      <c r="AT326" s="204"/>
      <c r="AU326" s="199"/>
      <c r="AV326" s="199"/>
    </row>
    <row r="327">
      <c r="A327" s="234"/>
      <c r="B327" s="235" t="s">
        <v>608</v>
      </c>
      <c r="C327" s="195" t="s">
        <v>609</v>
      </c>
      <c r="D327" s="236"/>
      <c r="E327" s="237"/>
      <c r="F327" s="238"/>
      <c r="G327" s="182"/>
      <c r="H327" s="238"/>
      <c r="I327" s="239"/>
      <c r="J327" s="238"/>
      <c r="K327" s="239"/>
      <c r="L327" s="237"/>
      <c r="M327" s="238"/>
      <c r="N327" s="182"/>
      <c r="O327" s="238"/>
      <c r="P327" s="239"/>
      <c r="Q327" s="238"/>
      <c r="R327" s="239"/>
      <c r="S327" s="237"/>
      <c r="T327" s="238"/>
      <c r="U327" s="182"/>
      <c r="V327" s="238"/>
      <c r="W327" s="239"/>
      <c r="X327" s="238"/>
      <c r="Y327" s="239"/>
      <c r="Z327" s="237"/>
      <c r="AA327" s="238"/>
      <c r="AB327" s="182"/>
      <c r="AC327" s="238"/>
      <c r="AD327" s="239"/>
      <c r="AE327" s="238"/>
      <c r="AF327" s="239"/>
      <c r="AG327" s="237"/>
      <c r="AH327" s="238"/>
      <c r="AI327" s="182"/>
      <c r="AJ327" s="238"/>
      <c r="AK327" s="239"/>
      <c r="AL327" s="238"/>
      <c r="AM327" s="239"/>
      <c r="AN327" s="237"/>
      <c r="AO327" s="238"/>
      <c r="AP327" s="182"/>
      <c r="AQ327" s="238"/>
      <c r="AR327" s="239"/>
      <c r="AS327" s="238"/>
      <c r="AT327" s="239"/>
      <c r="AU327" s="236"/>
      <c r="AV327" s="236"/>
    </row>
    <row r="328">
      <c r="A328" s="240"/>
      <c r="B328" s="241" t="s">
        <v>638</v>
      </c>
      <c r="C328" s="242" t="s">
        <v>639</v>
      </c>
      <c r="D328" s="243"/>
      <c r="E328" s="244"/>
      <c r="F328" s="371"/>
      <c r="G328" s="246"/>
      <c r="H328" s="274"/>
      <c r="I328" s="246"/>
      <c r="J328" s="686" t="s">
        <v>419</v>
      </c>
      <c r="K328" s="246"/>
      <c r="L328" s="249"/>
      <c r="M328" s="250"/>
      <c r="N328" s="246"/>
      <c r="P328" s="246"/>
      <c r="Q328" s="519" t="s">
        <v>414</v>
      </c>
      <c r="R328" s="246"/>
      <c r="S328" s="249"/>
      <c r="U328" s="246"/>
      <c r="W328" s="246"/>
      <c r="X328" s="686"/>
      <c r="Y328" s="246"/>
      <c r="Z328" s="249"/>
      <c r="AA328" s="250"/>
      <c r="AB328" s="246"/>
      <c r="AD328" s="246"/>
      <c r="AE328" s="686" t="s">
        <v>419</v>
      </c>
      <c r="AF328" s="246"/>
      <c r="AG328" s="249"/>
      <c r="AH328" s="371"/>
      <c r="AI328" s="246"/>
      <c r="AJ328" s="282"/>
      <c r="AK328" s="246"/>
      <c r="AL328" s="274" t="s">
        <v>414</v>
      </c>
      <c r="AM328" s="246"/>
      <c r="AN328" s="249"/>
      <c r="AO328" s="250"/>
      <c r="AP328" s="246"/>
      <c r="AQ328" s="250"/>
      <c r="AR328" s="246"/>
      <c r="AS328" s="250"/>
      <c r="AT328" s="254" t="str">
        <f>IF(COUNTIF($AO$80:$AT$82, #REF!) &gt; 0, "X", "")</f>
        <v/>
      </c>
      <c r="AU328" s="255"/>
      <c r="AV328" s="255"/>
    </row>
    <row r="329">
      <c r="A329" s="94"/>
      <c r="B329" s="256" t="s">
        <v>638</v>
      </c>
      <c r="C329" s="257" t="s">
        <v>639</v>
      </c>
      <c r="D329" s="258"/>
      <c r="E329" s="259"/>
      <c r="F329" s="371"/>
      <c r="G329" s="246"/>
      <c r="I329" s="246"/>
      <c r="J329" s="274" t="s">
        <v>414</v>
      </c>
      <c r="K329" s="246"/>
      <c r="L329" s="249"/>
      <c r="M329" s="250"/>
      <c r="N329" s="246"/>
      <c r="O329" s="282"/>
      <c r="P329" s="246"/>
      <c r="Q329" s="251" t="s">
        <v>405</v>
      </c>
      <c r="R329" s="246"/>
      <c r="S329" s="249"/>
      <c r="T329" s="282"/>
      <c r="U329" s="246"/>
      <c r="V329" s="282"/>
      <c r="W329" s="246"/>
      <c r="X329" s="251" t="s">
        <v>405</v>
      </c>
      <c r="Y329" s="246"/>
      <c r="Z329" s="249"/>
      <c r="AA329" s="250"/>
      <c r="AB329" s="246"/>
      <c r="AD329" s="246"/>
      <c r="AE329" s="251" t="s">
        <v>405</v>
      </c>
      <c r="AF329" s="246"/>
      <c r="AG329" s="249"/>
      <c r="AH329" s="371"/>
      <c r="AI329" s="246"/>
      <c r="AJ329" s="282"/>
      <c r="AK329" s="246"/>
      <c r="AM329" s="246"/>
      <c r="AN329" s="249"/>
      <c r="AO329" s="250"/>
      <c r="AP329" s="246"/>
      <c r="AQ329" s="250"/>
      <c r="AR329" s="246"/>
      <c r="AS329" s="250"/>
      <c r="AT329" s="254" t="str">
        <f>IF(COUNTIF($AO$80:$AT$82, AS335) &gt; 0, "X", "")</f>
        <v/>
      </c>
      <c r="AU329" s="269"/>
      <c r="AV329" s="269"/>
    </row>
    <row r="330">
      <c r="A330" s="270"/>
      <c r="B330" s="271" t="s">
        <v>642</v>
      </c>
      <c r="C330" s="272" t="s">
        <v>639</v>
      </c>
      <c r="D330" s="258"/>
      <c r="E330" s="259"/>
      <c r="F330" s="426"/>
      <c r="G330" s="246"/>
      <c r="H330" s="426"/>
      <c r="I330" s="246"/>
      <c r="J330" s="251" t="s">
        <v>405</v>
      </c>
      <c r="K330" s="246"/>
      <c r="L330" s="261"/>
      <c r="M330" s="262"/>
      <c r="N330" s="246"/>
      <c r="O330" s="265"/>
      <c r="P330" s="246"/>
      <c r="R330" s="246"/>
      <c r="S330" s="261"/>
      <c r="T330" s="290"/>
      <c r="U330" s="246"/>
      <c r="V330" s="290"/>
      <c r="W330" s="246"/>
      <c r="X330" s="265"/>
      <c r="Y330" s="246"/>
      <c r="Z330" s="261"/>
      <c r="AA330" s="262"/>
      <c r="AB330" s="246"/>
      <c r="AC330" s="274" t="s">
        <v>406</v>
      </c>
      <c r="AD330" s="246"/>
      <c r="AF330" s="246"/>
      <c r="AG330" s="261"/>
      <c r="AH330" s="426"/>
      <c r="AI330" s="246"/>
      <c r="AK330" s="246"/>
      <c r="AL330" s="289"/>
      <c r="AM330" s="246"/>
      <c r="AN330" s="261"/>
      <c r="AO330" s="262"/>
      <c r="AP330" s="246"/>
      <c r="AQ330" s="262"/>
      <c r="AR330" s="246"/>
      <c r="AS330" s="262"/>
      <c r="AT330" s="254" t="str">
        <f>IF(COUNTIF($AO$80:$AT$82, #REF!) &gt; 0, "X", "")</f>
        <v/>
      </c>
      <c r="AU330" s="269"/>
      <c r="AV330" s="269"/>
    </row>
    <row r="331">
      <c r="A331" s="234"/>
      <c r="B331" s="277" t="s">
        <v>644</v>
      </c>
      <c r="C331" s="278" t="s">
        <v>645</v>
      </c>
      <c r="D331" s="243"/>
      <c r="E331" s="259"/>
      <c r="F331" s="281"/>
      <c r="G331" s="246"/>
      <c r="H331" s="280"/>
      <c r="I331" s="246"/>
      <c r="J331" s="282"/>
      <c r="K331" s="246"/>
      <c r="L331" s="261"/>
      <c r="M331" s="250"/>
      <c r="N331" s="246"/>
      <c r="O331" s="281"/>
      <c r="P331" s="246"/>
      <c r="Q331" s="282"/>
      <c r="R331" s="246"/>
      <c r="S331" s="261"/>
      <c r="T331" s="281"/>
      <c r="U331" s="246"/>
      <c r="V331" s="281"/>
      <c r="W331" s="246"/>
      <c r="X331" s="280" t="s">
        <v>400</v>
      </c>
      <c r="Y331" s="246"/>
      <c r="Z331" s="261"/>
      <c r="AA331" s="250"/>
      <c r="AB331" s="246"/>
      <c r="AC331" s="280" t="s">
        <v>400</v>
      </c>
      <c r="AD331" s="246"/>
      <c r="AF331" s="246"/>
      <c r="AG331" s="261"/>
      <c r="AH331" s="282"/>
      <c r="AI331" s="246"/>
      <c r="AJ331" s="280" t="s">
        <v>400</v>
      </c>
      <c r="AK331" s="246"/>
      <c r="AL331" s="281"/>
      <c r="AM331" s="246"/>
      <c r="AN331" s="261"/>
      <c r="AO331" s="250"/>
      <c r="AP331" s="246"/>
      <c r="AQ331" s="250"/>
      <c r="AR331" s="246"/>
      <c r="AS331" s="250"/>
      <c r="AT331" s="254" t="str">
        <f t="shared" ref="AT331:AT333" si="64">IF(COUNTIF($AO$80:$AT$82, AS332) &gt; 0, "X", "")</f>
        <v/>
      </c>
      <c r="AU331" s="269"/>
      <c r="AV331" s="269"/>
    </row>
    <row r="332">
      <c r="A332" s="94"/>
      <c r="B332" s="256" t="s">
        <v>757</v>
      </c>
      <c r="C332" s="257" t="s">
        <v>645</v>
      </c>
      <c r="D332" s="243"/>
      <c r="E332" s="259"/>
      <c r="F332" s="371"/>
      <c r="G332" s="246"/>
      <c r="H332" s="371"/>
      <c r="I332" s="246"/>
      <c r="J332" s="371"/>
      <c r="K332" s="246"/>
      <c r="L332" s="261"/>
      <c r="M332" s="250"/>
      <c r="N332" s="246"/>
      <c r="O332" s="281"/>
      <c r="P332" s="246"/>
      <c r="Q332" s="280" t="s">
        <v>400</v>
      </c>
      <c r="R332" s="246"/>
      <c r="S332" s="261"/>
      <c r="T332" s="371"/>
      <c r="U332" s="246"/>
      <c r="V332" s="371"/>
      <c r="W332" s="246"/>
      <c r="X332" s="371"/>
      <c r="Y332" s="246"/>
      <c r="Z332" s="261"/>
      <c r="AA332" s="250"/>
      <c r="AB332" s="246"/>
      <c r="AC332" s="282"/>
      <c r="AD332" s="246"/>
      <c r="AE332" s="282"/>
      <c r="AF332" s="246"/>
      <c r="AG332" s="261"/>
      <c r="AH332" s="371"/>
      <c r="AI332" s="246"/>
      <c r="AJ332" s="371"/>
      <c r="AK332" s="246"/>
      <c r="AL332" s="371"/>
      <c r="AM332" s="246"/>
      <c r="AN332" s="261"/>
      <c r="AO332" s="250"/>
      <c r="AP332" s="246"/>
      <c r="AQ332" s="250"/>
      <c r="AR332" s="246"/>
      <c r="AS332" s="250"/>
      <c r="AT332" s="254" t="str">
        <f t="shared" si="64"/>
        <v/>
      </c>
      <c r="AU332" s="269"/>
      <c r="AV332" s="269"/>
    </row>
    <row r="333">
      <c r="A333" s="94"/>
      <c r="B333" s="284" t="s">
        <v>646</v>
      </c>
      <c r="C333" s="285" t="s">
        <v>647</v>
      </c>
      <c r="D333" s="243"/>
      <c r="E333" s="259"/>
      <c r="F333" s="251" t="s">
        <v>427</v>
      </c>
      <c r="G333" s="246"/>
      <c r="H333" s="399"/>
      <c r="I333" s="246"/>
      <c r="J333" s="399"/>
      <c r="K333" s="246"/>
      <c r="L333" s="261"/>
      <c r="M333" s="324"/>
      <c r="N333" s="246"/>
      <c r="O333" s="399"/>
      <c r="P333" s="246"/>
      <c r="Q333" s="251" t="s">
        <v>427</v>
      </c>
      <c r="R333" s="246"/>
      <c r="S333" s="261"/>
      <c r="T333" s="251" t="s">
        <v>602</v>
      </c>
      <c r="U333" s="246"/>
      <c r="V333" s="251" t="s">
        <v>602</v>
      </c>
      <c r="W333" s="246"/>
      <c r="X333" s="251" t="s">
        <v>427</v>
      </c>
      <c r="Y333" s="246"/>
      <c r="Z333" s="261"/>
      <c r="AA333" s="324"/>
      <c r="AB333" s="246"/>
      <c r="AC333" s="282"/>
      <c r="AD333" s="246"/>
      <c r="AE333" s="251" t="s">
        <v>427</v>
      </c>
      <c r="AF333" s="246"/>
      <c r="AG333" s="261"/>
      <c r="AH333" s="251" t="s">
        <v>427</v>
      </c>
      <c r="AI333" s="246"/>
      <c r="AJ333" s="282"/>
      <c r="AK333" s="246"/>
      <c r="AL333" s="282"/>
      <c r="AM333" s="246"/>
      <c r="AN333" s="261"/>
      <c r="AO333" s="324"/>
      <c r="AP333" s="246"/>
      <c r="AQ333" s="324"/>
      <c r="AR333" s="246"/>
      <c r="AS333" s="324"/>
      <c r="AT333" s="254" t="str">
        <f t="shared" si="64"/>
        <v/>
      </c>
      <c r="AU333" s="269"/>
      <c r="AV333" s="269"/>
    </row>
    <row r="334">
      <c r="A334" s="270"/>
      <c r="B334" s="291" t="s">
        <v>648</v>
      </c>
      <c r="C334" s="292" t="s">
        <v>649</v>
      </c>
      <c r="D334" s="473" t="s">
        <v>758</v>
      </c>
      <c r="E334" s="259"/>
      <c r="F334" s="294"/>
      <c r="G334" s="246"/>
      <c r="H334" s="293" t="s">
        <v>418</v>
      </c>
      <c r="I334" s="246"/>
      <c r="J334" s="294"/>
      <c r="K334" s="246"/>
      <c r="L334" s="261"/>
      <c r="M334" s="250"/>
      <c r="N334" s="246"/>
      <c r="O334" s="293" t="s">
        <v>418</v>
      </c>
      <c r="P334" s="246"/>
      <c r="Q334" s="294"/>
      <c r="R334" s="246"/>
      <c r="S334" s="261"/>
      <c r="T334" s="294"/>
      <c r="U334" s="246"/>
      <c r="V334" s="294"/>
      <c r="W334" s="246"/>
      <c r="X334" s="293" t="s">
        <v>418</v>
      </c>
      <c r="Y334" s="246"/>
      <c r="Z334" s="261"/>
      <c r="AA334" s="250"/>
      <c r="AB334" s="246"/>
      <c r="AC334" s="294"/>
      <c r="AD334" s="246"/>
      <c r="AE334" s="293" t="s">
        <v>418</v>
      </c>
      <c r="AF334" s="246"/>
      <c r="AG334" s="261"/>
      <c r="AH334" s="294"/>
      <c r="AI334" s="246"/>
      <c r="AJ334" s="293" t="s">
        <v>418</v>
      </c>
      <c r="AK334" s="246"/>
      <c r="AL334" s="294"/>
      <c r="AM334" s="246"/>
      <c r="AN334" s="261"/>
      <c r="AO334" s="250"/>
      <c r="AP334" s="246"/>
      <c r="AQ334" s="250"/>
      <c r="AR334" s="246"/>
      <c r="AS334" s="250"/>
      <c r="AT334" s="254" t="str">
        <f t="shared" ref="AT334:AT335" si="65">IF(COUNTIF($AO$80:$AT$82, #REF!) &gt; 0, "X", "")</f>
        <v/>
      </c>
      <c r="AU334" s="269"/>
      <c r="AV334" s="269"/>
    </row>
    <row r="335">
      <c r="A335" s="94"/>
      <c r="B335" s="296" t="s">
        <v>650</v>
      </c>
      <c r="C335" s="297" t="s">
        <v>649</v>
      </c>
      <c r="D335" s="659" t="s">
        <v>422</v>
      </c>
      <c r="E335" s="259"/>
      <c r="F335" s="299"/>
      <c r="G335" s="298"/>
      <c r="H335" s="299"/>
      <c r="I335" s="298"/>
      <c r="J335" s="299"/>
      <c r="K335" s="298"/>
      <c r="L335" s="261"/>
      <c r="M335" s="250"/>
      <c r="N335" s="298"/>
      <c r="O335" s="299"/>
      <c r="P335" s="298"/>
      <c r="Q335" s="299"/>
      <c r="R335" s="298"/>
      <c r="S335" s="261"/>
      <c r="T335" s="299"/>
      <c r="U335" s="298"/>
      <c r="V335" s="299"/>
      <c r="W335" s="298"/>
      <c r="X335" s="299"/>
      <c r="Y335" s="298"/>
      <c r="Z335" s="261"/>
      <c r="AA335" s="250"/>
      <c r="AB335" s="298"/>
      <c r="AC335" s="299"/>
      <c r="AD335" s="298"/>
      <c r="AE335" s="299"/>
      <c r="AF335" s="298"/>
      <c r="AG335" s="261"/>
      <c r="AH335" s="299"/>
      <c r="AI335" s="298"/>
      <c r="AJ335" s="299"/>
      <c r="AK335" s="298"/>
      <c r="AL335" s="299"/>
      <c r="AM335" s="298"/>
      <c r="AN335" s="261"/>
      <c r="AO335" s="250"/>
      <c r="AP335" s="298"/>
      <c r="AQ335" s="250"/>
      <c r="AR335" s="298"/>
      <c r="AS335" s="250"/>
      <c r="AT335" s="254" t="str">
        <f t="shared" si="65"/>
        <v/>
      </c>
      <c r="AU335" s="269"/>
      <c r="AV335" s="269"/>
    </row>
    <row r="336">
      <c r="A336" s="94"/>
      <c r="B336" s="301" t="s">
        <v>651</v>
      </c>
      <c r="C336" s="302" t="s">
        <v>652</v>
      </c>
      <c r="D336" s="475" t="s">
        <v>432</v>
      </c>
      <c r="E336" s="259"/>
      <c r="F336" s="303"/>
      <c r="G336" s="298"/>
      <c r="H336" s="303"/>
      <c r="I336" s="298"/>
      <c r="J336" s="303"/>
      <c r="K336" s="298"/>
      <c r="L336" s="261"/>
      <c r="M336" s="250"/>
      <c r="N336" s="298"/>
      <c r="O336" s="303"/>
      <c r="P336" s="298"/>
      <c r="Q336" s="303"/>
      <c r="R336" s="298"/>
      <c r="S336" s="261"/>
      <c r="T336" s="303"/>
      <c r="U336" s="298"/>
      <c r="V336" s="303"/>
      <c r="W336" s="298"/>
      <c r="X336" s="303"/>
      <c r="Y336" s="298"/>
      <c r="Z336" s="261"/>
      <c r="AA336" s="250"/>
      <c r="AB336" s="298"/>
      <c r="AC336" s="303"/>
      <c r="AD336" s="298"/>
      <c r="AE336" s="303"/>
      <c r="AF336" s="298"/>
      <c r="AG336" s="261"/>
      <c r="AH336" s="303"/>
      <c r="AI336" s="298"/>
      <c r="AJ336" s="303"/>
      <c r="AK336" s="298"/>
      <c r="AL336" s="303"/>
      <c r="AM336" s="298"/>
      <c r="AN336" s="261"/>
      <c r="AO336" s="250"/>
      <c r="AP336" s="298"/>
      <c r="AQ336" s="250"/>
      <c r="AR336" s="298"/>
      <c r="AS336" s="250"/>
      <c r="AT336" s="254" t="str">
        <f t="shared" ref="AT336:AT337" si="66">IF(COUNTIF($AO$80:$AT$82, AS337) &gt; 0, "X", "")</f>
        <v/>
      </c>
      <c r="AU336" s="269"/>
      <c r="AV336" s="269"/>
    </row>
    <row r="337">
      <c r="A337" s="94"/>
      <c r="B337" s="305" t="s">
        <v>653</v>
      </c>
      <c r="C337" s="306" t="s">
        <v>654</v>
      </c>
      <c r="D337" s="336" t="s">
        <v>398</v>
      </c>
      <c r="E337" s="259"/>
      <c r="F337" s="307"/>
      <c r="G337" s="298"/>
      <c r="H337" s="307"/>
      <c r="I337" s="298"/>
      <c r="J337" s="307"/>
      <c r="K337" s="298"/>
      <c r="L337" s="261"/>
      <c r="M337" s="250"/>
      <c r="N337" s="298"/>
      <c r="O337" s="309" t="s">
        <v>458</v>
      </c>
      <c r="P337" s="298"/>
      <c r="Q337" s="307"/>
      <c r="R337" s="298"/>
      <c r="S337" s="261"/>
      <c r="T337" s="307"/>
      <c r="U337" s="298"/>
      <c r="V337" s="307"/>
      <c r="W337" s="298"/>
      <c r="X337" s="307"/>
      <c r="Y337" s="298"/>
      <c r="Z337" s="261"/>
      <c r="AA337" s="250"/>
      <c r="AB337" s="298"/>
      <c r="AC337" s="307"/>
      <c r="AD337" s="298"/>
      <c r="AE337" s="395" t="s">
        <v>398</v>
      </c>
      <c r="AF337" s="298"/>
      <c r="AG337" s="261"/>
      <c r="AH337" s="307"/>
      <c r="AI337" s="298"/>
      <c r="AJ337" s="307"/>
      <c r="AK337" s="298"/>
      <c r="AL337" s="307"/>
      <c r="AM337" s="298"/>
      <c r="AN337" s="261"/>
      <c r="AO337" s="250"/>
      <c r="AP337" s="298"/>
      <c r="AQ337" s="250"/>
      <c r="AR337" s="298"/>
      <c r="AS337" s="250"/>
      <c r="AT337" s="254" t="str">
        <f t="shared" si="66"/>
        <v/>
      </c>
      <c r="AU337" s="269"/>
      <c r="AV337" s="269"/>
    </row>
    <row r="338">
      <c r="A338" s="94"/>
      <c r="B338" s="310" t="s">
        <v>656</v>
      </c>
      <c r="C338" s="278" t="s">
        <v>657</v>
      </c>
      <c r="D338" s="243"/>
      <c r="E338" s="259"/>
      <c r="G338" s="246"/>
      <c r="I338" s="246"/>
      <c r="J338" s="282"/>
      <c r="K338" s="246"/>
      <c r="L338" s="261"/>
      <c r="M338" s="250"/>
      <c r="N338" s="246"/>
      <c r="O338" s="311" t="s">
        <v>434</v>
      </c>
      <c r="P338" s="246"/>
      <c r="R338" s="246"/>
      <c r="S338" s="261"/>
      <c r="T338" s="282"/>
      <c r="U338" s="246"/>
      <c r="V338" s="282"/>
      <c r="W338" s="246"/>
      <c r="X338" s="282"/>
      <c r="Y338" s="246"/>
      <c r="Z338" s="261"/>
      <c r="AA338" s="250"/>
      <c r="AB338" s="246"/>
      <c r="AD338" s="246"/>
      <c r="AE338" s="274" t="s">
        <v>449</v>
      </c>
      <c r="AF338" s="246"/>
      <c r="AG338" s="261"/>
      <c r="AH338" s="282"/>
      <c r="AI338" s="246"/>
      <c r="AJ338" s="282"/>
      <c r="AK338" s="246"/>
      <c r="AL338" s="282"/>
      <c r="AM338" s="246"/>
      <c r="AN338" s="261"/>
      <c r="AO338" s="250"/>
      <c r="AP338" s="246"/>
      <c r="AQ338" s="250"/>
      <c r="AR338" s="246"/>
      <c r="AS338" s="250"/>
      <c r="AT338" s="254" t="str">
        <f t="shared" ref="AT338:AT340" si="67">IF(COUNTIF($AO$80:$AT$82, #REF!) &gt; 0, "X", "")</f>
        <v/>
      </c>
      <c r="AU338" s="269"/>
      <c r="AV338" s="269"/>
    </row>
    <row r="339">
      <c r="A339" s="94"/>
      <c r="B339" s="277" t="s">
        <v>658</v>
      </c>
      <c r="C339" s="278" t="s">
        <v>657</v>
      </c>
      <c r="D339" s="243"/>
      <c r="E339" s="259"/>
      <c r="F339" s="282"/>
      <c r="G339" s="246"/>
      <c r="I339" s="246"/>
      <c r="K339" s="246"/>
      <c r="L339" s="261"/>
      <c r="M339" s="250"/>
      <c r="N339" s="246"/>
      <c r="O339" s="336" t="s">
        <v>398</v>
      </c>
      <c r="P339" s="246"/>
      <c r="R339" s="246"/>
      <c r="S339" s="261"/>
      <c r="T339" s="282"/>
      <c r="U339" s="246"/>
      <c r="V339" s="282"/>
      <c r="W339" s="246"/>
      <c r="Y339" s="246"/>
      <c r="Z339" s="261"/>
      <c r="AA339" s="250"/>
      <c r="AB339" s="246"/>
      <c r="AD339" s="246"/>
      <c r="AE339" s="274" t="s">
        <v>414</v>
      </c>
      <c r="AF339" s="246"/>
      <c r="AG339" s="261"/>
      <c r="AI339" s="246"/>
      <c r="AK339" s="246"/>
      <c r="AM339" s="246"/>
      <c r="AN339" s="261"/>
      <c r="AO339" s="250"/>
      <c r="AP339" s="246"/>
      <c r="AQ339" s="250"/>
      <c r="AR339" s="246"/>
      <c r="AS339" s="250"/>
      <c r="AT339" s="254" t="str">
        <f t="shared" si="67"/>
        <v/>
      </c>
      <c r="AU339" s="269"/>
      <c r="AV339" s="269"/>
    </row>
    <row r="340">
      <c r="A340" s="94"/>
      <c r="B340" s="314" t="s">
        <v>660</v>
      </c>
      <c r="C340" s="315" t="s">
        <v>649</v>
      </c>
      <c r="D340" s="243"/>
      <c r="E340" s="259"/>
      <c r="F340" s="293" t="s">
        <v>424</v>
      </c>
      <c r="G340" s="246"/>
      <c r="H340" s="253" t="s">
        <v>417</v>
      </c>
      <c r="I340" s="246"/>
      <c r="J340" s="293" t="s">
        <v>416</v>
      </c>
      <c r="K340" s="246"/>
      <c r="L340" s="261"/>
      <c r="M340" s="316"/>
      <c r="N340" s="246"/>
      <c r="O340" s="293" t="s">
        <v>416</v>
      </c>
      <c r="P340" s="246"/>
      <c r="Q340" s="293" t="s">
        <v>421</v>
      </c>
      <c r="R340" s="246"/>
      <c r="S340" s="261"/>
      <c r="T340" s="632" t="s">
        <v>423</v>
      </c>
      <c r="U340" s="246"/>
      <c r="V340" s="293" t="s">
        <v>416</v>
      </c>
      <c r="W340" s="246"/>
      <c r="X340" s="293" t="s">
        <v>421</v>
      </c>
      <c r="Y340" s="246"/>
      <c r="Z340" s="261"/>
      <c r="AA340" s="250"/>
      <c r="AB340" s="246"/>
      <c r="AC340" s="293" t="s">
        <v>416</v>
      </c>
      <c r="AD340" s="246"/>
      <c r="AE340" s="293" t="s">
        <v>424</v>
      </c>
      <c r="AF340" s="246"/>
      <c r="AG340" s="261"/>
      <c r="AH340" s="317"/>
      <c r="AI340" s="246"/>
      <c r="AJ340" s="293" t="s">
        <v>416</v>
      </c>
      <c r="AK340" s="246"/>
      <c r="AL340" s="471" t="s">
        <v>419</v>
      </c>
      <c r="AM340" s="246"/>
      <c r="AN340" s="261"/>
      <c r="AO340" s="316"/>
      <c r="AP340" s="246"/>
      <c r="AQ340" s="316"/>
      <c r="AR340" s="246"/>
      <c r="AS340" s="316"/>
      <c r="AT340" s="254" t="str">
        <f t="shared" si="67"/>
        <v/>
      </c>
      <c r="AU340" s="269"/>
      <c r="AV340" s="269"/>
    </row>
    <row r="341">
      <c r="A341" s="94"/>
      <c r="B341" s="296" t="s">
        <v>650</v>
      </c>
      <c r="C341" s="297" t="s">
        <v>649</v>
      </c>
      <c r="D341" s="243"/>
      <c r="E341" s="259"/>
      <c r="F341" s="300"/>
      <c r="G341" s="298"/>
      <c r="H341" s="300"/>
      <c r="I341" s="298"/>
      <c r="J341" s="300"/>
      <c r="K341" s="298"/>
      <c r="L341" s="261"/>
      <c r="M341" s="250"/>
      <c r="N341" s="298"/>
      <c r="O341" s="300"/>
      <c r="P341" s="298"/>
      <c r="Q341" s="632" t="s">
        <v>423</v>
      </c>
      <c r="R341" s="298"/>
      <c r="S341" s="261"/>
      <c r="T341" s="300"/>
      <c r="U341" s="298"/>
      <c r="V341" s="300"/>
      <c r="W341" s="298"/>
      <c r="X341" s="300"/>
      <c r="Y341" s="298"/>
      <c r="Z341" s="261"/>
      <c r="AA341" s="250"/>
      <c r="AB341" s="298"/>
      <c r="AC341" s="319"/>
      <c r="AD341" s="298"/>
      <c r="AE341" s="319"/>
      <c r="AF341" s="298"/>
      <c r="AG341" s="261"/>
      <c r="AH341" s="317"/>
      <c r="AI341" s="298"/>
      <c r="AJ341" s="319"/>
      <c r="AK341" s="298"/>
      <c r="AL341" s="300"/>
      <c r="AM341" s="298"/>
      <c r="AN341" s="261"/>
      <c r="AO341" s="250"/>
      <c r="AP341" s="298"/>
      <c r="AQ341" s="250"/>
      <c r="AR341" s="298"/>
      <c r="AS341" s="250"/>
      <c r="AT341" s="254" t="str">
        <f>IF(COUNTIF($AO$80:$AT$82, AS342) &gt; 0, "X", "")</f>
        <v/>
      </c>
      <c r="AU341" s="269"/>
      <c r="AV341" s="269"/>
    </row>
    <row r="342">
      <c r="A342" s="94"/>
      <c r="B342" s="301" t="s">
        <v>651</v>
      </c>
      <c r="C342" s="302" t="s">
        <v>652</v>
      </c>
      <c r="D342" s="323"/>
      <c r="E342" s="259"/>
      <c r="F342" s="303"/>
      <c r="G342" s="298"/>
      <c r="H342" s="303"/>
      <c r="I342" s="298"/>
      <c r="J342" s="321" t="s">
        <v>1085</v>
      </c>
      <c r="K342" s="298"/>
      <c r="L342" s="261"/>
      <c r="M342" s="250"/>
      <c r="N342" s="298"/>
      <c r="O342" s="303"/>
      <c r="P342" s="298"/>
      <c r="Q342" s="321" t="s">
        <v>1085</v>
      </c>
      <c r="R342" s="298"/>
      <c r="S342" s="261"/>
      <c r="T342" s="303"/>
      <c r="U342" s="298"/>
      <c r="V342" s="303"/>
      <c r="W342" s="298"/>
      <c r="X342" s="321" t="s">
        <v>1085</v>
      </c>
      <c r="Y342" s="298"/>
      <c r="Z342" s="261"/>
      <c r="AA342" s="250"/>
      <c r="AB342" s="298"/>
      <c r="AC342" s="303"/>
      <c r="AD342" s="298"/>
      <c r="AE342" s="321" t="s">
        <v>1085</v>
      </c>
      <c r="AF342" s="298"/>
      <c r="AG342" s="261"/>
      <c r="AH342" s="320"/>
      <c r="AI342" s="298"/>
      <c r="AJ342" s="303"/>
      <c r="AK342" s="298"/>
      <c r="AL342" s="321" t="s">
        <v>1085</v>
      </c>
      <c r="AM342" s="298"/>
      <c r="AN342" s="261"/>
      <c r="AO342" s="250"/>
      <c r="AP342" s="298"/>
      <c r="AQ342" s="250"/>
      <c r="AR342" s="298"/>
      <c r="AS342" s="250"/>
      <c r="AT342" s="254" t="str">
        <f t="shared" ref="AT342:AT343" si="68">IF(COUNTIF($AO$80:$AT$82, #REF!) &gt; 0, "X", "")</f>
        <v/>
      </c>
      <c r="AU342" s="269"/>
      <c r="AV342" s="269"/>
    </row>
    <row r="343">
      <c r="A343" s="94"/>
      <c r="B343" s="322" t="s">
        <v>662</v>
      </c>
      <c r="C343" s="306" t="s">
        <v>663</v>
      </c>
      <c r="D343" s="330"/>
      <c r="E343" s="259"/>
      <c r="F343" s="307"/>
      <c r="G343" s="298"/>
      <c r="H343" s="307"/>
      <c r="I343" s="298"/>
      <c r="K343" s="298"/>
      <c r="L343" s="261"/>
      <c r="M343" s="324"/>
      <c r="N343" s="298"/>
      <c r="O343" s="307"/>
      <c r="P343" s="298"/>
      <c r="Q343" s="309" t="s">
        <v>415</v>
      </c>
      <c r="R343" s="298"/>
      <c r="S343" s="261"/>
      <c r="T343" s="307"/>
      <c r="U343" s="298"/>
      <c r="V343" s="307"/>
      <c r="W343" s="298"/>
      <c r="X343" s="309" t="s">
        <v>414</v>
      </c>
      <c r="Y343" s="298"/>
      <c r="Z343" s="261"/>
      <c r="AA343" s="250"/>
      <c r="AB343" s="298"/>
      <c r="AC343" s="307"/>
      <c r="AD343" s="298"/>
      <c r="AE343" s="309" t="s">
        <v>409</v>
      </c>
      <c r="AF343" s="298"/>
      <c r="AG343" s="261"/>
      <c r="AH343" s="317"/>
      <c r="AI343" s="298"/>
      <c r="AJ343" s="307"/>
      <c r="AK343" s="298"/>
      <c r="AL343" s="309" t="s">
        <v>409</v>
      </c>
      <c r="AM343" s="298"/>
      <c r="AN343" s="261"/>
      <c r="AO343" s="324"/>
      <c r="AP343" s="298"/>
      <c r="AQ343" s="324"/>
      <c r="AR343" s="298"/>
      <c r="AS343" s="324"/>
      <c r="AT343" s="254" t="str">
        <f t="shared" si="68"/>
        <v/>
      </c>
      <c r="AU343" s="269"/>
      <c r="AV343" s="269"/>
    </row>
    <row r="344">
      <c r="A344" s="94"/>
      <c r="B344" s="328" t="s">
        <v>665</v>
      </c>
      <c r="C344" s="329" t="s">
        <v>654</v>
      </c>
      <c r="D344" s="330"/>
      <c r="E344" s="259"/>
      <c r="F344" s="311" t="s">
        <v>439</v>
      </c>
      <c r="G344" s="246"/>
      <c r="H344" s="274" t="s">
        <v>458</v>
      </c>
      <c r="I344" s="246"/>
      <c r="J344" s="311" t="s">
        <v>434</v>
      </c>
      <c r="K344" s="246"/>
      <c r="L344" s="261"/>
      <c r="M344" s="333"/>
      <c r="N344" s="246"/>
      <c r="O344" s="311" t="s">
        <v>459</v>
      </c>
      <c r="P344" s="246"/>
      <c r="Q344" s="274" t="s">
        <v>449</v>
      </c>
      <c r="R344" s="246"/>
      <c r="S344" s="261"/>
      <c r="T344" s="311" t="s">
        <v>439</v>
      </c>
      <c r="U344" s="246"/>
      <c r="V344" s="311" t="s">
        <v>459</v>
      </c>
      <c r="W344" s="246"/>
      <c r="X344" s="311" t="s">
        <v>434</v>
      </c>
      <c r="Y344" s="246"/>
      <c r="Z344" s="261"/>
      <c r="AA344" s="250"/>
      <c r="AB344" s="246"/>
      <c r="AC344" s="274" t="s">
        <v>439</v>
      </c>
      <c r="AD344" s="246"/>
      <c r="AE344" s="311" t="s">
        <v>434</v>
      </c>
      <c r="AF344" s="246"/>
      <c r="AG344" s="261"/>
      <c r="AH344" s="320"/>
      <c r="AI344" s="246"/>
      <c r="AJ344" s="274" t="s">
        <v>439</v>
      </c>
      <c r="AK344" s="246"/>
      <c r="AL344" s="311" t="s">
        <v>434</v>
      </c>
      <c r="AM344" s="246"/>
      <c r="AN344" s="261"/>
      <c r="AO344" s="333"/>
      <c r="AP344" s="246"/>
      <c r="AQ344" s="333"/>
      <c r="AR344" s="246"/>
      <c r="AS344" s="333"/>
      <c r="AT344" s="254" t="str">
        <f>IF(COUNTIF($AO$80:$AT$82, AL354) &gt; 0, "X", "")</f>
        <v/>
      </c>
      <c r="AU344" s="269"/>
      <c r="AV344" s="269"/>
    </row>
    <row r="345">
      <c r="A345" s="94"/>
      <c r="B345" s="337" t="s">
        <v>665</v>
      </c>
      <c r="C345" s="338" t="s">
        <v>657</v>
      </c>
      <c r="D345" s="330"/>
      <c r="E345" s="259"/>
      <c r="F345" s="339" t="s">
        <v>468</v>
      </c>
      <c r="G345" s="246"/>
      <c r="H345" s="311" t="s">
        <v>459</v>
      </c>
      <c r="I345" s="246"/>
      <c r="J345" s="339" t="s">
        <v>447</v>
      </c>
      <c r="K345" s="246"/>
      <c r="L345" s="261"/>
      <c r="M345" s="324"/>
      <c r="N345" s="246"/>
      <c r="O345" s="339" t="s">
        <v>431</v>
      </c>
      <c r="P345" s="246"/>
      <c r="Q345" s="274" t="s">
        <v>443</v>
      </c>
      <c r="R345" s="246"/>
      <c r="S345" s="261"/>
      <c r="T345" s="339" t="s">
        <v>468</v>
      </c>
      <c r="U345" s="246"/>
      <c r="V345" s="274" t="s">
        <v>458</v>
      </c>
      <c r="W345" s="246"/>
      <c r="X345" s="339" t="s">
        <v>447</v>
      </c>
      <c r="Y345" s="246"/>
      <c r="Z345" s="261"/>
      <c r="AA345" s="250"/>
      <c r="AB345" s="246"/>
      <c r="AC345" s="311" t="s">
        <v>459</v>
      </c>
      <c r="AD345" s="246"/>
      <c r="AE345" s="339" t="s">
        <v>447</v>
      </c>
      <c r="AF345" s="246"/>
      <c r="AG345" s="261"/>
      <c r="AH345" s="320"/>
      <c r="AI345" s="246"/>
      <c r="AJ345" s="311" t="s">
        <v>459</v>
      </c>
      <c r="AK345" s="246"/>
      <c r="AL345" s="339" t="s">
        <v>447</v>
      </c>
      <c r="AM345" s="246"/>
      <c r="AN345" s="261"/>
      <c r="AO345" s="324"/>
      <c r="AP345" s="246"/>
      <c r="AQ345" s="324"/>
      <c r="AR345" s="246"/>
      <c r="AS345" s="324"/>
      <c r="AT345" s="254" t="str">
        <f t="shared" ref="AT345:AT349" si="69">IF(COUNTIF($AO$80:$AT$82, #REF!) &gt; 0, "X", "")</f>
        <v/>
      </c>
      <c r="AU345" s="269"/>
      <c r="AV345" s="269"/>
    </row>
    <row r="346">
      <c r="A346" s="94"/>
      <c r="B346" s="256" t="s">
        <v>665</v>
      </c>
      <c r="C346" s="257" t="s">
        <v>663</v>
      </c>
      <c r="D346" s="330"/>
      <c r="E346" s="259"/>
      <c r="G346" s="246"/>
      <c r="H346" s="336" t="s">
        <v>450</v>
      </c>
      <c r="I346" s="784"/>
      <c r="J346" s="274" t="s">
        <v>415</v>
      </c>
      <c r="K346" s="246"/>
      <c r="L346" s="261"/>
      <c r="M346" s="341"/>
      <c r="N346" s="246"/>
      <c r="O346" s="339" t="s">
        <v>1087</v>
      </c>
      <c r="P346" s="246"/>
      <c r="Q346" s="274" t="s">
        <v>448</v>
      </c>
      <c r="R346" s="246"/>
      <c r="S346" s="261"/>
      <c r="T346" s="739"/>
      <c r="U346" s="246"/>
      <c r="V346" s="336" t="s">
        <v>450</v>
      </c>
      <c r="W346" s="246"/>
      <c r="X346" s="274" t="s">
        <v>448</v>
      </c>
      <c r="Y346" s="246"/>
      <c r="Z346" s="261"/>
      <c r="AA346" s="250"/>
      <c r="AB346" s="246"/>
      <c r="AC346" s="336" t="s">
        <v>450</v>
      </c>
      <c r="AD346" s="246"/>
      <c r="AE346" s="339" t="s">
        <v>468</v>
      </c>
      <c r="AF346" s="246"/>
      <c r="AG346" s="261"/>
      <c r="AH346" s="320"/>
      <c r="AI346" s="246"/>
      <c r="AJ346" s="336" t="s">
        <v>450</v>
      </c>
      <c r="AK346" s="246"/>
      <c r="AL346" s="664" t="s">
        <v>976</v>
      </c>
      <c r="AM346" s="246"/>
      <c r="AN346" s="261"/>
      <c r="AO346" s="341"/>
      <c r="AP346" s="246"/>
      <c r="AQ346" s="341"/>
      <c r="AR346" s="246"/>
      <c r="AS346" s="341"/>
      <c r="AT346" s="254" t="str">
        <f t="shared" si="69"/>
        <v/>
      </c>
      <c r="AU346" s="269"/>
      <c r="AV346" s="269"/>
    </row>
    <row r="347">
      <c r="A347" s="94"/>
      <c r="B347" s="328" t="s">
        <v>665</v>
      </c>
      <c r="C347" s="329" t="s">
        <v>645</v>
      </c>
      <c r="D347" s="323"/>
      <c r="E347" s="261"/>
      <c r="F347" s="274" t="s">
        <v>448</v>
      </c>
      <c r="G347" s="246"/>
      <c r="H347" s="664" t="s">
        <v>1029</v>
      </c>
      <c r="I347" s="246"/>
      <c r="J347" s="274" t="s">
        <v>443</v>
      </c>
      <c r="K347" s="246"/>
      <c r="L347" s="261"/>
      <c r="M347" s="341"/>
      <c r="N347" s="246"/>
      <c r="O347" s="336" t="s">
        <v>450</v>
      </c>
      <c r="P347" s="246"/>
      <c r="Q347" s="339" t="s">
        <v>468</v>
      </c>
      <c r="R347" s="246"/>
      <c r="S347" s="261"/>
      <c r="T347" s="274" t="s">
        <v>415</v>
      </c>
      <c r="U347" s="246"/>
      <c r="V347" s="339" t="s">
        <v>431</v>
      </c>
      <c r="W347" s="246"/>
      <c r="X347" s="274" t="s">
        <v>443</v>
      </c>
      <c r="Y347" s="246"/>
      <c r="Z347" s="261"/>
      <c r="AA347" s="347" t="s">
        <v>401</v>
      </c>
      <c r="AB347" s="246"/>
      <c r="AC347" s="339" t="s">
        <v>431</v>
      </c>
      <c r="AD347" s="246"/>
      <c r="AE347" s="348" t="s">
        <v>989</v>
      </c>
      <c r="AF347" s="246"/>
      <c r="AG347" s="261"/>
      <c r="AH347" s="320"/>
      <c r="AI347" s="246"/>
      <c r="AJ347" s="339" t="s">
        <v>431</v>
      </c>
      <c r="AK347" s="246"/>
      <c r="AL347" s="274" t="s">
        <v>415</v>
      </c>
      <c r="AM347" s="246"/>
      <c r="AN347" s="261"/>
      <c r="AO347" s="341"/>
      <c r="AP347" s="246"/>
      <c r="AQ347" s="341"/>
      <c r="AR347" s="246"/>
      <c r="AS347" s="341"/>
      <c r="AT347" s="254" t="str">
        <f t="shared" si="69"/>
        <v/>
      </c>
      <c r="AU347" s="269"/>
      <c r="AV347" s="269"/>
    </row>
    <row r="348">
      <c r="A348" s="94"/>
      <c r="B348" s="342" t="s">
        <v>667</v>
      </c>
      <c r="C348" s="343" t="s">
        <v>657</v>
      </c>
      <c r="D348" s="351"/>
      <c r="E348" s="259"/>
      <c r="F348" s="345" t="s">
        <v>401</v>
      </c>
      <c r="G348" s="246"/>
      <c r="H348" s="339" t="s">
        <v>1087</v>
      </c>
      <c r="I348" s="246"/>
      <c r="J348" s="274" t="s">
        <v>449</v>
      </c>
      <c r="K348" s="246"/>
      <c r="L348" s="261"/>
      <c r="M348" s="346"/>
      <c r="N348" s="246"/>
      <c r="O348" s="345" t="s">
        <v>401</v>
      </c>
      <c r="P348" s="246"/>
      <c r="Q348" s="339" t="s">
        <v>447</v>
      </c>
      <c r="R348" s="246"/>
      <c r="S348" s="261"/>
      <c r="T348" s="347" t="s">
        <v>401</v>
      </c>
      <c r="U348" s="246"/>
      <c r="V348" s="339" t="s">
        <v>1087</v>
      </c>
      <c r="W348" s="246"/>
      <c r="X348" s="274" t="s">
        <v>449</v>
      </c>
      <c r="Y348" s="246"/>
      <c r="Z348" s="261"/>
      <c r="AA348" s="250"/>
      <c r="AB348" s="246"/>
      <c r="AC348" s="339" t="s">
        <v>1087</v>
      </c>
      <c r="AD348" s="246"/>
      <c r="AE348" s="348" t="s">
        <v>759</v>
      </c>
      <c r="AF348" s="246"/>
      <c r="AG348" s="261"/>
      <c r="AH348" s="345" t="s">
        <v>401</v>
      </c>
      <c r="AI348" s="246"/>
      <c r="AJ348" s="339" t="s">
        <v>1087</v>
      </c>
      <c r="AK348" s="246"/>
      <c r="AL348" s="274" t="s">
        <v>448</v>
      </c>
      <c r="AM348" s="246"/>
      <c r="AN348" s="261"/>
      <c r="AO348" s="346"/>
      <c r="AP348" s="246"/>
      <c r="AQ348" s="346"/>
      <c r="AR348" s="246"/>
      <c r="AS348" s="346"/>
      <c r="AT348" s="254" t="str">
        <f t="shared" si="69"/>
        <v/>
      </c>
      <c r="AU348" s="269"/>
      <c r="AV348" s="269"/>
    </row>
    <row r="349">
      <c r="A349" s="94"/>
      <c r="B349" s="349" t="s">
        <v>669</v>
      </c>
      <c r="C349" s="350" t="s">
        <v>649</v>
      </c>
      <c r="D349" s="323"/>
      <c r="E349" s="259"/>
      <c r="F349" s="632" t="s">
        <v>423</v>
      </c>
      <c r="G349" s="246"/>
      <c r="H349" s="633" t="s">
        <v>420</v>
      </c>
      <c r="I349" s="246"/>
      <c r="J349" s="353" t="s">
        <v>421</v>
      </c>
      <c r="K349" s="246"/>
      <c r="L349" s="261"/>
      <c r="M349" s="354"/>
      <c r="N349" s="246"/>
      <c r="O349" s="633" t="s">
        <v>420</v>
      </c>
      <c r="P349" s="246"/>
      <c r="Q349" s="353" t="s">
        <v>424</v>
      </c>
      <c r="R349" s="246"/>
      <c r="S349" s="261"/>
      <c r="T349" s="353" t="s">
        <v>422</v>
      </c>
      <c r="U349" s="246"/>
      <c r="V349" s="633" t="s">
        <v>420</v>
      </c>
      <c r="W349" s="246"/>
      <c r="X349" s="353" t="s">
        <v>424</v>
      </c>
      <c r="Y349" s="246"/>
      <c r="Z349" s="261"/>
      <c r="AA349" s="354"/>
      <c r="AB349" s="246"/>
      <c r="AC349" s="353" t="s">
        <v>421</v>
      </c>
      <c r="AD349" s="246"/>
      <c r="AE349" s="632" t="s">
        <v>423</v>
      </c>
      <c r="AF349" s="246"/>
      <c r="AG349" s="261"/>
      <c r="AH349" s="353" t="s">
        <v>422</v>
      </c>
      <c r="AI349" s="246"/>
      <c r="AJ349" s="632" t="s">
        <v>423</v>
      </c>
      <c r="AK349" s="246"/>
      <c r="AL349" s="353" t="s">
        <v>421</v>
      </c>
      <c r="AM349" s="246"/>
      <c r="AN349" s="261"/>
      <c r="AO349" s="354"/>
      <c r="AP349" s="246"/>
      <c r="AQ349" s="354"/>
      <c r="AR349" s="246"/>
      <c r="AS349" s="354"/>
      <c r="AT349" s="254" t="str">
        <f t="shared" si="69"/>
        <v/>
      </c>
      <c r="AU349" s="269"/>
      <c r="AV349" s="269"/>
    </row>
    <row r="350">
      <c r="A350" s="234"/>
      <c r="B350" s="296" t="s">
        <v>650</v>
      </c>
      <c r="C350" s="297" t="s">
        <v>649</v>
      </c>
      <c r="D350" s="330"/>
      <c r="E350" s="259"/>
      <c r="F350" s="299"/>
      <c r="G350" s="298"/>
      <c r="H350" s="694" t="s">
        <v>397</v>
      </c>
      <c r="I350" s="298"/>
      <c r="J350" s="299"/>
      <c r="K350" s="298"/>
      <c r="L350" s="261"/>
      <c r="M350" s="324"/>
      <c r="N350" s="298"/>
      <c r="O350" s="253" t="s">
        <v>417</v>
      </c>
      <c r="P350" s="298"/>
      <c r="Q350" s="319"/>
      <c r="R350" s="298"/>
      <c r="S350" s="261"/>
      <c r="T350" s="319"/>
      <c r="U350" s="298"/>
      <c r="V350" s="253" t="s">
        <v>417</v>
      </c>
      <c r="W350" s="298"/>
      <c r="X350" s="319"/>
      <c r="Y350" s="298"/>
      <c r="Z350" s="261"/>
      <c r="AA350" s="324"/>
      <c r="AB350" s="298"/>
      <c r="AC350" s="694" t="s">
        <v>397</v>
      </c>
      <c r="AD350" s="298"/>
      <c r="AE350" s="319"/>
      <c r="AF350" s="298"/>
      <c r="AG350" s="261"/>
      <c r="AH350" s="319"/>
      <c r="AI350" s="298"/>
      <c r="AJ350" s="694"/>
      <c r="AK350" s="298"/>
      <c r="AL350" s="319"/>
      <c r="AM350" s="298"/>
      <c r="AN350" s="261"/>
      <c r="AO350" s="324"/>
      <c r="AP350" s="298"/>
      <c r="AQ350" s="324"/>
      <c r="AR350" s="298"/>
      <c r="AS350" s="324"/>
      <c r="AT350" s="254" t="str">
        <f>IF(COUNTIF($AO$80:$AT$82, AS351) &gt; 0, "X", "")</f>
        <v/>
      </c>
      <c r="AU350" s="269"/>
      <c r="AV350" s="269"/>
    </row>
    <row r="351">
      <c r="A351" s="94"/>
      <c r="B351" s="301" t="s">
        <v>651</v>
      </c>
      <c r="C351" s="302" t="s">
        <v>652</v>
      </c>
      <c r="D351" s="363"/>
      <c r="E351" s="259"/>
      <c r="F351" s="321" t="s">
        <v>1054</v>
      </c>
      <c r="G351" s="298"/>
      <c r="H351" s="304"/>
      <c r="I351" s="298"/>
      <c r="J351" s="303"/>
      <c r="K351" s="298"/>
      <c r="L351" s="261"/>
      <c r="M351" s="250"/>
      <c r="N351" s="298"/>
      <c r="O351" s="304"/>
      <c r="P351" s="298"/>
      <c r="Q351" s="303"/>
      <c r="R351" s="298"/>
      <c r="S351" s="261"/>
      <c r="T351" s="303"/>
      <c r="U351" s="298"/>
      <c r="V351" s="303"/>
      <c r="W351" s="298"/>
      <c r="X351" s="303"/>
      <c r="Y351" s="298"/>
      <c r="Z351" s="261"/>
      <c r="AA351" s="250"/>
      <c r="AB351" s="298"/>
      <c r="AC351" s="304"/>
      <c r="AD351" s="298"/>
      <c r="AE351" s="321" t="s">
        <v>1054</v>
      </c>
      <c r="AF351" s="298"/>
      <c r="AG351" s="261"/>
      <c r="AH351" s="303"/>
      <c r="AI351" s="298"/>
      <c r="AJ351" s="304"/>
      <c r="AK351" s="298"/>
      <c r="AL351" s="484"/>
      <c r="AM351" s="298"/>
      <c r="AN351" s="261"/>
      <c r="AO351" s="250"/>
      <c r="AP351" s="298"/>
      <c r="AQ351" s="250"/>
      <c r="AR351" s="298"/>
      <c r="AS351" s="250"/>
      <c r="AT351" s="254" t="str">
        <f t="shared" ref="AT351:AT352" si="70">IF(COUNTIF($AO$80:$AT$82, #REF!) &gt; 0, "X", "")</f>
        <v/>
      </c>
      <c r="AU351" s="269"/>
      <c r="AV351" s="269"/>
    </row>
    <row r="352">
      <c r="A352" s="94"/>
      <c r="B352" s="361" t="s">
        <v>673</v>
      </c>
      <c r="C352" s="362" t="s">
        <v>674</v>
      </c>
      <c r="D352" s="369"/>
      <c r="E352" s="259"/>
      <c r="F352" s="311" t="s">
        <v>394</v>
      </c>
      <c r="G352" s="298"/>
      <c r="H352" s="311" t="s">
        <v>438</v>
      </c>
      <c r="I352" s="298"/>
      <c r="J352" s="339" t="s">
        <v>765</v>
      </c>
      <c r="K352" s="298"/>
      <c r="L352" s="261"/>
      <c r="M352" s="324"/>
      <c r="N352" s="298"/>
      <c r="O352" s="336" t="s">
        <v>412</v>
      </c>
      <c r="P352" s="298"/>
      <c r="Q352" s="311" t="s">
        <v>394</v>
      </c>
      <c r="R352" s="298"/>
      <c r="S352" s="261"/>
      <c r="T352" s="311" t="s">
        <v>394</v>
      </c>
      <c r="U352" s="298"/>
      <c r="V352" s="336" t="s">
        <v>412</v>
      </c>
      <c r="W352" s="298"/>
      <c r="X352" s="339" t="s">
        <v>765</v>
      </c>
      <c r="Y352" s="298"/>
      <c r="Z352" s="261"/>
      <c r="AA352" s="324"/>
      <c r="AB352" s="298"/>
      <c r="AC352" s="336" t="s">
        <v>412</v>
      </c>
      <c r="AD352" s="298"/>
      <c r="AE352" s="311" t="s">
        <v>394</v>
      </c>
      <c r="AF352" s="298"/>
      <c r="AG352" s="261"/>
      <c r="AH352" s="365" t="s">
        <v>433</v>
      </c>
      <c r="AI352" s="298"/>
      <c r="AJ352" s="336" t="s">
        <v>412</v>
      </c>
      <c r="AK352" s="298"/>
      <c r="AL352" s="251" t="s">
        <v>457</v>
      </c>
      <c r="AM352" s="298"/>
      <c r="AN352" s="261"/>
      <c r="AO352" s="324"/>
      <c r="AP352" s="298"/>
      <c r="AQ352" s="324"/>
      <c r="AR352" s="298"/>
      <c r="AS352" s="324"/>
      <c r="AT352" s="254" t="str">
        <f t="shared" si="70"/>
        <v/>
      </c>
      <c r="AU352" s="269"/>
      <c r="AV352" s="269"/>
    </row>
    <row r="353">
      <c r="A353" s="94"/>
      <c r="B353" s="367" t="s">
        <v>677</v>
      </c>
      <c r="C353" s="368" t="s">
        <v>674</v>
      </c>
      <c r="D353" s="330"/>
      <c r="E353" s="259"/>
      <c r="G353" s="246"/>
      <c r="I353" s="246"/>
      <c r="J353" s="339" t="s">
        <v>931</v>
      </c>
      <c r="K353" s="246"/>
      <c r="L353" s="261"/>
      <c r="M353" s="250"/>
      <c r="N353" s="246"/>
      <c r="P353" s="246"/>
      <c r="Q353" s="339" t="s">
        <v>931</v>
      </c>
      <c r="R353" s="246"/>
      <c r="S353" s="261"/>
      <c r="U353" s="246"/>
      <c r="V353" s="336" t="s">
        <v>398</v>
      </c>
      <c r="W353" s="246"/>
      <c r="X353" s="339" t="s">
        <v>931</v>
      </c>
      <c r="Y353" s="246"/>
      <c r="Z353" s="261"/>
      <c r="AA353" s="250"/>
      <c r="AB353" s="246"/>
      <c r="AD353" s="246"/>
      <c r="AE353" s="339" t="s">
        <v>931</v>
      </c>
      <c r="AF353" s="246"/>
      <c r="AG353" s="261"/>
      <c r="AH353" s="371"/>
      <c r="AI353" s="246"/>
      <c r="AK353" s="246"/>
      <c r="AL353" s="339" t="s">
        <v>931</v>
      </c>
      <c r="AM353" s="246"/>
      <c r="AN353" s="261"/>
      <c r="AO353" s="250"/>
      <c r="AP353" s="246"/>
      <c r="AQ353" s="250"/>
      <c r="AR353" s="246"/>
      <c r="AS353" s="250"/>
      <c r="AT353" s="254" t="str">
        <f>IF(COUNTIF($AO$80:$AT$82, AS353) &gt; 0, "X", "")</f>
        <v/>
      </c>
      <c r="AU353" s="269"/>
      <c r="AV353" s="269"/>
    </row>
    <row r="354">
      <c r="A354" s="94"/>
      <c r="B354" s="256" t="s">
        <v>679</v>
      </c>
      <c r="C354" s="257" t="s">
        <v>680</v>
      </c>
      <c r="D354" s="330"/>
      <c r="E354" s="259"/>
      <c r="F354" s="311" t="s">
        <v>393</v>
      </c>
      <c r="G354" s="246"/>
      <c r="H354" s="311" t="s">
        <v>436</v>
      </c>
      <c r="I354" s="246"/>
      <c r="J354" s="251" t="s">
        <v>433</v>
      </c>
      <c r="K354" s="246"/>
      <c r="L354" s="261"/>
      <c r="M354" s="333"/>
      <c r="N354" s="246"/>
      <c r="O354" s="311" t="s">
        <v>436</v>
      </c>
      <c r="P354" s="246"/>
      <c r="Q354" s="365" t="s">
        <v>433</v>
      </c>
      <c r="R354" s="246"/>
      <c r="S354" s="261"/>
      <c r="T354" s="274" t="s">
        <v>437</v>
      </c>
      <c r="U354" s="246"/>
      <c r="V354" s="311" t="s">
        <v>436</v>
      </c>
      <c r="W354" s="246"/>
      <c r="X354" s="365" t="s">
        <v>433</v>
      </c>
      <c r="Y354" s="246"/>
      <c r="Z354" s="261"/>
      <c r="AA354" s="333"/>
      <c r="AB354" s="246"/>
      <c r="AC354" s="311" t="s">
        <v>436</v>
      </c>
      <c r="AD354" s="246"/>
      <c r="AE354" s="251" t="s">
        <v>433</v>
      </c>
      <c r="AF354" s="246"/>
      <c r="AG354" s="261"/>
      <c r="AH354" s="311" t="s">
        <v>393</v>
      </c>
      <c r="AI354" s="246"/>
      <c r="AJ354" s="274" t="s">
        <v>406</v>
      </c>
      <c r="AK354" s="246"/>
      <c r="AL354" s="274" t="s">
        <v>443</v>
      </c>
      <c r="AM354" s="246"/>
      <c r="AN354" s="261"/>
      <c r="AO354" s="333"/>
      <c r="AP354" s="246"/>
      <c r="AQ354" s="333"/>
      <c r="AR354" s="246"/>
      <c r="AS354" s="333"/>
      <c r="AT354" s="254" t="str">
        <f t="shared" ref="AT354:AT358" si="71">IF(COUNTIF($AO$80:$AT$82, #REF!) &gt; 0, "X", "")</f>
        <v/>
      </c>
      <c r="AU354" s="269"/>
      <c r="AV354" s="269"/>
    </row>
    <row r="355">
      <c r="A355" s="372"/>
      <c r="B355" s="328" t="s">
        <v>679</v>
      </c>
      <c r="C355" s="329" t="s">
        <v>652</v>
      </c>
      <c r="D355" s="330"/>
      <c r="E355" s="259"/>
      <c r="F355" s="516"/>
      <c r="G355" s="246"/>
      <c r="H355" s="282"/>
      <c r="I355" s="246"/>
      <c r="K355" s="246"/>
      <c r="L355" s="261"/>
      <c r="M355" s="346"/>
      <c r="N355" s="246"/>
      <c r="P355" s="246"/>
      <c r="Q355" s="579" t="s">
        <v>837</v>
      </c>
      <c r="R355" s="246"/>
      <c r="S355" s="261"/>
      <c r="U355" s="246"/>
      <c r="W355" s="246"/>
      <c r="Y355" s="246"/>
      <c r="Z355" s="261"/>
      <c r="AA355" s="346"/>
      <c r="AB355" s="246"/>
      <c r="AC355" s="376" t="s">
        <v>453</v>
      </c>
      <c r="AD355" s="246"/>
      <c r="AE355" s="251" t="s">
        <v>457</v>
      </c>
      <c r="AF355" s="246"/>
      <c r="AG355" s="261"/>
      <c r="AH355" s="274" t="s">
        <v>437</v>
      </c>
      <c r="AI355" s="246"/>
      <c r="AK355" s="246"/>
      <c r="AM355" s="246"/>
      <c r="AN355" s="261"/>
      <c r="AO355" s="346"/>
      <c r="AP355" s="246"/>
      <c r="AQ355" s="346"/>
      <c r="AR355" s="246"/>
      <c r="AS355" s="346"/>
      <c r="AT355" s="254" t="str">
        <f t="shared" si="71"/>
        <v/>
      </c>
      <c r="AU355" s="269"/>
      <c r="AV355" s="269"/>
    </row>
    <row r="356">
      <c r="A356" s="94"/>
      <c r="B356" s="328" t="s">
        <v>679</v>
      </c>
      <c r="C356" s="329" t="s">
        <v>683</v>
      </c>
      <c r="D356" s="379"/>
      <c r="E356" s="380"/>
      <c r="F356" s="274" t="s">
        <v>437</v>
      </c>
      <c r="G356" s="246"/>
      <c r="H356" s="336" t="s">
        <v>398</v>
      </c>
      <c r="I356" s="246"/>
      <c r="J356" s="376" t="s">
        <v>466</v>
      </c>
      <c r="K356" s="246"/>
      <c r="L356" s="261"/>
      <c r="M356" s="341"/>
      <c r="N356" s="246"/>
      <c r="O356" s="311" t="s">
        <v>439</v>
      </c>
      <c r="P356" s="246"/>
      <c r="Q356" s="311" t="s">
        <v>455</v>
      </c>
      <c r="R356" s="246"/>
      <c r="S356" s="261"/>
      <c r="T356" s="311" t="s">
        <v>455</v>
      </c>
      <c r="U356" s="246"/>
      <c r="V356" s="274" t="s">
        <v>406</v>
      </c>
      <c r="W356" s="246"/>
      <c r="Y356" s="246"/>
      <c r="Z356" s="261"/>
      <c r="AA356" s="341"/>
      <c r="AB356" s="246"/>
      <c r="AC356" s="251" t="s">
        <v>407</v>
      </c>
      <c r="AD356" s="246"/>
      <c r="AE356" s="311" t="s">
        <v>455</v>
      </c>
      <c r="AF356" s="246"/>
      <c r="AG356" s="261"/>
      <c r="AI356" s="246"/>
      <c r="AJ356" s="311" t="s">
        <v>436</v>
      </c>
      <c r="AK356" s="246"/>
      <c r="AL356" s="311" t="s">
        <v>455</v>
      </c>
      <c r="AM356" s="246"/>
      <c r="AN356" s="261"/>
      <c r="AO356" s="341"/>
      <c r="AP356" s="246"/>
      <c r="AQ356" s="341"/>
      <c r="AR356" s="246"/>
      <c r="AS356" s="341"/>
      <c r="AT356" s="254" t="str">
        <f t="shared" si="71"/>
        <v/>
      </c>
      <c r="AU356" s="269"/>
      <c r="AV356" s="269"/>
    </row>
    <row r="357">
      <c r="A357" s="94"/>
      <c r="B357" s="377" t="s">
        <v>684</v>
      </c>
      <c r="C357" s="378" t="s">
        <v>685</v>
      </c>
      <c r="D357" s="363"/>
      <c r="E357" s="259"/>
      <c r="F357" s="516"/>
      <c r="G357" s="246"/>
      <c r="I357" s="246"/>
      <c r="J357" s="516"/>
      <c r="K357" s="246"/>
      <c r="L357" s="381"/>
      <c r="M357" s="341"/>
      <c r="N357" s="246"/>
      <c r="P357" s="246"/>
      <c r="R357" s="246"/>
      <c r="S357" s="381"/>
      <c r="U357" s="246"/>
      <c r="W357" s="246"/>
      <c r="X357" s="311" t="s">
        <v>410</v>
      </c>
      <c r="Y357" s="246"/>
      <c r="Z357" s="381"/>
      <c r="AA357" s="341"/>
      <c r="AB357" s="246"/>
      <c r="AC357" s="282"/>
      <c r="AD357" s="246"/>
      <c r="AF357" s="246"/>
      <c r="AG357" s="381"/>
      <c r="AI357" s="246"/>
      <c r="AK357" s="246"/>
      <c r="AL357" s="251" t="s">
        <v>405</v>
      </c>
      <c r="AM357" s="246"/>
      <c r="AN357" s="381"/>
      <c r="AO357" s="341"/>
      <c r="AP357" s="246"/>
      <c r="AQ357" s="341"/>
      <c r="AR357" s="246"/>
      <c r="AS357" s="341"/>
      <c r="AT357" s="254" t="str">
        <f t="shared" si="71"/>
        <v/>
      </c>
      <c r="AU357" s="269"/>
      <c r="AV357" s="269"/>
    </row>
    <row r="358">
      <c r="A358" s="270"/>
      <c r="B358" s="382" t="s">
        <v>686</v>
      </c>
      <c r="C358" s="242" t="s">
        <v>652</v>
      </c>
      <c r="D358" s="330"/>
      <c r="E358" s="259"/>
      <c r="F358" s="311" t="s">
        <v>455</v>
      </c>
      <c r="G358" s="246"/>
      <c r="H358" s="251" t="s">
        <v>435</v>
      </c>
      <c r="I358" s="246"/>
      <c r="J358" s="376" t="s">
        <v>453</v>
      </c>
      <c r="K358" s="246"/>
      <c r="L358" s="261"/>
      <c r="M358" s="341"/>
      <c r="N358" s="246"/>
      <c r="O358" s="251" t="s">
        <v>435</v>
      </c>
      <c r="P358" s="246"/>
      <c r="Q358" s="376" t="s">
        <v>453</v>
      </c>
      <c r="R358" s="246"/>
      <c r="S358" s="261"/>
      <c r="T358" s="376" t="s">
        <v>453</v>
      </c>
      <c r="U358" s="246"/>
      <c r="V358" s="251" t="s">
        <v>435</v>
      </c>
      <c r="W358" s="246"/>
      <c r="X358" s="376" t="s">
        <v>466</v>
      </c>
      <c r="Y358" s="246"/>
      <c r="Z358" s="261"/>
      <c r="AA358" s="341"/>
      <c r="AB358" s="246"/>
      <c r="AC358" s="251" t="s">
        <v>435</v>
      </c>
      <c r="AD358" s="246"/>
      <c r="AE358" s="376" t="s">
        <v>466</v>
      </c>
      <c r="AF358" s="246"/>
      <c r="AG358" s="261"/>
      <c r="AH358" s="376" t="s">
        <v>453</v>
      </c>
      <c r="AI358" s="246"/>
      <c r="AJ358" s="274" t="s">
        <v>435</v>
      </c>
      <c r="AK358" s="246"/>
      <c r="AL358" s="376" t="s">
        <v>466</v>
      </c>
      <c r="AM358" s="246"/>
      <c r="AN358" s="261"/>
      <c r="AO358" s="341"/>
      <c r="AP358" s="246"/>
      <c r="AQ358" s="341"/>
      <c r="AR358" s="246"/>
      <c r="AS358" s="341"/>
      <c r="AT358" s="254" t="str">
        <f t="shared" si="71"/>
        <v/>
      </c>
      <c r="AU358" s="269"/>
      <c r="AV358" s="269"/>
    </row>
    <row r="359">
      <c r="A359" s="234"/>
      <c r="B359" s="337" t="s">
        <v>686</v>
      </c>
      <c r="C359" s="338" t="s">
        <v>687</v>
      </c>
      <c r="D359" s="330"/>
      <c r="E359" s="259"/>
      <c r="G359" s="246"/>
      <c r="H359" s="385" t="s">
        <v>428</v>
      </c>
      <c r="I359" s="246"/>
      <c r="J359" s="251" t="s">
        <v>429</v>
      </c>
      <c r="K359" s="246"/>
      <c r="L359" s="261"/>
      <c r="M359" s="250"/>
      <c r="N359" s="246"/>
      <c r="O359" s="385" t="s">
        <v>428</v>
      </c>
      <c r="P359" s="246"/>
      <c r="Q359" s="251" t="s">
        <v>429</v>
      </c>
      <c r="R359" s="246"/>
      <c r="S359" s="261"/>
      <c r="U359" s="246"/>
      <c r="V359" s="383" t="s">
        <v>428</v>
      </c>
      <c r="W359" s="246"/>
      <c r="X359" s="251" t="s">
        <v>429</v>
      </c>
      <c r="Y359" s="246"/>
      <c r="Z359" s="261"/>
      <c r="AA359" s="250"/>
      <c r="AB359" s="246"/>
      <c r="AC359" s="385" t="s">
        <v>428</v>
      </c>
      <c r="AD359" s="246"/>
      <c r="AE359" s="251" t="s">
        <v>429</v>
      </c>
      <c r="AF359" s="246"/>
      <c r="AG359" s="261"/>
      <c r="AI359" s="246"/>
      <c r="AJ359" s="385" t="s">
        <v>428</v>
      </c>
      <c r="AK359" s="246"/>
      <c r="AL359" s="251" t="s">
        <v>429</v>
      </c>
      <c r="AM359" s="246"/>
      <c r="AN359" s="261"/>
      <c r="AO359" s="250"/>
      <c r="AP359" s="246"/>
      <c r="AQ359" s="250"/>
      <c r="AR359" s="246"/>
      <c r="AS359" s="250"/>
      <c r="AT359" s="254" t="str">
        <f>IF(COUNTIF($AO$80:$AT$82, AS358) &gt; 0, "X", "")</f>
        <v/>
      </c>
      <c r="AU359" s="269"/>
      <c r="AV359" s="269"/>
    </row>
    <row r="360">
      <c r="A360" s="94"/>
      <c r="B360" s="337" t="s">
        <v>688</v>
      </c>
      <c r="C360" s="285" t="s">
        <v>687</v>
      </c>
      <c r="D360" s="389"/>
      <c r="E360" s="259"/>
      <c r="G360" s="246"/>
      <c r="H360" s="265"/>
      <c r="I360" s="246"/>
      <c r="K360" s="246"/>
      <c r="L360" s="261"/>
      <c r="M360" s="262"/>
      <c r="N360" s="246"/>
      <c r="P360" s="246"/>
      <c r="R360" s="246"/>
      <c r="S360" s="261"/>
      <c r="U360" s="246"/>
      <c r="W360" s="246"/>
      <c r="Y360" s="246"/>
      <c r="Z360" s="261"/>
      <c r="AA360" s="262"/>
      <c r="AB360" s="246"/>
      <c r="AD360" s="246"/>
      <c r="AF360" s="246"/>
      <c r="AG360" s="261"/>
      <c r="AI360" s="246"/>
      <c r="AK360" s="246"/>
      <c r="AM360" s="246"/>
      <c r="AN360" s="261"/>
      <c r="AO360" s="262"/>
      <c r="AP360" s="246"/>
      <c r="AQ360" s="262"/>
      <c r="AR360" s="246"/>
      <c r="AS360" s="262"/>
      <c r="AT360" s="254" t="str">
        <f>IF(COUNTIF($AO$80:$AT$82, #REF!) &gt; 0, "X", "")</f>
        <v/>
      </c>
      <c r="AU360" s="269"/>
      <c r="AV360" s="269"/>
    </row>
    <row r="361">
      <c r="A361" s="94"/>
      <c r="B361" s="387" t="s">
        <v>690</v>
      </c>
      <c r="C361" s="388" t="s">
        <v>649</v>
      </c>
      <c r="D361" s="323"/>
      <c r="E361" s="259"/>
      <c r="F361" s="390"/>
      <c r="G361" s="246"/>
      <c r="H361" s="390"/>
      <c r="I361" s="246"/>
      <c r="J361" s="390"/>
      <c r="K361" s="246"/>
      <c r="L361" s="261"/>
      <c r="M361" s="250"/>
      <c r="N361" s="246"/>
      <c r="O361" s="357" t="s">
        <v>670</v>
      </c>
      <c r="P361" s="246"/>
      <c r="Q361" s="390"/>
      <c r="R361" s="246"/>
      <c r="S361" s="261"/>
      <c r="T361" s="390"/>
      <c r="U361" s="246"/>
      <c r="V361" s="633" t="s">
        <v>420</v>
      </c>
      <c r="W361" s="246"/>
      <c r="X361" s="390"/>
      <c r="Y361" s="246"/>
      <c r="Z361" s="261"/>
      <c r="AA361" s="250"/>
      <c r="AB361" s="246"/>
      <c r="AC361" s="390"/>
      <c r="AD361" s="246"/>
      <c r="AE361" s="390"/>
      <c r="AF361" s="246"/>
      <c r="AG361" s="261"/>
      <c r="AH361" s="390"/>
      <c r="AI361" s="246"/>
      <c r="AJ361" s="390"/>
      <c r="AK361" s="246"/>
      <c r="AL361" s="390"/>
      <c r="AM361" s="246"/>
      <c r="AN361" s="261"/>
      <c r="AO361" s="250"/>
      <c r="AP361" s="246"/>
      <c r="AQ361" s="250"/>
      <c r="AR361" s="246"/>
      <c r="AS361" s="250"/>
      <c r="AT361" s="254" t="str">
        <f t="shared" ref="AT361:AT368" si="72">IF(COUNTIF($AO$80:$AT$82, AS362) &gt; 0, "X", "")</f>
        <v/>
      </c>
      <c r="AU361" s="269"/>
      <c r="AV361" s="269"/>
    </row>
    <row r="362">
      <c r="A362" s="94"/>
      <c r="B362" s="296" t="s">
        <v>650</v>
      </c>
      <c r="C362" s="297" t="s">
        <v>649</v>
      </c>
      <c r="D362" s="323"/>
      <c r="E362" s="261"/>
      <c r="F362" s="300"/>
      <c r="G362" s="246"/>
      <c r="H362" s="319"/>
      <c r="I362" s="246"/>
      <c r="J362" s="300"/>
      <c r="K362" s="246"/>
      <c r="L362" s="261"/>
      <c r="M362" s="250"/>
      <c r="N362" s="246"/>
      <c r="O362" s="300"/>
      <c r="P362" s="246"/>
      <c r="Q362" s="300"/>
      <c r="R362" s="246"/>
      <c r="S362" s="261"/>
      <c r="T362" s="300"/>
      <c r="U362" s="246"/>
      <c r="V362" s="300"/>
      <c r="W362" s="246"/>
      <c r="X362" s="300"/>
      <c r="Y362" s="246"/>
      <c r="Z362" s="261"/>
      <c r="AA362" s="250"/>
      <c r="AB362" s="246"/>
      <c r="AC362" s="300"/>
      <c r="AD362" s="246"/>
      <c r="AE362" s="300"/>
      <c r="AF362" s="246"/>
      <c r="AG362" s="261"/>
      <c r="AH362" s="300"/>
      <c r="AI362" s="246"/>
      <c r="AJ362" s="300"/>
      <c r="AK362" s="246"/>
      <c r="AL362" s="300"/>
      <c r="AM362" s="246"/>
      <c r="AN362" s="261"/>
      <c r="AO362" s="250"/>
      <c r="AP362" s="246"/>
      <c r="AQ362" s="250"/>
      <c r="AR362" s="246"/>
      <c r="AS362" s="250"/>
      <c r="AT362" s="254" t="str">
        <f t="shared" si="72"/>
        <v/>
      </c>
      <c r="AU362" s="269"/>
      <c r="AV362" s="269"/>
    </row>
    <row r="363">
      <c r="A363" s="94"/>
      <c r="B363" s="301" t="s">
        <v>651</v>
      </c>
      <c r="C363" s="391" t="s">
        <v>652</v>
      </c>
      <c r="D363" s="323"/>
      <c r="E363" s="259"/>
      <c r="F363" s="304"/>
      <c r="G363" s="246"/>
      <c r="H363" s="304"/>
      <c r="I363" s="246"/>
      <c r="J363" s="304"/>
      <c r="K363" s="246"/>
      <c r="L363" s="261"/>
      <c r="M363" s="250"/>
      <c r="N363" s="246"/>
      <c r="O363" s="304"/>
      <c r="P363" s="246"/>
      <c r="Q363" s="304"/>
      <c r="R363" s="246"/>
      <c r="S363" s="261"/>
      <c r="T363" s="304"/>
      <c r="U363" s="246"/>
      <c r="V363" s="304"/>
      <c r="W363" s="246"/>
      <c r="X363" s="304"/>
      <c r="Y363" s="246"/>
      <c r="Z363" s="261"/>
      <c r="AA363" s="250"/>
      <c r="AB363" s="246"/>
      <c r="AC363" s="304"/>
      <c r="AD363" s="246"/>
      <c r="AE363" s="304"/>
      <c r="AF363" s="246"/>
      <c r="AG363" s="261"/>
      <c r="AH363" s="304"/>
      <c r="AI363" s="246"/>
      <c r="AJ363" s="304"/>
      <c r="AK363" s="246"/>
      <c r="AL363" s="304"/>
      <c r="AM363" s="246"/>
      <c r="AN363" s="261"/>
      <c r="AO363" s="250"/>
      <c r="AP363" s="246"/>
      <c r="AQ363" s="250"/>
      <c r="AR363" s="246"/>
      <c r="AS363" s="250"/>
      <c r="AT363" s="254" t="str">
        <f t="shared" si="72"/>
        <v/>
      </c>
      <c r="AU363" s="269"/>
      <c r="AV363" s="269"/>
    </row>
    <row r="364">
      <c r="A364" s="94"/>
      <c r="B364" s="392" t="s">
        <v>691</v>
      </c>
      <c r="C364" s="393" t="s">
        <v>652</v>
      </c>
      <c r="D364" s="330"/>
      <c r="E364" s="259"/>
      <c r="F364" s="307"/>
      <c r="G364" s="246"/>
      <c r="H364" s="307"/>
      <c r="I364" s="246"/>
      <c r="J364" s="307"/>
      <c r="K364" s="246"/>
      <c r="L364" s="261"/>
      <c r="M364" s="250"/>
      <c r="N364" s="246"/>
      <c r="O364" s="696" t="s">
        <v>397</v>
      </c>
      <c r="P364" s="246"/>
      <c r="Q364" s="307"/>
      <c r="R364" s="246"/>
      <c r="S364" s="261"/>
      <c r="T364" s="307"/>
      <c r="U364" s="246"/>
      <c r="V364" s="696" t="s">
        <v>397</v>
      </c>
      <c r="W364" s="246"/>
      <c r="X364" s="307"/>
      <c r="Y364" s="246"/>
      <c r="Z364" s="261"/>
      <c r="AA364" s="250"/>
      <c r="AB364" s="246"/>
      <c r="AC364" s="307"/>
      <c r="AD364" s="246"/>
      <c r="AE364" s="307"/>
      <c r="AF364" s="246"/>
      <c r="AG364" s="261"/>
      <c r="AH364" s="307"/>
      <c r="AI364" s="246"/>
      <c r="AJ364" s="307"/>
      <c r="AK364" s="246"/>
      <c r="AL364" s="307"/>
      <c r="AM364" s="246"/>
      <c r="AN364" s="261"/>
      <c r="AO364" s="250"/>
      <c r="AP364" s="246"/>
      <c r="AQ364" s="250"/>
      <c r="AR364" s="246"/>
      <c r="AS364" s="250"/>
      <c r="AT364" s="254" t="str">
        <f t="shared" si="72"/>
        <v/>
      </c>
      <c r="AU364" s="269"/>
      <c r="AV364" s="269"/>
    </row>
    <row r="365">
      <c r="A365" s="94"/>
      <c r="B365" s="328" t="s">
        <v>692</v>
      </c>
      <c r="C365" s="329" t="s">
        <v>652</v>
      </c>
      <c r="D365" s="369"/>
      <c r="E365" s="259"/>
      <c r="F365" s="371"/>
      <c r="G365" s="246"/>
      <c r="H365" s="371"/>
      <c r="I365" s="246"/>
      <c r="J365" s="282"/>
      <c r="K365" s="246"/>
      <c r="L365" s="261"/>
      <c r="M365" s="250"/>
      <c r="N365" s="246"/>
      <c r="O365" s="311" t="s">
        <v>438</v>
      </c>
      <c r="P365" s="246"/>
      <c r="Q365" s="371"/>
      <c r="R365" s="246"/>
      <c r="S365" s="261"/>
      <c r="T365" s="371"/>
      <c r="U365" s="246"/>
      <c r="V365" s="282"/>
      <c r="W365" s="246"/>
      <c r="X365" s="371"/>
      <c r="Y365" s="246"/>
      <c r="Z365" s="261"/>
      <c r="AA365" s="250"/>
      <c r="AB365" s="246"/>
      <c r="AC365" s="371"/>
      <c r="AD365" s="246"/>
      <c r="AE365" s="371"/>
      <c r="AF365" s="246"/>
      <c r="AG365" s="261"/>
      <c r="AH365" s="371"/>
      <c r="AI365" s="246"/>
      <c r="AJ365" s="371"/>
      <c r="AK365" s="246"/>
      <c r="AL365" s="371"/>
      <c r="AM365" s="246"/>
      <c r="AN365" s="261"/>
      <c r="AO365" s="250"/>
      <c r="AP365" s="246"/>
      <c r="AQ365" s="250"/>
      <c r="AR365" s="246"/>
      <c r="AS365" s="250"/>
      <c r="AT365" s="254" t="str">
        <f t="shared" si="72"/>
        <v/>
      </c>
      <c r="AU365" s="269"/>
      <c r="AV365" s="269"/>
    </row>
    <row r="366">
      <c r="A366" s="94"/>
      <c r="B366" s="397" t="s">
        <v>692</v>
      </c>
      <c r="C366" s="398" t="s">
        <v>687</v>
      </c>
      <c r="D366" s="389"/>
      <c r="E366" s="259"/>
      <c r="F366" s="399"/>
      <c r="G366" s="246"/>
      <c r="H366" s="399"/>
      <c r="I366" s="246"/>
      <c r="J366" s="399"/>
      <c r="K366" s="246"/>
      <c r="L366" s="261"/>
      <c r="M366" s="250"/>
      <c r="N366" s="246"/>
      <c r="P366" s="246"/>
      <c r="Q366" s="282"/>
      <c r="R366" s="246"/>
      <c r="S366" s="261"/>
      <c r="T366" s="282"/>
      <c r="U366" s="246"/>
      <c r="V366" s="282"/>
      <c r="W366" s="246"/>
      <c r="X366" s="399"/>
      <c r="Y366" s="246"/>
      <c r="Z366" s="261"/>
      <c r="AA366" s="250"/>
      <c r="AB366" s="246"/>
      <c r="AC366" s="399"/>
      <c r="AD366" s="246"/>
      <c r="AE366" s="399"/>
      <c r="AF366" s="246"/>
      <c r="AG366" s="261"/>
      <c r="AH366" s="399"/>
      <c r="AI366" s="246"/>
      <c r="AJ366" s="399"/>
      <c r="AK366" s="246"/>
      <c r="AL366" s="399"/>
      <c r="AM366" s="246"/>
      <c r="AN366" s="261"/>
      <c r="AO366" s="250"/>
      <c r="AP366" s="246"/>
      <c r="AQ366" s="250"/>
      <c r="AR366" s="246"/>
      <c r="AS366" s="250"/>
      <c r="AT366" s="254" t="str">
        <f t="shared" si="72"/>
        <v/>
      </c>
      <c r="AU366" s="269"/>
      <c r="AV366" s="269"/>
    </row>
    <row r="367">
      <c r="A367" s="94"/>
      <c r="B367" s="387" t="s">
        <v>694</v>
      </c>
      <c r="C367" s="388" t="s">
        <v>649</v>
      </c>
      <c r="D367" s="323"/>
      <c r="E367" s="259"/>
      <c r="F367" s="390"/>
      <c r="G367" s="246"/>
      <c r="H367" s="390"/>
      <c r="I367" s="246"/>
      <c r="J367" s="390"/>
      <c r="K367" s="246"/>
      <c r="L367" s="261"/>
      <c r="M367" s="250"/>
      <c r="N367" s="246"/>
      <c r="O367" s="390"/>
      <c r="P367" s="246"/>
      <c r="Q367" s="357"/>
      <c r="R367" s="246"/>
      <c r="S367" s="261"/>
      <c r="T367" s="357"/>
      <c r="U367" s="246"/>
      <c r="V367" s="390"/>
      <c r="W367" s="246"/>
      <c r="X367" s="357" t="s">
        <v>425</v>
      </c>
      <c r="Y367" s="246"/>
      <c r="Z367" s="261"/>
      <c r="AA367" s="250"/>
      <c r="AB367" s="246"/>
      <c r="AC367" s="390"/>
      <c r="AD367" s="246"/>
      <c r="AE367" s="357" t="s">
        <v>425</v>
      </c>
      <c r="AF367" s="246"/>
      <c r="AG367" s="261"/>
      <c r="AH367" s="390"/>
      <c r="AI367" s="246"/>
      <c r="AJ367" s="390"/>
      <c r="AK367" s="246"/>
      <c r="AL367" s="357" t="s">
        <v>425</v>
      </c>
      <c r="AM367" s="246"/>
      <c r="AN367" s="261"/>
      <c r="AO367" s="250"/>
      <c r="AP367" s="246"/>
      <c r="AQ367" s="250"/>
      <c r="AR367" s="246"/>
      <c r="AS367" s="250"/>
      <c r="AT367" s="254" t="str">
        <f t="shared" si="72"/>
        <v/>
      </c>
      <c r="AU367" s="269"/>
      <c r="AV367" s="269"/>
    </row>
    <row r="368">
      <c r="A368" s="94"/>
      <c r="B368" s="296" t="s">
        <v>650</v>
      </c>
      <c r="C368" s="297" t="s">
        <v>649</v>
      </c>
      <c r="D368" s="323"/>
      <c r="E368" s="261"/>
      <c r="F368" s="300"/>
      <c r="G368" s="298"/>
      <c r="H368" s="300"/>
      <c r="I368" s="298"/>
      <c r="J368" s="300"/>
      <c r="K368" s="298"/>
      <c r="L368" s="261"/>
      <c r="M368" s="250"/>
      <c r="N368" s="298"/>
      <c r="O368" s="300"/>
      <c r="P368" s="298"/>
      <c r="Q368" s="319"/>
      <c r="R368" s="298"/>
      <c r="S368" s="261"/>
      <c r="T368" s="319"/>
      <c r="U368" s="298"/>
      <c r="V368" s="300"/>
      <c r="W368" s="298"/>
      <c r="X368" s="300"/>
      <c r="Y368" s="298"/>
      <c r="Z368" s="261"/>
      <c r="AA368" s="250"/>
      <c r="AB368" s="298"/>
      <c r="AC368" s="300"/>
      <c r="AD368" s="298"/>
      <c r="AE368" s="300"/>
      <c r="AF368" s="298"/>
      <c r="AG368" s="261"/>
      <c r="AH368" s="300"/>
      <c r="AI368" s="298"/>
      <c r="AJ368" s="300"/>
      <c r="AK368" s="298"/>
      <c r="AL368" s="300"/>
      <c r="AM368" s="298"/>
      <c r="AN368" s="261"/>
      <c r="AO368" s="250"/>
      <c r="AP368" s="298"/>
      <c r="AQ368" s="250"/>
      <c r="AR368" s="298"/>
      <c r="AS368" s="250"/>
      <c r="AT368" s="254" t="str">
        <f t="shared" si="72"/>
        <v/>
      </c>
      <c r="AU368" s="269"/>
      <c r="AV368" s="269"/>
    </row>
    <row r="369">
      <c r="A369" s="94"/>
      <c r="B369" s="301" t="s">
        <v>651</v>
      </c>
      <c r="C369" s="391" t="s">
        <v>652</v>
      </c>
      <c r="D369" s="323"/>
      <c r="E369" s="259"/>
      <c r="F369" s="304"/>
      <c r="G369" s="298"/>
      <c r="H369" s="304"/>
      <c r="I369" s="298"/>
      <c r="J369" s="304"/>
      <c r="K369" s="298"/>
      <c r="L369" s="261"/>
      <c r="M369" s="250"/>
      <c r="N369" s="298"/>
      <c r="O369" s="304"/>
      <c r="P369" s="298"/>
      <c r="Q369" s="304"/>
      <c r="R369" s="298"/>
      <c r="S369" s="261"/>
      <c r="T369" s="304"/>
      <c r="U369" s="298"/>
      <c r="V369" s="304"/>
      <c r="W369" s="298"/>
      <c r="X369" s="304"/>
      <c r="Y369" s="298"/>
      <c r="Z369" s="261"/>
      <c r="AA369" s="250"/>
      <c r="AB369" s="298"/>
      <c r="AC369" s="304"/>
      <c r="AD369" s="298"/>
      <c r="AE369" s="304"/>
      <c r="AF369" s="298"/>
      <c r="AG369" s="261"/>
      <c r="AH369" s="304"/>
      <c r="AI369" s="298"/>
      <c r="AJ369" s="304"/>
      <c r="AK369" s="298"/>
      <c r="AL369" s="304"/>
      <c r="AM369" s="298"/>
      <c r="AN369" s="261"/>
      <c r="AO369" s="250"/>
      <c r="AP369" s="298"/>
      <c r="AQ369" s="250"/>
      <c r="AR369" s="298"/>
      <c r="AS369" s="250"/>
      <c r="AT369" s="254" t="str">
        <f t="shared" ref="AT369:AT370" si="73">IF(COUNTIF($AO$80:$AT$82, #REF!) &gt; 0, "X", "")</f>
        <v/>
      </c>
      <c r="AU369" s="269"/>
      <c r="AV369" s="269"/>
    </row>
    <row r="370">
      <c r="A370" s="94"/>
      <c r="B370" s="392" t="s">
        <v>691</v>
      </c>
      <c r="C370" s="393" t="s">
        <v>652</v>
      </c>
      <c r="D370" s="330"/>
      <c r="E370" s="259"/>
      <c r="F370" s="307"/>
      <c r="G370" s="298"/>
      <c r="H370" s="307"/>
      <c r="I370" s="298"/>
      <c r="J370" s="307"/>
      <c r="K370" s="298"/>
      <c r="L370" s="261"/>
      <c r="M370" s="250"/>
      <c r="N370" s="298"/>
      <c r="O370" s="307"/>
      <c r="P370" s="298"/>
      <c r="Q370" s="307"/>
      <c r="R370" s="298"/>
      <c r="S370" s="261"/>
      <c r="T370" s="307"/>
      <c r="U370" s="298"/>
      <c r="V370" s="307"/>
      <c r="W370" s="298"/>
      <c r="X370" s="395" t="s">
        <v>430</v>
      </c>
      <c r="Y370" s="298"/>
      <c r="Z370" s="261"/>
      <c r="AA370" s="250"/>
      <c r="AB370" s="298"/>
      <c r="AC370" s="307"/>
      <c r="AD370" s="298"/>
      <c r="AE370" s="395" t="s">
        <v>430</v>
      </c>
      <c r="AF370" s="298"/>
      <c r="AG370" s="261"/>
      <c r="AH370" s="307"/>
      <c r="AI370" s="298"/>
      <c r="AJ370" s="307"/>
      <c r="AK370" s="298"/>
      <c r="AL370" s="308" t="s">
        <v>445</v>
      </c>
      <c r="AM370" s="298"/>
      <c r="AN370" s="261"/>
      <c r="AO370" s="250"/>
      <c r="AP370" s="298"/>
      <c r="AQ370" s="250"/>
      <c r="AR370" s="298"/>
      <c r="AS370" s="250"/>
      <c r="AT370" s="254" t="str">
        <f t="shared" si="73"/>
        <v/>
      </c>
      <c r="AU370" s="269"/>
      <c r="AV370" s="269"/>
    </row>
    <row r="371">
      <c r="A371" s="94"/>
      <c r="B371" s="328" t="s">
        <v>692</v>
      </c>
      <c r="C371" s="329" t="s">
        <v>652</v>
      </c>
      <c r="D371" s="369"/>
      <c r="E371" s="259"/>
      <c r="F371" s="371"/>
      <c r="G371" s="246"/>
      <c r="I371" s="246"/>
      <c r="J371" s="371"/>
      <c r="K371" s="246"/>
      <c r="L371" s="261"/>
      <c r="M371" s="250"/>
      <c r="N371" s="246"/>
      <c r="O371" s="371"/>
      <c r="P371" s="246"/>
      <c r="Q371" s="371"/>
      <c r="R371" s="246"/>
      <c r="S371" s="261"/>
      <c r="T371" s="371"/>
      <c r="U371" s="246"/>
      <c r="V371" s="371"/>
      <c r="W371" s="246"/>
      <c r="X371" s="282"/>
      <c r="Y371" s="246"/>
      <c r="Z371" s="261"/>
      <c r="AA371" s="250"/>
      <c r="AB371" s="246"/>
      <c r="AC371" s="282"/>
      <c r="AD371" s="246"/>
      <c r="AE371" s="584"/>
      <c r="AF371" s="246"/>
      <c r="AG371" s="261"/>
      <c r="AH371" s="371"/>
      <c r="AI371" s="246"/>
      <c r="AJ371" s="371"/>
      <c r="AK371" s="246"/>
      <c r="AL371" s="282"/>
      <c r="AM371" s="246"/>
      <c r="AN371" s="261"/>
      <c r="AO371" s="250"/>
      <c r="AP371" s="246"/>
      <c r="AQ371" s="250"/>
      <c r="AR371" s="246"/>
      <c r="AS371" s="250"/>
      <c r="AT371" s="254" t="str">
        <f t="shared" ref="AT371:AT374" si="74">IF(COUNTIF($AO$80:$AT$82, AS372) &gt; 0, "X", "")</f>
        <v/>
      </c>
      <c r="AU371" s="269"/>
      <c r="AV371" s="269"/>
    </row>
    <row r="372">
      <c r="A372" s="94"/>
      <c r="B372" s="397" t="s">
        <v>692</v>
      </c>
      <c r="C372" s="398" t="s">
        <v>687</v>
      </c>
      <c r="D372" s="404"/>
      <c r="E372" s="259"/>
      <c r="F372" s="399"/>
      <c r="G372" s="246"/>
      <c r="H372" s="399"/>
      <c r="I372" s="246"/>
      <c r="J372" s="399"/>
      <c r="K372" s="246"/>
      <c r="L372" s="261"/>
      <c r="M372" s="250"/>
      <c r="N372" s="246"/>
      <c r="O372" s="399"/>
      <c r="P372" s="246"/>
      <c r="Q372" s="282"/>
      <c r="R372" s="246"/>
      <c r="S372" s="261"/>
      <c r="T372" s="282"/>
      <c r="U372" s="246"/>
      <c r="V372" s="399"/>
      <c r="W372" s="246"/>
      <c r="X372" s="399"/>
      <c r="Y372" s="246"/>
      <c r="Z372" s="261"/>
      <c r="AA372" s="250"/>
      <c r="AB372" s="246"/>
      <c r="AC372" s="282"/>
      <c r="AD372" s="246"/>
      <c r="AE372" s="399"/>
      <c r="AF372" s="246"/>
      <c r="AG372" s="261"/>
      <c r="AH372" s="399"/>
      <c r="AI372" s="246"/>
      <c r="AJ372" s="399"/>
      <c r="AK372" s="246"/>
      <c r="AL372" s="399"/>
      <c r="AM372" s="246"/>
      <c r="AN372" s="261"/>
      <c r="AO372" s="250"/>
      <c r="AP372" s="246"/>
      <c r="AQ372" s="250"/>
      <c r="AR372" s="246"/>
      <c r="AS372" s="250"/>
      <c r="AT372" s="254" t="str">
        <f t="shared" si="74"/>
        <v/>
      </c>
      <c r="AU372" s="269"/>
      <c r="AV372" s="269"/>
    </row>
    <row r="373">
      <c r="A373" s="270"/>
      <c r="B373" s="402" t="s">
        <v>699</v>
      </c>
      <c r="C373" s="403" t="s">
        <v>649</v>
      </c>
      <c r="D373" s="330"/>
      <c r="E373" s="259"/>
      <c r="F373" s="294"/>
      <c r="G373" s="246"/>
      <c r="H373" s="294"/>
      <c r="I373" s="246"/>
      <c r="J373" s="294"/>
      <c r="K373" s="246"/>
      <c r="L373" s="261"/>
      <c r="M373" s="250"/>
      <c r="N373" s="246"/>
      <c r="O373" s="294"/>
      <c r="P373" s="246"/>
      <c r="Q373" s="353" t="s">
        <v>422</v>
      </c>
      <c r="R373" s="246"/>
      <c r="S373" s="261"/>
      <c r="T373" s="294"/>
      <c r="U373" s="246"/>
      <c r="V373" s="294"/>
      <c r="W373" s="246"/>
      <c r="X373" s="294"/>
      <c r="Y373" s="246"/>
      <c r="Z373" s="261"/>
      <c r="AA373" s="250"/>
      <c r="AB373" s="246"/>
      <c r="AC373" s="294"/>
      <c r="AD373" s="246"/>
      <c r="AE373" s="353" t="s">
        <v>422</v>
      </c>
      <c r="AF373" s="246"/>
      <c r="AG373" s="261"/>
      <c r="AH373" s="294"/>
      <c r="AI373" s="246"/>
      <c r="AJ373" s="294"/>
      <c r="AK373" s="246"/>
      <c r="AL373" s="294"/>
      <c r="AM373" s="246"/>
      <c r="AN373" s="261"/>
      <c r="AO373" s="250"/>
      <c r="AP373" s="246"/>
      <c r="AQ373" s="250"/>
      <c r="AR373" s="246"/>
      <c r="AS373" s="250"/>
      <c r="AT373" s="254" t="str">
        <f t="shared" si="74"/>
        <v/>
      </c>
      <c r="AU373" s="269"/>
      <c r="AV373" s="269"/>
    </row>
    <row r="374">
      <c r="A374" s="94"/>
      <c r="B374" s="328" t="s">
        <v>700</v>
      </c>
      <c r="C374" s="329" t="s">
        <v>657</v>
      </c>
      <c r="D374" s="330"/>
      <c r="E374" s="259"/>
      <c r="F374" s="371"/>
      <c r="G374" s="246"/>
      <c r="H374" s="282"/>
      <c r="I374" s="246"/>
      <c r="J374" s="371"/>
      <c r="K374" s="246"/>
      <c r="L374" s="261"/>
      <c r="M374" s="250"/>
      <c r="N374" s="246"/>
      <c r="O374" s="371"/>
      <c r="P374" s="246"/>
      <c r="Q374" s="274" t="s">
        <v>437</v>
      </c>
      <c r="R374" s="246"/>
      <c r="S374" s="261"/>
      <c r="T374" s="371"/>
      <c r="U374" s="246"/>
      <c r="V374" s="371"/>
      <c r="W374" s="246"/>
      <c r="X374" s="371"/>
      <c r="Y374" s="246"/>
      <c r="Z374" s="261"/>
      <c r="AA374" s="250"/>
      <c r="AB374" s="246"/>
      <c r="AC374" s="371"/>
      <c r="AD374" s="246"/>
      <c r="AE374" s="274" t="s">
        <v>437</v>
      </c>
      <c r="AF374" s="246"/>
      <c r="AG374" s="261"/>
      <c r="AH374" s="371"/>
      <c r="AI374" s="246"/>
      <c r="AJ374" s="371"/>
      <c r="AK374" s="246"/>
      <c r="AL374" s="371"/>
      <c r="AM374" s="246"/>
      <c r="AN374" s="261"/>
      <c r="AO374" s="250"/>
      <c r="AP374" s="246"/>
      <c r="AQ374" s="250"/>
      <c r="AR374" s="246"/>
      <c r="AS374" s="250"/>
      <c r="AT374" s="254" t="str">
        <f t="shared" si="74"/>
        <v/>
      </c>
      <c r="AU374" s="269"/>
      <c r="AV374" s="269"/>
    </row>
    <row r="375">
      <c r="A375" s="94"/>
      <c r="B375" s="328" t="s">
        <v>700</v>
      </c>
      <c r="C375" s="329" t="s">
        <v>657</v>
      </c>
      <c r="D375" s="330"/>
      <c r="E375" s="259"/>
      <c r="F375" s="264"/>
      <c r="G375" s="246"/>
      <c r="H375" s="265"/>
      <c r="I375" s="246"/>
      <c r="J375" s="766" t="s">
        <v>529</v>
      </c>
      <c r="K375" s="246"/>
      <c r="L375" s="261"/>
      <c r="M375" s="262"/>
      <c r="N375" s="246"/>
      <c r="P375" s="246"/>
      <c r="Q375" s="405" t="s">
        <v>462</v>
      </c>
      <c r="R375" s="246"/>
      <c r="S375" s="261"/>
      <c r="T375" s="264"/>
      <c r="U375" s="246"/>
      <c r="V375" s="264"/>
      <c r="W375" s="246"/>
      <c r="X375" s="766" t="s">
        <v>529</v>
      </c>
      <c r="Y375" s="246"/>
      <c r="Z375" s="261"/>
      <c r="AA375" s="262"/>
      <c r="AB375" s="246"/>
      <c r="AD375" s="246"/>
      <c r="AE375" s="405" t="s">
        <v>462</v>
      </c>
      <c r="AF375" s="246"/>
      <c r="AG375" s="261"/>
      <c r="AH375" s="264"/>
      <c r="AI375" s="246"/>
      <c r="AJ375" s="264"/>
      <c r="AK375" s="246"/>
      <c r="AL375" s="766" t="s">
        <v>529</v>
      </c>
      <c r="AM375" s="246"/>
      <c r="AN375" s="261"/>
      <c r="AO375" s="262"/>
      <c r="AP375" s="246"/>
      <c r="AQ375" s="262"/>
      <c r="AR375" s="246"/>
      <c r="AS375" s="262"/>
      <c r="AT375" s="254" t="str">
        <f>IF(COUNTIF($AO$80:$AT$82, #REF!) &gt; 0, "X", "")</f>
        <v/>
      </c>
      <c r="AU375" s="269"/>
      <c r="AV375" s="269"/>
    </row>
    <row r="376">
      <c r="A376" s="94"/>
      <c r="B376" s="328" t="s">
        <v>700</v>
      </c>
      <c r="C376" s="329" t="s">
        <v>657</v>
      </c>
      <c r="D376" s="351"/>
      <c r="E376" s="259"/>
      <c r="F376" s="282"/>
      <c r="G376" s="246"/>
      <c r="H376" s="282"/>
      <c r="I376" s="246"/>
      <c r="J376" s="405" t="s">
        <v>462</v>
      </c>
      <c r="K376" s="246"/>
      <c r="L376" s="261"/>
      <c r="M376" s="250"/>
      <c r="N376" s="246"/>
      <c r="O376" s="766" t="s">
        <v>529</v>
      </c>
      <c r="P376" s="246"/>
      <c r="Q376" s="282"/>
      <c r="R376" s="246"/>
      <c r="S376" s="261"/>
      <c r="U376" s="246"/>
      <c r="W376" s="246"/>
      <c r="X376" s="405" t="s">
        <v>462</v>
      </c>
      <c r="Y376" s="246"/>
      <c r="Z376" s="261"/>
      <c r="AA376" s="250"/>
      <c r="AB376" s="246"/>
      <c r="AC376" s="766" t="s">
        <v>529</v>
      </c>
      <c r="AD376" s="246"/>
      <c r="AF376" s="246"/>
      <c r="AG376" s="261"/>
      <c r="AH376" s="371"/>
      <c r="AI376" s="246"/>
      <c r="AK376" s="246"/>
      <c r="AL376" s="405" t="s">
        <v>462</v>
      </c>
      <c r="AM376" s="246"/>
      <c r="AN376" s="261"/>
      <c r="AO376" s="250"/>
      <c r="AP376" s="246"/>
      <c r="AQ376" s="250"/>
      <c r="AR376" s="246"/>
      <c r="AS376" s="250"/>
      <c r="AT376" s="254" t="str">
        <f t="shared" ref="AT376:AT377" si="75">IF(COUNTIF($AO$80:$AT$82, AS377) &gt; 0, "X", "")</f>
        <v/>
      </c>
      <c r="AU376" s="269"/>
      <c r="AV376" s="269"/>
    </row>
    <row r="377">
      <c r="A377" s="94"/>
      <c r="B377" s="408" t="s">
        <v>702</v>
      </c>
      <c r="C377" s="409" t="s">
        <v>652</v>
      </c>
      <c r="D377" s="323"/>
      <c r="E377" s="259"/>
      <c r="F377" s="411"/>
      <c r="G377" s="246"/>
      <c r="H377" s="411"/>
      <c r="I377" s="246"/>
      <c r="J377" s="411"/>
      <c r="K377" s="246"/>
      <c r="L377" s="261"/>
      <c r="M377" s="262"/>
      <c r="N377" s="246"/>
      <c r="O377" s="411"/>
      <c r="P377" s="246"/>
      <c r="Q377" s="411"/>
      <c r="R377" s="246"/>
      <c r="S377" s="261"/>
      <c r="T377" s="411"/>
      <c r="U377" s="246"/>
      <c r="V377" s="411"/>
      <c r="W377" s="246"/>
      <c r="X377" s="411"/>
      <c r="Y377" s="246"/>
      <c r="Z377" s="261"/>
      <c r="AA377" s="262"/>
      <c r="AB377" s="246"/>
      <c r="AC377" s="411"/>
      <c r="AD377" s="246"/>
      <c r="AE377" s="411"/>
      <c r="AF377" s="246"/>
      <c r="AG377" s="261"/>
      <c r="AH377" s="411"/>
      <c r="AI377" s="246"/>
      <c r="AJ377" s="411"/>
      <c r="AK377" s="246"/>
      <c r="AL377" s="411"/>
      <c r="AM377" s="246"/>
      <c r="AN377" s="261"/>
      <c r="AO377" s="262"/>
      <c r="AP377" s="246"/>
      <c r="AQ377" s="262"/>
      <c r="AR377" s="246"/>
      <c r="AS377" s="262"/>
      <c r="AT377" s="254" t="str">
        <f t="shared" si="75"/>
        <v/>
      </c>
      <c r="AU377" s="269"/>
      <c r="AV377" s="269"/>
    </row>
    <row r="378">
      <c r="A378" s="234"/>
      <c r="B378" s="401" t="s">
        <v>703</v>
      </c>
      <c r="C378" s="412" t="s">
        <v>704</v>
      </c>
      <c r="D378" s="330"/>
      <c r="E378" s="259"/>
      <c r="F378" s="413"/>
      <c r="G378" s="246"/>
      <c r="H378" s="413"/>
      <c r="I378" s="246"/>
      <c r="J378" s="413"/>
      <c r="K378" s="246"/>
      <c r="L378" s="261"/>
      <c r="M378" s="262"/>
      <c r="N378" s="246"/>
      <c r="O378" s="413"/>
      <c r="P378" s="246"/>
      <c r="Q378" s="413"/>
      <c r="R378" s="246"/>
      <c r="S378" s="261"/>
      <c r="T378" s="413"/>
      <c r="U378" s="246"/>
      <c r="V378" s="413"/>
      <c r="W378" s="246"/>
      <c r="X378" s="413"/>
      <c r="Y378" s="246"/>
      <c r="Z378" s="261"/>
      <c r="AA378" s="262"/>
      <c r="AB378" s="246"/>
      <c r="AC378" s="413"/>
      <c r="AD378" s="246"/>
      <c r="AE378" s="413"/>
      <c r="AF378" s="246"/>
      <c r="AG378" s="261"/>
      <c r="AH378" s="413"/>
      <c r="AI378" s="246"/>
      <c r="AJ378" s="413"/>
      <c r="AK378" s="246"/>
      <c r="AL378" s="413"/>
      <c r="AM378" s="246"/>
      <c r="AN378" s="261"/>
      <c r="AO378" s="262"/>
      <c r="AP378" s="246"/>
      <c r="AQ378" s="262"/>
      <c r="AR378" s="246"/>
      <c r="AS378" s="262"/>
      <c r="AT378" s="254" t="str">
        <f t="shared" ref="AT378:AT380" si="76">IF(COUNTIF($AO$80:$AT$82, #REF!) &gt; 0, "X", "")</f>
        <v/>
      </c>
      <c r="AU378" s="269"/>
      <c r="AV378" s="269"/>
    </row>
    <row r="379">
      <c r="A379" s="234"/>
      <c r="B379" s="414" t="s">
        <v>705</v>
      </c>
      <c r="C379" s="415" t="s">
        <v>704</v>
      </c>
      <c r="D379" s="330"/>
      <c r="E379" s="259"/>
      <c r="F379" s="311" t="s">
        <v>410</v>
      </c>
      <c r="G379" s="246"/>
      <c r="H379" s="251" t="s">
        <v>407</v>
      </c>
      <c r="I379" s="246"/>
      <c r="J379" s="586" t="s">
        <v>452</v>
      </c>
      <c r="K379" s="246"/>
      <c r="L379" s="261"/>
      <c r="M379" s="341"/>
      <c r="N379" s="246"/>
      <c r="O379" s="251" t="s">
        <v>407</v>
      </c>
      <c r="P379" s="246"/>
      <c r="Q379" s="311" t="s">
        <v>410</v>
      </c>
      <c r="R379" s="246"/>
      <c r="S379" s="261"/>
      <c r="T379" s="311" t="s">
        <v>467</v>
      </c>
      <c r="U379" s="246"/>
      <c r="V379" s="251" t="s">
        <v>407</v>
      </c>
      <c r="W379" s="246"/>
      <c r="X379" s="586" t="s">
        <v>452</v>
      </c>
      <c r="Y379" s="246"/>
      <c r="Z379" s="261"/>
      <c r="AA379" s="341"/>
      <c r="AB379" s="246"/>
      <c r="AC379" s="311" t="s">
        <v>438</v>
      </c>
      <c r="AD379" s="246"/>
      <c r="AE379" s="311" t="s">
        <v>410</v>
      </c>
      <c r="AF379" s="246"/>
      <c r="AG379" s="261"/>
      <c r="AH379" s="311" t="s">
        <v>410</v>
      </c>
      <c r="AI379" s="246"/>
      <c r="AJ379" s="311" t="s">
        <v>438</v>
      </c>
      <c r="AK379" s="246"/>
      <c r="AL379" s="586" t="s">
        <v>452</v>
      </c>
      <c r="AM379" s="246"/>
      <c r="AN379" s="261"/>
      <c r="AO379" s="341"/>
      <c r="AP379" s="246"/>
      <c r="AQ379" s="341"/>
      <c r="AR379" s="246"/>
      <c r="AS379" s="341"/>
      <c r="AT379" s="254" t="str">
        <f t="shared" si="76"/>
        <v/>
      </c>
      <c r="AU379" s="269"/>
      <c r="AV379" s="269"/>
    </row>
    <row r="380">
      <c r="A380" s="94"/>
      <c r="B380" s="328" t="s">
        <v>705</v>
      </c>
      <c r="C380" s="257" t="s">
        <v>657</v>
      </c>
      <c r="D380" s="330"/>
      <c r="E380" s="259"/>
      <c r="F380" s="311" t="s">
        <v>470</v>
      </c>
      <c r="G380" s="246"/>
      <c r="H380" s="251" t="s">
        <v>440</v>
      </c>
      <c r="I380" s="246"/>
      <c r="J380" s="339" t="s">
        <v>1033</v>
      </c>
      <c r="K380" s="246"/>
      <c r="L380" s="261"/>
      <c r="M380" s="341"/>
      <c r="N380" s="246"/>
      <c r="O380" s="251" t="s">
        <v>440</v>
      </c>
      <c r="P380" s="246"/>
      <c r="Q380" s="339" t="s">
        <v>1033</v>
      </c>
      <c r="R380" s="246"/>
      <c r="S380" s="261"/>
      <c r="T380" s="311" t="s">
        <v>470</v>
      </c>
      <c r="U380" s="246"/>
      <c r="V380" s="311" t="s">
        <v>438</v>
      </c>
      <c r="W380" s="246"/>
      <c r="X380" s="339" t="s">
        <v>1033</v>
      </c>
      <c r="Y380" s="246"/>
      <c r="Z380" s="261"/>
      <c r="AA380" s="341"/>
      <c r="AB380" s="246"/>
      <c r="AC380" s="251" t="s">
        <v>440</v>
      </c>
      <c r="AD380" s="246"/>
      <c r="AE380" s="339" t="s">
        <v>1033</v>
      </c>
      <c r="AF380" s="246"/>
      <c r="AG380" s="261"/>
      <c r="AH380" s="311" t="s">
        <v>470</v>
      </c>
      <c r="AI380" s="246"/>
      <c r="AJ380" s="364" t="s">
        <v>840</v>
      </c>
      <c r="AK380" s="246"/>
      <c r="AL380" s="311" t="s">
        <v>467</v>
      </c>
      <c r="AM380" s="246"/>
      <c r="AN380" s="261"/>
      <c r="AO380" s="341"/>
      <c r="AP380" s="246"/>
      <c r="AQ380" s="341"/>
      <c r="AR380" s="246"/>
      <c r="AS380" s="341"/>
      <c r="AT380" s="254" t="str">
        <f t="shared" si="76"/>
        <v/>
      </c>
      <c r="AU380" s="269"/>
      <c r="AV380" s="269"/>
    </row>
    <row r="381">
      <c r="A381" s="94"/>
      <c r="B381" s="277" t="s">
        <v>705</v>
      </c>
      <c r="C381" s="329" t="s">
        <v>685</v>
      </c>
      <c r="D381" s="369"/>
      <c r="E381" s="259"/>
      <c r="G381" s="246"/>
      <c r="H381" s="274" t="s">
        <v>406</v>
      </c>
      <c r="I381" s="246"/>
      <c r="J381" s="311" t="s">
        <v>467</v>
      </c>
      <c r="K381" s="246"/>
      <c r="L381" s="261"/>
      <c r="M381" s="341"/>
      <c r="N381" s="246"/>
      <c r="O381" s="339" t="s">
        <v>404</v>
      </c>
      <c r="P381" s="246"/>
      <c r="Q381" s="311" t="s">
        <v>470</v>
      </c>
      <c r="R381" s="246"/>
      <c r="S381" s="261"/>
      <c r="U381" s="246"/>
      <c r="V381" s="339" t="s">
        <v>404</v>
      </c>
      <c r="W381" s="246"/>
      <c r="X381" s="251" t="s">
        <v>440</v>
      </c>
      <c r="Y381" s="246"/>
      <c r="Z381" s="261"/>
      <c r="AA381" s="341"/>
      <c r="AB381" s="246"/>
      <c r="AC381" s="311" t="s">
        <v>470</v>
      </c>
      <c r="AD381" s="246"/>
      <c r="AE381" s="311" t="s">
        <v>467</v>
      </c>
      <c r="AF381" s="246"/>
      <c r="AG381" s="261"/>
      <c r="AI381" s="246"/>
      <c r="AJ381" s="251" t="s">
        <v>407</v>
      </c>
      <c r="AK381" s="246"/>
      <c r="AL381" s="311" t="s">
        <v>394</v>
      </c>
      <c r="AM381" s="246"/>
      <c r="AN381" s="261"/>
      <c r="AO381" s="341"/>
      <c r="AP381" s="246"/>
      <c r="AQ381" s="341"/>
      <c r="AR381" s="246"/>
      <c r="AS381" s="341"/>
      <c r="AT381" s="254" t="str">
        <f>IF(COUNTIF($AO$80:$AT$82, AO381) &gt; 0, "X", "")</f>
        <v/>
      </c>
      <c r="AU381" s="269"/>
      <c r="AV381" s="269"/>
    </row>
    <row r="382">
      <c r="A382" s="94"/>
      <c r="B382" s="271" t="s">
        <v>705</v>
      </c>
      <c r="C382" s="272" t="s">
        <v>687</v>
      </c>
      <c r="D382" s="330"/>
      <c r="E382" s="259"/>
      <c r="G382" s="246"/>
      <c r="H382" s="664" t="s">
        <v>1097</v>
      </c>
      <c r="I382" s="246"/>
      <c r="K382" s="246"/>
      <c r="L382" s="261"/>
      <c r="M382" s="341"/>
      <c r="N382" s="246"/>
      <c r="O382" s="339" t="s">
        <v>472</v>
      </c>
      <c r="P382" s="246"/>
      <c r="R382" s="246"/>
      <c r="S382" s="261"/>
      <c r="T382" s="739"/>
      <c r="U382" s="246"/>
      <c r="V382" s="339" t="s">
        <v>472</v>
      </c>
      <c r="W382" s="246"/>
      <c r="Y382" s="246"/>
      <c r="Z382" s="261"/>
      <c r="AA382" s="341"/>
      <c r="AB382" s="246"/>
      <c r="AC382" s="339" t="s">
        <v>472</v>
      </c>
      <c r="AD382" s="246"/>
      <c r="AF382" s="246"/>
      <c r="AG382" s="261"/>
      <c r="AH382" s="282"/>
      <c r="AI382" s="246"/>
      <c r="AJ382" s="339" t="s">
        <v>472</v>
      </c>
      <c r="AK382" s="246"/>
      <c r="AM382" s="246"/>
      <c r="AN382" s="261"/>
      <c r="AO382" s="341"/>
      <c r="AP382" s="246"/>
      <c r="AQ382" s="341"/>
      <c r="AR382" s="246"/>
      <c r="AS382" s="341"/>
      <c r="AT382" s="254" t="str">
        <f>IF(COUNTIF($AO$80:$AT$82, #REF!) &gt; 0, "X", "")</f>
        <v/>
      </c>
      <c r="AU382" s="269"/>
      <c r="AV382" s="269"/>
    </row>
    <row r="383">
      <c r="A383" s="270"/>
      <c r="B383" s="397" t="s">
        <v>708</v>
      </c>
      <c r="C383" s="398" t="s">
        <v>654</v>
      </c>
      <c r="D383" s="330"/>
      <c r="E383" s="259"/>
      <c r="F383" s="275"/>
      <c r="G383" s="246"/>
      <c r="H383" s="365" t="s">
        <v>469</v>
      </c>
      <c r="I383" s="246"/>
      <c r="J383" s="311" t="s">
        <v>441</v>
      </c>
      <c r="K383" s="246"/>
      <c r="L383" s="261"/>
      <c r="M383" s="341"/>
      <c r="N383" s="246"/>
      <c r="O383" s="365" t="s">
        <v>469</v>
      </c>
      <c r="P383" s="246"/>
      <c r="Q383" s="311" t="s">
        <v>441</v>
      </c>
      <c r="R383" s="246"/>
      <c r="S383" s="261"/>
      <c r="T383" s="311"/>
      <c r="U383" s="246"/>
      <c r="V383" s="365"/>
      <c r="W383" s="246"/>
      <c r="X383" s="311" t="s">
        <v>441</v>
      </c>
      <c r="Y383" s="246"/>
      <c r="Z383" s="261"/>
      <c r="AA383" s="341"/>
      <c r="AB383" s="246"/>
      <c r="AC383" s="365" t="s">
        <v>469</v>
      </c>
      <c r="AD383" s="246"/>
      <c r="AE383" s="311" t="s">
        <v>441</v>
      </c>
      <c r="AF383" s="246"/>
      <c r="AG383" s="261"/>
      <c r="AI383" s="246"/>
      <c r="AJ383" s="365" t="s">
        <v>469</v>
      </c>
      <c r="AK383" s="246"/>
      <c r="AL383" s="311" t="s">
        <v>441</v>
      </c>
      <c r="AM383" s="246"/>
      <c r="AN383" s="261"/>
      <c r="AO383" s="341"/>
      <c r="AP383" s="246"/>
      <c r="AQ383" s="341"/>
      <c r="AR383" s="246"/>
      <c r="AS383" s="341"/>
      <c r="AT383" s="254" t="str">
        <f t="shared" ref="AT383:AT384" si="77">IF(COUNTIF($AO$80:$AT$82, AS384) &gt; 0, "X", "")</f>
        <v/>
      </c>
      <c r="AU383" s="269"/>
      <c r="AV383" s="269"/>
    </row>
    <row r="384">
      <c r="A384" s="94"/>
      <c r="B384" s="277" t="s">
        <v>709</v>
      </c>
      <c r="C384" s="278" t="s">
        <v>710</v>
      </c>
      <c r="D384" s="323"/>
      <c r="E384" s="259"/>
      <c r="F384" s="281"/>
      <c r="G384" s="246"/>
      <c r="H384" s="282"/>
      <c r="I384" s="246"/>
      <c r="J384" s="281"/>
      <c r="K384" s="246"/>
      <c r="L384" s="261"/>
      <c r="M384" s="286"/>
      <c r="N384" s="246"/>
      <c r="O384" s="281"/>
      <c r="P384" s="246"/>
      <c r="R384" s="246"/>
      <c r="S384" s="261"/>
      <c r="T384" s="516"/>
      <c r="U384" s="246"/>
      <c r="V384" s="282"/>
      <c r="W384" s="246"/>
      <c r="X384" s="282"/>
      <c r="Y384" s="246"/>
      <c r="Z384" s="261"/>
      <c r="AA384" s="286"/>
      <c r="AB384" s="246"/>
      <c r="AC384" s="282"/>
      <c r="AD384" s="246"/>
      <c r="AE384" s="282"/>
      <c r="AF384" s="246"/>
      <c r="AG384" s="261"/>
      <c r="AH384" s="281"/>
      <c r="AI384" s="246"/>
      <c r="AJ384" s="281"/>
      <c r="AK384" s="246"/>
      <c r="AL384" s="282"/>
      <c r="AM384" s="246"/>
      <c r="AN384" s="261"/>
      <c r="AO384" s="286"/>
      <c r="AP384" s="246"/>
      <c r="AQ384" s="286"/>
      <c r="AR384" s="246"/>
      <c r="AS384" s="286"/>
      <c r="AT384" s="254" t="str">
        <f t="shared" si="77"/>
        <v/>
      </c>
      <c r="AU384" s="269"/>
      <c r="AV384" s="269"/>
    </row>
    <row r="385">
      <c r="A385" s="94"/>
      <c r="B385" s="673" t="s">
        <v>944</v>
      </c>
      <c r="C385" s="272" t="s">
        <v>639</v>
      </c>
      <c r="D385" s="431"/>
      <c r="E385" s="259"/>
      <c r="F385" s="282"/>
      <c r="G385" s="246"/>
      <c r="H385" s="785" t="s">
        <v>707</v>
      </c>
      <c r="I385" s="246"/>
      <c r="K385" s="246"/>
      <c r="L385" s="261"/>
      <c r="M385" s="341"/>
      <c r="N385" s="246"/>
      <c r="O385" s="475" t="s">
        <v>432</v>
      </c>
      <c r="P385" s="246"/>
      <c r="Q385" s="282"/>
      <c r="R385" s="246"/>
      <c r="S385" s="261"/>
      <c r="T385" s="739"/>
      <c r="U385" s="246"/>
      <c r="V385" s="282"/>
      <c r="W385" s="246"/>
      <c r="X385" s="282"/>
      <c r="Y385" s="246"/>
      <c r="Z385" s="261"/>
      <c r="AA385" s="341"/>
      <c r="AB385" s="246"/>
      <c r="AC385" s="282"/>
      <c r="AD385" s="246"/>
      <c r="AE385" s="282"/>
      <c r="AF385" s="246"/>
      <c r="AG385" s="261"/>
      <c r="AH385" s="282"/>
      <c r="AI385" s="246"/>
      <c r="AJ385" s="785" t="s">
        <v>707</v>
      </c>
      <c r="AK385" s="246"/>
      <c r="AL385" s="282"/>
      <c r="AM385" s="246"/>
      <c r="AN385" s="261"/>
      <c r="AO385" s="341"/>
      <c r="AP385" s="246"/>
      <c r="AQ385" s="341"/>
      <c r="AR385" s="246"/>
      <c r="AS385" s="341"/>
      <c r="AT385" s="430"/>
      <c r="AU385" s="269"/>
      <c r="AV385" s="269"/>
    </row>
    <row r="386">
      <c r="A386" s="94"/>
      <c r="B386" s="698" t="s">
        <v>714</v>
      </c>
      <c r="C386" s="699"/>
      <c r="D386" s="323"/>
      <c r="E386" s="259"/>
      <c r="F386" s="432"/>
      <c r="G386" s="432"/>
      <c r="H386" s="432"/>
      <c r="I386" s="432"/>
      <c r="J386" s="432"/>
      <c r="K386" s="432"/>
      <c r="L386" s="261"/>
      <c r="M386" s="432"/>
      <c r="N386" s="433"/>
      <c r="O386" s="432"/>
      <c r="P386" s="432"/>
      <c r="Q386" s="432"/>
      <c r="R386" s="432"/>
      <c r="S386" s="261"/>
      <c r="T386" s="432"/>
      <c r="U386" s="433"/>
      <c r="V386" s="432"/>
      <c r="W386" s="432"/>
      <c r="X386" s="432"/>
      <c r="Y386" s="432"/>
      <c r="Z386" s="261"/>
      <c r="AA386" s="432"/>
      <c r="AB386" s="433"/>
      <c r="AC386" s="432"/>
      <c r="AD386" s="432"/>
      <c r="AE386" s="432"/>
      <c r="AF386" s="432"/>
      <c r="AG386" s="261"/>
      <c r="AH386" s="432"/>
      <c r="AI386" s="433"/>
      <c r="AJ386" s="432"/>
      <c r="AK386" s="432"/>
      <c r="AL386" s="432"/>
      <c r="AM386" s="432"/>
      <c r="AN386" s="261"/>
      <c r="AO386" s="341"/>
      <c r="AP386" s="433"/>
      <c r="AQ386" s="341"/>
      <c r="AR386" s="432"/>
      <c r="AS386" s="341"/>
      <c r="AT386" s="254" t="str">
        <f t="shared" ref="AT386:AT391" si="78">IF(COUNTIF($AO$80:$AT$82, AS387) &gt; 0, "X", "")</f>
        <v/>
      </c>
      <c r="AU386" s="269"/>
      <c r="AV386" s="269"/>
    </row>
    <row r="387">
      <c r="A387" s="94"/>
      <c r="B387" s="700" t="s">
        <v>715</v>
      </c>
      <c r="C387" s="701" t="s">
        <v>716</v>
      </c>
      <c r="D387" s="323"/>
      <c r="E387" s="259"/>
      <c r="F387" s="786" t="s">
        <v>465</v>
      </c>
      <c r="G387" s="246"/>
      <c r="H387" s="434" t="s">
        <v>403</v>
      </c>
      <c r="I387" s="246"/>
      <c r="J387" s="434"/>
      <c r="K387" s="246"/>
      <c r="L387" s="261"/>
      <c r="M387" s="434" t="s">
        <v>465</v>
      </c>
      <c r="N387" s="246"/>
      <c r="O387" s="434" t="s">
        <v>403</v>
      </c>
      <c r="P387" s="246"/>
      <c r="Q387" s="434"/>
      <c r="R387" s="246"/>
      <c r="S387" s="261"/>
      <c r="T387" s="434"/>
      <c r="U387" s="246"/>
      <c r="V387" s="434" t="s">
        <v>403</v>
      </c>
      <c r="W387" s="246"/>
      <c r="X387" s="434"/>
      <c r="Y387" s="246"/>
      <c r="Z387" s="261"/>
      <c r="AA387" s="434" t="s">
        <v>465</v>
      </c>
      <c r="AB387" s="246"/>
      <c r="AC387" s="434" t="s">
        <v>403</v>
      </c>
      <c r="AD387" s="246"/>
      <c r="AE387" s="434"/>
      <c r="AF387" s="246"/>
      <c r="AG387" s="261"/>
      <c r="AH387" s="434" t="s">
        <v>465</v>
      </c>
      <c r="AI387" s="246"/>
      <c r="AJ387" s="434" t="s">
        <v>403</v>
      </c>
      <c r="AK387" s="246"/>
      <c r="AL387" s="434"/>
      <c r="AM387" s="246"/>
      <c r="AN387" s="261"/>
      <c r="AO387" s="341"/>
      <c r="AP387" s="246"/>
      <c r="AQ387" s="341"/>
      <c r="AR387" s="246"/>
      <c r="AS387" s="341"/>
      <c r="AT387" s="254" t="str">
        <f t="shared" si="78"/>
        <v/>
      </c>
      <c r="AU387" s="269"/>
      <c r="AV387" s="269"/>
    </row>
    <row r="388">
      <c r="A388" s="94"/>
      <c r="B388" s="702" t="s">
        <v>717</v>
      </c>
      <c r="C388" s="703" t="s">
        <v>718</v>
      </c>
      <c r="D388" s="363"/>
      <c r="E388" s="259"/>
      <c r="F388" s="434"/>
      <c r="G388" s="246"/>
      <c r="H388" s="406" t="s">
        <v>463</v>
      </c>
      <c r="I388" s="246"/>
      <c r="J388" s="434"/>
      <c r="K388" s="246"/>
      <c r="L388" s="261"/>
      <c r="M388" s="434"/>
      <c r="N388" s="246"/>
      <c r="O388" s="406" t="s">
        <v>463</v>
      </c>
      <c r="P388" s="246"/>
      <c r="Q388" s="434"/>
      <c r="R388" s="246"/>
      <c r="S388" s="261"/>
      <c r="T388" s="434"/>
      <c r="U388" s="246"/>
      <c r="V388" s="406" t="s">
        <v>463</v>
      </c>
      <c r="W388" s="246"/>
      <c r="X388" s="434"/>
      <c r="Y388" s="246"/>
      <c r="Z388" s="261"/>
      <c r="AA388" s="434"/>
      <c r="AB388" s="246"/>
      <c r="AC388" s="787" t="s">
        <v>1098</v>
      </c>
      <c r="AD388" s="246"/>
      <c r="AE388" s="434" t="s">
        <v>463</v>
      </c>
      <c r="AF388" s="246"/>
      <c r="AG388" s="261"/>
      <c r="AH388" s="434"/>
      <c r="AI388" s="246"/>
      <c r="AJ388" s="406" t="s">
        <v>463</v>
      </c>
      <c r="AK388" s="246"/>
      <c r="AL388" s="434"/>
      <c r="AM388" s="246"/>
      <c r="AN388" s="261"/>
      <c r="AO388" s="341"/>
      <c r="AP388" s="246"/>
      <c r="AQ388" s="341"/>
      <c r="AR388" s="246"/>
      <c r="AS388" s="341"/>
      <c r="AT388" s="254" t="str">
        <f t="shared" si="78"/>
        <v/>
      </c>
      <c r="AU388" s="269"/>
      <c r="AV388" s="269"/>
    </row>
    <row r="389">
      <c r="A389" s="94"/>
      <c r="B389" s="704" t="s">
        <v>719</v>
      </c>
      <c r="C389" s="705" t="s">
        <v>720</v>
      </c>
      <c r="D389" s="330"/>
      <c r="E389" s="259"/>
      <c r="F389" s="406"/>
      <c r="G389" s="246"/>
      <c r="H389" s="787" t="s">
        <v>1099</v>
      </c>
      <c r="I389" s="246"/>
      <c r="J389" s="679" t="s">
        <v>970</v>
      </c>
      <c r="K389" s="246"/>
      <c r="L389" s="261"/>
      <c r="M389" s="406"/>
      <c r="N389" s="246"/>
      <c r="O389" s="406" t="s">
        <v>946</v>
      </c>
      <c r="P389" s="246"/>
      <c r="Q389" s="406"/>
      <c r="R389" s="246"/>
      <c r="S389" s="261"/>
      <c r="T389" s="406"/>
      <c r="U389" s="246"/>
      <c r="V389" s="787" t="s">
        <v>1099</v>
      </c>
      <c r="W389" s="246"/>
      <c r="X389" s="679" t="s">
        <v>1066</v>
      </c>
      <c r="Y389" s="246"/>
      <c r="Z389" s="261"/>
      <c r="AA389" s="406"/>
      <c r="AB389" s="246"/>
      <c r="AC389" s="787" t="s">
        <v>1100</v>
      </c>
      <c r="AD389" s="246"/>
      <c r="AE389" s="788" t="s">
        <v>946</v>
      </c>
      <c r="AF389" s="246"/>
      <c r="AG389" s="261"/>
      <c r="AH389" s="406"/>
      <c r="AI389" s="246"/>
      <c r="AJ389" s="406" t="s">
        <v>946</v>
      </c>
      <c r="AK389" s="246"/>
      <c r="AL389" s="406"/>
      <c r="AM389" s="246"/>
      <c r="AN389" s="261"/>
      <c r="AO389" s="341"/>
      <c r="AP389" s="246"/>
      <c r="AQ389" s="341"/>
      <c r="AR389" s="246"/>
      <c r="AS389" s="341"/>
      <c r="AT389" s="254" t="str">
        <f t="shared" si="78"/>
        <v/>
      </c>
      <c r="AU389" s="269"/>
      <c r="AV389" s="269"/>
    </row>
    <row r="390">
      <c r="A390" s="94"/>
      <c r="B390" s="706" t="s">
        <v>721</v>
      </c>
      <c r="C390" s="707" t="s">
        <v>722</v>
      </c>
      <c r="D390" s="330"/>
      <c r="E390" s="259"/>
      <c r="F390" s="406"/>
      <c r="G390" s="246"/>
      <c r="H390" s="787" t="s">
        <v>1101</v>
      </c>
      <c r="I390" s="246"/>
      <c r="J390" s="679" t="s">
        <v>454</v>
      </c>
      <c r="K390" s="246"/>
      <c r="L390" s="261"/>
      <c r="M390" s="406"/>
      <c r="N390" s="246"/>
      <c r="O390" s="787" t="s">
        <v>1101</v>
      </c>
      <c r="P390" s="246"/>
      <c r="Q390" s="592" t="s">
        <v>454</v>
      </c>
      <c r="R390" s="246"/>
      <c r="S390" s="261"/>
      <c r="T390" s="406"/>
      <c r="U390" s="246"/>
      <c r="V390" s="787" t="s">
        <v>1101</v>
      </c>
      <c r="W390" s="246"/>
      <c r="X390" s="679" t="s">
        <v>454</v>
      </c>
      <c r="Y390" s="246"/>
      <c r="Z390" s="261"/>
      <c r="AA390" s="406"/>
      <c r="AB390" s="246"/>
      <c r="AC390" s="787" t="s">
        <v>1101</v>
      </c>
      <c r="AD390" s="246"/>
      <c r="AE390" s="679" t="s">
        <v>454</v>
      </c>
      <c r="AF390" s="246"/>
      <c r="AG390" s="261"/>
      <c r="AH390" s="406"/>
      <c r="AI390" s="246"/>
      <c r="AJ390" s="406" t="s">
        <v>970</v>
      </c>
      <c r="AK390" s="246"/>
      <c r="AL390" s="406"/>
      <c r="AM390" s="246"/>
      <c r="AN390" s="261"/>
      <c r="AO390" s="341"/>
      <c r="AP390" s="246"/>
      <c r="AQ390" s="341"/>
      <c r="AR390" s="246"/>
      <c r="AS390" s="341"/>
      <c r="AT390" s="254" t="str">
        <f t="shared" si="78"/>
        <v/>
      </c>
      <c r="AU390" s="269"/>
      <c r="AV390" s="269"/>
    </row>
    <row r="391">
      <c r="A391" s="94"/>
      <c r="B391" s="706" t="s">
        <v>723</v>
      </c>
      <c r="C391" s="708" t="s">
        <v>724</v>
      </c>
      <c r="D391" s="330"/>
      <c r="E391" s="259"/>
      <c r="F391" s="406"/>
      <c r="G391" s="246"/>
      <c r="H391" s="406" t="s">
        <v>1066</v>
      </c>
      <c r="I391" s="246"/>
      <c r="J391" s="406"/>
      <c r="K391" s="246"/>
      <c r="L391" s="261"/>
      <c r="M391" s="406"/>
      <c r="N391" s="246"/>
      <c r="O391" s="787" t="s">
        <v>1100</v>
      </c>
      <c r="P391" s="246"/>
      <c r="Q391" s="679" t="s">
        <v>456</v>
      </c>
      <c r="R391" s="246"/>
      <c r="S391" s="261"/>
      <c r="T391" s="406"/>
      <c r="U391" s="246"/>
      <c r="V391" s="787" t="s">
        <v>1098</v>
      </c>
      <c r="W391" s="246"/>
      <c r="X391" s="679" t="s">
        <v>970</v>
      </c>
      <c r="Y391" s="246"/>
      <c r="Z391" s="261"/>
      <c r="AA391" s="406"/>
      <c r="AB391" s="246"/>
      <c r="AC391" s="679" t="s">
        <v>970</v>
      </c>
      <c r="AD391" s="246"/>
      <c r="AE391" s="406"/>
      <c r="AF391" s="246"/>
      <c r="AG391" s="261"/>
      <c r="AH391" s="406"/>
      <c r="AI391" s="246"/>
      <c r="AJ391" s="406" t="s">
        <v>1066</v>
      </c>
      <c r="AK391" s="246"/>
      <c r="AL391" s="406"/>
      <c r="AM391" s="246"/>
      <c r="AN391" s="261"/>
      <c r="AO391" s="341"/>
      <c r="AP391" s="246"/>
      <c r="AQ391" s="341"/>
      <c r="AR391" s="246"/>
      <c r="AS391" s="341"/>
      <c r="AT391" s="254" t="str">
        <f t="shared" si="78"/>
        <v/>
      </c>
      <c r="AU391" s="269"/>
      <c r="AV391" s="269"/>
    </row>
    <row r="392">
      <c r="A392" s="94"/>
      <c r="B392" s="709" t="s">
        <v>725</v>
      </c>
      <c r="C392" s="707" t="s">
        <v>726</v>
      </c>
      <c r="D392" s="330"/>
      <c r="E392" s="259"/>
      <c r="F392" s="441"/>
      <c r="G392" s="246"/>
      <c r="H392" s="406" t="s">
        <v>456</v>
      </c>
      <c r="I392" s="246"/>
      <c r="J392" s="441"/>
      <c r="K392" s="246"/>
      <c r="L392" s="261"/>
      <c r="M392" s="441"/>
      <c r="N392" s="246"/>
      <c r="O392" s="406" t="s">
        <v>1066</v>
      </c>
      <c r="P392" s="246"/>
      <c r="Q392" s="441"/>
      <c r="R392" s="246"/>
      <c r="S392" s="261"/>
      <c r="T392" s="441"/>
      <c r="U392" s="246"/>
      <c r="V392" s="406" t="s">
        <v>460</v>
      </c>
      <c r="W392" s="246"/>
      <c r="X392" s="441"/>
      <c r="Y392" s="246"/>
      <c r="Z392" s="261"/>
      <c r="AA392" s="441"/>
      <c r="AB392" s="246"/>
      <c r="AC392" s="787" t="s">
        <v>1099</v>
      </c>
      <c r="AD392" s="246"/>
      <c r="AE392" s="679" t="s">
        <v>456</v>
      </c>
      <c r="AF392" s="246"/>
      <c r="AG392" s="261"/>
      <c r="AH392" s="441"/>
      <c r="AI392" s="246"/>
      <c r="AJ392" s="406" t="s">
        <v>456</v>
      </c>
      <c r="AK392" s="246"/>
      <c r="AL392" s="441"/>
      <c r="AM392" s="246"/>
      <c r="AN392" s="261"/>
      <c r="AO392" s="341"/>
      <c r="AP392" s="246"/>
      <c r="AQ392" s="341"/>
      <c r="AR392" s="246"/>
      <c r="AS392" s="341"/>
      <c r="AT392" s="254" t="str">
        <f>IF(COUNTIF($AO$80:$AT$82, #REF!) &gt; 0, "X", "")</f>
        <v/>
      </c>
      <c r="AU392" s="269"/>
      <c r="AV392" s="269"/>
    </row>
    <row r="393">
      <c r="A393" s="94"/>
      <c r="B393" s="710" t="s">
        <v>729</v>
      </c>
      <c r="C393" s="711" t="s">
        <v>730</v>
      </c>
      <c r="D393" s="330"/>
      <c r="E393" s="259"/>
      <c r="F393" s="441"/>
      <c r="G393" s="246"/>
      <c r="H393" s="406"/>
      <c r="I393" s="246"/>
      <c r="J393" s="441"/>
      <c r="K393" s="246"/>
      <c r="L393" s="261"/>
      <c r="M393" s="441"/>
      <c r="N393" s="246"/>
      <c r="O393" s="787" t="s">
        <v>1102</v>
      </c>
      <c r="P393" s="246"/>
      <c r="Q393" s="441"/>
      <c r="R393" s="246"/>
      <c r="S393" s="261"/>
      <c r="T393" s="441"/>
      <c r="U393" s="246"/>
      <c r="V393" s="406" t="s">
        <v>456</v>
      </c>
      <c r="W393" s="246"/>
      <c r="X393" s="441"/>
      <c r="Y393" s="246"/>
      <c r="Z393" s="261"/>
      <c r="AA393" s="441"/>
      <c r="AB393" s="246"/>
      <c r="AC393" s="787" t="s">
        <v>1102</v>
      </c>
      <c r="AD393" s="246"/>
      <c r="AE393" s="679" t="s">
        <v>1066</v>
      </c>
      <c r="AF393" s="246"/>
      <c r="AG393" s="261"/>
      <c r="AH393" s="441"/>
      <c r="AI393" s="246"/>
      <c r="AJ393" s="406"/>
      <c r="AK393" s="246"/>
      <c r="AL393" s="441"/>
      <c r="AM393" s="246"/>
      <c r="AN393" s="261"/>
      <c r="AO393" s="341"/>
      <c r="AP393" s="246"/>
      <c r="AQ393" s="341"/>
      <c r="AR393" s="246"/>
      <c r="AS393" s="341"/>
      <c r="AT393" s="254" t="str">
        <f t="shared" ref="AT393:AT395" si="79">IF(COUNTIF($AO$80:$AT$82, AS393) &gt; 0, "X", "")</f>
        <v/>
      </c>
      <c r="AU393" s="269"/>
      <c r="AV393" s="269"/>
    </row>
    <row r="394">
      <c r="A394" s="94"/>
      <c r="B394" s="712" t="s">
        <v>731</v>
      </c>
      <c r="C394" s="713" t="s">
        <v>732</v>
      </c>
      <c r="D394" s="363"/>
      <c r="E394" s="259"/>
      <c r="F394" s="206"/>
      <c r="G394" s="246"/>
      <c r="H394" s="787" t="s">
        <v>917</v>
      </c>
      <c r="I394" s="246"/>
      <c r="J394" s="788" t="s">
        <v>946</v>
      </c>
      <c r="K394" s="246"/>
      <c r="L394" s="261"/>
      <c r="M394" s="206"/>
      <c r="N394" s="246"/>
      <c r="O394" s="787" t="s">
        <v>917</v>
      </c>
      <c r="P394" s="246"/>
      <c r="Q394" s="788" t="s">
        <v>460</v>
      </c>
      <c r="R394" s="246"/>
      <c r="S394" s="261"/>
      <c r="T394" s="206"/>
      <c r="U394" s="246"/>
      <c r="V394" s="787" t="s">
        <v>917</v>
      </c>
      <c r="W394" s="246"/>
      <c r="X394" s="788" t="s">
        <v>946</v>
      </c>
      <c r="Y394" s="246"/>
      <c r="Z394" s="261"/>
      <c r="AA394" s="206"/>
      <c r="AB394" s="246"/>
      <c r="AC394" s="787" t="s">
        <v>917</v>
      </c>
      <c r="AD394" s="246"/>
      <c r="AE394" s="788" t="s">
        <v>460</v>
      </c>
      <c r="AF394" s="246"/>
      <c r="AG394" s="261"/>
      <c r="AH394" s="206"/>
      <c r="AI394" s="246"/>
      <c r="AJ394" s="406" t="s">
        <v>460</v>
      </c>
      <c r="AK394" s="246"/>
      <c r="AL394" s="206"/>
      <c r="AM394" s="246"/>
      <c r="AN394" s="261"/>
      <c r="AO394" s="341"/>
      <c r="AP394" s="246"/>
      <c r="AQ394" s="341"/>
      <c r="AR394" s="246"/>
      <c r="AS394" s="341"/>
      <c r="AT394" s="254" t="str">
        <f t="shared" si="79"/>
        <v/>
      </c>
      <c r="AU394" s="269"/>
      <c r="AV394" s="269"/>
    </row>
    <row r="395">
      <c r="A395" s="94"/>
      <c r="B395" s="714" t="s">
        <v>733</v>
      </c>
      <c r="C395" s="715" t="s">
        <v>734</v>
      </c>
      <c r="D395" s="363"/>
      <c r="E395" s="259"/>
      <c r="F395" s="74"/>
      <c r="G395" s="246"/>
      <c r="H395" s="594" t="s">
        <v>395</v>
      </c>
      <c r="I395" s="246"/>
      <c r="J395" s="74"/>
      <c r="K395" s="246"/>
      <c r="L395" s="261"/>
      <c r="M395" s="74"/>
      <c r="N395" s="246"/>
      <c r="O395" s="594" t="s">
        <v>395</v>
      </c>
      <c r="P395" s="246"/>
      <c r="Q395" s="74"/>
      <c r="R395" s="246"/>
      <c r="S395" s="261"/>
      <c r="T395" s="74"/>
      <c r="U395" s="246"/>
      <c r="V395" s="594" t="s">
        <v>395</v>
      </c>
      <c r="W395" s="246"/>
      <c r="X395" s="74"/>
      <c r="Y395" s="246"/>
      <c r="Z395" s="261"/>
      <c r="AA395" s="74"/>
      <c r="AB395" s="246"/>
      <c r="AC395" s="680" t="s">
        <v>395</v>
      </c>
      <c r="AD395" s="246"/>
      <c r="AE395" s="74"/>
      <c r="AF395" s="246"/>
      <c r="AG395" s="261"/>
      <c r="AH395" s="74"/>
      <c r="AI395" s="246"/>
      <c r="AJ395" s="594" t="s">
        <v>395</v>
      </c>
      <c r="AK395" s="246"/>
      <c r="AL395" s="74"/>
      <c r="AM395" s="246"/>
      <c r="AN395" s="261"/>
      <c r="AO395" s="341"/>
      <c r="AP395" s="246"/>
      <c r="AQ395" s="341"/>
      <c r="AR395" s="246"/>
      <c r="AS395" s="341"/>
      <c r="AT395" s="254" t="str">
        <f t="shared" si="79"/>
        <v/>
      </c>
      <c r="AU395" s="269"/>
      <c r="AV395" s="269"/>
    </row>
    <row r="396">
      <c r="A396" s="94"/>
      <c r="B396" s="716"/>
      <c r="C396" s="717"/>
      <c r="D396" s="363"/>
      <c r="E396" s="259"/>
      <c r="F396" s="446"/>
      <c r="G396" s="246"/>
      <c r="H396" s="446"/>
      <c r="I396" s="246"/>
      <c r="J396" s="446"/>
      <c r="K396" s="246"/>
      <c r="L396" s="462"/>
      <c r="M396" s="446"/>
      <c r="N396" s="246"/>
      <c r="O396" s="446"/>
      <c r="P396" s="246"/>
      <c r="Q396" s="446"/>
      <c r="R396" s="246"/>
      <c r="S396" s="462"/>
      <c r="T396" s="446"/>
      <c r="U396" s="246"/>
      <c r="V396" s="446"/>
      <c r="W396" s="246"/>
      <c r="X396" s="446"/>
      <c r="Y396" s="246"/>
      <c r="Z396" s="462"/>
      <c r="AA396" s="446"/>
      <c r="AB396" s="246"/>
      <c r="AC396" s="446"/>
      <c r="AD396" s="246"/>
      <c r="AE396" s="446"/>
      <c r="AF396" s="246"/>
      <c r="AG396" s="462"/>
      <c r="AH396" s="446"/>
      <c r="AI396" s="246"/>
      <c r="AJ396" s="446"/>
      <c r="AK396" s="246"/>
      <c r="AL396" s="446"/>
      <c r="AM396" s="246"/>
      <c r="AN396" s="462"/>
      <c r="AO396" s="341"/>
      <c r="AP396" s="246"/>
      <c r="AQ396" s="341"/>
      <c r="AR396" s="246"/>
      <c r="AS396" s="341"/>
      <c r="AT396" s="254"/>
      <c r="AU396" s="269"/>
      <c r="AV396" s="269"/>
    </row>
    <row r="397">
      <c r="A397" s="94"/>
      <c r="B397" s="710" t="s">
        <v>735</v>
      </c>
      <c r="C397" s="718" t="s">
        <v>736</v>
      </c>
      <c r="D397" s="363"/>
      <c r="E397" s="259"/>
      <c r="F397" s="441"/>
      <c r="G397" s="246"/>
      <c r="H397" s="441"/>
      <c r="I397" s="246"/>
      <c r="K397" s="246"/>
      <c r="L397" s="261"/>
      <c r="M397" s="441"/>
      <c r="N397" s="246"/>
      <c r="O397" s="441"/>
      <c r="P397" s="246"/>
      <c r="Q397" s="441"/>
      <c r="R397" s="246"/>
      <c r="S397" s="261"/>
      <c r="T397" s="441"/>
      <c r="U397" s="246"/>
      <c r="V397" s="441"/>
      <c r="W397" s="246"/>
      <c r="Y397" s="246"/>
      <c r="Z397" s="261"/>
      <c r="AA397" s="441"/>
      <c r="AB397" s="246"/>
      <c r="AC397" s="441"/>
      <c r="AD397" s="246"/>
      <c r="AE397" s="441"/>
      <c r="AF397" s="246"/>
      <c r="AG397" s="261"/>
      <c r="AH397" s="441"/>
      <c r="AI397" s="246"/>
      <c r="AJ397" s="441"/>
      <c r="AK397" s="246"/>
      <c r="AL397" s="405"/>
      <c r="AM397" s="246"/>
      <c r="AN397" s="261"/>
      <c r="AO397" s="341"/>
      <c r="AP397" s="246"/>
      <c r="AQ397" s="341"/>
      <c r="AR397" s="246"/>
      <c r="AS397" s="341"/>
      <c r="AT397" s="254" t="str">
        <f t="shared" ref="AT397:AT399" si="80">IF(COUNTIF($AO$80:$AT$82, AS397) &gt; 0, "X", "")</f>
        <v/>
      </c>
      <c r="AU397" s="269"/>
      <c r="AV397" s="269"/>
    </row>
    <row r="398">
      <c r="A398" s="94"/>
      <c r="B398" s="710" t="s">
        <v>735</v>
      </c>
      <c r="C398" s="707" t="s">
        <v>736</v>
      </c>
      <c r="D398" s="363"/>
      <c r="E398" s="259"/>
      <c r="F398" s="456"/>
      <c r="G398" s="246"/>
      <c r="H398" s="456"/>
      <c r="I398" s="246"/>
      <c r="J398" s="456"/>
      <c r="K398" s="246"/>
      <c r="L398" s="261"/>
      <c r="M398" s="456"/>
      <c r="N398" s="246"/>
      <c r="O398" s="456"/>
      <c r="P398" s="246"/>
      <c r="Q398" s="456"/>
      <c r="R398" s="246"/>
      <c r="S398" s="261"/>
      <c r="T398" s="456"/>
      <c r="U398" s="246"/>
      <c r="V398" s="456"/>
      <c r="W398" s="246"/>
      <c r="X398" s="456"/>
      <c r="Y398" s="246"/>
      <c r="Z398" s="261"/>
      <c r="AA398" s="456"/>
      <c r="AB398" s="246"/>
      <c r="AC398" s="456"/>
      <c r="AD398" s="246"/>
      <c r="AE398" s="456"/>
      <c r="AF398" s="246"/>
      <c r="AG398" s="261"/>
      <c r="AH398" s="456"/>
      <c r="AI398" s="246"/>
      <c r="AJ398" s="456"/>
      <c r="AK398" s="246"/>
      <c r="AL398" s="456"/>
      <c r="AM398" s="246"/>
      <c r="AN398" s="261"/>
      <c r="AO398" s="341"/>
      <c r="AP398" s="246"/>
      <c r="AQ398" s="341"/>
      <c r="AR398" s="246"/>
      <c r="AS398" s="341"/>
      <c r="AT398" s="254" t="str">
        <f t="shared" si="80"/>
        <v/>
      </c>
      <c r="AU398" s="269"/>
      <c r="AV398" s="269"/>
    </row>
    <row r="399">
      <c r="A399" s="94"/>
      <c r="B399" s="719" t="s">
        <v>735</v>
      </c>
      <c r="C399" s="711" t="s">
        <v>737</v>
      </c>
      <c r="D399" s="363"/>
      <c r="E399" s="259"/>
      <c r="F399" s="406"/>
      <c r="G399" s="246"/>
      <c r="H399" s="406"/>
      <c r="I399" s="246"/>
      <c r="J399" s="406"/>
      <c r="K399" s="246"/>
      <c r="L399" s="261"/>
      <c r="M399" s="406"/>
      <c r="N399" s="246"/>
      <c r="O399" s="406"/>
      <c r="P399" s="246"/>
      <c r="Q399" s="406"/>
      <c r="R399" s="246"/>
      <c r="S399" s="261"/>
      <c r="T399" s="406"/>
      <c r="U399" s="246"/>
      <c r="V399" s="406"/>
      <c r="W399" s="246"/>
      <c r="X399" s="406"/>
      <c r="Y399" s="246"/>
      <c r="Z399" s="261"/>
      <c r="AA399" s="406"/>
      <c r="AB399" s="246"/>
      <c r="AC399" s="406"/>
      <c r="AD399" s="246"/>
      <c r="AE399" s="406"/>
      <c r="AF399" s="246"/>
      <c r="AG399" s="261"/>
      <c r="AH399" s="406"/>
      <c r="AI399" s="246"/>
      <c r="AJ399" s="406"/>
      <c r="AK399" s="246"/>
      <c r="AL399" s="406"/>
      <c r="AM399" s="246"/>
      <c r="AN399" s="261"/>
      <c r="AO399" s="341"/>
      <c r="AP399" s="246"/>
      <c r="AQ399" s="341"/>
      <c r="AR399" s="246"/>
      <c r="AS399" s="341"/>
      <c r="AT399" s="254" t="str">
        <f t="shared" si="80"/>
        <v/>
      </c>
      <c r="AU399" s="269"/>
      <c r="AV399" s="269"/>
    </row>
    <row r="400">
      <c r="A400" s="94"/>
      <c r="B400" s="459"/>
      <c r="C400" s="460" t="s">
        <v>738</v>
      </c>
      <c r="D400" s="363"/>
      <c r="E400" s="259"/>
      <c r="F400" s="461" t="s">
        <v>1103</v>
      </c>
      <c r="G400" s="246"/>
      <c r="H400" s="132"/>
      <c r="I400" s="246"/>
      <c r="J400" s="132"/>
      <c r="K400" s="246"/>
      <c r="L400" s="261"/>
      <c r="M400" s="461" t="s">
        <v>1104</v>
      </c>
      <c r="N400" s="246"/>
      <c r="O400" s="132"/>
      <c r="P400" s="246"/>
      <c r="Q400" s="132"/>
      <c r="R400" s="246"/>
      <c r="S400" s="261"/>
      <c r="T400" s="461" t="s">
        <v>1105</v>
      </c>
      <c r="U400" s="246"/>
      <c r="V400" s="132"/>
      <c r="W400" s="246"/>
      <c r="X400" s="132"/>
      <c r="Y400" s="246"/>
      <c r="Z400" s="261"/>
      <c r="AA400" s="461" t="s">
        <v>1106</v>
      </c>
      <c r="AB400" s="246"/>
      <c r="AC400" s="132"/>
      <c r="AD400" s="246"/>
      <c r="AE400" s="132"/>
      <c r="AF400" s="246"/>
      <c r="AG400" s="261"/>
      <c r="AH400" s="461" t="s">
        <v>1107</v>
      </c>
      <c r="AI400" s="246"/>
      <c r="AJ400" s="132"/>
      <c r="AK400" s="246"/>
      <c r="AL400" s="132"/>
      <c r="AM400" s="246"/>
      <c r="AN400" s="261"/>
      <c r="AO400" s="461" t="s">
        <v>1108</v>
      </c>
      <c r="AP400" s="246"/>
      <c r="AQ400" s="132"/>
      <c r="AR400" s="246"/>
      <c r="AS400" s="132"/>
      <c r="AT400" s="460"/>
      <c r="AU400" s="269"/>
      <c r="AV400" s="269"/>
    </row>
    <row r="401">
      <c r="A401" s="270"/>
      <c r="B401" s="459"/>
      <c r="C401" s="460" t="s">
        <v>738</v>
      </c>
      <c r="D401" s="363"/>
      <c r="E401" s="259"/>
      <c r="F401" s="132"/>
      <c r="G401" s="246"/>
      <c r="H401" s="132"/>
      <c r="I401" s="246"/>
      <c r="J401" s="132"/>
      <c r="K401" s="246"/>
      <c r="L401" s="261"/>
      <c r="M401" s="132"/>
      <c r="N401" s="246"/>
      <c r="O401" s="132"/>
      <c r="P401" s="246"/>
      <c r="Q401" s="132"/>
      <c r="R401" s="246"/>
      <c r="S401" s="261"/>
      <c r="T401" s="132"/>
      <c r="U401" s="246"/>
      <c r="V401" s="132"/>
      <c r="W401" s="246"/>
      <c r="X401" s="132"/>
      <c r="Y401" s="246"/>
      <c r="Z401" s="261"/>
      <c r="AA401" s="132"/>
      <c r="AB401" s="246"/>
      <c r="AC401" s="132"/>
      <c r="AD401" s="246"/>
      <c r="AE401" s="132"/>
      <c r="AF401" s="246"/>
      <c r="AG401" s="261"/>
      <c r="AH401" s="132"/>
      <c r="AI401" s="246"/>
      <c r="AJ401" s="132"/>
      <c r="AK401" s="246"/>
      <c r="AL401" s="132"/>
      <c r="AM401" s="246"/>
      <c r="AN401" s="261"/>
      <c r="AO401" s="132"/>
      <c r="AP401" s="246"/>
      <c r="AQ401" s="132"/>
      <c r="AR401" s="246"/>
      <c r="AS401" s="132"/>
      <c r="AT401" s="460"/>
      <c r="AU401" s="236"/>
      <c r="AV401" s="236"/>
    </row>
    <row r="402">
      <c r="A402" s="236"/>
      <c r="B402" s="459"/>
      <c r="C402" s="460" t="s">
        <v>738</v>
      </c>
      <c r="D402" s="363"/>
      <c r="E402" s="259"/>
      <c r="F402" s="461"/>
      <c r="G402" s="246"/>
      <c r="H402" s="132"/>
      <c r="I402" s="246"/>
      <c r="J402" s="132"/>
      <c r="K402" s="246"/>
      <c r="L402" s="261"/>
      <c r="M402" s="132"/>
      <c r="N402" s="246"/>
      <c r="O402" s="132"/>
      <c r="P402" s="246"/>
      <c r="Q402" s="132"/>
      <c r="R402" s="246"/>
      <c r="S402" s="261"/>
      <c r="T402" s="132"/>
      <c r="U402" s="246"/>
      <c r="V402" s="132"/>
      <c r="W402" s="246"/>
      <c r="X402" s="132"/>
      <c r="Y402" s="246"/>
      <c r="Z402" s="261"/>
      <c r="AA402" s="132"/>
      <c r="AB402" s="246"/>
      <c r="AC402" s="132"/>
      <c r="AD402" s="246"/>
      <c r="AE402" s="132"/>
      <c r="AF402" s="246"/>
      <c r="AG402" s="261"/>
      <c r="AH402" s="132"/>
      <c r="AI402" s="246"/>
      <c r="AJ402" s="132"/>
      <c r="AK402" s="246"/>
      <c r="AL402" s="132"/>
      <c r="AM402" s="246"/>
      <c r="AN402" s="261"/>
      <c r="AO402" s="132"/>
      <c r="AP402" s="246"/>
      <c r="AQ402" s="132"/>
      <c r="AR402" s="246"/>
      <c r="AS402" s="132"/>
      <c r="AT402" s="460"/>
      <c r="AU402" s="236"/>
      <c r="AV402" s="236"/>
    </row>
    <row r="403">
      <c r="A403" s="236"/>
      <c r="B403" s="459"/>
      <c r="C403" s="460"/>
      <c r="D403" s="460"/>
      <c r="E403" s="559"/>
      <c r="F403" s="460"/>
      <c r="G403" s="460"/>
      <c r="H403" s="460"/>
      <c r="I403" s="460"/>
      <c r="J403" s="460"/>
      <c r="K403" s="460"/>
      <c r="L403" s="460"/>
      <c r="M403" s="460"/>
      <c r="N403" s="460"/>
      <c r="O403" s="460"/>
      <c r="P403" s="460"/>
      <c r="Q403" s="460"/>
      <c r="R403" s="460"/>
      <c r="S403" s="460"/>
      <c r="T403" s="460"/>
      <c r="U403" s="460"/>
      <c r="V403" s="460"/>
      <c r="W403" s="460"/>
      <c r="X403" s="460"/>
      <c r="Y403" s="460"/>
      <c r="Z403" s="460"/>
      <c r="AA403" s="460"/>
      <c r="AB403" s="460"/>
      <c r="AC403" s="460"/>
      <c r="AD403" s="460"/>
      <c r="AE403" s="460"/>
      <c r="AF403" s="460"/>
      <c r="AG403" s="460"/>
      <c r="AH403" s="460"/>
      <c r="AI403" s="460"/>
      <c r="AJ403" s="460"/>
      <c r="AK403" s="460"/>
      <c r="AL403" s="460"/>
      <c r="AM403" s="460"/>
      <c r="AN403" s="460"/>
      <c r="AO403" s="460"/>
      <c r="AP403" s="460"/>
      <c r="AQ403" s="460"/>
      <c r="AR403" s="460"/>
      <c r="AS403" s="460"/>
      <c r="AT403" s="460"/>
      <c r="AU403" s="236"/>
      <c r="AV403" s="236"/>
    </row>
  </sheetData>
  <mergeCells count="97">
    <mergeCell ref="F83:L83"/>
    <mergeCell ref="M83:S83"/>
    <mergeCell ref="T83:Z83"/>
    <mergeCell ref="AA83:AG83"/>
    <mergeCell ref="AH83:AN83"/>
    <mergeCell ref="AO83:AT83"/>
    <mergeCell ref="F84:L84"/>
    <mergeCell ref="AO84:AT84"/>
    <mergeCell ref="M84:S84"/>
    <mergeCell ref="T84:Z84"/>
    <mergeCell ref="H85:I85"/>
    <mergeCell ref="J85:L85"/>
    <mergeCell ref="Q85:R85"/>
    <mergeCell ref="X85:Y85"/>
    <mergeCell ref="AE85:AF85"/>
    <mergeCell ref="M1:V2"/>
    <mergeCell ref="W1:AT2"/>
    <mergeCell ref="M3:S3"/>
    <mergeCell ref="T3:Z3"/>
    <mergeCell ref="AA3:AG3"/>
    <mergeCell ref="AH3:AN3"/>
    <mergeCell ref="AO3:AT3"/>
    <mergeCell ref="F3:L3"/>
    <mergeCell ref="M4:S4"/>
    <mergeCell ref="T4:Z4"/>
    <mergeCell ref="AA4:AG4"/>
    <mergeCell ref="AH4:AN4"/>
    <mergeCell ref="AO4:AT4"/>
    <mergeCell ref="F4:L4"/>
    <mergeCell ref="H5:I5"/>
    <mergeCell ref="J5:L5"/>
    <mergeCell ref="Q5:R5"/>
    <mergeCell ref="X5:Y5"/>
    <mergeCell ref="AE5:AF5"/>
    <mergeCell ref="AL5:AM5"/>
    <mergeCell ref="AA84:AG84"/>
    <mergeCell ref="AH84:AN84"/>
    <mergeCell ref="AL85:AM85"/>
    <mergeCell ref="AS85:AT85"/>
    <mergeCell ref="M164:S164"/>
    <mergeCell ref="T164:Z164"/>
    <mergeCell ref="AS5:AT5"/>
    <mergeCell ref="AA324:AG324"/>
    <mergeCell ref="AH324:AN324"/>
    <mergeCell ref="F323:L323"/>
    <mergeCell ref="M323:S323"/>
    <mergeCell ref="T323:Z323"/>
    <mergeCell ref="AA323:AG323"/>
    <mergeCell ref="AH323:AN323"/>
    <mergeCell ref="AO323:AT323"/>
    <mergeCell ref="F324:L324"/>
    <mergeCell ref="AO324:AT324"/>
    <mergeCell ref="AL325:AM325"/>
    <mergeCell ref="AS325:AT325"/>
    <mergeCell ref="M324:S324"/>
    <mergeCell ref="T324:Z324"/>
    <mergeCell ref="H325:I325"/>
    <mergeCell ref="J325:L325"/>
    <mergeCell ref="Q325:R325"/>
    <mergeCell ref="X325:Y325"/>
    <mergeCell ref="AE325:AF325"/>
    <mergeCell ref="AA164:AG164"/>
    <mergeCell ref="AH164:AN164"/>
    <mergeCell ref="F163:L163"/>
    <mergeCell ref="M163:S163"/>
    <mergeCell ref="T163:Z163"/>
    <mergeCell ref="AA163:AG163"/>
    <mergeCell ref="AH163:AN163"/>
    <mergeCell ref="AO163:AT163"/>
    <mergeCell ref="AO164:AT164"/>
    <mergeCell ref="F164:L164"/>
    <mergeCell ref="H165:I165"/>
    <mergeCell ref="Q165:R165"/>
    <mergeCell ref="X165:Y165"/>
    <mergeCell ref="AE165:AF165"/>
    <mergeCell ref="AL165:AM165"/>
    <mergeCell ref="AS165:AT165"/>
    <mergeCell ref="J165:L165"/>
    <mergeCell ref="F243:L243"/>
    <mergeCell ref="M243:S243"/>
    <mergeCell ref="T243:Z243"/>
    <mergeCell ref="AA243:AG243"/>
    <mergeCell ref="AH243:AN243"/>
    <mergeCell ref="AO243:AT243"/>
    <mergeCell ref="F244:L244"/>
    <mergeCell ref="M244:S244"/>
    <mergeCell ref="T244:Z244"/>
    <mergeCell ref="AA244:AG244"/>
    <mergeCell ref="AH244:AN244"/>
    <mergeCell ref="AO244:AT244"/>
    <mergeCell ref="H245:I245"/>
    <mergeCell ref="J245:L245"/>
    <mergeCell ref="Q245:R245"/>
    <mergeCell ref="X245:Y245"/>
    <mergeCell ref="AE245:AF245"/>
    <mergeCell ref="AL245:AM245"/>
    <mergeCell ref="AS245:AT245"/>
  </mergeCells>
  <dataValidations>
    <dataValidation type="list" allowBlank="1" showErrorMessage="1" sqref="C3 C83 C163 C243 C323">
      <formula1>"RTC,RG,PUB,Working on it"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4.63"/>
    <col customWidth="1" min="2" max="2" width="18.0"/>
    <col customWidth="1" min="3" max="3" width="10.88"/>
    <col customWidth="1" min="4" max="4" width="8.0"/>
    <col customWidth="1" min="5" max="5" width="1.75"/>
    <col customWidth="1" min="6" max="6" width="14.75"/>
    <col customWidth="1" min="7" max="7" width="0.88"/>
    <col customWidth="1" min="8" max="8" width="15.13"/>
    <col customWidth="1" min="9" max="9" width="0.88"/>
    <col customWidth="1" min="10" max="10" width="14.75"/>
    <col customWidth="1" min="11" max="11" width="0.88"/>
    <col customWidth="1" min="12" max="12" width="1.75"/>
    <col customWidth="1" min="13" max="13" width="15.63"/>
    <col customWidth="1" min="14" max="14" width="0.88"/>
    <col customWidth="1" min="15" max="15" width="15.63"/>
    <col customWidth="1" min="16" max="16" width="0.88"/>
    <col customWidth="1" min="17" max="17" width="14.75"/>
    <col customWidth="1" min="18" max="18" width="0.88"/>
    <col customWidth="1" min="19" max="19" width="1.75"/>
    <col customWidth="1" min="20" max="20" width="16.38"/>
    <col customWidth="1" min="21" max="21" width="0.88"/>
    <col customWidth="1" min="22" max="22" width="14.25"/>
    <col customWidth="1" min="23" max="23" width="0.88"/>
    <col customWidth="1" min="24" max="24" width="14.75"/>
    <col customWidth="1" min="25" max="25" width="0.88"/>
    <col customWidth="1" min="26" max="26" width="1.75"/>
    <col customWidth="1" min="27" max="27" width="16.38"/>
    <col customWidth="1" min="28" max="28" width="0.88"/>
    <col customWidth="1" min="29" max="29" width="16.38"/>
    <col customWidth="1" min="30" max="30" width="0.88"/>
    <col customWidth="1" min="31" max="31" width="14.75"/>
    <col customWidth="1" min="32" max="32" width="0.88"/>
    <col customWidth="1" min="33" max="33" width="1.75"/>
    <col customWidth="1" min="34" max="34" width="16.38"/>
    <col customWidth="1" min="35" max="35" width="0.88"/>
    <col customWidth="1" min="36" max="36" width="16.38"/>
    <col customWidth="1" min="37" max="37" width="0.88"/>
    <col customWidth="1" min="38" max="38" width="14.75"/>
    <col customWidth="1" min="39" max="39" width="0.88"/>
    <col customWidth="1" min="40" max="40" width="1.75"/>
    <col customWidth="1" min="41" max="41" width="16.38"/>
    <col customWidth="1" min="42" max="42" width="0.88"/>
    <col customWidth="1" min="43" max="43" width="16.38"/>
    <col customWidth="1" min="44" max="44" width="0.88"/>
    <col customWidth="1" min="45" max="45" width="14.75"/>
    <col customWidth="1" min="46" max="46" width="0.88"/>
    <col customWidth="1" min="47" max="47" width="3.25"/>
  </cols>
  <sheetData>
    <row r="1" ht="24.75" customHeight="1">
      <c r="A1" s="172" t="s">
        <v>602</v>
      </c>
      <c r="B1" s="173" t="s">
        <v>603</v>
      </c>
      <c r="C1" s="174"/>
      <c r="D1" s="174"/>
      <c r="E1" s="175"/>
      <c r="F1" s="176"/>
      <c r="G1" s="176"/>
      <c r="H1" s="176"/>
      <c r="I1" s="177"/>
      <c r="J1" s="177"/>
      <c r="K1" s="177"/>
      <c r="L1" s="177"/>
      <c r="M1" s="178" t="s">
        <v>480</v>
      </c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6"/>
    </row>
    <row r="2">
      <c r="A2" s="182"/>
      <c r="B2" s="183" t="s">
        <v>604</v>
      </c>
      <c r="C2" s="184" t="s">
        <v>605</v>
      </c>
      <c r="D2" s="185" t="s">
        <v>486</v>
      </c>
      <c r="E2" s="186"/>
      <c r="F2" s="185" t="s">
        <v>487</v>
      </c>
      <c r="K2" s="789"/>
      <c r="L2" s="789"/>
      <c r="M2" s="185" t="s">
        <v>488</v>
      </c>
      <c r="T2" s="185" t="s">
        <v>489</v>
      </c>
      <c r="AA2" s="185" t="s">
        <v>490</v>
      </c>
      <c r="AH2" s="185" t="s">
        <v>491</v>
      </c>
      <c r="AO2" s="185" t="s">
        <v>492</v>
      </c>
      <c r="AU2" s="182"/>
    </row>
    <row r="3">
      <c r="A3" s="182"/>
      <c r="B3" s="187"/>
      <c r="C3" s="187"/>
      <c r="D3" s="188">
        <v>5.0</v>
      </c>
      <c r="E3" s="189"/>
      <c r="F3" s="188">
        <v>6.0</v>
      </c>
      <c r="M3" s="188">
        <v>7.0</v>
      </c>
      <c r="T3" s="188">
        <v>8.0</v>
      </c>
      <c r="AA3" s="188">
        <v>9.0</v>
      </c>
      <c r="AH3" s="188">
        <v>10.0</v>
      </c>
      <c r="AO3" s="188">
        <v>11.0</v>
      </c>
      <c r="AU3" s="182"/>
    </row>
    <row r="4">
      <c r="A4" s="182"/>
      <c r="B4" s="193" t="s">
        <v>608</v>
      </c>
      <c r="C4" s="193" t="s">
        <v>609</v>
      </c>
      <c r="D4" s="187"/>
      <c r="E4" s="189"/>
      <c r="F4" s="194" t="s">
        <v>610</v>
      </c>
      <c r="G4" s="195"/>
      <c r="H4" s="193" t="s">
        <v>611</v>
      </c>
      <c r="J4" s="194" t="s">
        <v>612</v>
      </c>
      <c r="M4" s="194" t="s">
        <v>610</v>
      </c>
      <c r="N4" s="195"/>
      <c r="O4" s="193" t="s">
        <v>611</v>
      </c>
      <c r="P4" s="195"/>
      <c r="Q4" s="194" t="s">
        <v>612</v>
      </c>
      <c r="S4" s="193"/>
      <c r="T4" s="194" t="s">
        <v>610</v>
      </c>
      <c r="U4" s="195"/>
      <c r="V4" s="193" t="s">
        <v>611</v>
      </c>
      <c r="W4" s="195"/>
      <c r="X4" s="194" t="s">
        <v>612</v>
      </c>
      <c r="Z4" s="193"/>
      <c r="AA4" s="194" t="s">
        <v>610</v>
      </c>
      <c r="AB4" s="195"/>
      <c r="AC4" s="193" t="s">
        <v>611</v>
      </c>
      <c r="AD4" s="195"/>
      <c r="AE4" s="194" t="s">
        <v>612</v>
      </c>
      <c r="AG4" s="193"/>
      <c r="AH4" s="194" t="s">
        <v>610</v>
      </c>
      <c r="AI4" s="195"/>
      <c r="AJ4" s="193" t="s">
        <v>611</v>
      </c>
      <c r="AK4" s="195"/>
      <c r="AL4" s="194" t="s">
        <v>612</v>
      </c>
      <c r="AN4" s="193"/>
      <c r="AO4" s="194" t="s">
        <v>610</v>
      </c>
      <c r="AP4" s="195"/>
      <c r="AQ4" s="193" t="s">
        <v>611</v>
      </c>
      <c r="AR4" s="195"/>
      <c r="AS4" s="194" t="s">
        <v>612</v>
      </c>
      <c r="AU4" s="182"/>
    </row>
    <row r="5" ht="15.0" customHeight="1">
      <c r="A5" s="199"/>
      <c r="B5" s="200" t="s">
        <v>620</v>
      </c>
      <c r="C5" s="201"/>
      <c r="D5" s="201"/>
      <c r="E5" s="202"/>
      <c r="F5" s="203"/>
      <c r="G5" s="204"/>
      <c r="H5" s="203"/>
      <c r="I5" s="204"/>
      <c r="J5" s="203"/>
      <c r="K5" s="204"/>
      <c r="L5" s="221"/>
      <c r="M5" s="203"/>
      <c r="N5" s="204"/>
      <c r="O5" s="203"/>
      <c r="P5" s="204"/>
      <c r="Q5" s="203"/>
      <c r="R5" s="204"/>
      <c r="S5" s="205"/>
      <c r="T5" s="203"/>
      <c r="U5" s="204"/>
      <c r="V5" s="203"/>
      <c r="W5" s="204"/>
      <c r="X5" s="203"/>
      <c r="Y5" s="204"/>
      <c r="Z5" s="205"/>
      <c r="AA5" s="203" t="s">
        <v>1109</v>
      </c>
      <c r="AB5" s="204"/>
      <c r="AC5" s="203" t="s">
        <v>1110</v>
      </c>
      <c r="AD5" s="204"/>
      <c r="AE5" s="203" t="s">
        <v>620</v>
      </c>
      <c r="AF5" s="204"/>
      <c r="AG5" s="205"/>
      <c r="AH5" s="203"/>
      <c r="AI5" s="204"/>
      <c r="AJ5" s="724" t="s">
        <v>827</v>
      </c>
      <c r="AK5" s="204"/>
      <c r="AL5" s="203" t="s">
        <v>1111</v>
      </c>
      <c r="AM5" s="204"/>
      <c r="AN5" s="205"/>
      <c r="AO5" s="203"/>
      <c r="AP5" s="204"/>
      <c r="AQ5" s="203"/>
      <c r="AR5" s="204"/>
      <c r="AS5" s="203" t="s">
        <v>1112</v>
      </c>
      <c r="AT5" s="204"/>
      <c r="AU5" s="199"/>
    </row>
    <row r="6">
      <c r="A6" s="234"/>
      <c r="B6" s="235" t="s">
        <v>608</v>
      </c>
      <c r="C6" s="195" t="s">
        <v>609</v>
      </c>
      <c r="D6" s="236"/>
      <c r="E6" s="237"/>
      <c r="F6" s="238"/>
      <c r="G6" s="182"/>
      <c r="H6" s="238"/>
      <c r="I6" s="239"/>
      <c r="J6" s="238"/>
      <c r="K6" s="239"/>
      <c r="L6" s="94"/>
      <c r="M6" s="238"/>
      <c r="N6" s="182"/>
      <c r="O6" s="238"/>
      <c r="P6" s="239"/>
      <c r="Q6" s="238"/>
      <c r="R6" s="239"/>
      <c r="S6" s="237"/>
      <c r="T6" s="238"/>
      <c r="U6" s="182"/>
      <c r="V6" s="238"/>
      <c r="W6" s="239"/>
      <c r="X6" s="238"/>
      <c r="Y6" s="239"/>
      <c r="Z6" s="237"/>
      <c r="AA6" s="238"/>
      <c r="AB6" s="182"/>
      <c r="AC6" s="238"/>
      <c r="AD6" s="239"/>
      <c r="AE6" s="238"/>
      <c r="AF6" s="239"/>
      <c r="AG6" s="237"/>
      <c r="AH6" s="238"/>
      <c r="AI6" s="182"/>
      <c r="AJ6" s="238"/>
      <c r="AK6" s="239"/>
      <c r="AL6" s="238"/>
      <c r="AM6" s="239"/>
      <c r="AN6" s="237"/>
      <c r="AO6" s="238"/>
      <c r="AP6" s="182"/>
      <c r="AQ6" s="238"/>
      <c r="AR6" s="239"/>
      <c r="AS6" s="238"/>
      <c r="AT6" s="239"/>
      <c r="AU6" s="236"/>
    </row>
    <row r="7" ht="14.25" customHeight="1">
      <c r="A7" s="240"/>
      <c r="B7" s="241" t="s">
        <v>638</v>
      </c>
      <c r="C7" s="242" t="s">
        <v>639</v>
      </c>
      <c r="D7" s="243"/>
      <c r="E7" s="244"/>
      <c r="F7" s="247"/>
      <c r="G7" s="246"/>
      <c r="I7" s="246"/>
      <c r="K7" s="246"/>
      <c r="L7" s="676"/>
      <c r="M7" s="250"/>
      <c r="N7" s="246"/>
      <c r="O7" s="282"/>
      <c r="P7" s="246"/>
      <c r="R7" s="246"/>
      <c r="S7" s="249"/>
      <c r="T7" s="250"/>
      <c r="U7" s="246"/>
      <c r="V7" s="281"/>
      <c r="W7" s="246"/>
      <c r="X7" s="251" t="s">
        <v>405</v>
      </c>
      <c r="Y7" s="246"/>
      <c r="Z7" s="249"/>
      <c r="AA7" s="250"/>
      <c r="AB7" s="246"/>
      <c r="AD7" s="246"/>
      <c r="AE7" s="251" t="s">
        <v>405</v>
      </c>
      <c r="AF7" s="246"/>
      <c r="AG7" s="249"/>
      <c r="AH7" s="371"/>
      <c r="AI7" s="246"/>
      <c r="AK7" s="246"/>
      <c r="AM7" s="246"/>
      <c r="AN7" s="249"/>
      <c r="AO7" s="286"/>
      <c r="AP7" s="246"/>
      <c r="AQ7" s="720" t="s">
        <v>1113</v>
      </c>
      <c r="AR7" s="246"/>
      <c r="AS7" s="790" t="s">
        <v>1114</v>
      </c>
      <c r="AT7" s="254" t="str">
        <f t="shared" ref="AT7:AT9" si="1">IF(COUNTIF($AO$79:$AT$81, #REF!) &gt; 0, "X", "")</f>
        <v/>
      </c>
      <c r="AU7" s="255"/>
    </row>
    <row r="8" ht="13.5" customHeight="1">
      <c r="A8" s="94"/>
      <c r="B8" s="256" t="s">
        <v>638</v>
      </c>
      <c r="C8" s="257" t="s">
        <v>639</v>
      </c>
      <c r="D8" s="258"/>
      <c r="E8" s="259"/>
      <c r="F8" s="264"/>
      <c r="G8" s="246"/>
      <c r="H8" s="426"/>
      <c r="I8" s="246"/>
      <c r="K8" s="246"/>
      <c r="L8" s="462"/>
      <c r="M8" s="262"/>
      <c r="N8" s="246"/>
      <c r="P8" s="246"/>
      <c r="R8" s="246"/>
      <c r="S8" s="261"/>
      <c r="T8" s="262"/>
      <c r="U8" s="246"/>
      <c r="W8" s="246"/>
      <c r="X8" s="274" t="s">
        <v>409</v>
      </c>
      <c r="Y8" s="246"/>
      <c r="Z8" s="261"/>
      <c r="AA8" s="262"/>
      <c r="AB8" s="246"/>
      <c r="AD8" s="246"/>
      <c r="AE8" s="274" t="s">
        <v>414</v>
      </c>
      <c r="AF8" s="246"/>
      <c r="AG8" s="261"/>
      <c r="AH8" s="426"/>
      <c r="AI8" s="246"/>
      <c r="AK8" s="246"/>
      <c r="AL8" s="274" t="s">
        <v>414</v>
      </c>
      <c r="AM8" s="246"/>
      <c r="AN8" s="261"/>
      <c r="AO8" s="286"/>
      <c r="AP8" s="246"/>
      <c r="AQ8" s="662" t="s">
        <v>640</v>
      </c>
      <c r="AR8" s="246"/>
      <c r="AS8" s="791" t="s">
        <v>420</v>
      </c>
      <c r="AT8" s="254" t="str">
        <f t="shared" si="1"/>
        <v/>
      </c>
      <c r="AU8" s="269"/>
    </row>
    <row r="9" ht="13.5" customHeight="1">
      <c r="A9" s="270"/>
      <c r="B9" s="271" t="s">
        <v>642</v>
      </c>
      <c r="C9" s="272" t="s">
        <v>639</v>
      </c>
      <c r="D9" s="258"/>
      <c r="E9" s="259"/>
      <c r="F9" s="275"/>
      <c r="G9" s="246"/>
      <c r="I9" s="246"/>
      <c r="J9" s="280" t="s">
        <v>400</v>
      </c>
      <c r="K9" s="246"/>
      <c r="L9" s="462"/>
      <c r="M9" s="250"/>
      <c r="N9" s="246"/>
      <c r="O9" s="281"/>
      <c r="P9" s="246"/>
      <c r="Q9" s="282"/>
      <c r="R9" s="246"/>
      <c r="S9" s="261"/>
      <c r="T9" s="250"/>
      <c r="U9" s="246"/>
      <c r="V9" s="274" t="s">
        <v>406</v>
      </c>
      <c r="W9" s="246"/>
      <c r="X9" s="280" t="s">
        <v>400</v>
      </c>
      <c r="Y9" s="246"/>
      <c r="Z9" s="261"/>
      <c r="AA9" s="250"/>
      <c r="AB9" s="246"/>
      <c r="AD9" s="246"/>
      <c r="AF9" s="246"/>
      <c r="AG9" s="261"/>
      <c r="AH9" s="282"/>
      <c r="AI9" s="246"/>
      <c r="AK9" s="246"/>
      <c r="AL9" s="281"/>
      <c r="AM9" s="246"/>
      <c r="AN9" s="261"/>
      <c r="AO9" s="286"/>
      <c r="AP9" s="246"/>
      <c r="AQ9" s="384" t="s">
        <v>432</v>
      </c>
      <c r="AR9" s="246"/>
      <c r="AS9" s="792" t="s">
        <v>760</v>
      </c>
      <c r="AT9" s="254" t="str">
        <f t="shared" si="1"/>
        <v/>
      </c>
      <c r="AU9" s="269"/>
    </row>
    <row r="10">
      <c r="A10" s="94"/>
      <c r="B10" s="277" t="s">
        <v>644</v>
      </c>
      <c r="C10" s="278" t="s">
        <v>645</v>
      </c>
      <c r="D10" s="243"/>
      <c r="E10" s="259"/>
      <c r="F10" s="371"/>
      <c r="G10" s="246"/>
      <c r="H10" s="371"/>
      <c r="I10" s="246"/>
      <c r="J10" s="371"/>
      <c r="K10" s="246"/>
      <c r="L10" s="462"/>
      <c r="M10" s="250"/>
      <c r="N10" s="246"/>
      <c r="P10" s="246"/>
      <c r="Q10" s="280" t="s">
        <v>400</v>
      </c>
      <c r="R10" s="246"/>
      <c r="S10" s="261"/>
      <c r="T10" s="250"/>
      <c r="U10" s="246"/>
      <c r="V10" s="371"/>
      <c r="W10" s="246"/>
      <c r="X10" s="371"/>
      <c r="Y10" s="246"/>
      <c r="Z10" s="261"/>
      <c r="AA10" s="250"/>
      <c r="AB10" s="246"/>
      <c r="AC10" s="280" t="s">
        <v>400</v>
      </c>
      <c r="AD10" s="246"/>
      <c r="AF10" s="246"/>
      <c r="AG10" s="261"/>
      <c r="AH10" s="371"/>
      <c r="AI10" s="246"/>
      <c r="AJ10" s="280" t="s">
        <v>400</v>
      </c>
      <c r="AK10" s="246"/>
      <c r="AM10" s="246"/>
      <c r="AN10" s="261"/>
      <c r="AO10" s="286"/>
      <c r="AP10" s="246"/>
      <c r="AQ10" s="516"/>
      <c r="AR10" s="246"/>
      <c r="AS10" s="475" t="s">
        <v>397</v>
      </c>
      <c r="AT10" s="254" t="str">
        <f>IF(COUNTIF($AO$79:$AT$81, AS8) &gt; 0, "X", "")</f>
        <v/>
      </c>
      <c r="AU10" s="269"/>
    </row>
    <row r="11">
      <c r="A11" s="270"/>
      <c r="B11" s="284" t="s">
        <v>646</v>
      </c>
      <c r="C11" s="285" t="s">
        <v>647</v>
      </c>
      <c r="D11" s="243"/>
      <c r="E11" s="259"/>
      <c r="F11" s="251" t="s">
        <v>427</v>
      </c>
      <c r="G11" s="246"/>
      <c r="H11" s="399"/>
      <c r="I11" s="246"/>
      <c r="J11" s="399"/>
      <c r="K11" s="246"/>
      <c r="L11" s="462"/>
      <c r="M11" s="324"/>
      <c r="N11" s="246"/>
      <c r="O11" s="399"/>
      <c r="P11" s="246"/>
      <c r="Q11" s="251" t="s">
        <v>427</v>
      </c>
      <c r="R11" s="246"/>
      <c r="S11" s="261"/>
      <c r="T11" s="324"/>
      <c r="U11" s="246"/>
      <c r="V11" s="251" t="s">
        <v>602</v>
      </c>
      <c r="W11" s="246"/>
      <c r="X11" s="251" t="s">
        <v>427</v>
      </c>
      <c r="Y11" s="246"/>
      <c r="Z11" s="261"/>
      <c r="AA11" s="324"/>
      <c r="AB11" s="246"/>
      <c r="AC11" s="282"/>
      <c r="AD11" s="246"/>
      <c r="AE11" s="251" t="s">
        <v>427</v>
      </c>
      <c r="AF11" s="246"/>
      <c r="AG11" s="261"/>
      <c r="AH11" s="251" t="s">
        <v>427</v>
      </c>
      <c r="AI11" s="246"/>
      <c r="AJ11" s="282"/>
      <c r="AK11" s="246"/>
      <c r="AL11" s="282"/>
      <c r="AM11" s="246"/>
      <c r="AN11" s="261"/>
      <c r="AO11" s="286"/>
      <c r="AP11" s="246"/>
      <c r="AQ11" s="252"/>
      <c r="AR11" s="246"/>
      <c r="AT11" s="254" t="str">
        <f t="shared" ref="AT11:AT15" si="2">IF(COUNTIF($AO$79:$AT$81, #REF!) &gt; 0, "X", "")</f>
        <v/>
      </c>
      <c r="AU11" s="269"/>
    </row>
    <row r="12">
      <c r="A12" s="94"/>
      <c r="B12" s="291" t="s">
        <v>648</v>
      </c>
      <c r="C12" s="292" t="s">
        <v>649</v>
      </c>
      <c r="D12" s="243"/>
      <c r="E12" s="259"/>
      <c r="F12" s="294"/>
      <c r="G12" s="246"/>
      <c r="H12" s="294"/>
      <c r="I12" s="246"/>
      <c r="J12" s="294"/>
      <c r="K12" s="246"/>
      <c r="L12" s="462"/>
      <c r="M12" s="250"/>
      <c r="N12" s="246"/>
      <c r="O12" s="293" t="s">
        <v>418</v>
      </c>
      <c r="P12" s="246"/>
      <c r="Q12" s="294"/>
      <c r="R12" s="246"/>
      <c r="S12" s="261"/>
      <c r="T12" s="250"/>
      <c r="U12" s="246"/>
      <c r="V12" s="294"/>
      <c r="W12" s="246"/>
      <c r="X12" s="293" t="s">
        <v>418</v>
      </c>
      <c r="Y12" s="246"/>
      <c r="Z12" s="261"/>
      <c r="AA12" s="250"/>
      <c r="AB12" s="246"/>
      <c r="AC12" s="294"/>
      <c r="AD12" s="246"/>
      <c r="AE12" s="293" t="s">
        <v>418</v>
      </c>
      <c r="AF12" s="246"/>
      <c r="AG12" s="261"/>
      <c r="AH12" s="294"/>
      <c r="AI12" s="246"/>
      <c r="AJ12" s="293" t="s">
        <v>418</v>
      </c>
      <c r="AK12" s="246"/>
      <c r="AL12" s="294"/>
      <c r="AM12" s="246"/>
      <c r="AN12" s="261"/>
      <c r="AO12" s="286"/>
      <c r="AP12" s="246"/>
      <c r="AQ12" s="294"/>
      <c r="AR12" s="246"/>
      <c r="AS12" s="294"/>
      <c r="AT12" s="254" t="str">
        <f t="shared" si="2"/>
        <v/>
      </c>
      <c r="AU12" s="269"/>
    </row>
    <row r="13">
      <c r="A13" s="94"/>
      <c r="B13" s="296" t="s">
        <v>650</v>
      </c>
      <c r="C13" s="297" t="s">
        <v>649</v>
      </c>
      <c r="D13" s="243"/>
      <c r="E13" s="259"/>
      <c r="F13" s="299"/>
      <c r="G13" s="298"/>
      <c r="H13" s="299"/>
      <c r="I13" s="298"/>
      <c r="J13" s="299"/>
      <c r="K13" s="298"/>
      <c r="L13" s="462"/>
      <c r="M13" s="250"/>
      <c r="N13" s="298"/>
      <c r="O13" s="299"/>
      <c r="P13" s="298"/>
      <c r="Q13" s="299"/>
      <c r="R13" s="298"/>
      <c r="S13" s="261"/>
      <c r="T13" s="250"/>
      <c r="U13" s="298"/>
      <c r="V13" s="299"/>
      <c r="W13" s="298"/>
      <c r="X13" s="299"/>
      <c r="Y13" s="298"/>
      <c r="Z13" s="261"/>
      <c r="AA13" s="250"/>
      <c r="AB13" s="298"/>
      <c r="AC13" s="299"/>
      <c r="AD13" s="298"/>
      <c r="AE13" s="299"/>
      <c r="AF13" s="298"/>
      <c r="AG13" s="261"/>
      <c r="AH13" s="299"/>
      <c r="AI13" s="298"/>
      <c r="AJ13" s="299"/>
      <c r="AK13" s="298"/>
      <c r="AL13" s="299"/>
      <c r="AM13" s="298"/>
      <c r="AN13" s="261"/>
      <c r="AO13" s="286"/>
      <c r="AP13" s="298"/>
      <c r="AQ13" s="300"/>
      <c r="AR13" s="298"/>
      <c r="AS13" s="300"/>
      <c r="AT13" s="254" t="str">
        <f t="shared" si="2"/>
        <v/>
      </c>
      <c r="AU13" s="269"/>
    </row>
    <row r="14">
      <c r="A14" s="94"/>
      <c r="B14" s="301" t="s">
        <v>651</v>
      </c>
      <c r="C14" s="302" t="s">
        <v>652</v>
      </c>
      <c r="D14" s="243"/>
      <c r="E14" s="259"/>
      <c r="F14" s="303"/>
      <c r="G14" s="298"/>
      <c r="H14" s="303"/>
      <c r="I14" s="298"/>
      <c r="J14" s="303"/>
      <c r="K14" s="298"/>
      <c r="L14" s="462"/>
      <c r="M14" s="250"/>
      <c r="N14" s="298"/>
      <c r="O14" s="303"/>
      <c r="P14" s="298"/>
      <c r="Q14" s="303"/>
      <c r="R14" s="298"/>
      <c r="S14" s="261"/>
      <c r="T14" s="250"/>
      <c r="U14" s="298"/>
      <c r="V14" s="303"/>
      <c r="W14" s="298"/>
      <c r="X14" s="303"/>
      <c r="Y14" s="298"/>
      <c r="Z14" s="261"/>
      <c r="AA14" s="250"/>
      <c r="AB14" s="298"/>
      <c r="AC14" s="303"/>
      <c r="AD14" s="298"/>
      <c r="AE14" s="303"/>
      <c r="AF14" s="298"/>
      <c r="AG14" s="261"/>
      <c r="AH14" s="303"/>
      <c r="AI14" s="298"/>
      <c r="AJ14" s="303"/>
      <c r="AK14" s="298"/>
      <c r="AL14" s="303"/>
      <c r="AM14" s="298"/>
      <c r="AN14" s="261"/>
      <c r="AO14" s="286"/>
      <c r="AP14" s="298"/>
      <c r="AQ14" s="304"/>
      <c r="AR14" s="298"/>
      <c r="AS14" s="304"/>
      <c r="AT14" s="254" t="str">
        <f t="shared" si="2"/>
        <v/>
      </c>
      <c r="AU14" s="269"/>
    </row>
    <row r="15">
      <c r="A15" s="94"/>
      <c r="B15" s="305" t="s">
        <v>653</v>
      </c>
      <c r="C15" s="306" t="s">
        <v>654</v>
      </c>
      <c r="D15" s="243"/>
      <c r="E15" s="259"/>
      <c r="F15" s="307"/>
      <c r="G15" s="298"/>
      <c r="H15" s="307"/>
      <c r="I15" s="298"/>
      <c r="J15" s="307"/>
      <c r="K15" s="298"/>
      <c r="L15" s="462"/>
      <c r="M15" s="250"/>
      <c r="N15" s="298"/>
      <c r="O15" s="307"/>
      <c r="P15" s="298"/>
      <c r="Q15" s="307"/>
      <c r="R15" s="298"/>
      <c r="S15" s="261"/>
      <c r="T15" s="250"/>
      <c r="U15" s="298"/>
      <c r="V15" s="307"/>
      <c r="W15" s="298"/>
      <c r="X15" s="307"/>
      <c r="Y15" s="298"/>
      <c r="Z15" s="261"/>
      <c r="AA15" s="250"/>
      <c r="AB15" s="298"/>
      <c r="AC15" s="307"/>
      <c r="AD15" s="298"/>
      <c r="AE15" s="311" t="s">
        <v>434</v>
      </c>
      <c r="AF15" s="298"/>
      <c r="AG15" s="261"/>
      <c r="AH15" s="307"/>
      <c r="AI15" s="298"/>
      <c r="AJ15" s="307"/>
      <c r="AK15" s="298"/>
      <c r="AL15" s="307"/>
      <c r="AM15" s="298"/>
      <c r="AN15" s="261"/>
      <c r="AO15" s="286"/>
      <c r="AP15" s="298"/>
      <c r="AQ15" s="307"/>
      <c r="AR15" s="298"/>
      <c r="AS15" s="307"/>
      <c r="AT15" s="254" t="str">
        <f t="shared" si="2"/>
        <v/>
      </c>
      <c r="AU15" s="269"/>
    </row>
    <row r="16">
      <c r="A16" s="94"/>
      <c r="B16" s="310" t="s">
        <v>656</v>
      </c>
      <c r="C16" s="278" t="s">
        <v>657</v>
      </c>
      <c r="D16" s="243"/>
      <c r="E16" s="259"/>
      <c r="F16" s="281"/>
      <c r="G16" s="246"/>
      <c r="H16" s="282"/>
      <c r="I16" s="246"/>
      <c r="K16" s="246"/>
      <c r="L16" s="462"/>
      <c r="M16" s="250"/>
      <c r="N16" s="246"/>
      <c r="O16" s="274" t="s">
        <v>458</v>
      </c>
      <c r="P16" s="246"/>
      <c r="Q16" s="282"/>
      <c r="R16" s="246"/>
      <c r="S16" s="261"/>
      <c r="T16" s="250"/>
      <c r="U16" s="246"/>
      <c r="W16" s="246"/>
      <c r="Y16" s="246"/>
      <c r="Z16" s="261"/>
      <c r="AA16" s="250"/>
      <c r="AB16" s="246"/>
      <c r="AD16" s="246"/>
      <c r="AE16" s="336" t="s">
        <v>398</v>
      </c>
      <c r="AF16" s="246"/>
      <c r="AG16" s="261"/>
      <c r="AH16" s="282"/>
      <c r="AI16" s="246"/>
      <c r="AJ16" s="282"/>
      <c r="AK16" s="246"/>
      <c r="AM16" s="246"/>
      <c r="AN16" s="261"/>
      <c r="AO16" s="286"/>
      <c r="AP16" s="246"/>
      <c r="AR16" s="246"/>
      <c r="AT16" s="254" t="str">
        <f>IF(COUNTIF($AO$79:$AT$81, AS16) &gt; 0, "X", "")</f>
        <v/>
      </c>
      <c r="AU16" s="269"/>
    </row>
    <row r="17">
      <c r="A17" s="94"/>
      <c r="B17" s="277" t="s">
        <v>658</v>
      </c>
      <c r="C17" s="278" t="s">
        <v>657</v>
      </c>
      <c r="D17" s="243"/>
      <c r="E17" s="259"/>
      <c r="G17" s="246"/>
      <c r="I17" s="246"/>
      <c r="K17" s="246"/>
      <c r="L17" s="462"/>
      <c r="M17" s="250"/>
      <c r="N17" s="246"/>
      <c r="O17" s="336" t="s">
        <v>398</v>
      </c>
      <c r="P17" s="246"/>
      <c r="R17" s="246"/>
      <c r="S17" s="261"/>
      <c r="T17" s="250"/>
      <c r="U17" s="246"/>
      <c r="W17" s="246"/>
      <c r="Y17" s="246"/>
      <c r="Z17" s="261"/>
      <c r="AA17" s="250"/>
      <c r="AB17" s="246"/>
      <c r="AD17" s="246"/>
      <c r="AF17" s="246"/>
      <c r="AG17" s="261"/>
      <c r="AH17" s="282"/>
      <c r="AI17" s="246"/>
      <c r="AK17" s="246"/>
      <c r="AM17" s="246"/>
      <c r="AN17" s="261"/>
      <c r="AO17" s="286"/>
      <c r="AP17" s="246"/>
      <c r="AR17" s="246"/>
      <c r="AT17" s="254" t="str">
        <f t="shared" ref="AT17:AT19" si="3">IF(COUNTIF($AO$79:$AT$81, #REF!) &gt; 0, "X", "")</f>
        <v/>
      </c>
      <c r="AU17" s="269"/>
    </row>
    <row r="18">
      <c r="A18" s="94"/>
      <c r="B18" s="314" t="s">
        <v>660</v>
      </c>
      <c r="C18" s="315" t="s">
        <v>649</v>
      </c>
      <c r="D18" s="243"/>
      <c r="E18" s="259"/>
      <c r="F18" s="479"/>
      <c r="G18" s="246"/>
      <c r="H18" s="293" t="s">
        <v>418</v>
      </c>
      <c r="I18" s="246"/>
      <c r="J18" s="632" t="s">
        <v>423</v>
      </c>
      <c r="K18" s="246"/>
      <c r="L18" s="462"/>
      <c r="M18" s="316"/>
      <c r="N18" s="246"/>
      <c r="O18" s="293" t="s">
        <v>416</v>
      </c>
      <c r="P18" s="246"/>
      <c r="Q18" s="632" t="s">
        <v>423</v>
      </c>
      <c r="R18" s="246"/>
      <c r="S18" s="261"/>
      <c r="T18" s="316"/>
      <c r="U18" s="246"/>
      <c r="V18" s="293" t="s">
        <v>416</v>
      </c>
      <c r="W18" s="246"/>
      <c r="X18" s="632" t="s">
        <v>423</v>
      </c>
      <c r="Y18" s="246"/>
      <c r="Z18" s="261"/>
      <c r="AA18" s="316"/>
      <c r="AB18" s="246"/>
      <c r="AC18" s="293" t="s">
        <v>416</v>
      </c>
      <c r="AD18" s="246"/>
      <c r="AE18" s="353" t="s">
        <v>421</v>
      </c>
      <c r="AF18" s="246"/>
      <c r="AG18" s="261"/>
      <c r="AH18" s="320"/>
      <c r="AI18" s="246"/>
      <c r="AJ18" s="253" t="s">
        <v>417</v>
      </c>
      <c r="AK18" s="246"/>
      <c r="AL18" s="793" t="s">
        <v>760</v>
      </c>
      <c r="AM18" s="246"/>
      <c r="AN18" s="261"/>
      <c r="AO18" s="286"/>
      <c r="AP18" s="246"/>
      <c r="AQ18" s="293" t="s">
        <v>416</v>
      </c>
      <c r="AR18" s="246"/>
      <c r="AS18" s="293" t="s">
        <v>421</v>
      </c>
      <c r="AT18" s="254" t="str">
        <f t="shared" si="3"/>
        <v/>
      </c>
      <c r="AU18" s="269"/>
    </row>
    <row r="19">
      <c r="A19" s="94"/>
      <c r="B19" s="296" t="s">
        <v>650</v>
      </c>
      <c r="C19" s="297" t="s">
        <v>649</v>
      </c>
      <c r="D19" s="243"/>
      <c r="E19" s="259"/>
      <c r="F19" s="317"/>
      <c r="G19" s="298"/>
      <c r="H19" s="300"/>
      <c r="I19" s="298"/>
      <c r="J19" s="300"/>
      <c r="K19" s="298"/>
      <c r="L19" s="462"/>
      <c r="M19" s="250"/>
      <c r="N19" s="298"/>
      <c r="O19" s="300"/>
      <c r="P19" s="298"/>
      <c r="Q19" s="300"/>
      <c r="R19" s="298"/>
      <c r="S19" s="261"/>
      <c r="T19" s="250"/>
      <c r="U19" s="298"/>
      <c r="V19" s="319"/>
      <c r="W19" s="298"/>
      <c r="X19" s="319"/>
      <c r="Y19" s="298"/>
      <c r="Z19" s="261"/>
      <c r="AA19" s="250"/>
      <c r="AB19" s="298"/>
      <c r="AC19" s="319"/>
      <c r="AD19" s="298"/>
      <c r="AE19" s="632" t="s">
        <v>423</v>
      </c>
      <c r="AF19" s="298"/>
      <c r="AG19" s="261"/>
      <c r="AH19" s="320"/>
      <c r="AI19" s="298"/>
      <c r="AJ19" s="300"/>
      <c r="AK19" s="298"/>
      <c r="AL19" s="293" t="s">
        <v>421</v>
      </c>
      <c r="AM19" s="298"/>
      <c r="AN19" s="261"/>
      <c r="AO19" s="286"/>
      <c r="AP19" s="298"/>
      <c r="AQ19" s="300"/>
      <c r="AR19" s="298"/>
      <c r="AS19" s="299"/>
      <c r="AT19" s="254" t="str">
        <f t="shared" si="3"/>
        <v/>
      </c>
      <c r="AU19" s="269"/>
    </row>
    <row r="20">
      <c r="A20" s="94"/>
      <c r="B20" s="301" t="s">
        <v>651</v>
      </c>
      <c r="C20" s="302" t="s">
        <v>652</v>
      </c>
      <c r="D20" s="243"/>
      <c r="E20" s="259"/>
      <c r="F20" s="320"/>
      <c r="G20" s="298"/>
      <c r="H20" s="303"/>
      <c r="I20" s="298"/>
      <c r="J20" s="321" t="s">
        <v>1085</v>
      </c>
      <c r="K20" s="298"/>
      <c r="L20" s="462"/>
      <c r="M20" s="250"/>
      <c r="N20" s="298"/>
      <c r="O20" s="303"/>
      <c r="P20" s="298"/>
      <c r="Q20" s="321" t="s">
        <v>1085</v>
      </c>
      <c r="R20" s="298"/>
      <c r="S20" s="261"/>
      <c r="T20" s="250"/>
      <c r="U20" s="298"/>
      <c r="V20" s="303"/>
      <c r="W20" s="298"/>
      <c r="X20" s="321" t="s">
        <v>1085</v>
      </c>
      <c r="Y20" s="298"/>
      <c r="Z20" s="261"/>
      <c r="AA20" s="250"/>
      <c r="AB20" s="298"/>
      <c r="AC20" s="303"/>
      <c r="AD20" s="298"/>
      <c r="AE20" s="321" t="s">
        <v>1085</v>
      </c>
      <c r="AF20" s="298"/>
      <c r="AG20" s="261"/>
      <c r="AH20" s="320"/>
      <c r="AI20" s="298"/>
      <c r="AJ20" s="303"/>
      <c r="AK20" s="298"/>
      <c r="AL20" s="321" t="s">
        <v>1085</v>
      </c>
      <c r="AM20" s="298"/>
      <c r="AN20" s="261"/>
      <c r="AO20" s="286"/>
      <c r="AP20" s="298"/>
      <c r="AQ20" s="303"/>
      <c r="AR20" s="298"/>
      <c r="AS20" s="303"/>
      <c r="AT20" s="254" t="str">
        <f>IF(COUNTIF($AO$79:$AT$81, AS20) &gt; 0, "X", "")</f>
        <v/>
      </c>
      <c r="AU20" s="269"/>
    </row>
    <row r="21">
      <c r="A21" s="94"/>
      <c r="B21" s="322" t="s">
        <v>662</v>
      </c>
      <c r="C21" s="306" t="s">
        <v>663</v>
      </c>
      <c r="D21" s="323"/>
      <c r="E21" s="259"/>
      <c r="F21" s="317"/>
      <c r="G21" s="298"/>
      <c r="H21" s="307"/>
      <c r="I21" s="298"/>
      <c r="J21" s="309" t="s">
        <v>409</v>
      </c>
      <c r="K21" s="298"/>
      <c r="L21" s="462"/>
      <c r="M21" s="324"/>
      <c r="N21" s="298"/>
      <c r="O21" s="307"/>
      <c r="P21" s="298"/>
      <c r="Q21" s="309" t="s">
        <v>415</v>
      </c>
      <c r="R21" s="298"/>
      <c r="S21" s="261"/>
      <c r="T21" s="324"/>
      <c r="U21" s="298"/>
      <c r="V21" s="307"/>
      <c r="W21" s="298"/>
      <c r="X21" s="309" t="s">
        <v>415</v>
      </c>
      <c r="Y21" s="298"/>
      <c r="Z21" s="261"/>
      <c r="AA21" s="324"/>
      <c r="AB21" s="298"/>
      <c r="AC21" s="307"/>
      <c r="AD21" s="298"/>
      <c r="AE21" s="309" t="s">
        <v>409</v>
      </c>
      <c r="AF21" s="298"/>
      <c r="AG21" s="261"/>
      <c r="AH21" s="320"/>
      <c r="AI21" s="298"/>
      <c r="AJ21" s="307"/>
      <c r="AK21" s="298"/>
      <c r="AL21" s="309" t="s">
        <v>409</v>
      </c>
      <c r="AM21" s="298"/>
      <c r="AN21" s="261"/>
      <c r="AO21" s="286"/>
      <c r="AP21" s="298"/>
      <c r="AQ21" s="307"/>
      <c r="AR21" s="298"/>
      <c r="AS21" s="309" t="s">
        <v>409</v>
      </c>
      <c r="AT21" s="254" t="str">
        <f t="shared" ref="AT21:AT22" si="4">IF(COUNTIF($AO$79:$AT$81, #REF!) &gt; 0, "X", "")</f>
        <v/>
      </c>
      <c r="AU21" s="269"/>
    </row>
    <row r="22">
      <c r="A22" s="94"/>
      <c r="B22" s="328" t="s">
        <v>665</v>
      </c>
      <c r="C22" s="329" t="s">
        <v>654</v>
      </c>
      <c r="D22" s="330"/>
      <c r="E22" s="259"/>
      <c r="F22" s="515"/>
      <c r="G22" s="246"/>
      <c r="H22" s="311" t="s">
        <v>459</v>
      </c>
      <c r="I22" s="246"/>
      <c r="J22" s="311" t="s">
        <v>434</v>
      </c>
      <c r="K22" s="246"/>
      <c r="L22" s="462"/>
      <c r="M22" s="333"/>
      <c r="N22" s="246"/>
      <c r="O22" s="311" t="s">
        <v>459</v>
      </c>
      <c r="P22" s="246"/>
      <c r="Q22" s="274" t="s">
        <v>449</v>
      </c>
      <c r="R22" s="246"/>
      <c r="S22" s="261"/>
      <c r="T22" s="333"/>
      <c r="U22" s="246"/>
      <c r="V22" s="274" t="s">
        <v>458</v>
      </c>
      <c r="W22" s="246"/>
      <c r="X22" s="311" t="s">
        <v>434</v>
      </c>
      <c r="Y22" s="246"/>
      <c r="Z22" s="261"/>
      <c r="AA22" s="333"/>
      <c r="AB22" s="246"/>
      <c r="AC22" s="311" t="s">
        <v>459</v>
      </c>
      <c r="AD22" s="246"/>
      <c r="AE22" s="274" t="s">
        <v>443</v>
      </c>
      <c r="AF22" s="246"/>
      <c r="AG22" s="261"/>
      <c r="AH22" s="320"/>
      <c r="AI22" s="246"/>
      <c r="AJ22" s="311" t="s">
        <v>459</v>
      </c>
      <c r="AK22" s="246"/>
      <c r="AL22" s="311" t="s">
        <v>434</v>
      </c>
      <c r="AM22" s="246"/>
      <c r="AN22" s="261"/>
      <c r="AO22" s="286"/>
      <c r="AP22" s="246"/>
      <c r="AQ22" s="274" t="s">
        <v>458</v>
      </c>
      <c r="AR22" s="246"/>
      <c r="AS22" s="274" t="s">
        <v>449</v>
      </c>
      <c r="AT22" s="254" t="str">
        <f t="shared" si="4"/>
        <v/>
      </c>
      <c r="AU22" s="269"/>
    </row>
    <row r="23">
      <c r="A23" s="94"/>
      <c r="B23" s="337" t="s">
        <v>665</v>
      </c>
      <c r="C23" s="338" t="s">
        <v>657</v>
      </c>
      <c r="D23" s="330"/>
      <c r="E23" s="259"/>
      <c r="F23" s="479"/>
      <c r="G23" s="246"/>
      <c r="H23" s="274" t="s">
        <v>458</v>
      </c>
      <c r="I23" s="246"/>
      <c r="J23" s="339" t="s">
        <v>447</v>
      </c>
      <c r="K23" s="246"/>
      <c r="L23" s="462"/>
      <c r="M23" s="324"/>
      <c r="N23" s="246"/>
      <c r="O23" s="339" t="s">
        <v>431</v>
      </c>
      <c r="P23" s="246"/>
      <c r="Q23" s="274" t="s">
        <v>443</v>
      </c>
      <c r="R23" s="246"/>
      <c r="S23" s="261"/>
      <c r="T23" s="324"/>
      <c r="U23" s="246"/>
      <c r="V23" s="336" t="s">
        <v>450</v>
      </c>
      <c r="W23" s="246"/>
      <c r="X23" s="339" t="s">
        <v>447</v>
      </c>
      <c r="Y23" s="246"/>
      <c r="Z23" s="261"/>
      <c r="AA23" s="324"/>
      <c r="AB23" s="246"/>
      <c r="AC23" s="339" t="s">
        <v>431</v>
      </c>
      <c r="AD23" s="246"/>
      <c r="AE23" s="274" t="s">
        <v>449</v>
      </c>
      <c r="AF23" s="246"/>
      <c r="AG23" s="261"/>
      <c r="AH23" s="320"/>
      <c r="AI23" s="246"/>
      <c r="AJ23" s="339" t="s">
        <v>431</v>
      </c>
      <c r="AK23" s="246"/>
      <c r="AL23" s="339" t="s">
        <v>447</v>
      </c>
      <c r="AM23" s="246"/>
      <c r="AN23" s="261"/>
      <c r="AO23" s="286"/>
      <c r="AP23" s="246"/>
      <c r="AQ23" s="311" t="s">
        <v>459</v>
      </c>
      <c r="AR23" s="246"/>
      <c r="AS23" s="274" t="s">
        <v>443</v>
      </c>
      <c r="AT23" s="254" t="str">
        <f>IF(COUNTIF($AO$79:$AT$81, AL32) &gt; 0, "X", "")</f>
        <v/>
      </c>
      <c r="AU23" s="269"/>
    </row>
    <row r="24">
      <c r="A24" s="94"/>
      <c r="B24" s="256" t="s">
        <v>665</v>
      </c>
      <c r="C24" s="257" t="s">
        <v>663</v>
      </c>
      <c r="D24" s="330"/>
      <c r="E24" s="259"/>
      <c r="F24" s="479"/>
      <c r="G24" s="246"/>
      <c r="H24" s="336" t="s">
        <v>450</v>
      </c>
      <c r="I24" s="246"/>
      <c r="J24" s="274" t="s">
        <v>414</v>
      </c>
      <c r="K24" s="246"/>
      <c r="L24" s="462"/>
      <c r="M24" s="341"/>
      <c r="N24" s="246"/>
      <c r="O24" s="336" t="s">
        <v>450</v>
      </c>
      <c r="P24" s="246"/>
      <c r="Q24" s="274" t="s">
        <v>448</v>
      </c>
      <c r="R24" s="246"/>
      <c r="S24" s="261"/>
      <c r="T24" s="341"/>
      <c r="U24" s="246"/>
      <c r="V24" s="339" t="s">
        <v>431</v>
      </c>
      <c r="W24" s="246"/>
      <c r="X24" s="274" t="s">
        <v>448</v>
      </c>
      <c r="Y24" s="246"/>
      <c r="Z24" s="261"/>
      <c r="AA24" s="341"/>
      <c r="AB24" s="246"/>
      <c r="AC24" s="336" t="s">
        <v>450</v>
      </c>
      <c r="AD24" s="246"/>
      <c r="AE24" s="274" t="s">
        <v>415</v>
      </c>
      <c r="AF24" s="246"/>
      <c r="AG24" s="261"/>
      <c r="AH24" s="320"/>
      <c r="AI24" s="246"/>
      <c r="AJ24" s="336" t="s">
        <v>450</v>
      </c>
      <c r="AK24" s="246"/>
      <c r="AL24" s="274" t="s">
        <v>448</v>
      </c>
      <c r="AM24" s="246"/>
      <c r="AN24" s="261"/>
      <c r="AO24" s="286"/>
      <c r="AP24" s="246"/>
      <c r="AQ24" s="274" t="s">
        <v>415</v>
      </c>
      <c r="AR24" s="246"/>
      <c r="AS24" s="274" t="s">
        <v>414</v>
      </c>
      <c r="AT24" s="254" t="str">
        <f t="shared" ref="AT24:AT28" si="5">IF(COUNTIF($AO$79:$AT$81, #REF!) &gt; 0, "X", "")</f>
        <v/>
      </c>
      <c r="AU24" s="269"/>
    </row>
    <row r="25">
      <c r="A25" s="94"/>
      <c r="B25" s="328" t="s">
        <v>665</v>
      </c>
      <c r="C25" s="329" t="s">
        <v>645</v>
      </c>
      <c r="D25" s="330"/>
      <c r="E25" s="259"/>
      <c r="G25" s="246"/>
      <c r="H25" s="274" t="s">
        <v>448</v>
      </c>
      <c r="I25" s="246"/>
      <c r="J25" s="274" t="s">
        <v>449</v>
      </c>
      <c r="K25" s="246"/>
      <c r="L25" s="462"/>
      <c r="M25" s="341"/>
      <c r="N25" s="246"/>
      <c r="O25" s="339" t="s">
        <v>1087</v>
      </c>
      <c r="P25" s="246"/>
      <c r="Q25" s="311" t="s">
        <v>434</v>
      </c>
      <c r="R25" s="246"/>
      <c r="S25" s="261"/>
      <c r="T25" s="341"/>
      <c r="U25" s="246"/>
      <c r="V25" s="339" t="s">
        <v>1087</v>
      </c>
      <c r="W25" s="246"/>
      <c r="X25" s="274" t="s">
        <v>443</v>
      </c>
      <c r="Y25" s="246"/>
      <c r="Z25" s="261"/>
      <c r="AA25" s="341"/>
      <c r="AB25" s="246"/>
      <c r="AC25" s="339" t="s">
        <v>1087</v>
      </c>
      <c r="AD25" s="246"/>
      <c r="AE25" s="274" t="s">
        <v>448</v>
      </c>
      <c r="AF25" s="246"/>
      <c r="AG25" s="261"/>
      <c r="AH25" s="320"/>
      <c r="AI25" s="246"/>
      <c r="AJ25" s="339" t="s">
        <v>1087</v>
      </c>
      <c r="AK25" s="246"/>
      <c r="AL25" s="274" t="s">
        <v>415</v>
      </c>
      <c r="AM25" s="246"/>
      <c r="AN25" s="261"/>
      <c r="AO25" s="286"/>
      <c r="AP25" s="246"/>
      <c r="AQ25" s="339" t="s">
        <v>1087</v>
      </c>
      <c r="AR25" s="246"/>
      <c r="AS25" s="339" t="s">
        <v>431</v>
      </c>
      <c r="AT25" s="254" t="str">
        <f t="shared" si="5"/>
        <v/>
      </c>
      <c r="AU25" s="269"/>
    </row>
    <row r="26">
      <c r="A26" s="94"/>
      <c r="B26" s="342" t="s">
        <v>667</v>
      </c>
      <c r="C26" s="343" t="s">
        <v>657</v>
      </c>
      <c r="D26" s="323"/>
      <c r="E26" s="261"/>
      <c r="F26" s="572" t="s">
        <v>401</v>
      </c>
      <c r="G26" s="246"/>
      <c r="H26" s="339" t="s">
        <v>1115</v>
      </c>
      <c r="I26" s="246"/>
      <c r="K26" s="246"/>
      <c r="L26" s="462"/>
      <c r="M26" s="345" t="s">
        <v>401</v>
      </c>
      <c r="N26" s="246"/>
      <c r="O26" s="339" t="s">
        <v>1115</v>
      </c>
      <c r="P26" s="246"/>
      <c r="Q26" s="339" t="s">
        <v>447</v>
      </c>
      <c r="R26" s="246"/>
      <c r="S26" s="261"/>
      <c r="T26" s="345" t="s">
        <v>401</v>
      </c>
      <c r="U26" s="246"/>
      <c r="V26" s="339" t="s">
        <v>1115</v>
      </c>
      <c r="W26" s="246"/>
      <c r="Y26" s="246"/>
      <c r="Z26" s="261"/>
      <c r="AA26" s="347" t="s">
        <v>401</v>
      </c>
      <c r="AB26" s="246"/>
      <c r="AC26" s="339" t="s">
        <v>1115</v>
      </c>
      <c r="AD26" s="246"/>
      <c r="AE26" s="339" t="s">
        <v>468</v>
      </c>
      <c r="AF26" s="246"/>
      <c r="AG26" s="261"/>
      <c r="AH26" s="345" t="s">
        <v>401</v>
      </c>
      <c r="AI26" s="246"/>
      <c r="AJ26" s="339" t="s">
        <v>1115</v>
      </c>
      <c r="AK26" s="246"/>
      <c r="AL26" s="274" t="s">
        <v>449</v>
      </c>
      <c r="AM26" s="246"/>
      <c r="AN26" s="261"/>
      <c r="AO26" s="286"/>
      <c r="AP26" s="246"/>
      <c r="AQ26" s="345" t="s">
        <v>401</v>
      </c>
      <c r="AR26" s="246"/>
      <c r="AT26" s="254" t="str">
        <f t="shared" si="5"/>
        <v/>
      </c>
      <c r="AU26" s="269"/>
    </row>
    <row r="27">
      <c r="A27" s="234"/>
      <c r="B27" s="349" t="s">
        <v>669</v>
      </c>
      <c r="C27" s="350" t="s">
        <v>649</v>
      </c>
      <c r="D27" s="351"/>
      <c r="E27" s="259"/>
      <c r="F27" s="293" t="s">
        <v>422</v>
      </c>
      <c r="G27" s="246"/>
      <c r="H27" s="293" t="s">
        <v>416</v>
      </c>
      <c r="I27" s="246"/>
      <c r="J27" s="293" t="s">
        <v>421</v>
      </c>
      <c r="K27" s="246"/>
      <c r="L27" s="462"/>
      <c r="M27" s="354"/>
      <c r="N27" s="246"/>
      <c r="O27" s="355" t="s">
        <v>670</v>
      </c>
      <c r="P27" s="246"/>
      <c r="Q27" s="293" t="s">
        <v>421</v>
      </c>
      <c r="R27" s="246"/>
      <c r="S27" s="261"/>
      <c r="T27" s="354"/>
      <c r="U27" s="246"/>
      <c r="V27" s="253" t="s">
        <v>417</v>
      </c>
      <c r="W27" s="246"/>
      <c r="X27" s="355" t="s">
        <v>670</v>
      </c>
      <c r="Y27" s="246"/>
      <c r="Z27" s="261"/>
      <c r="AA27" s="354"/>
      <c r="AB27" s="246"/>
      <c r="AC27" s="633" t="s">
        <v>420</v>
      </c>
      <c r="AD27" s="246"/>
      <c r="AE27" s="293" t="s">
        <v>422</v>
      </c>
      <c r="AF27" s="246"/>
      <c r="AG27" s="261"/>
      <c r="AH27" s="632" t="s">
        <v>423</v>
      </c>
      <c r="AI27" s="246"/>
      <c r="AJ27" s="355" t="s">
        <v>420</v>
      </c>
      <c r="AK27" s="246"/>
      <c r="AL27" s="293" t="s">
        <v>422</v>
      </c>
      <c r="AM27" s="246"/>
      <c r="AN27" s="261"/>
      <c r="AO27" s="286"/>
      <c r="AP27" s="246"/>
      <c r="AQ27" s="253" t="s">
        <v>417</v>
      </c>
      <c r="AR27" s="246"/>
      <c r="AS27" s="293" t="s">
        <v>422</v>
      </c>
      <c r="AT27" s="254" t="str">
        <f t="shared" si="5"/>
        <v/>
      </c>
      <c r="AU27" s="269"/>
    </row>
    <row r="28">
      <c r="A28" s="94"/>
      <c r="B28" s="296" t="s">
        <v>650</v>
      </c>
      <c r="C28" s="297" t="s">
        <v>649</v>
      </c>
      <c r="D28" s="323"/>
      <c r="E28" s="259"/>
      <c r="F28" s="300"/>
      <c r="G28" s="298"/>
      <c r="H28" s="358"/>
      <c r="I28" s="298"/>
      <c r="J28" s="300"/>
      <c r="K28" s="298"/>
      <c r="L28" s="462"/>
      <c r="M28" s="324"/>
      <c r="N28" s="298"/>
      <c r="O28" s="253" t="s">
        <v>417</v>
      </c>
      <c r="P28" s="298"/>
      <c r="Q28" s="300"/>
      <c r="R28" s="298"/>
      <c r="S28" s="261"/>
      <c r="T28" s="324"/>
      <c r="U28" s="298"/>
      <c r="V28" s="319"/>
      <c r="W28" s="298"/>
      <c r="X28" s="358" t="s">
        <v>397</v>
      </c>
      <c r="Y28" s="298"/>
      <c r="Z28" s="261"/>
      <c r="AA28" s="324"/>
      <c r="AB28" s="298"/>
      <c r="AC28" s="253" t="s">
        <v>417</v>
      </c>
      <c r="AD28" s="298"/>
      <c r="AE28" s="319"/>
      <c r="AF28" s="298"/>
      <c r="AG28" s="261"/>
      <c r="AH28" s="319"/>
      <c r="AI28" s="298"/>
      <c r="AJ28" s="358" t="s">
        <v>397</v>
      </c>
      <c r="AK28" s="298"/>
      <c r="AL28" s="319"/>
      <c r="AM28" s="298"/>
      <c r="AN28" s="261"/>
      <c r="AO28" s="286"/>
      <c r="AP28" s="298"/>
      <c r="AQ28" s="359"/>
      <c r="AR28" s="298"/>
      <c r="AS28" s="359"/>
      <c r="AT28" s="254" t="str">
        <f t="shared" si="5"/>
        <v/>
      </c>
      <c r="AU28" s="269"/>
    </row>
    <row r="29">
      <c r="A29" s="94"/>
      <c r="B29" s="301" t="s">
        <v>651</v>
      </c>
      <c r="C29" s="302" t="s">
        <v>652</v>
      </c>
      <c r="D29" s="330"/>
      <c r="E29" s="259"/>
      <c r="F29" s="303"/>
      <c r="G29" s="298"/>
      <c r="H29" s="304"/>
      <c r="I29" s="298"/>
      <c r="J29" s="483"/>
      <c r="K29" s="298"/>
      <c r="L29" s="462"/>
      <c r="M29" s="250"/>
      <c r="N29" s="298"/>
      <c r="O29" s="794" t="s">
        <v>797</v>
      </c>
      <c r="P29" s="298"/>
      <c r="Q29" s="303"/>
      <c r="R29" s="298"/>
      <c r="S29" s="261"/>
      <c r="T29" s="250"/>
      <c r="U29" s="298"/>
      <c r="V29" s="483"/>
      <c r="W29" s="298"/>
      <c r="X29" s="483"/>
      <c r="Y29" s="298"/>
      <c r="Z29" s="261"/>
      <c r="AA29" s="250"/>
      <c r="AB29" s="298"/>
      <c r="AC29" s="358" t="s">
        <v>397</v>
      </c>
      <c r="AD29" s="298"/>
      <c r="AE29" s="303"/>
      <c r="AF29" s="298"/>
      <c r="AG29" s="261"/>
      <c r="AH29" s="303"/>
      <c r="AI29" s="298"/>
      <c r="AJ29" s="304"/>
      <c r="AK29" s="298"/>
      <c r="AL29" s="483"/>
      <c r="AM29" s="298"/>
      <c r="AN29" s="261"/>
      <c r="AO29" s="286"/>
      <c r="AP29" s="298"/>
      <c r="AQ29" s="303"/>
      <c r="AR29" s="298"/>
      <c r="AS29" s="303"/>
      <c r="AT29" s="254" t="str">
        <f>IF(COUNTIF($AO$79:$AT$81, AS29) &gt; 0, "X", "")</f>
        <v/>
      </c>
      <c r="AU29" s="269"/>
    </row>
    <row r="30">
      <c r="A30" s="94"/>
      <c r="B30" s="361" t="s">
        <v>673</v>
      </c>
      <c r="C30" s="362" t="s">
        <v>674</v>
      </c>
      <c r="D30" s="363"/>
      <c r="E30" s="259"/>
      <c r="F30" s="251" t="s">
        <v>433</v>
      </c>
      <c r="G30" s="298"/>
      <c r="H30" s="336" t="s">
        <v>412</v>
      </c>
      <c r="I30" s="298"/>
      <c r="J30" s="311" t="s">
        <v>765</v>
      </c>
      <c r="K30" s="298"/>
      <c r="L30" s="462"/>
      <c r="M30" s="324"/>
      <c r="N30" s="298"/>
      <c r="O30" s="336" t="s">
        <v>412</v>
      </c>
      <c r="P30" s="298"/>
      <c r="Q30" s="311" t="s">
        <v>765</v>
      </c>
      <c r="R30" s="298"/>
      <c r="S30" s="261"/>
      <c r="T30" s="324"/>
      <c r="U30" s="298"/>
      <c r="V30" s="336" t="s">
        <v>412</v>
      </c>
      <c r="W30" s="298"/>
      <c r="X30" s="311" t="s">
        <v>394</v>
      </c>
      <c r="Y30" s="298"/>
      <c r="Z30" s="261"/>
      <c r="AA30" s="324"/>
      <c r="AB30" s="298"/>
      <c r="AC30" s="336" t="s">
        <v>412</v>
      </c>
      <c r="AD30" s="298"/>
      <c r="AE30" s="251" t="s">
        <v>457</v>
      </c>
      <c r="AF30" s="298"/>
      <c r="AG30" s="261"/>
      <c r="AH30" s="251" t="s">
        <v>457</v>
      </c>
      <c r="AI30" s="298"/>
      <c r="AJ30" s="336" t="s">
        <v>412</v>
      </c>
      <c r="AK30" s="298"/>
      <c r="AL30" s="336" t="s">
        <v>398</v>
      </c>
      <c r="AM30" s="298"/>
      <c r="AN30" s="261"/>
      <c r="AO30" s="286"/>
      <c r="AP30" s="298"/>
      <c r="AQ30" s="251" t="s">
        <v>457</v>
      </c>
      <c r="AR30" s="298"/>
      <c r="AS30" s="251" t="s">
        <v>433</v>
      </c>
      <c r="AT30" s="254" t="str">
        <f t="shared" ref="AT30:AT37" si="6">IF(COUNTIF($AO$79:$AT$81, #REF!) &gt; 0, "X", "")</f>
        <v/>
      </c>
      <c r="AU30" s="269"/>
    </row>
    <row r="31">
      <c r="A31" s="94"/>
      <c r="B31" s="367" t="s">
        <v>677</v>
      </c>
      <c r="C31" s="368" t="s">
        <v>674</v>
      </c>
      <c r="D31" s="369"/>
      <c r="E31" s="259"/>
      <c r="F31" s="282"/>
      <c r="G31" s="246"/>
      <c r="I31" s="246"/>
      <c r="J31" s="339" t="s">
        <v>931</v>
      </c>
      <c r="K31" s="246"/>
      <c r="L31" s="462"/>
      <c r="M31" s="250"/>
      <c r="N31" s="246"/>
      <c r="P31" s="246"/>
      <c r="Q31" s="339" t="s">
        <v>931</v>
      </c>
      <c r="R31" s="246"/>
      <c r="S31" s="261"/>
      <c r="T31" s="250"/>
      <c r="U31" s="246"/>
      <c r="W31" s="246"/>
      <c r="X31" s="339" t="s">
        <v>931</v>
      </c>
      <c r="Y31" s="246"/>
      <c r="Z31" s="261"/>
      <c r="AA31" s="250"/>
      <c r="AB31" s="246"/>
      <c r="AD31" s="246"/>
      <c r="AE31" s="339" t="s">
        <v>931</v>
      </c>
      <c r="AF31" s="246"/>
      <c r="AG31" s="261"/>
      <c r="AH31" s="371"/>
      <c r="AI31" s="246"/>
      <c r="AK31" s="246"/>
      <c r="AL31" s="339" t="s">
        <v>931</v>
      </c>
      <c r="AM31" s="246"/>
      <c r="AN31" s="261"/>
      <c r="AO31" s="286"/>
      <c r="AP31" s="246"/>
      <c r="AR31" s="246"/>
      <c r="AT31" s="254" t="str">
        <f t="shared" si="6"/>
        <v/>
      </c>
      <c r="AU31" s="269"/>
    </row>
    <row r="32">
      <c r="A32" s="372"/>
      <c r="B32" s="256" t="s">
        <v>679</v>
      </c>
      <c r="C32" s="257" t="s">
        <v>680</v>
      </c>
      <c r="D32" s="330"/>
      <c r="E32" s="259"/>
      <c r="F32" s="311" t="s">
        <v>393</v>
      </c>
      <c r="G32" s="246"/>
      <c r="H32" s="374" t="s">
        <v>436</v>
      </c>
      <c r="I32" s="246"/>
      <c r="J32" s="311" t="s">
        <v>439</v>
      </c>
      <c r="K32" s="246"/>
      <c r="L32" s="462"/>
      <c r="M32" s="333"/>
      <c r="N32" s="246"/>
      <c r="O32" s="374" t="s">
        <v>436</v>
      </c>
      <c r="P32" s="246"/>
      <c r="Q32" s="376" t="s">
        <v>453</v>
      </c>
      <c r="R32" s="246"/>
      <c r="S32" s="261"/>
      <c r="T32" s="333"/>
      <c r="U32" s="246"/>
      <c r="V32" s="311" t="s">
        <v>439</v>
      </c>
      <c r="W32" s="246"/>
      <c r="X32" s="251" t="s">
        <v>433</v>
      </c>
      <c r="Y32" s="246"/>
      <c r="Z32" s="261"/>
      <c r="AA32" s="333"/>
      <c r="AB32" s="246"/>
      <c r="AC32" s="311" t="s">
        <v>439</v>
      </c>
      <c r="AD32" s="246"/>
      <c r="AE32" s="251" t="s">
        <v>433</v>
      </c>
      <c r="AF32" s="246"/>
      <c r="AG32" s="261"/>
      <c r="AH32" s="311" t="s">
        <v>393</v>
      </c>
      <c r="AI32" s="246"/>
      <c r="AJ32" s="340" t="s">
        <v>406</v>
      </c>
      <c r="AK32" s="246"/>
      <c r="AL32" s="274" t="s">
        <v>443</v>
      </c>
      <c r="AM32" s="246"/>
      <c r="AN32" s="261"/>
      <c r="AO32" s="286"/>
      <c r="AP32" s="246"/>
      <c r="AQ32" s="311" t="s">
        <v>436</v>
      </c>
      <c r="AR32" s="246"/>
      <c r="AS32" s="476" t="s">
        <v>398</v>
      </c>
      <c r="AT32" s="254" t="str">
        <f t="shared" si="6"/>
        <v/>
      </c>
      <c r="AU32" s="269"/>
    </row>
    <row r="33">
      <c r="A33" s="94"/>
      <c r="B33" s="328" t="s">
        <v>679</v>
      </c>
      <c r="C33" s="329" t="s">
        <v>652</v>
      </c>
      <c r="D33" s="330"/>
      <c r="E33" s="259"/>
      <c r="G33" s="246"/>
      <c r="H33" s="274" t="s">
        <v>406</v>
      </c>
      <c r="I33" s="246"/>
      <c r="K33" s="246"/>
      <c r="L33" s="462"/>
      <c r="M33" s="346"/>
      <c r="N33" s="246"/>
      <c r="P33" s="246"/>
      <c r="R33" s="246"/>
      <c r="S33" s="261"/>
      <c r="T33" s="346"/>
      <c r="U33" s="246"/>
      <c r="V33" s="516"/>
      <c r="W33" s="246"/>
      <c r="Y33" s="246"/>
      <c r="Z33" s="261"/>
      <c r="AA33" s="346"/>
      <c r="AB33" s="246"/>
      <c r="AD33" s="246"/>
      <c r="AF33" s="246"/>
      <c r="AG33" s="261"/>
      <c r="AI33" s="246"/>
      <c r="AK33" s="246"/>
      <c r="AM33" s="246"/>
      <c r="AN33" s="261"/>
      <c r="AO33" s="286"/>
      <c r="AP33" s="246"/>
      <c r="AR33" s="246"/>
      <c r="AS33" s="339" t="s">
        <v>468</v>
      </c>
      <c r="AT33" s="254" t="str">
        <f t="shared" si="6"/>
        <v/>
      </c>
      <c r="AU33" s="269"/>
    </row>
    <row r="34">
      <c r="A34" s="94"/>
      <c r="B34" s="328" t="s">
        <v>679</v>
      </c>
      <c r="C34" s="329" t="s">
        <v>683</v>
      </c>
      <c r="D34" s="330"/>
      <c r="E34" s="259"/>
      <c r="F34" s="376" t="s">
        <v>466</v>
      </c>
      <c r="G34" s="246"/>
      <c r="H34" s="336" t="s">
        <v>398</v>
      </c>
      <c r="I34" s="246"/>
      <c r="J34" s="325" t="s">
        <v>701</v>
      </c>
      <c r="K34" s="246"/>
      <c r="L34" s="462"/>
      <c r="M34" s="341"/>
      <c r="N34" s="246"/>
      <c r="O34" s="311" t="s">
        <v>439</v>
      </c>
      <c r="P34" s="246"/>
      <c r="Q34" s="339" t="s">
        <v>468</v>
      </c>
      <c r="R34" s="246"/>
      <c r="S34" s="261"/>
      <c r="T34" s="341"/>
      <c r="U34" s="246"/>
      <c r="V34" s="311" t="s">
        <v>436</v>
      </c>
      <c r="W34" s="246"/>
      <c r="X34" s="339" t="s">
        <v>468</v>
      </c>
      <c r="Y34" s="246"/>
      <c r="Z34" s="261"/>
      <c r="AA34" s="341"/>
      <c r="AB34" s="246"/>
      <c r="AC34" s="274" t="s">
        <v>406</v>
      </c>
      <c r="AD34" s="246"/>
      <c r="AE34" s="274" t="s">
        <v>437</v>
      </c>
      <c r="AF34" s="246"/>
      <c r="AG34" s="261"/>
      <c r="AH34" s="251" t="s">
        <v>433</v>
      </c>
      <c r="AI34" s="246"/>
      <c r="AJ34" s="311" t="s">
        <v>436</v>
      </c>
      <c r="AK34" s="246"/>
      <c r="AL34" s="339" t="s">
        <v>468</v>
      </c>
      <c r="AM34" s="246"/>
      <c r="AN34" s="261"/>
      <c r="AO34" s="286"/>
      <c r="AP34" s="246"/>
      <c r="AQ34" s="274" t="s">
        <v>439</v>
      </c>
      <c r="AR34" s="246"/>
      <c r="AS34" s="311" t="s">
        <v>455</v>
      </c>
      <c r="AT34" s="254" t="str">
        <f t="shared" si="6"/>
        <v/>
      </c>
      <c r="AU34" s="269"/>
    </row>
    <row r="35">
      <c r="A35" s="270"/>
      <c r="B35" s="377" t="s">
        <v>684</v>
      </c>
      <c r="C35" s="378" t="s">
        <v>685</v>
      </c>
      <c r="D35" s="379"/>
      <c r="E35" s="380"/>
      <c r="G35" s="246"/>
      <c r="I35" s="246"/>
      <c r="J35" s="251" t="s">
        <v>405</v>
      </c>
      <c r="K35" s="246"/>
      <c r="L35" s="677"/>
      <c r="M35" s="341"/>
      <c r="N35" s="246"/>
      <c r="O35" s="251" t="s">
        <v>405</v>
      </c>
      <c r="P35" s="246"/>
      <c r="R35" s="246"/>
      <c r="S35" s="381"/>
      <c r="T35" s="341"/>
      <c r="U35" s="246"/>
      <c r="W35" s="246"/>
      <c r="X35" s="311" t="s">
        <v>410</v>
      </c>
      <c r="Y35" s="246"/>
      <c r="Z35" s="381"/>
      <c r="AA35" s="341"/>
      <c r="AB35" s="246"/>
      <c r="AD35" s="246"/>
      <c r="AE35" s="311" t="s">
        <v>410</v>
      </c>
      <c r="AF35" s="246"/>
      <c r="AG35" s="381"/>
      <c r="AI35" s="246"/>
      <c r="AK35" s="246"/>
      <c r="AM35" s="246"/>
      <c r="AN35" s="381"/>
      <c r="AO35" s="286"/>
      <c r="AP35" s="246"/>
      <c r="AR35" s="246"/>
      <c r="AT35" s="254" t="str">
        <f t="shared" si="6"/>
        <v/>
      </c>
      <c r="AU35" s="269"/>
    </row>
    <row r="36">
      <c r="A36" s="234"/>
      <c r="B36" s="382" t="s">
        <v>686</v>
      </c>
      <c r="C36" s="242" t="s">
        <v>652</v>
      </c>
      <c r="D36" s="363"/>
      <c r="E36" s="259"/>
      <c r="F36" s="311" t="s">
        <v>455</v>
      </c>
      <c r="G36" s="246"/>
      <c r="H36" s="274" t="s">
        <v>435</v>
      </c>
      <c r="I36" s="246"/>
      <c r="J36" s="251" t="s">
        <v>429</v>
      </c>
      <c r="K36" s="246"/>
      <c r="L36" s="462"/>
      <c r="M36" s="341"/>
      <c r="N36" s="246"/>
      <c r="O36" s="274" t="s">
        <v>435</v>
      </c>
      <c r="P36" s="246"/>
      <c r="Q36" s="251" t="s">
        <v>429</v>
      </c>
      <c r="R36" s="246"/>
      <c r="S36" s="261"/>
      <c r="T36" s="341"/>
      <c r="U36" s="246"/>
      <c r="V36" s="383" t="s">
        <v>428</v>
      </c>
      <c r="W36" s="246"/>
      <c r="X36" s="251" t="s">
        <v>429</v>
      </c>
      <c r="Y36" s="246"/>
      <c r="Z36" s="261"/>
      <c r="AA36" s="341"/>
      <c r="AB36" s="246"/>
      <c r="AC36" s="251" t="s">
        <v>435</v>
      </c>
      <c r="AD36" s="246"/>
      <c r="AE36" s="251" t="s">
        <v>429</v>
      </c>
      <c r="AF36" s="246"/>
      <c r="AG36" s="261"/>
      <c r="AH36" s="251" t="s">
        <v>429</v>
      </c>
      <c r="AI36" s="246"/>
      <c r="AJ36" s="274" t="s">
        <v>435</v>
      </c>
      <c r="AK36" s="246"/>
      <c r="AL36" s="795" t="s">
        <v>837</v>
      </c>
      <c r="AM36" s="246"/>
      <c r="AN36" s="261"/>
      <c r="AO36" s="286"/>
      <c r="AP36" s="246"/>
      <c r="AQ36" s="274" t="s">
        <v>435</v>
      </c>
      <c r="AR36" s="246"/>
      <c r="AS36" s="795" t="s">
        <v>837</v>
      </c>
      <c r="AT36" s="254" t="str">
        <f t="shared" si="6"/>
        <v/>
      </c>
      <c r="AU36" s="269"/>
    </row>
    <row r="37">
      <c r="A37" s="94"/>
      <c r="B37" s="337" t="s">
        <v>686</v>
      </c>
      <c r="C37" s="338" t="s">
        <v>687</v>
      </c>
      <c r="D37" s="330"/>
      <c r="E37" s="259"/>
      <c r="G37" s="246"/>
      <c r="H37" s="385" t="s">
        <v>428</v>
      </c>
      <c r="I37" s="246"/>
      <c r="J37" s="376" t="s">
        <v>453</v>
      </c>
      <c r="K37" s="246"/>
      <c r="L37" s="462"/>
      <c r="M37" s="250"/>
      <c r="N37" s="246"/>
      <c r="O37" s="385" t="s">
        <v>428</v>
      </c>
      <c r="P37" s="246"/>
      <c r="Q37" s="311" t="s">
        <v>455</v>
      </c>
      <c r="R37" s="246"/>
      <c r="S37" s="261"/>
      <c r="T37" s="250"/>
      <c r="U37" s="246"/>
      <c r="V37" s="376" t="s">
        <v>453</v>
      </c>
      <c r="W37" s="246"/>
      <c r="X37" s="376" t="s">
        <v>466</v>
      </c>
      <c r="Y37" s="246"/>
      <c r="Z37" s="261"/>
      <c r="AA37" s="250"/>
      <c r="AB37" s="246"/>
      <c r="AC37" s="602" t="s">
        <v>453</v>
      </c>
      <c r="AD37" s="246"/>
      <c r="AE37" s="311" t="s">
        <v>455</v>
      </c>
      <c r="AF37" s="246"/>
      <c r="AG37" s="261"/>
      <c r="AI37" s="246"/>
      <c r="AJ37" s="385" t="s">
        <v>428</v>
      </c>
      <c r="AK37" s="246"/>
      <c r="AL37" s="311" t="s">
        <v>455</v>
      </c>
      <c r="AM37" s="246"/>
      <c r="AN37" s="261"/>
      <c r="AO37" s="286"/>
      <c r="AP37" s="246"/>
      <c r="AQ37" s="385" t="s">
        <v>428</v>
      </c>
      <c r="AR37" s="246"/>
      <c r="AS37" s="251" t="s">
        <v>429</v>
      </c>
      <c r="AT37" s="254" t="str">
        <f t="shared" si="6"/>
        <v/>
      </c>
      <c r="AU37" s="269"/>
    </row>
    <row r="38">
      <c r="A38" s="94"/>
      <c r="B38" s="337" t="s">
        <v>688</v>
      </c>
      <c r="C38" s="285" t="s">
        <v>687</v>
      </c>
      <c r="D38" s="330"/>
      <c r="E38" s="259"/>
      <c r="F38" s="274" t="s">
        <v>437</v>
      </c>
      <c r="G38" s="246"/>
      <c r="I38" s="246"/>
      <c r="K38" s="246"/>
      <c r="L38" s="462"/>
      <c r="M38" s="262"/>
      <c r="N38" s="246"/>
      <c r="P38" s="246"/>
      <c r="R38" s="246"/>
      <c r="S38" s="261"/>
      <c r="T38" s="262"/>
      <c r="U38" s="246"/>
      <c r="W38" s="246"/>
      <c r="X38" s="311" t="s">
        <v>455</v>
      </c>
      <c r="Y38" s="246"/>
      <c r="Z38" s="261"/>
      <c r="AA38" s="262"/>
      <c r="AB38" s="246"/>
      <c r="AC38" s="795" t="s">
        <v>837</v>
      </c>
      <c r="AD38" s="246"/>
      <c r="AF38" s="246"/>
      <c r="AG38" s="261"/>
      <c r="AH38" s="274" t="s">
        <v>437</v>
      </c>
      <c r="AI38" s="246"/>
      <c r="AJ38" s="265"/>
      <c r="AK38" s="246"/>
      <c r="AM38" s="246"/>
      <c r="AN38" s="261"/>
      <c r="AO38" s="286"/>
      <c r="AP38" s="246"/>
      <c r="AR38" s="246"/>
      <c r="AT38" s="254" t="str">
        <f>IF(COUNTIF($AO$79:$AT$81, AS37) &gt; 0, "X", "")</f>
        <v/>
      </c>
      <c r="AU38" s="269"/>
    </row>
    <row r="39">
      <c r="A39" s="94"/>
      <c r="B39" s="387" t="s">
        <v>690</v>
      </c>
      <c r="C39" s="388" t="s">
        <v>649</v>
      </c>
      <c r="D39" s="389"/>
      <c r="E39" s="259"/>
      <c r="F39" s="390"/>
      <c r="G39" s="246"/>
      <c r="H39" s="390"/>
      <c r="I39" s="246"/>
      <c r="J39" s="390"/>
      <c r="K39" s="246"/>
      <c r="L39" s="462"/>
      <c r="M39" s="250"/>
      <c r="N39" s="246"/>
      <c r="O39" s="633" t="s">
        <v>420</v>
      </c>
      <c r="P39" s="246"/>
      <c r="Q39" s="390"/>
      <c r="R39" s="246"/>
      <c r="S39" s="261"/>
      <c r="T39" s="250"/>
      <c r="U39" s="246"/>
      <c r="V39" s="390"/>
      <c r="W39" s="246"/>
      <c r="X39" s="633" t="s">
        <v>420</v>
      </c>
      <c r="Y39" s="246"/>
      <c r="Z39" s="261"/>
      <c r="AA39" s="250"/>
      <c r="AB39" s="246"/>
      <c r="AC39" s="355" t="s">
        <v>670</v>
      </c>
      <c r="AD39" s="246"/>
      <c r="AE39" s="390"/>
      <c r="AF39" s="246"/>
      <c r="AG39" s="261"/>
      <c r="AH39" s="390"/>
      <c r="AI39" s="246"/>
      <c r="AJ39" s="633"/>
      <c r="AK39" s="246"/>
      <c r="AL39" s="390"/>
      <c r="AM39" s="246"/>
      <c r="AN39" s="261"/>
      <c r="AO39" s="286"/>
      <c r="AP39" s="246"/>
      <c r="AQ39" s="390"/>
      <c r="AR39" s="246"/>
      <c r="AS39" s="390"/>
      <c r="AT39" s="254" t="str">
        <f>IF(COUNTIF($AO$79:$AT$81, #REF!) &gt; 0, "X", "")</f>
        <v/>
      </c>
      <c r="AU39" s="269"/>
    </row>
    <row r="40">
      <c r="A40" s="94"/>
      <c r="B40" s="296" t="s">
        <v>650</v>
      </c>
      <c r="C40" s="297" t="s">
        <v>649</v>
      </c>
      <c r="D40" s="323"/>
      <c r="E40" s="259"/>
      <c r="F40" s="300"/>
      <c r="G40" s="246"/>
      <c r="H40" s="319"/>
      <c r="I40" s="246"/>
      <c r="J40" s="300"/>
      <c r="K40" s="246"/>
      <c r="L40" s="462"/>
      <c r="M40" s="250"/>
      <c r="N40" s="246"/>
      <c r="O40" s="300"/>
      <c r="P40" s="246"/>
      <c r="Q40" s="300"/>
      <c r="R40" s="246"/>
      <c r="S40" s="261"/>
      <c r="T40" s="250"/>
      <c r="U40" s="246"/>
      <c r="V40" s="300"/>
      <c r="W40" s="246"/>
      <c r="X40" s="300"/>
      <c r="Y40" s="246"/>
      <c r="Z40" s="261"/>
      <c r="AA40" s="250"/>
      <c r="AB40" s="246"/>
      <c r="AC40" s="300"/>
      <c r="AD40" s="246"/>
      <c r="AE40" s="300"/>
      <c r="AF40" s="246"/>
      <c r="AG40" s="261"/>
      <c r="AH40" s="300"/>
      <c r="AI40" s="246"/>
      <c r="AJ40" s="300"/>
      <c r="AK40" s="246"/>
      <c r="AL40" s="300"/>
      <c r="AM40" s="246"/>
      <c r="AN40" s="261"/>
      <c r="AO40" s="286"/>
      <c r="AP40" s="246"/>
      <c r="AQ40" s="300"/>
      <c r="AR40" s="246"/>
      <c r="AS40" s="300"/>
      <c r="AT40" s="254" t="str">
        <f t="shared" ref="AT40:AT47" si="7">IF(COUNTIF($AO$79:$AT$81, AO40) &gt; 0, "X", "")</f>
        <v/>
      </c>
      <c r="AU40" s="269"/>
    </row>
    <row r="41">
      <c r="A41" s="94"/>
      <c r="B41" s="301" t="s">
        <v>651</v>
      </c>
      <c r="C41" s="391" t="s">
        <v>652</v>
      </c>
      <c r="D41" s="323"/>
      <c r="E41" s="261"/>
      <c r="F41" s="304"/>
      <c r="G41" s="246"/>
      <c r="H41" s="304"/>
      <c r="I41" s="246"/>
      <c r="J41" s="304"/>
      <c r="K41" s="246"/>
      <c r="L41" s="462"/>
      <c r="M41" s="250"/>
      <c r="N41" s="246"/>
      <c r="O41" s="304"/>
      <c r="P41" s="246"/>
      <c r="Q41" s="304"/>
      <c r="R41" s="246"/>
      <c r="S41" s="261"/>
      <c r="T41" s="250"/>
      <c r="U41" s="246"/>
      <c r="V41" s="304"/>
      <c r="W41" s="246"/>
      <c r="X41" s="304"/>
      <c r="Y41" s="246"/>
      <c r="Z41" s="261"/>
      <c r="AA41" s="250"/>
      <c r="AB41" s="246"/>
      <c r="AC41" s="304"/>
      <c r="AD41" s="246"/>
      <c r="AE41" s="304"/>
      <c r="AF41" s="246"/>
      <c r="AG41" s="261"/>
      <c r="AH41" s="304"/>
      <c r="AI41" s="246"/>
      <c r="AJ41" s="304"/>
      <c r="AK41" s="246"/>
      <c r="AL41" s="304"/>
      <c r="AM41" s="246"/>
      <c r="AN41" s="261"/>
      <c r="AO41" s="286"/>
      <c r="AP41" s="246"/>
      <c r="AQ41" s="304"/>
      <c r="AR41" s="246"/>
      <c r="AS41" s="304"/>
      <c r="AT41" s="254" t="str">
        <f t="shared" si="7"/>
        <v/>
      </c>
      <c r="AU41" s="269"/>
    </row>
    <row r="42">
      <c r="A42" s="94"/>
      <c r="B42" s="392" t="s">
        <v>691</v>
      </c>
      <c r="C42" s="393" t="s">
        <v>652</v>
      </c>
      <c r="D42" s="323"/>
      <c r="E42" s="259"/>
      <c r="F42" s="307"/>
      <c r="G42" s="246"/>
      <c r="H42" s="307"/>
      <c r="I42" s="246"/>
      <c r="J42" s="307"/>
      <c r="K42" s="246"/>
      <c r="L42" s="462"/>
      <c r="M42" s="250"/>
      <c r="N42" s="246"/>
      <c r="O42" s="308" t="s">
        <v>438</v>
      </c>
      <c r="P42" s="246"/>
      <c r="Q42" s="307"/>
      <c r="R42" s="246"/>
      <c r="S42" s="261"/>
      <c r="T42" s="250"/>
      <c r="U42" s="246"/>
      <c r="V42" s="307"/>
      <c r="W42" s="246"/>
      <c r="X42" s="308" t="s">
        <v>438</v>
      </c>
      <c r="Y42" s="246"/>
      <c r="Z42" s="261"/>
      <c r="AA42" s="250"/>
      <c r="AB42" s="246"/>
      <c r="AC42" s="308" t="s">
        <v>438</v>
      </c>
      <c r="AD42" s="246"/>
      <c r="AE42" s="307"/>
      <c r="AF42" s="246"/>
      <c r="AG42" s="261"/>
      <c r="AH42" s="307"/>
      <c r="AI42" s="246"/>
      <c r="AJ42" s="307"/>
      <c r="AK42" s="246"/>
      <c r="AL42" s="307"/>
      <c r="AM42" s="246"/>
      <c r="AN42" s="261"/>
      <c r="AO42" s="286"/>
      <c r="AP42" s="246"/>
      <c r="AQ42" s="307"/>
      <c r="AR42" s="246"/>
      <c r="AS42" s="307"/>
      <c r="AT42" s="254" t="str">
        <f t="shared" si="7"/>
        <v/>
      </c>
      <c r="AU42" s="269"/>
    </row>
    <row r="43">
      <c r="A43" s="94"/>
      <c r="B43" s="328" t="s">
        <v>692</v>
      </c>
      <c r="C43" s="329" t="s">
        <v>652</v>
      </c>
      <c r="D43" s="330"/>
      <c r="E43" s="259"/>
      <c r="F43" s="371"/>
      <c r="G43" s="246"/>
      <c r="H43" s="371"/>
      <c r="I43" s="246"/>
      <c r="J43" s="282"/>
      <c r="K43" s="246"/>
      <c r="L43" s="462"/>
      <c r="M43" s="250"/>
      <c r="N43" s="246"/>
      <c r="P43" s="246"/>
      <c r="Q43" s="371"/>
      <c r="R43" s="246"/>
      <c r="S43" s="261"/>
      <c r="T43" s="250"/>
      <c r="U43" s="246"/>
      <c r="V43" s="282"/>
      <c r="W43" s="246"/>
      <c r="X43" s="371"/>
      <c r="Y43" s="246"/>
      <c r="Z43" s="261"/>
      <c r="AA43" s="250"/>
      <c r="AB43" s="246"/>
      <c r="AD43" s="246"/>
      <c r="AF43" s="246"/>
      <c r="AG43" s="261"/>
      <c r="AH43" s="371"/>
      <c r="AI43" s="246"/>
      <c r="AJ43" s="371"/>
      <c r="AK43" s="246"/>
      <c r="AL43" s="371"/>
      <c r="AM43" s="246"/>
      <c r="AN43" s="261"/>
      <c r="AO43" s="286"/>
      <c r="AP43" s="246"/>
      <c r="AQ43" s="282"/>
      <c r="AR43" s="246"/>
      <c r="AS43" s="282"/>
      <c r="AT43" s="254" t="str">
        <f t="shared" si="7"/>
        <v/>
      </c>
      <c r="AU43" s="269"/>
    </row>
    <row r="44">
      <c r="A44" s="270"/>
      <c r="B44" s="397" t="s">
        <v>692</v>
      </c>
      <c r="C44" s="398" t="s">
        <v>687</v>
      </c>
      <c r="D44" s="369"/>
      <c r="E44" s="259"/>
      <c r="F44" s="399"/>
      <c r="G44" s="246"/>
      <c r="H44" s="399"/>
      <c r="I44" s="246"/>
      <c r="J44" s="399"/>
      <c r="K44" s="246"/>
      <c r="L44" s="462"/>
      <c r="M44" s="250"/>
      <c r="N44" s="246"/>
      <c r="O44" s="311"/>
      <c r="P44" s="246"/>
      <c r="Q44" s="282"/>
      <c r="R44" s="246"/>
      <c r="S44" s="261"/>
      <c r="T44" s="250"/>
      <c r="U44" s="246"/>
      <c r="V44" s="282"/>
      <c r="W44" s="246"/>
      <c r="X44" s="399"/>
      <c r="Y44" s="246"/>
      <c r="Z44" s="261"/>
      <c r="AA44" s="250"/>
      <c r="AB44" s="246"/>
      <c r="AC44" s="399"/>
      <c r="AD44" s="246"/>
      <c r="AE44" s="399"/>
      <c r="AF44" s="246"/>
      <c r="AG44" s="261"/>
      <c r="AH44" s="399"/>
      <c r="AI44" s="246"/>
      <c r="AJ44" s="399"/>
      <c r="AK44" s="246"/>
      <c r="AL44" s="399"/>
      <c r="AM44" s="246"/>
      <c r="AN44" s="261"/>
      <c r="AO44" s="286"/>
      <c r="AP44" s="246"/>
      <c r="AQ44" s="399"/>
      <c r="AR44" s="246"/>
      <c r="AS44" s="399"/>
      <c r="AT44" s="254" t="str">
        <f t="shared" si="7"/>
        <v/>
      </c>
      <c r="AU44" s="269"/>
    </row>
    <row r="45">
      <c r="A45" s="94"/>
      <c r="B45" s="387" t="s">
        <v>694</v>
      </c>
      <c r="C45" s="388" t="s">
        <v>649</v>
      </c>
      <c r="D45" s="389"/>
      <c r="E45" s="259"/>
      <c r="F45" s="390"/>
      <c r="G45" s="246"/>
      <c r="H45" s="390"/>
      <c r="I45" s="246"/>
      <c r="J45" s="390"/>
      <c r="K45" s="246"/>
      <c r="L45" s="462"/>
      <c r="M45" s="250"/>
      <c r="N45" s="246"/>
      <c r="O45" s="390"/>
      <c r="P45" s="246"/>
      <c r="Q45" s="357" t="s">
        <v>425</v>
      </c>
      <c r="R45" s="246"/>
      <c r="S45" s="261"/>
      <c r="T45" s="250"/>
      <c r="U45" s="246"/>
      <c r="V45" s="390"/>
      <c r="W45" s="246"/>
      <c r="X45" s="357" t="s">
        <v>425</v>
      </c>
      <c r="Y45" s="246"/>
      <c r="Z45" s="261"/>
      <c r="AA45" s="250"/>
      <c r="AB45" s="246"/>
      <c r="AC45" s="390"/>
      <c r="AD45" s="246"/>
      <c r="AE45" s="357" t="s">
        <v>425</v>
      </c>
      <c r="AF45" s="246"/>
      <c r="AG45" s="261"/>
      <c r="AH45" s="390"/>
      <c r="AI45" s="246"/>
      <c r="AJ45" s="390"/>
      <c r="AK45" s="246"/>
      <c r="AL45" s="357" t="s">
        <v>425</v>
      </c>
      <c r="AM45" s="246"/>
      <c r="AN45" s="261"/>
      <c r="AO45" s="286"/>
      <c r="AP45" s="246"/>
      <c r="AQ45" s="390"/>
      <c r="AR45" s="246"/>
      <c r="AS45" s="357" t="s">
        <v>425</v>
      </c>
      <c r="AT45" s="254" t="str">
        <f t="shared" si="7"/>
        <v/>
      </c>
      <c r="AU45" s="269"/>
    </row>
    <row r="46">
      <c r="A46" s="94"/>
      <c r="B46" s="296" t="s">
        <v>650</v>
      </c>
      <c r="C46" s="297" t="s">
        <v>649</v>
      </c>
      <c r="D46" s="323"/>
      <c r="E46" s="259"/>
      <c r="F46" s="300"/>
      <c r="G46" s="298"/>
      <c r="H46" s="300"/>
      <c r="I46" s="298"/>
      <c r="J46" s="300"/>
      <c r="K46" s="298"/>
      <c r="L46" s="462"/>
      <c r="M46" s="250"/>
      <c r="N46" s="298"/>
      <c r="O46" s="300"/>
      <c r="P46" s="298"/>
      <c r="Q46" s="319"/>
      <c r="R46" s="298"/>
      <c r="S46" s="261"/>
      <c r="T46" s="250"/>
      <c r="U46" s="298"/>
      <c r="V46" s="300"/>
      <c r="W46" s="298"/>
      <c r="X46" s="300"/>
      <c r="Y46" s="298"/>
      <c r="Z46" s="261"/>
      <c r="AA46" s="250"/>
      <c r="AB46" s="298"/>
      <c r="AC46" s="300"/>
      <c r="AD46" s="298"/>
      <c r="AE46" s="300"/>
      <c r="AF46" s="298"/>
      <c r="AG46" s="261"/>
      <c r="AH46" s="300"/>
      <c r="AI46" s="298"/>
      <c r="AJ46" s="300"/>
      <c r="AK46" s="298"/>
      <c r="AL46" s="300"/>
      <c r="AM46" s="298"/>
      <c r="AN46" s="261"/>
      <c r="AO46" s="286"/>
      <c r="AP46" s="298"/>
      <c r="AQ46" s="300"/>
      <c r="AR46" s="298"/>
      <c r="AS46" s="300"/>
      <c r="AT46" s="254" t="str">
        <f t="shared" si="7"/>
        <v/>
      </c>
      <c r="AU46" s="269"/>
    </row>
    <row r="47">
      <c r="A47" s="94"/>
      <c r="B47" s="301" t="s">
        <v>651</v>
      </c>
      <c r="C47" s="391" t="s">
        <v>652</v>
      </c>
      <c r="D47" s="323"/>
      <c r="E47" s="261"/>
      <c r="F47" s="304"/>
      <c r="G47" s="298"/>
      <c r="H47" s="304"/>
      <c r="I47" s="298"/>
      <c r="J47" s="304"/>
      <c r="K47" s="298"/>
      <c r="L47" s="462"/>
      <c r="M47" s="250"/>
      <c r="N47" s="298"/>
      <c r="O47" s="304"/>
      <c r="P47" s="298"/>
      <c r="Q47" s="304"/>
      <c r="R47" s="298"/>
      <c r="S47" s="261"/>
      <c r="T47" s="250"/>
      <c r="U47" s="298"/>
      <c r="V47" s="304"/>
      <c r="W47" s="298"/>
      <c r="X47" s="304"/>
      <c r="Y47" s="298"/>
      <c r="Z47" s="261"/>
      <c r="AA47" s="250"/>
      <c r="AB47" s="298"/>
      <c r="AC47" s="304"/>
      <c r="AD47" s="298"/>
      <c r="AE47" s="304"/>
      <c r="AF47" s="298"/>
      <c r="AG47" s="261"/>
      <c r="AH47" s="304"/>
      <c r="AI47" s="298"/>
      <c r="AJ47" s="304"/>
      <c r="AK47" s="298"/>
      <c r="AL47" s="304"/>
      <c r="AM47" s="298"/>
      <c r="AN47" s="261"/>
      <c r="AO47" s="286"/>
      <c r="AP47" s="298"/>
      <c r="AQ47" s="304"/>
      <c r="AR47" s="298"/>
      <c r="AS47" s="304"/>
      <c r="AT47" s="254" t="str">
        <f t="shared" si="7"/>
        <v/>
      </c>
      <c r="AU47" s="269"/>
    </row>
    <row r="48">
      <c r="A48" s="94"/>
      <c r="B48" s="401" t="s">
        <v>697</v>
      </c>
      <c r="C48" s="393" t="s">
        <v>652</v>
      </c>
      <c r="D48" s="323"/>
      <c r="E48" s="259"/>
      <c r="F48" s="307"/>
      <c r="G48" s="298"/>
      <c r="H48" s="307"/>
      <c r="I48" s="298"/>
      <c r="J48" s="307"/>
      <c r="K48" s="298"/>
      <c r="L48" s="462"/>
      <c r="M48" s="250"/>
      <c r="N48" s="298"/>
      <c r="O48" s="307"/>
      <c r="P48" s="298"/>
      <c r="Q48" s="309" t="s">
        <v>406</v>
      </c>
      <c r="R48" s="298"/>
      <c r="S48" s="261"/>
      <c r="T48" s="250"/>
      <c r="U48" s="298"/>
      <c r="V48" s="307"/>
      <c r="W48" s="298"/>
      <c r="X48" s="395" t="s">
        <v>430</v>
      </c>
      <c r="Y48" s="298"/>
      <c r="Z48" s="261"/>
      <c r="AA48" s="250"/>
      <c r="AB48" s="298"/>
      <c r="AC48" s="307"/>
      <c r="AD48" s="298"/>
      <c r="AE48" s="395" t="s">
        <v>430</v>
      </c>
      <c r="AF48" s="298"/>
      <c r="AG48" s="261"/>
      <c r="AH48" s="307"/>
      <c r="AI48" s="298"/>
      <c r="AJ48" s="307"/>
      <c r="AK48" s="298"/>
      <c r="AL48" s="308" t="s">
        <v>445</v>
      </c>
      <c r="AM48" s="298"/>
      <c r="AN48" s="261"/>
      <c r="AO48" s="286"/>
      <c r="AP48" s="298"/>
      <c r="AQ48" s="307"/>
      <c r="AR48" s="298"/>
      <c r="AS48" s="308" t="s">
        <v>445</v>
      </c>
      <c r="AT48" s="254" t="str">
        <f t="shared" ref="AT48:AT49" si="8">IF(COUNTIF($AO$79:$AT$81, #REF!) &gt; 0, "X", "")</f>
        <v/>
      </c>
      <c r="AU48" s="269"/>
    </row>
    <row r="49">
      <c r="A49" s="94"/>
      <c r="B49" s="337" t="s">
        <v>698</v>
      </c>
      <c r="C49" s="329" t="s">
        <v>652</v>
      </c>
      <c r="D49" s="330"/>
      <c r="E49" s="259"/>
      <c r="F49" s="371"/>
      <c r="G49" s="246"/>
      <c r="H49" s="371"/>
      <c r="I49" s="246"/>
      <c r="J49" s="371"/>
      <c r="K49" s="246"/>
      <c r="L49" s="462"/>
      <c r="M49" s="250"/>
      <c r="N49" s="246"/>
      <c r="O49" s="371"/>
      <c r="P49" s="246"/>
      <c r="R49" s="246"/>
      <c r="S49" s="261"/>
      <c r="T49" s="250"/>
      <c r="U49" s="246"/>
      <c r="V49" s="371"/>
      <c r="W49" s="246"/>
      <c r="X49" s="282"/>
      <c r="Y49" s="246"/>
      <c r="Z49" s="261"/>
      <c r="AA49" s="250"/>
      <c r="AB49" s="246"/>
      <c r="AC49" s="282"/>
      <c r="AD49" s="246"/>
      <c r="AE49" s="584"/>
      <c r="AF49" s="246"/>
      <c r="AG49" s="261"/>
      <c r="AH49" s="371"/>
      <c r="AI49" s="246"/>
      <c r="AJ49" s="371"/>
      <c r="AK49" s="246"/>
      <c r="AL49" s="282"/>
      <c r="AM49" s="246"/>
      <c r="AN49" s="261"/>
      <c r="AO49" s="286"/>
      <c r="AP49" s="246"/>
      <c r="AQ49" s="371"/>
      <c r="AR49" s="246"/>
      <c r="AS49" s="371"/>
      <c r="AT49" s="254" t="str">
        <f t="shared" si="8"/>
        <v/>
      </c>
      <c r="AU49" s="269"/>
    </row>
    <row r="50">
      <c r="A50" s="270"/>
      <c r="B50" s="337" t="s">
        <v>698</v>
      </c>
      <c r="C50" s="398" t="s">
        <v>687</v>
      </c>
      <c r="D50" s="369"/>
      <c r="E50" s="259"/>
      <c r="F50" s="399"/>
      <c r="G50" s="246"/>
      <c r="H50" s="399"/>
      <c r="I50" s="246"/>
      <c r="J50" s="399"/>
      <c r="K50" s="246"/>
      <c r="L50" s="462"/>
      <c r="M50" s="250"/>
      <c r="N50" s="246"/>
      <c r="O50" s="399"/>
      <c r="P50" s="246"/>
      <c r="Q50" s="282"/>
      <c r="R50" s="246"/>
      <c r="S50" s="261"/>
      <c r="T50" s="250"/>
      <c r="U50" s="246"/>
      <c r="V50" s="399"/>
      <c r="W50" s="246"/>
      <c r="X50" s="399"/>
      <c r="Y50" s="246"/>
      <c r="Z50" s="261"/>
      <c r="AA50" s="250"/>
      <c r="AB50" s="246"/>
      <c r="AC50" s="282"/>
      <c r="AD50" s="246"/>
      <c r="AE50" s="399"/>
      <c r="AF50" s="246"/>
      <c r="AG50" s="261"/>
      <c r="AH50" s="399"/>
      <c r="AI50" s="246"/>
      <c r="AJ50" s="399"/>
      <c r="AK50" s="246"/>
      <c r="AL50" s="399"/>
      <c r="AM50" s="246"/>
      <c r="AN50" s="261"/>
      <c r="AO50" s="286"/>
      <c r="AP50" s="246"/>
      <c r="AQ50" s="399"/>
      <c r="AR50" s="246"/>
      <c r="AS50" s="399"/>
      <c r="AT50" s="254" t="str">
        <f t="shared" ref="AT50:AT52" si="9">IF(COUNTIF($AO$79:$AT$81, AO50) &gt; 0, "X", "")</f>
        <v/>
      </c>
      <c r="AU50" s="269"/>
    </row>
    <row r="51">
      <c r="A51" s="94"/>
      <c r="B51" s="402" t="s">
        <v>699</v>
      </c>
      <c r="C51" s="403" t="s">
        <v>649</v>
      </c>
      <c r="D51" s="404"/>
      <c r="E51" s="259"/>
      <c r="F51" s="294"/>
      <c r="G51" s="246"/>
      <c r="H51" s="294"/>
      <c r="I51" s="246"/>
      <c r="J51" s="294"/>
      <c r="K51" s="246"/>
      <c r="L51" s="462"/>
      <c r="M51" s="250"/>
      <c r="N51" s="246"/>
      <c r="O51" s="294"/>
      <c r="P51" s="246"/>
      <c r="Q51" s="293" t="s">
        <v>422</v>
      </c>
      <c r="R51" s="246"/>
      <c r="S51" s="261"/>
      <c r="T51" s="250"/>
      <c r="U51" s="246"/>
      <c r="V51" s="294"/>
      <c r="W51" s="246"/>
      <c r="X51" s="294"/>
      <c r="Y51" s="246"/>
      <c r="Z51" s="261"/>
      <c r="AA51" s="250"/>
      <c r="AB51" s="246"/>
      <c r="AC51" s="294"/>
      <c r="AD51" s="246"/>
      <c r="AE51" s="294"/>
      <c r="AF51" s="246"/>
      <c r="AG51" s="261"/>
      <c r="AH51" s="294"/>
      <c r="AI51" s="246"/>
      <c r="AJ51" s="294"/>
      <c r="AK51" s="246"/>
      <c r="AL51" s="294"/>
      <c r="AM51" s="246"/>
      <c r="AN51" s="261"/>
      <c r="AO51" s="286"/>
      <c r="AP51" s="246"/>
      <c r="AQ51" s="294"/>
      <c r="AR51" s="246"/>
      <c r="AS51" s="294"/>
      <c r="AT51" s="254" t="str">
        <f t="shared" si="9"/>
        <v/>
      </c>
      <c r="AU51" s="269"/>
    </row>
    <row r="52">
      <c r="A52" s="94"/>
      <c r="B52" s="328" t="s">
        <v>700</v>
      </c>
      <c r="C52" s="329" t="s">
        <v>657</v>
      </c>
      <c r="D52" s="330"/>
      <c r="E52" s="259"/>
      <c r="F52" s="264"/>
      <c r="G52" s="246"/>
      <c r="H52" s="282"/>
      <c r="I52" s="246"/>
      <c r="J52" s="371"/>
      <c r="K52" s="246"/>
      <c r="L52" s="462"/>
      <c r="M52" s="250"/>
      <c r="N52" s="246"/>
      <c r="O52" s="371"/>
      <c r="P52" s="246"/>
      <c r="Q52" s="274" t="s">
        <v>437</v>
      </c>
      <c r="R52" s="246"/>
      <c r="S52" s="261"/>
      <c r="T52" s="250"/>
      <c r="U52" s="246"/>
      <c r="W52" s="246"/>
      <c r="X52" s="371"/>
      <c r="Y52" s="246"/>
      <c r="Z52" s="261"/>
      <c r="AA52" s="250"/>
      <c r="AB52" s="246"/>
      <c r="AC52" s="371"/>
      <c r="AD52" s="246"/>
      <c r="AF52" s="246"/>
      <c r="AG52" s="261"/>
      <c r="AH52" s="371"/>
      <c r="AI52" s="246"/>
      <c r="AJ52" s="371"/>
      <c r="AK52" s="246"/>
      <c r="AL52" s="371"/>
      <c r="AM52" s="246"/>
      <c r="AN52" s="261"/>
      <c r="AO52" s="286"/>
      <c r="AP52" s="246"/>
      <c r="AQ52" s="282"/>
      <c r="AR52" s="246"/>
      <c r="AS52" s="282"/>
      <c r="AT52" s="254" t="str">
        <f t="shared" si="9"/>
        <v/>
      </c>
      <c r="AU52" s="269"/>
    </row>
    <row r="53">
      <c r="A53" s="94"/>
      <c r="B53" s="328" t="s">
        <v>700</v>
      </c>
      <c r="C53" s="329" t="s">
        <v>657</v>
      </c>
      <c r="D53" s="330"/>
      <c r="E53" s="259"/>
      <c r="F53" s="371"/>
      <c r="G53" s="246"/>
      <c r="I53" s="246"/>
      <c r="K53" s="246"/>
      <c r="L53" s="462"/>
      <c r="M53" s="262"/>
      <c r="N53" s="246"/>
      <c r="O53" s="265"/>
      <c r="P53" s="246"/>
      <c r="Q53" s="405" t="s">
        <v>462</v>
      </c>
      <c r="R53" s="246"/>
      <c r="S53" s="261"/>
      <c r="T53" s="262"/>
      <c r="U53" s="246"/>
      <c r="W53" s="246"/>
      <c r="Y53" s="246"/>
      <c r="Z53" s="261"/>
      <c r="AA53" s="262"/>
      <c r="AB53" s="246"/>
      <c r="AD53" s="246"/>
      <c r="AF53" s="246"/>
      <c r="AG53" s="261"/>
      <c r="AH53" s="264"/>
      <c r="AI53" s="246"/>
      <c r="AJ53" s="264"/>
      <c r="AK53" s="246"/>
      <c r="AM53" s="246"/>
      <c r="AN53" s="261"/>
      <c r="AO53" s="286"/>
      <c r="AP53" s="246"/>
      <c r="AR53" s="246"/>
      <c r="AT53" s="254" t="str">
        <f>IF(COUNTIF($AO$79:$AT$81, AO60) &gt; 0, "X", "")</f>
        <v/>
      </c>
      <c r="AU53" s="269"/>
    </row>
    <row r="54">
      <c r="A54" s="94"/>
      <c r="B54" s="328" t="s">
        <v>700</v>
      </c>
      <c r="C54" s="329" t="s">
        <v>657</v>
      </c>
      <c r="D54" s="330"/>
      <c r="E54" s="259"/>
      <c r="G54" s="246"/>
      <c r="I54" s="246"/>
      <c r="K54" s="246"/>
      <c r="L54" s="462"/>
      <c r="M54" s="250"/>
      <c r="N54" s="246"/>
      <c r="P54" s="246"/>
      <c r="Q54" s="282"/>
      <c r="R54" s="246"/>
      <c r="S54" s="261"/>
      <c r="T54" s="250"/>
      <c r="U54" s="246"/>
      <c r="W54" s="246"/>
      <c r="Y54" s="246"/>
      <c r="Z54" s="261"/>
      <c r="AA54" s="250"/>
      <c r="AB54" s="246"/>
      <c r="AC54" s="339"/>
      <c r="AD54" s="246"/>
      <c r="AE54" s="282"/>
      <c r="AF54" s="246"/>
      <c r="AG54" s="261"/>
      <c r="AH54" s="371"/>
      <c r="AI54" s="246"/>
      <c r="AK54" s="246"/>
      <c r="AM54" s="246"/>
      <c r="AN54" s="261"/>
      <c r="AO54" s="286"/>
      <c r="AP54" s="246"/>
      <c r="AQ54" s="371"/>
      <c r="AR54" s="246"/>
      <c r="AS54" s="371"/>
      <c r="AT54" s="254" t="str">
        <f>IF(COUNTIF($AO$79:$AT$81, #REF!) &gt; 0, "X", "")</f>
        <v/>
      </c>
      <c r="AU54" s="269"/>
    </row>
    <row r="55">
      <c r="A55" s="234"/>
      <c r="B55" s="408" t="s">
        <v>702</v>
      </c>
      <c r="C55" s="409" t="s">
        <v>652</v>
      </c>
      <c r="D55" s="351"/>
      <c r="E55" s="259"/>
      <c r="F55" s="411"/>
      <c r="G55" s="246"/>
      <c r="H55" s="411"/>
      <c r="I55" s="246"/>
      <c r="J55" s="411"/>
      <c r="K55" s="246"/>
      <c r="L55" s="462"/>
      <c r="M55" s="262"/>
      <c r="N55" s="246"/>
      <c r="O55" s="411"/>
      <c r="P55" s="246"/>
      <c r="Q55" s="411"/>
      <c r="R55" s="246"/>
      <c r="S55" s="261"/>
      <c r="T55" s="262"/>
      <c r="U55" s="246"/>
      <c r="V55" s="411"/>
      <c r="W55" s="246"/>
      <c r="X55" s="411"/>
      <c r="Y55" s="246"/>
      <c r="Z55" s="261"/>
      <c r="AA55" s="262"/>
      <c r="AB55" s="246"/>
      <c r="AC55" s="411"/>
      <c r="AD55" s="246"/>
      <c r="AE55" s="411"/>
      <c r="AF55" s="246"/>
      <c r="AG55" s="261"/>
      <c r="AH55" s="411"/>
      <c r="AI55" s="246"/>
      <c r="AJ55" s="411"/>
      <c r="AK55" s="246"/>
      <c r="AL55" s="411"/>
      <c r="AM55" s="246"/>
      <c r="AN55" s="261"/>
      <c r="AO55" s="286"/>
      <c r="AP55" s="246"/>
      <c r="AQ55" s="411"/>
      <c r="AR55" s="246"/>
      <c r="AS55" s="411"/>
      <c r="AT55" s="254" t="str">
        <f t="shared" ref="AT55:AT56" si="10">IF(COUNTIF($AO$79:$AT$81, AO55) &gt; 0, "X", "")</f>
        <v/>
      </c>
      <c r="AU55" s="269"/>
    </row>
    <row r="56">
      <c r="A56" s="234"/>
      <c r="B56" s="401" t="s">
        <v>703</v>
      </c>
      <c r="C56" s="412" t="s">
        <v>704</v>
      </c>
      <c r="D56" s="323"/>
      <c r="E56" s="259"/>
      <c r="F56" s="307"/>
      <c r="G56" s="246"/>
      <c r="H56" s="413"/>
      <c r="I56" s="246"/>
      <c r="J56" s="413"/>
      <c r="K56" s="246"/>
      <c r="L56" s="462"/>
      <c r="M56" s="262"/>
      <c r="N56" s="246"/>
      <c r="O56" s="413"/>
      <c r="P56" s="246"/>
      <c r="Q56" s="413"/>
      <c r="R56" s="246"/>
      <c r="S56" s="261"/>
      <c r="T56" s="262"/>
      <c r="U56" s="246"/>
      <c r="V56" s="413"/>
      <c r="W56" s="246"/>
      <c r="X56" s="413"/>
      <c r="Y56" s="246"/>
      <c r="Z56" s="261"/>
      <c r="AA56" s="262"/>
      <c r="AB56" s="246"/>
      <c r="AC56" s="413"/>
      <c r="AD56" s="246"/>
      <c r="AE56" s="413"/>
      <c r="AF56" s="246"/>
      <c r="AG56" s="261"/>
      <c r="AH56" s="413"/>
      <c r="AI56" s="246"/>
      <c r="AJ56" s="413"/>
      <c r="AK56" s="246"/>
      <c r="AL56" s="413"/>
      <c r="AM56" s="246"/>
      <c r="AN56" s="261"/>
      <c r="AO56" s="286"/>
      <c r="AP56" s="246"/>
      <c r="AQ56" s="413"/>
      <c r="AR56" s="246"/>
      <c r="AS56" s="413"/>
      <c r="AT56" s="254" t="str">
        <f t="shared" si="10"/>
        <v/>
      </c>
      <c r="AU56" s="269"/>
    </row>
    <row r="57">
      <c r="A57" s="94"/>
      <c r="B57" s="414" t="s">
        <v>705</v>
      </c>
      <c r="C57" s="415" t="s">
        <v>704</v>
      </c>
      <c r="D57" s="330"/>
      <c r="E57" s="259"/>
      <c r="F57" s="586" t="s">
        <v>452</v>
      </c>
      <c r="G57" s="246"/>
      <c r="H57" s="251" t="s">
        <v>407</v>
      </c>
      <c r="I57" s="246"/>
      <c r="J57" s="311" t="s">
        <v>467</v>
      </c>
      <c r="K57" s="246"/>
      <c r="L57" s="462"/>
      <c r="M57" s="341"/>
      <c r="N57" s="246"/>
      <c r="O57" s="251" t="s">
        <v>407</v>
      </c>
      <c r="P57" s="246"/>
      <c r="Q57" s="311" t="s">
        <v>394</v>
      </c>
      <c r="R57" s="246"/>
      <c r="S57" s="261"/>
      <c r="T57" s="341"/>
      <c r="U57" s="246"/>
      <c r="V57" s="251" t="s">
        <v>407</v>
      </c>
      <c r="W57" s="246"/>
      <c r="X57" s="311" t="s">
        <v>467</v>
      </c>
      <c r="Y57" s="246"/>
      <c r="Z57" s="261"/>
      <c r="AA57" s="341"/>
      <c r="AB57" s="246"/>
      <c r="AC57" s="251" t="s">
        <v>407</v>
      </c>
      <c r="AD57" s="246"/>
      <c r="AE57" s="311" t="s">
        <v>467</v>
      </c>
      <c r="AF57" s="246"/>
      <c r="AG57" s="261"/>
      <c r="AH57" s="311" t="s">
        <v>470</v>
      </c>
      <c r="AI57" s="246"/>
      <c r="AJ57" s="339" t="s">
        <v>404</v>
      </c>
      <c r="AK57" s="246"/>
      <c r="AL57" s="586" t="s">
        <v>452</v>
      </c>
      <c r="AM57" s="246"/>
      <c r="AN57" s="261"/>
      <c r="AO57" s="286"/>
      <c r="AP57" s="246"/>
      <c r="AQ57" s="339" t="s">
        <v>404</v>
      </c>
      <c r="AR57" s="246"/>
      <c r="AS57" s="311" t="s">
        <v>410</v>
      </c>
      <c r="AT57" s="254" t="str">
        <f t="shared" ref="AT57:AT61" si="11">IF(COUNTIF($AO$79:$AT$81, #REF!) &gt; 0, "X", "")</f>
        <v/>
      </c>
      <c r="AU57" s="269"/>
    </row>
    <row r="58">
      <c r="A58" s="94"/>
      <c r="B58" s="328" t="s">
        <v>705</v>
      </c>
      <c r="C58" s="257" t="s">
        <v>657</v>
      </c>
      <c r="D58" s="330"/>
      <c r="E58" s="259"/>
      <c r="F58" s="311" t="s">
        <v>470</v>
      </c>
      <c r="G58" s="246"/>
      <c r="H58" s="251" t="s">
        <v>440</v>
      </c>
      <c r="I58" s="246"/>
      <c r="J58" s="339" t="s">
        <v>1033</v>
      </c>
      <c r="K58" s="246"/>
      <c r="L58" s="462"/>
      <c r="M58" s="341"/>
      <c r="N58" s="246"/>
      <c r="O58" s="251" t="s">
        <v>440</v>
      </c>
      <c r="P58" s="246"/>
      <c r="Q58" s="339" t="s">
        <v>1033</v>
      </c>
      <c r="R58" s="246"/>
      <c r="S58" s="261"/>
      <c r="T58" s="341"/>
      <c r="U58" s="246"/>
      <c r="V58" s="339" t="s">
        <v>472</v>
      </c>
      <c r="W58" s="246"/>
      <c r="X58" s="339" t="s">
        <v>1033</v>
      </c>
      <c r="Y58" s="246"/>
      <c r="Z58" s="261"/>
      <c r="AA58" s="341"/>
      <c r="AB58" s="246"/>
      <c r="AC58" s="339" t="s">
        <v>472</v>
      </c>
      <c r="AD58" s="246"/>
      <c r="AE58" s="339" t="s">
        <v>1033</v>
      </c>
      <c r="AF58" s="246"/>
      <c r="AG58" s="261"/>
      <c r="AH58" s="311" t="s">
        <v>467</v>
      </c>
      <c r="AI58" s="246"/>
      <c r="AJ58" s="251" t="s">
        <v>440</v>
      </c>
      <c r="AK58" s="246"/>
      <c r="AL58" s="251" t="s">
        <v>410</v>
      </c>
      <c r="AM58" s="246"/>
      <c r="AN58" s="261"/>
      <c r="AO58" s="286"/>
      <c r="AP58" s="246"/>
      <c r="AQ58" s="339" t="s">
        <v>472</v>
      </c>
      <c r="AR58" s="246"/>
      <c r="AS58" s="586" t="s">
        <v>452</v>
      </c>
      <c r="AT58" s="254" t="str">
        <f t="shared" si="11"/>
        <v/>
      </c>
      <c r="AU58" s="269"/>
    </row>
    <row r="59">
      <c r="A59" s="94"/>
      <c r="B59" s="277" t="s">
        <v>705</v>
      </c>
      <c r="C59" s="329" t="s">
        <v>685</v>
      </c>
      <c r="D59" s="330"/>
      <c r="E59" s="259"/>
      <c r="G59" s="246"/>
      <c r="H59" s="311" t="s">
        <v>438</v>
      </c>
      <c r="I59" s="246"/>
      <c r="J59" s="339" t="s">
        <v>472</v>
      </c>
      <c r="K59" s="246"/>
      <c r="L59" s="462"/>
      <c r="M59" s="341"/>
      <c r="N59" s="246"/>
      <c r="O59" s="311" t="s">
        <v>470</v>
      </c>
      <c r="P59" s="246"/>
      <c r="Q59" s="311" t="s">
        <v>410</v>
      </c>
      <c r="R59" s="246"/>
      <c r="S59" s="261"/>
      <c r="T59" s="341"/>
      <c r="U59" s="246"/>
      <c r="V59" s="311" t="s">
        <v>470</v>
      </c>
      <c r="W59" s="246"/>
      <c r="X59" s="586" t="s">
        <v>452</v>
      </c>
      <c r="Y59" s="246"/>
      <c r="Z59" s="261"/>
      <c r="AA59" s="341"/>
      <c r="AB59" s="246"/>
      <c r="AC59" s="251" t="s">
        <v>440</v>
      </c>
      <c r="AD59" s="246"/>
      <c r="AE59" s="339" t="s">
        <v>404</v>
      </c>
      <c r="AF59" s="246"/>
      <c r="AG59" s="261"/>
      <c r="AI59" s="246"/>
      <c r="AJ59" s="339" t="s">
        <v>472</v>
      </c>
      <c r="AK59" s="246"/>
      <c r="AL59" s="251" t="s">
        <v>405</v>
      </c>
      <c r="AM59" s="246"/>
      <c r="AN59" s="261"/>
      <c r="AO59" s="286"/>
      <c r="AP59" s="246"/>
      <c r="AQ59" s="251" t="s">
        <v>440</v>
      </c>
      <c r="AR59" s="246"/>
      <c r="AS59" s="311" t="s">
        <v>470</v>
      </c>
      <c r="AT59" s="254" t="str">
        <f t="shared" si="11"/>
        <v/>
      </c>
      <c r="AU59" s="269"/>
    </row>
    <row r="60">
      <c r="A60" s="270"/>
      <c r="B60" s="271" t="s">
        <v>705</v>
      </c>
      <c r="C60" s="272" t="s">
        <v>687</v>
      </c>
      <c r="D60" s="369"/>
      <c r="E60" s="259"/>
      <c r="F60" s="282"/>
      <c r="G60" s="246"/>
      <c r="I60" s="246"/>
      <c r="K60" s="246"/>
      <c r="L60" s="462"/>
      <c r="M60" s="341"/>
      <c r="N60" s="246"/>
      <c r="P60" s="246"/>
      <c r="R60" s="246"/>
      <c r="S60" s="261"/>
      <c r="T60" s="341"/>
      <c r="U60" s="246"/>
      <c r="W60" s="246"/>
      <c r="Y60" s="246"/>
      <c r="Z60" s="261"/>
      <c r="AA60" s="341"/>
      <c r="AB60" s="246"/>
      <c r="AD60" s="246"/>
      <c r="AF60" s="246"/>
      <c r="AG60" s="261"/>
      <c r="AH60" s="282"/>
      <c r="AI60" s="246"/>
      <c r="AK60" s="246"/>
      <c r="AL60" s="374"/>
      <c r="AM60" s="246"/>
      <c r="AN60" s="261"/>
      <c r="AO60" s="286"/>
      <c r="AP60" s="246"/>
      <c r="AR60" s="246"/>
      <c r="AT60" s="254" t="str">
        <f t="shared" si="11"/>
        <v/>
      </c>
      <c r="AU60" s="269"/>
    </row>
    <row r="61">
      <c r="A61" s="94"/>
      <c r="B61" s="397" t="s">
        <v>708</v>
      </c>
      <c r="C61" s="398" t="s">
        <v>654</v>
      </c>
      <c r="D61" s="330"/>
      <c r="E61" s="259"/>
      <c r="F61" s="275"/>
      <c r="G61" s="246"/>
      <c r="H61" s="311" t="s">
        <v>441</v>
      </c>
      <c r="I61" s="246"/>
      <c r="J61" s="374"/>
      <c r="K61" s="246"/>
      <c r="L61" s="462"/>
      <c r="M61" s="341"/>
      <c r="N61" s="246"/>
      <c r="O61" s="365" t="s">
        <v>469</v>
      </c>
      <c r="P61" s="246"/>
      <c r="Q61" s="311" t="s">
        <v>441</v>
      </c>
      <c r="R61" s="246"/>
      <c r="S61" s="261"/>
      <c r="T61" s="341"/>
      <c r="U61" s="246"/>
      <c r="V61" s="365" t="s">
        <v>469</v>
      </c>
      <c r="W61" s="246"/>
      <c r="X61" s="311" t="s">
        <v>441</v>
      </c>
      <c r="Y61" s="246"/>
      <c r="Z61" s="261"/>
      <c r="AA61" s="341"/>
      <c r="AB61" s="246"/>
      <c r="AC61" s="311" t="s">
        <v>441</v>
      </c>
      <c r="AD61" s="246"/>
      <c r="AF61" s="246"/>
      <c r="AG61" s="261"/>
      <c r="AH61" s="275"/>
      <c r="AI61" s="246"/>
      <c r="AJ61" s="365" t="s">
        <v>469</v>
      </c>
      <c r="AK61" s="246"/>
      <c r="AL61" s="311" t="s">
        <v>441</v>
      </c>
      <c r="AM61" s="246"/>
      <c r="AN61" s="261"/>
      <c r="AO61" s="286"/>
      <c r="AP61" s="246"/>
      <c r="AQ61" s="365" t="s">
        <v>469</v>
      </c>
      <c r="AR61" s="246"/>
      <c r="AT61" s="254" t="str">
        <f t="shared" si="11"/>
        <v/>
      </c>
      <c r="AU61" s="269"/>
    </row>
    <row r="62">
      <c r="A62" s="94"/>
      <c r="B62" s="796" t="s">
        <v>1116</v>
      </c>
      <c r="C62" s="278" t="s">
        <v>710</v>
      </c>
      <c r="D62" s="330"/>
      <c r="E62" s="259"/>
      <c r="F62" s="281"/>
      <c r="G62" s="246"/>
      <c r="H62" s="282"/>
      <c r="I62" s="246"/>
      <c r="J62" s="281"/>
      <c r="K62" s="246"/>
      <c r="L62" s="462"/>
      <c r="M62" s="286"/>
      <c r="N62" s="246"/>
      <c r="O62" s="281"/>
      <c r="P62" s="246"/>
      <c r="R62" s="246"/>
      <c r="S62" s="261"/>
      <c r="T62" s="286"/>
      <c r="U62" s="246"/>
      <c r="V62" s="282"/>
      <c r="W62" s="246"/>
      <c r="X62" s="282"/>
      <c r="Y62" s="246"/>
      <c r="Z62" s="261"/>
      <c r="AA62" s="286"/>
      <c r="AB62" s="246"/>
      <c r="AC62" s="282"/>
      <c r="AD62" s="246"/>
      <c r="AE62" s="282"/>
      <c r="AF62" s="246"/>
      <c r="AG62" s="261"/>
      <c r="AH62" s="281"/>
      <c r="AI62" s="246"/>
      <c r="AJ62" s="281"/>
      <c r="AK62" s="246"/>
      <c r="AL62" s="282"/>
      <c r="AM62" s="246"/>
      <c r="AN62" s="261"/>
      <c r="AO62" s="286"/>
      <c r="AP62" s="246"/>
      <c r="AQ62" s="281"/>
      <c r="AR62" s="246"/>
      <c r="AT62" s="254" t="str">
        <f t="shared" ref="AT62:AT63" si="12">IF(COUNTIF($AO$79:$AT$81, AS62) &gt; 0, "X", "")</f>
        <v/>
      </c>
      <c r="AU62" s="269"/>
    </row>
    <row r="63">
      <c r="A63" s="94"/>
      <c r="B63" s="673" t="s">
        <v>944</v>
      </c>
      <c r="C63" s="272" t="s">
        <v>639</v>
      </c>
      <c r="D63" s="323"/>
      <c r="E63" s="259"/>
      <c r="F63" s="265"/>
      <c r="G63" s="246"/>
      <c r="H63" s="311" t="s">
        <v>432</v>
      </c>
      <c r="I63" s="246"/>
      <c r="J63" s="282"/>
      <c r="K63" s="246"/>
      <c r="L63" s="462"/>
      <c r="M63" s="341"/>
      <c r="N63" s="246"/>
      <c r="O63" s="311" t="s">
        <v>432</v>
      </c>
      <c r="P63" s="246"/>
      <c r="Q63" s="282"/>
      <c r="R63" s="246"/>
      <c r="S63" s="261"/>
      <c r="T63" s="341"/>
      <c r="U63" s="246"/>
      <c r="W63" s="246"/>
      <c r="X63" s="282"/>
      <c r="Y63" s="246"/>
      <c r="Z63" s="261"/>
      <c r="AA63" s="341"/>
      <c r="AB63" s="246"/>
      <c r="AC63" s="311" t="s">
        <v>432</v>
      </c>
      <c r="AD63" s="246"/>
      <c r="AE63" s="282"/>
      <c r="AF63" s="246"/>
      <c r="AG63" s="261"/>
      <c r="AH63" s="282"/>
      <c r="AI63" s="246"/>
      <c r="AJ63" s="311" t="s">
        <v>432</v>
      </c>
      <c r="AK63" s="246"/>
      <c r="AL63" s="282"/>
      <c r="AM63" s="246"/>
      <c r="AN63" s="261"/>
      <c r="AO63" s="286"/>
      <c r="AP63" s="246"/>
      <c r="AQ63" s="282"/>
      <c r="AR63" s="246"/>
      <c r="AT63" s="254" t="str">
        <f t="shared" si="12"/>
        <v/>
      </c>
      <c r="AU63" s="269"/>
    </row>
    <row r="64">
      <c r="A64" s="94"/>
      <c r="B64" s="429" t="s">
        <v>714</v>
      </c>
      <c r="C64" s="430"/>
      <c r="D64" s="431"/>
      <c r="E64" s="259"/>
      <c r="F64" s="432"/>
      <c r="G64" s="432"/>
      <c r="H64" s="432"/>
      <c r="I64" s="432"/>
      <c r="J64" s="432"/>
      <c r="K64" s="432"/>
      <c r="L64" s="462"/>
      <c r="M64" s="432"/>
      <c r="N64" s="433"/>
      <c r="O64" s="432"/>
      <c r="P64" s="432"/>
      <c r="Q64" s="432"/>
      <c r="R64" s="432"/>
      <c r="S64" s="261"/>
      <c r="T64" s="432"/>
      <c r="U64" s="433"/>
      <c r="V64" s="432"/>
      <c r="W64" s="432"/>
      <c r="X64" s="432"/>
      <c r="Y64" s="432"/>
      <c r="Z64" s="261"/>
      <c r="AA64" s="432"/>
      <c r="AB64" s="433"/>
      <c r="AC64" s="432"/>
      <c r="AD64" s="432"/>
      <c r="AE64" s="432"/>
      <c r="AF64" s="432"/>
      <c r="AG64" s="261"/>
      <c r="AH64" s="432"/>
      <c r="AI64" s="433"/>
      <c r="AJ64" s="432"/>
      <c r="AK64" s="432"/>
      <c r="AL64" s="432"/>
      <c r="AM64" s="432"/>
      <c r="AN64" s="261"/>
      <c r="AO64" s="432"/>
      <c r="AP64" s="433"/>
      <c r="AQ64" s="432"/>
      <c r="AR64" s="432"/>
      <c r="AS64" s="432"/>
      <c r="AT64" s="430"/>
      <c r="AU64" s="269"/>
    </row>
    <row r="65">
      <c r="A65" s="94"/>
      <c r="B65" s="401" t="s">
        <v>715</v>
      </c>
      <c r="C65" s="412" t="s">
        <v>716</v>
      </c>
      <c r="D65" s="323"/>
      <c r="E65" s="259"/>
      <c r="F65" s="434"/>
      <c r="G65" s="246"/>
      <c r="H65" s="434" t="s">
        <v>403</v>
      </c>
      <c r="I65" s="246"/>
      <c r="J65" s="434"/>
      <c r="K65" s="246"/>
      <c r="L65" s="462"/>
      <c r="M65" s="434"/>
      <c r="N65" s="246"/>
      <c r="O65" s="434" t="s">
        <v>403</v>
      </c>
      <c r="P65" s="246"/>
      <c r="Q65" s="434"/>
      <c r="R65" s="246"/>
      <c r="S65" s="261"/>
      <c r="T65" s="434"/>
      <c r="U65" s="246"/>
      <c r="V65" s="434" t="s">
        <v>403</v>
      </c>
      <c r="W65" s="246"/>
      <c r="X65" s="434"/>
      <c r="Y65" s="246"/>
      <c r="Z65" s="261"/>
      <c r="AA65" s="434"/>
      <c r="AB65" s="246"/>
      <c r="AC65" s="434" t="s">
        <v>403</v>
      </c>
      <c r="AD65" s="246"/>
      <c r="AE65" s="434"/>
      <c r="AF65" s="246"/>
      <c r="AG65" s="261"/>
      <c r="AH65" s="434"/>
      <c r="AI65" s="246"/>
      <c r="AJ65" s="434" t="s">
        <v>403</v>
      </c>
      <c r="AK65" s="246"/>
      <c r="AL65" s="434"/>
      <c r="AM65" s="246"/>
      <c r="AN65" s="261"/>
      <c r="AO65" s="434"/>
      <c r="AP65" s="246"/>
      <c r="AQ65" s="434"/>
      <c r="AR65" s="246"/>
      <c r="AS65" s="434"/>
      <c r="AT65" s="254" t="str">
        <f t="shared" ref="AT65:AT74" si="13">IF(COUNTIF($AO$79:$AT$81, AS65) &gt; 0, "X", "")</f>
        <v/>
      </c>
      <c r="AU65" s="269"/>
    </row>
    <row r="66">
      <c r="A66" s="94"/>
      <c r="B66" s="401" t="s">
        <v>715</v>
      </c>
      <c r="C66" s="412" t="s">
        <v>716</v>
      </c>
      <c r="D66" s="323"/>
      <c r="E66" s="259"/>
      <c r="G66" s="246"/>
      <c r="H66" s="434"/>
      <c r="I66" s="246"/>
      <c r="J66" s="434"/>
      <c r="K66" s="246"/>
      <c r="L66" s="462"/>
      <c r="M66" s="434"/>
      <c r="N66" s="246"/>
      <c r="O66" s="434"/>
      <c r="P66" s="246"/>
      <c r="Q66" s="434"/>
      <c r="R66" s="246"/>
      <c r="S66" s="261"/>
      <c r="T66" s="434"/>
      <c r="U66" s="246"/>
      <c r="V66" s="434"/>
      <c r="W66" s="246"/>
      <c r="X66" s="434"/>
      <c r="Y66" s="246"/>
      <c r="Z66" s="261"/>
      <c r="AA66" s="434"/>
      <c r="AB66" s="246"/>
      <c r="AC66" s="434"/>
      <c r="AD66" s="246"/>
      <c r="AE66" s="434"/>
      <c r="AF66" s="246"/>
      <c r="AG66" s="261"/>
      <c r="AH66" s="434"/>
      <c r="AI66" s="246"/>
      <c r="AJ66" s="434"/>
      <c r="AK66" s="246"/>
      <c r="AL66" s="434"/>
      <c r="AM66" s="246"/>
      <c r="AN66" s="261"/>
      <c r="AO66" s="434"/>
      <c r="AP66" s="246"/>
      <c r="AQ66" s="434"/>
      <c r="AR66" s="246"/>
      <c r="AS66" s="434"/>
      <c r="AT66" s="254" t="str">
        <f t="shared" si="13"/>
        <v/>
      </c>
      <c r="AU66" s="269"/>
    </row>
    <row r="67">
      <c r="A67" s="94"/>
      <c r="B67" s="435" t="s">
        <v>717</v>
      </c>
      <c r="C67" s="415" t="s">
        <v>718</v>
      </c>
      <c r="D67" s="363"/>
      <c r="E67" s="259"/>
      <c r="F67" s="406"/>
      <c r="G67" s="246"/>
      <c r="H67" s="406" t="s">
        <v>1066</v>
      </c>
      <c r="I67" s="246"/>
      <c r="J67" s="406"/>
      <c r="K67" s="246"/>
      <c r="L67" s="462"/>
      <c r="M67" s="406"/>
      <c r="N67" s="246"/>
      <c r="O67" s="578" t="s">
        <v>463</v>
      </c>
      <c r="P67" s="246"/>
      <c r="Q67" s="406"/>
      <c r="R67" s="246"/>
      <c r="S67" s="261"/>
      <c r="T67" s="406"/>
      <c r="U67" s="246"/>
      <c r="V67" s="578" t="s">
        <v>463</v>
      </c>
      <c r="W67" s="246"/>
      <c r="X67" s="406"/>
      <c r="Y67" s="246"/>
      <c r="Z67" s="261"/>
      <c r="AA67" s="406"/>
      <c r="AB67" s="246"/>
      <c r="AC67" s="578" t="s">
        <v>463</v>
      </c>
      <c r="AD67" s="246"/>
      <c r="AE67" s="406"/>
      <c r="AF67" s="246"/>
      <c r="AG67" s="261"/>
      <c r="AH67" s="406"/>
      <c r="AI67" s="246"/>
      <c r="AJ67" s="578" t="s">
        <v>463</v>
      </c>
      <c r="AK67" s="246"/>
      <c r="AL67" s="406"/>
      <c r="AM67" s="246"/>
      <c r="AN67" s="261"/>
      <c r="AO67" s="406"/>
      <c r="AP67" s="246"/>
      <c r="AQ67" s="578" t="s">
        <v>463</v>
      </c>
      <c r="AR67" s="246"/>
      <c r="AS67" s="406"/>
      <c r="AT67" s="254" t="str">
        <f t="shared" si="13"/>
        <v/>
      </c>
      <c r="AU67" s="269"/>
    </row>
    <row r="68">
      <c r="A68" s="94"/>
      <c r="B68" s="436" t="s">
        <v>719</v>
      </c>
      <c r="C68" s="437" t="s">
        <v>720</v>
      </c>
      <c r="D68" s="330"/>
      <c r="E68" s="259"/>
      <c r="F68" s="406"/>
      <c r="G68" s="246"/>
      <c r="H68" s="406" t="s">
        <v>946</v>
      </c>
      <c r="I68" s="246"/>
      <c r="J68" s="406"/>
      <c r="K68" s="246"/>
      <c r="L68" s="462"/>
      <c r="M68" s="406"/>
      <c r="N68" s="246"/>
      <c r="O68" s="206" t="s">
        <v>946</v>
      </c>
      <c r="P68" s="246"/>
      <c r="Q68" s="406"/>
      <c r="R68" s="246"/>
      <c r="S68" s="261"/>
      <c r="T68" s="406"/>
      <c r="U68" s="246"/>
      <c r="V68" s="406" t="s">
        <v>456</v>
      </c>
      <c r="W68" s="246"/>
      <c r="X68" s="406"/>
      <c r="Y68" s="246"/>
      <c r="Z68" s="261"/>
      <c r="AA68" s="406"/>
      <c r="AB68" s="246"/>
      <c r="AC68" s="635" t="s">
        <v>1099</v>
      </c>
      <c r="AD68" s="246"/>
      <c r="AE68" s="674" t="s">
        <v>970</v>
      </c>
      <c r="AF68" s="246"/>
      <c r="AG68" s="261"/>
      <c r="AH68" s="406"/>
      <c r="AI68" s="246"/>
      <c r="AJ68" s="635" t="s">
        <v>1099</v>
      </c>
      <c r="AK68" s="246"/>
      <c r="AL68" s="674" t="s">
        <v>970</v>
      </c>
      <c r="AM68" s="246"/>
      <c r="AN68" s="261"/>
      <c r="AO68" s="406"/>
      <c r="AP68" s="246"/>
      <c r="AQ68" s="406"/>
      <c r="AR68" s="246"/>
      <c r="AS68" s="406"/>
      <c r="AT68" s="254" t="str">
        <f t="shared" si="13"/>
        <v/>
      </c>
      <c r="AU68" s="269"/>
    </row>
    <row r="69">
      <c r="A69" s="94"/>
      <c r="B69" s="439" t="s">
        <v>721</v>
      </c>
      <c r="C69" s="440" t="s">
        <v>722</v>
      </c>
      <c r="D69" s="330"/>
      <c r="E69" s="259"/>
      <c r="F69" s="406"/>
      <c r="G69" s="246"/>
      <c r="H69" s="620" t="s">
        <v>1101</v>
      </c>
      <c r="I69" s="246"/>
      <c r="J69" s="674" t="s">
        <v>454</v>
      </c>
      <c r="K69" s="246"/>
      <c r="L69" s="462"/>
      <c r="M69" s="406"/>
      <c r="N69" s="246"/>
      <c r="O69" s="635" t="s">
        <v>1100</v>
      </c>
      <c r="P69" s="246"/>
      <c r="Q69" s="674" t="s">
        <v>454</v>
      </c>
      <c r="R69" s="246"/>
      <c r="S69" s="261"/>
      <c r="T69" s="406"/>
      <c r="U69" s="246"/>
      <c r="V69" s="620" t="s">
        <v>1101</v>
      </c>
      <c r="W69" s="246"/>
      <c r="X69" s="674" t="s">
        <v>454</v>
      </c>
      <c r="Y69" s="246"/>
      <c r="Z69" s="261"/>
      <c r="AA69" s="406"/>
      <c r="AB69" s="246"/>
      <c r="AC69" s="620" t="s">
        <v>1101</v>
      </c>
      <c r="AD69" s="246"/>
      <c r="AE69" s="674" t="s">
        <v>454</v>
      </c>
      <c r="AF69" s="246"/>
      <c r="AG69" s="261"/>
      <c r="AH69" s="406"/>
      <c r="AI69" s="246"/>
      <c r="AJ69" s="620" t="s">
        <v>1101</v>
      </c>
      <c r="AK69" s="246"/>
      <c r="AL69" s="674" t="s">
        <v>454</v>
      </c>
      <c r="AM69" s="246"/>
      <c r="AN69" s="261"/>
      <c r="AO69" s="406"/>
      <c r="AP69" s="246"/>
      <c r="AQ69" s="406"/>
      <c r="AR69" s="246"/>
      <c r="AS69" s="406"/>
      <c r="AT69" s="254" t="str">
        <f t="shared" si="13"/>
        <v/>
      </c>
      <c r="AU69" s="269"/>
    </row>
    <row r="70">
      <c r="A70" s="94"/>
      <c r="B70" s="439" t="s">
        <v>723</v>
      </c>
      <c r="C70" s="440" t="s">
        <v>724</v>
      </c>
      <c r="D70" s="330"/>
      <c r="E70" s="259"/>
      <c r="F70" s="441"/>
      <c r="G70" s="246"/>
      <c r="H70" s="635" t="s">
        <v>1100</v>
      </c>
      <c r="I70" s="246"/>
      <c r="J70" s="674" t="s">
        <v>970</v>
      </c>
      <c r="K70" s="246"/>
      <c r="L70" s="462"/>
      <c r="M70" s="441"/>
      <c r="N70" s="246"/>
      <c r="O70" s="406" t="s">
        <v>1066</v>
      </c>
      <c r="P70" s="246"/>
      <c r="Q70" s="406"/>
      <c r="R70" s="246"/>
      <c r="S70" s="261"/>
      <c r="T70" s="441"/>
      <c r="U70" s="246"/>
      <c r="V70" s="406" t="s">
        <v>1066</v>
      </c>
      <c r="W70" s="246"/>
      <c r="X70" s="441"/>
      <c r="Y70" s="246"/>
      <c r="Z70" s="261"/>
      <c r="AA70" s="441"/>
      <c r="AB70" s="246"/>
      <c r="AC70" s="406" t="s">
        <v>1066</v>
      </c>
      <c r="AD70" s="246"/>
      <c r="AE70" s="441"/>
      <c r="AF70" s="246"/>
      <c r="AG70" s="261"/>
      <c r="AH70" s="441"/>
      <c r="AI70" s="246"/>
      <c r="AJ70" s="406" t="s">
        <v>456</v>
      </c>
      <c r="AK70" s="246"/>
      <c r="AL70" s="441"/>
      <c r="AM70" s="246"/>
      <c r="AN70" s="261"/>
      <c r="AO70" s="441"/>
      <c r="AP70" s="246"/>
      <c r="AQ70" s="406" t="s">
        <v>1066</v>
      </c>
      <c r="AR70" s="246"/>
      <c r="AS70" s="441"/>
      <c r="AT70" s="254" t="str">
        <f t="shared" si="13"/>
        <v/>
      </c>
      <c r="AU70" s="269"/>
    </row>
    <row r="71">
      <c r="A71" s="94"/>
      <c r="B71" s="439" t="s">
        <v>725</v>
      </c>
      <c r="C71" s="440" t="s">
        <v>730</v>
      </c>
      <c r="D71" s="330"/>
      <c r="E71" s="259"/>
      <c r="G71" s="246"/>
      <c r="H71" s="406" t="s">
        <v>456</v>
      </c>
      <c r="I71" s="246"/>
      <c r="J71" s="441"/>
      <c r="K71" s="246"/>
      <c r="L71" s="462"/>
      <c r="M71" s="441"/>
      <c r="N71" s="246"/>
      <c r="O71" s="406" t="s">
        <v>456</v>
      </c>
      <c r="P71" s="246"/>
      <c r="Q71" s="441"/>
      <c r="R71" s="246"/>
      <c r="S71" s="261"/>
      <c r="T71" s="441"/>
      <c r="U71" s="246"/>
      <c r="V71" s="635" t="s">
        <v>1100</v>
      </c>
      <c r="W71" s="246"/>
      <c r="X71" s="674" t="s">
        <v>970</v>
      </c>
      <c r="Y71" s="246"/>
      <c r="Z71" s="261"/>
      <c r="AA71" s="441"/>
      <c r="AB71" s="246"/>
      <c r="AC71" s="406" t="s">
        <v>456</v>
      </c>
      <c r="AD71" s="246"/>
      <c r="AE71" s="441"/>
      <c r="AF71" s="246"/>
      <c r="AG71" s="261"/>
      <c r="AH71" s="441"/>
      <c r="AI71" s="246"/>
      <c r="AJ71" s="206" t="s">
        <v>460</v>
      </c>
      <c r="AK71" s="246"/>
      <c r="AL71" s="441"/>
      <c r="AM71" s="246"/>
      <c r="AN71" s="261"/>
      <c r="AO71" s="441"/>
      <c r="AP71" s="246"/>
      <c r="AQ71" s="406" t="s">
        <v>970</v>
      </c>
      <c r="AR71" s="246"/>
      <c r="AS71" s="441"/>
      <c r="AT71" s="254" t="str">
        <f t="shared" si="13"/>
        <v/>
      </c>
      <c r="AU71" s="269"/>
    </row>
    <row r="72">
      <c r="A72" s="94"/>
      <c r="B72" s="447" t="s">
        <v>729</v>
      </c>
      <c r="C72" s="448" t="s">
        <v>730</v>
      </c>
      <c r="D72" s="330"/>
      <c r="E72" s="259"/>
      <c r="F72" s="441"/>
      <c r="G72" s="246"/>
      <c r="H72" s="441"/>
      <c r="I72" s="246"/>
      <c r="J72" s="441"/>
      <c r="K72" s="246"/>
      <c r="L72" s="462"/>
      <c r="M72" s="441"/>
      <c r="N72" s="246"/>
      <c r="O72" s="441"/>
      <c r="P72" s="246"/>
      <c r="Q72" s="441"/>
      <c r="R72" s="246"/>
      <c r="S72" s="261"/>
      <c r="T72" s="441"/>
      <c r="U72" s="246"/>
      <c r="V72" s="441"/>
      <c r="W72" s="246"/>
      <c r="X72" s="441"/>
      <c r="Y72" s="246"/>
      <c r="Z72" s="261"/>
      <c r="AA72" s="441"/>
      <c r="AB72" s="246"/>
      <c r="AC72" s="206"/>
      <c r="AD72" s="246"/>
      <c r="AE72" s="441"/>
      <c r="AF72" s="246"/>
      <c r="AG72" s="261"/>
      <c r="AH72" s="441"/>
      <c r="AI72" s="246"/>
      <c r="AJ72" s="441"/>
      <c r="AK72" s="246"/>
      <c r="AL72" s="441"/>
      <c r="AM72" s="246"/>
      <c r="AN72" s="261"/>
      <c r="AO72" s="441"/>
      <c r="AP72" s="246"/>
      <c r="AQ72" s="441"/>
      <c r="AR72" s="246"/>
      <c r="AS72" s="441"/>
      <c r="AT72" s="254" t="str">
        <f t="shared" si="13"/>
        <v/>
      </c>
      <c r="AU72" s="269"/>
    </row>
    <row r="73">
      <c r="A73" s="94"/>
      <c r="B73" s="450" t="s">
        <v>731</v>
      </c>
      <c r="C73" s="451" t="s">
        <v>732</v>
      </c>
      <c r="D73" s="363"/>
      <c r="E73" s="259"/>
      <c r="F73" s="206"/>
      <c r="G73" s="246"/>
      <c r="H73" s="620" t="s">
        <v>917</v>
      </c>
      <c r="I73" s="246"/>
      <c r="J73" s="496" t="s">
        <v>460</v>
      </c>
      <c r="K73" s="246"/>
      <c r="L73" s="462"/>
      <c r="M73" s="206"/>
      <c r="N73" s="246"/>
      <c r="O73" s="620" t="s">
        <v>917</v>
      </c>
      <c r="P73" s="246"/>
      <c r="Q73" s="496" t="s">
        <v>460</v>
      </c>
      <c r="R73" s="246"/>
      <c r="S73" s="261"/>
      <c r="T73" s="206"/>
      <c r="U73" s="246"/>
      <c r="V73" s="620" t="s">
        <v>917</v>
      </c>
      <c r="W73" s="246"/>
      <c r="X73" s="496" t="s">
        <v>946</v>
      </c>
      <c r="Y73" s="246"/>
      <c r="Z73" s="261"/>
      <c r="AA73" s="206"/>
      <c r="AB73" s="246"/>
      <c r="AC73" s="620" t="s">
        <v>917</v>
      </c>
      <c r="AD73" s="246"/>
      <c r="AE73" s="496" t="s">
        <v>946</v>
      </c>
      <c r="AF73" s="246"/>
      <c r="AG73" s="261"/>
      <c r="AH73" s="206"/>
      <c r="AI73" s="246"/>
      <c r="AJ73" s="620" t="s">
        <v>917</v>
      </c>
      <c r="AK73" s="246"/>
      <c r="AL73" s="496" t="s">
        <v>946</v>
      </c>
      <c r="AM73" s="246"/>
      <c r="AN73" s="261"/>
      <c r="AO73" s="206"/>
      <c r="AP73" s="246"/>
      <c r="AQ73" s="206"/>
      <c r="AR73" s="246"/>
      <c r="AS73" s="206"/>
      <c r="AT73" s="254" t="str">
        <f t="shared" si="13"/>
        <v/>
      </c>
      <c r="AU73" s="269"/>
    </row>
    <row r="74">
      <c r="A74" s="94"/>
      <c r="B74" s="673" t="s">
        <v>944</v>
      </c>
      <c r="C74" s="272" t="s">
        <v>639</v>
      </c>
      <c r="D74" s="363"/>
      <c r="E74" s="259"/>
      <c r="F74" s="74"/>
      <c r="G74" s="246"/>
      <c r="H74" s="594" t="s">
        <v>395</v>
      </c>
      <c r="I74" s="246"/>
      <c r="J74" s="74"/>
      <c r="K74" s="246"/>
      <c r="L74" s="462"/>
      <c r="M74" s="74"/>
      <c r="N74" s="246"/>
      <c r="O74" s="594" t="s">
        <v>395</v>
      </c>
      <c r="P74" s="246"/>
      <c r="Q74" s="74"/>
      <c r="R74" s="246"/>
      <c r="S74" s="261"/>
      <c r="T74" s="74"/>
      <c r="U74" s="246"/>
      <c r="V74" s="594" t="s">
        <v>395</v>
      </c>
      <c r="W74" s="246"/>
      <c r="X74" s="74"/>
      <c r="Y74" s="246"/>
      <c r="Z74" s="261"/>
      <c r="AA74" s="74"/>
      <c r="AB74" s="246"/>
      <c r="AC74" s="594" t="s">
        <v>395</v>
      </c>
      <c r="AD74" s="246"/>
      <c r="AE74" s="74"/>
      <c r="AF74" s="246"/>
      <c r="AG74" s="261"/>
      <c r="AH74" s="74"/>
      <c r="AI74" s="246"/>
      <c r="AJ74" s="594" t="s">
        <v>395</v>
      </c>
      <c r="AK74" s="246"/>
      <c r="AL74" s="74"/>
      <c r="AM74" s="246"/>
      <c r="AN74" s="261"/>
      <c r="AO74" s="74"/>
      <c r="AP74" s="246"/>
      <c r="AQ74" s="635" t="s">
        <v>1099</v>
      </c>
      <c r="AR74" s="246"/>
      <c r="AS74" s="765" t="s">
        <v>460</v>
      </c>
      <c r="AT74" s="254" t="str">
        <f t="shared" si="13"/>
        <v/>
      </c>
      <c r="AU74" s="269"/>
    </row>
    <row r="75">
      <c r="A75" s="94"/>
      <c r="B75" s="636"/>
      <c r="C75" s="637"/>
      <c r="D75" s="269"/>
      <c r="E75" s="638"/>
      <c r="F75" s="446"/>
      <c r="G75" s="246"/>
      <c r="H75" s="446"/>
      <c r="I75" s="246"/>
      <c r="J75" s="446"/>
      <c r="K75" s="246"/>
      <c r="L75" s="462"/>
      <c r="M75" s="446"/>
      <c r="N75" s="246"/>
      <c r="O75" s="446"/>
      <c r="P75" s="246"/>
      <c r="Q75" s="446"/>
      <c r="R75" s="246"/>
      <c r="S75" s="462"/>
      <c r="T75" s="446"/>
      <c r="U75" s="246"/>
      <c r="V75" s="446"/>
      <c r="W75" s="246"/>
      <c r="X75" s="446"/>
      <c r="Y75" s="246"/>
      <c r="Z75" s="462"/>
      <c r="AA75" s="446"/>
      <c r="AB75" s="246"/>
      <c r="AC75" s="446"/>
      <c r="AD75" s="246"/>
      <c r="AE75" s="446"/>
      <c r="AF75" s="246"/>
      <c r="AG75" s="462"/>
      <c r="AH75" s="446"/>
      <c r="AI75" s="246"/>
      <c r="AJ75" s="446"/>
      <c r="AK75" s="246"/>
      <c r="AL75" s="446"/>
      <c r="AM75" s="246"/>
      <c r="AN75" s="462"/>
      <c r="AO75" s="446"/>
      <c r="AP75" s="246"/>
      <c r="AQ75" s="446"/>
      <c r="AR75" s="246"/>
      <c r="AS75" s="446"/>
      <c r="AT75" s="254"/>
      <c r="AU75" s="269"/>
    </row>
    <row r="76">
      <c r="A76" s="94"/>
      <c r="B76" s="454" t="s">
        <v>735</v>
      </c>
      <c r="C76" s="455" t="s">
        <v>736</v>
      </c>
      <c r="D76" s="363"/>
      <c r="E76" s="259"/>
      <c r="F76" s="441"/>
      <c r="G76" s="246"/>
      <c r="H76" s="441"/>
      <c r="I76" s="246"/>
      <c r="J76" s="405" t="s">
        <v>462</v>
      </c>
      <c r="K76" s="246"/>
      <c r="L76" s="462"/>
      <c r="M76" s="441"/>
      <c r="N76" s="246"/>
      <c r="O76" s="441"/>
      <c r="P76" s="246"/>
      <c r="Q76" s="441"/>
      <c r="R76" s="246"/>
      <c r="S76" s="261"/>
      <c r="T76" s="441"/>
      <c r="U76" s="246"/>
      <c r="V76" s="441"/>
      <c r="W76" s="246"/>
      <c r="X76" s="405" t="s">
        <v>462</v>
      </c>
      <c r="Y76" s="246"/>
      <c r="Z76" s="261"/>
      <c r="AA76" s="681" t="s">
        <v>462</v>
      </c>
      <c r="AB76" s="246"/>
      <c r="AC76" s="441"/>
      <c r="AD76" s="246"/>
      <c r="AE76" s="441"/>
      <c r="AF76" s="246"/>
      <c r="AG76" s="261"/>
      <c r="AH76" s="441"/>
      <c r="AI76" s="246"/>
      <c r="AJ76" s="441"/>
      <c r="AK76" s="246"/>
      <c r="AL76" s="405" t="s">
        <v>462</v>
      </c>
      <c r="AM76" s="246"/>
      <c r="AN76" s="261"/>
      <c r="AO76" s="441"/>
      <c r="AP76" s="246"/>
      <c r="AQ76" s="441"/>
      <c r="AR76" s="246"/>
      <c r="AS76" s="441"/>
      <c r="AT76" s="254" t="str">
        <f t="shared" ref="AT76:AT78" si="14">IF(COUNTIF($AO$79:$AT$81, AS76) &gt; 0, "X", "")</f>
        <v/>
      </c>
      <c r="AU76" s="269"/>
    </row>
    <row r="77">
      <c r="A77" s="94"/>
      <c r="B77" s="454" t="s">
        <v>735</v>
      </c>
      <c r="C77" s="442" t="s">
        <v>736</v>
      </c>
      <c r="D77" s="363"/>
      <c r="E77" s="259"/>
      <c r="F77" s="456"/>
      <c r="G77" s="246"/>
      <c r="H77" s="456"/>
      <c r="I77" s="246"/>
      <c r="J77" s="456"/>
      <c r="K77" s="246"/>
      <c r="L77" s="462"/>
      <c r="M77" s="456"/>
      <c r="N77" s="246"/>
      <c r="O77" s="456"/>
      <c r="P77" s="246"/>
      <c r="Q77" s="456"/>
      <c r="R77" s="246"/>
      <c r="S77" s="261"/>
      <c r="T77" s="456"/>
      <c r="U77" s="246"/>
      <c r="V77" s="456"/>
      <c r="W77" s="246"/>
      <c r="X77" s="456"/>
      <c r="Y77" s="246"/>
      <c r="Z77" s="261"/>
      <c r="AA77" s="456"/>
      <c r="AB77" s="246"/>
      <c r="AC77" s="456"/>
      <c r="AD77" s="246"/>
      <c r="AE77" s="456"/>
      <c r="AF77" s="246"/>
      <c r="AG77" s="261"/>
      <c r="AH77" s="456"/>
      <c r="AI77" s="246"/>
      <c r="AJ77" s="456"/>
      <c r="AK77" s="246"/>
      <c r="AL77" s="456"/>
      <c r="AM77" s="246"/>
      <c r="AN77" s="261"/>
      <c r="AO77" s="456"/>
      <c r="AP77" s="246"/>
      <c r="AQ77" s="456"/>
      <c r="AR77" s="246"/>
      <c r="AS77" s="456"/>
      <c r="AT77" s="254" t="str">
        <f t="shared" si="14"/>
        <v/>
      </c>
      <c r="AU77" s="269"/>
    </row>
    <row r="78">
      <c r="A78" s="94"/>
      <c r="B78" s="457" t="s">
        <v>735</v>
      </c>
      <c r="C78" s="458" t="s">
        <v>737</v>
      </c>
      <c r="D78" s="363"/>
      <c r="E78" s="259"/>
      <c r="F78" s="406"/>
      <c r="G78" s="246"/>
      <c r="H78" s="406"/>
      <c r="I78" s="246"/>
      <c r="J78" s="406"/>
      <c r="K78" s="246"/>
      <c r="L78" s="462"/>
      <c r="M78" s="406"/>
      <c r="N78" s="246"/>
      <c r="O78" s="406"/>
      <c r="P78" s="246"/>
      <c r="Q78" s="406"/>
      <c r="R78" s="246"/>
      <c r="S78" s="261"/>
      <c r="T78" s="406"/>
      <c r="U78" s="246"/>
      <c r="V78" s="406"/>
      <c r="W78" s="246"/>
      <c r="X78" s="406"/>
      <c r="Y78" s="246"/>
      <c r="Z78" s="261"/>
      <c r="AA78" s="406"/>
      <c r="AB78" s="246"/>
      <c r="AC78" s="406"/>
      <c r="AD78" s="246"/>
      <c r="AE78" s="406"/>
      <c r="AF78" s="246"/>
      <c r="AG78" s="261"/>
      <c r="AH78" s="406"/>
      <c r="AI78" s="246"/>
      <c r="AJ78" s="406"/>
      <c r="AK78" s="246"/>
      <c r="AL78" s="406"/>
      <c r="AM78" s="246"/>
      <c r="AN78" s="261"/>
      <c r="AO78" s="406"/>
      <c r="AP78" s="246"/>
      <c r="AQ78" s="406"/>
      <c r="AR78" s="246"/>
      <c r="AS78" s="406"/>
      <c r="AT78" s="254" t="str">
        <f t="shared" si="14"/>
        <v/>
      </c>
      <c r="AU78" s="269"/>
    </row>
    <row r="79">
      <c r="A79" s="270"/>
      <c r="B79" s="459"/>
      <c r="C79" s="460" t="s">
        <v>738</v>
      </c>
      <c r="D79" s="363"/>
      <c r="E79" s="259"/>
      <c r="F79" s="461" t="s">
        <v>1117</v>
      </c>
      <c r="G79" s="246"/>
      <c r="H79" s="132"/>
      <c r="I79" s="246"/>
      <c r="J79" s="132"/>
      <c r="K79" s="246"/>
      <c r="L79" s="462"/>
      <c r="M79" s="461" t="s">
        <v>1118</v>
      </c>
      <c r="N79" s="246"/>
      <c r="O79" s="132"/>
      <c r="P79" s="246"/>
      <c r="Q79" s="132"/>
      <c r="R79" s="246"/>
      <c r="S79" s="462"/>
      <c r="T79" s="461" t="s">
        <v>1119</v>
      </c>
      <c r="U79" s="246"/>
      <c r="V79" s="132"/>
      <c r="W79" s="246"/>
      <c r="X79" s="132"/>
      <c r="Y79" s="246"/>
      <c r="Z79" s="462"/>
      <c r="AA79" s="461" t="s">
        <v>1120</v>
      </c>
      <c r="AB79" s="246"/>
      <c r="AC79" s="132"/>
      <c r="AD79" s="246"/>
      <c r="AE79" s="132"/>
      <c r="AF79" s="246"/>
      <c r="AG79" s="462"/>
      <c r="AH79" s="461" t="s">
        <v>1121</v>
      </c>
      <c r="AI79" s="246"/>
      <c r="AJ79" s="132"/>
      <c r="AK79" s="246"/>
      <c r="AL79" s="132"/>
      <c r="AM79" s="246"/>
      <c r="AN79" s="462"/>
      <c r="AO79" s="461" t="s">
        <v>1122</v>
      </c>
      <c r="AP79" s="246"/>
      <c r="AQ79" s="132"/>
      <c r="AR79" s="246"/>
      <c r="AS79" s="132"/>
      <c r="AT79" s="460"/>
      <c r="AU79" s="269"/>
    </row>
    <row r="80">
      <c r="A80" s="236"/>
      <c r="B80" s="459"/>
      <c r="C80" s="460" t="s">
        <v>738</v>
      </c>
      <c r="D80" s="363"/>
      <c r="E80" s="259"/>
      <c r="F80" s="461" t="s">
        <v>446</v>
      </c>
      <c r="G80" s="246"/>
      <c r="H80" s="132"/>
      <c r="I80" s="246"/>
      <c r="J80" s="132"/>
      <c r="K80" s="246"/>
      <c r="L80" s="462"/>
      <c r="M80" s="461" t="s">
        <v>446</v>
      </c>
      <c r="N80" s="246"/>
      <c r="O80" s="132"/>
      <c r="P80" s="246"/>
      <c r="Q80" s="132"/>
      <c r="R80" s="246"/>
      <c r="S80" s="462"/>
      <c r="T80" s="461" t="s">
        <v>446</v>
      </c>
      <c r="U80" s="246"/>
      <c r="V80" s="132"/>
      <c r="W80" s="246"/>
      <c r="X80" s="132"/>
      <c r="Y80" s="246"/>
      <c r="Z80" s="462"/>
      <c r="AA80" s="461" t="s">
        <v>446</v>
      </c>
      <c r="AB80" s="246"/>
      <c r="AC80" s="132"/>
      <c r="AD80" s="246"/>
      <c r="AE80" s="132"/>
      <c r="AF80" s="246"/>
      <c r="AG80" s="462"/>
      <c r="AH80" s="461" t="s">
        <v>446</v>
      </c>
      <c r="AI80" s="246"/>
      <c r="AJ80" s="132"/>
      <c r="AK80" s="246"/>
      <c r="AL80" s="132"/>
      <c r="AM80" s="246"/>
      <c r="AN80" s="462"/>
      <c r="AO80" s="461" t="s">
        <v>1123</v>
      </c>
      <c r="AP80" s="246"/>
      <c r="AQ80" s="132"/>
      <c r="AR80" s="246"/>
      <c r="AS80" s="132"/>
      <c r="AT80" s="460"/>
      <c r="AU80" s="236"/>
    </row>
    <row r="81">
      <c r="A81" s="236"/>
      <c r="B81" s="459"/>
      <c r="C81" s="460" t="s">
        <v>738</v>
      </c>
      <c r="D81" s="363"/>
      <c r="E81" s="259"/>
      <c r="F81" s="461"/>
      <c r="G81" s="246"/>
      <c r="H81" s="132"/>
      <c r="I81" s="246"/>
      <c r="J81" s="132"/>
      <c r="K81" s="246"/>
      <c r="L81" s="462"/>
      <c r="M81" s="132"/>
      <c r="N81" s="246"/>
      <c r="O81" s="132"/>
      <c r="P81" s="246"/>
      <c r="Q81" s="132"/>
      <c r="R81" s="246"/>
      <c r="S81" s="462"/>
      <c r="T81" s="461"/>
      <c r="U81" s="246"/>
      <c r="V81" s="132"/>
      <c r="W81" s="246"/>
      <c r="X81" s="132"/>
      <c r="Y81" s="246"/>
      <c r="Z81" s="462"/>
      <c r="AA81" s="461"/>
      <c r="AB81" s="246"/>
      <c r="AC81" s="132"/>
      <c r="AD81" s="246"/>
      <c r="AE81" s="132"/>
      <c r="AF81" s="246"/>
      <c r="AG81" s="462"/>
      <c r="AH81" s="461"/>
      <c r="AI81" s="246"/>
      <c r="AJ81" s="132"/>
      <c r="AK81" s="246"/>
      <c r="AL81" s="132"/>
      <c r="AM81" s="246"/>
      <c r="AN81" s="462"/>
      <c r="AO81" s="461"/>
      <c r="AP81" s="246"/>
      <c r="AQ81" s="132"/>
      <c r="AR81" s="246"/>
      <c r="AS81" s="132"/>
      <c r="AT81" s="460"/>
      <c r="AU81" s="236"/>
    </row>
    <row r="82">
      <c r="A82" s="182"/>
      <c r="B82" s="183" t="s">
        <v>746</v>
      </c>
      <c r="C82" s="184" t="s">
        <v>605</v>
      </c>
      <c r="D82" s="185" t="s">
        <v>486</v>
      </c>
      <c r="E82" s="186"/>
      <c r="F82" s="185" t="s">
        <v>487</v>
      </c>
      <c r="M82" s="185" t="s">
        <v>488</v>
      </c>
      <c r="T82" s="185" t="s">
        <v>489</v>
      </c>
      <c r="AA82" s="185" t="s">
        <v>490</v>
      </c>
      <c r="AH82" s="185" t="s">
        <v>491</v>
      </c>
      <c r="AO82" s="185" t="s">
        <v>492</v>
      </c>
      <c r="AU82" s="182"/>
    </row>
    <row r="83">
      <c r="A83" s="182"/>
      <c r="B83" s="187"/>
      <c r="C83" s="187"/>
      <c r="D83" s="188">
        <f>AO3+1</f>
        <v>12</v>
      </c>
      <c r="E83" s="189"/>
      <c r="F83" s="188">
        <f>D83+1</f>
        <v>13</v>
      </c>
      <c r="M83" s="188">
        <f>F83+1</f>
        <v>14</v>
      </c>
      <c r="T83" s="188">
        <f>M83+1</f>
        <v>15</v>
      </c>
      <c r="AA83" s="188">
        <f>T83+1</f>
        <v>16</v>
      </c>
      <c r="AH83" s="188">
        <f>AA83+1</f>
        <v>17</v>
      </c>
      <c r="AO83" s="188">
        <f>AH83+1</f>
        <v>18</v>
      </c>
      <c r="AU83" s="182"/>
    </row>
    <row r="84">
      <c r="A84" s="182"/>
      <c r="B84" s="193" t="s">
        <v>608</v>
      </c>
      <c r="C84" s="193" t="s">
        <v>609</v>
      </c>
      <c r="D84" s="187"/>
      <c r="E84" s="189"/>
      <c r="F84" s="194" t="s">
        <v>610</v>
      </c>
      <c r="G84" s="195"/>
      <c r="H84" s="193" t="s">
        <v>611</v>
      </c>
      <c r="J84" s="194" t="s">
        <v>612</v>
      </c>
      <c r="M84" s="194" t="s">
        <v>610</v>
      </c>
      <c r="N84" s="195"/>
      <c r="O84" s="193" t="s">
        <v>611</v>
      </c>
      <c r="P84" s="195"/>
      <c r="Q84" s="194" t="s">
        <v>612</v>
      </c>
      <c r="S84" s="193"/>
      <c r="T84" s="194" t="s">
        <v>610</v>
      </c>
      <c r="U84" s="195"/>
      <c r="V84" s="193" t="s">
        <v>611</v>
      </c>
      <c r="W84" s="195"/>
      <c r="X84" s="194" t="s">
        <v>612</v>
      </c>
      <c r="Z84" s="193"/>
      <c r="AA84" s="194" t="s">
        <v>610</v>
      </c>
      <c r="AB84" s="195"/>
      <c r="AC84" s="193" t="s">
        <v>611</v>
      </c>
      <c r="AD84" s="195"/>
      <c r="AE84" s="194" t="s">
        <v>612</v>
      </c>
      <c r="AG84" s="193"/>
      <c r="AH84" s="194" t="s">
        <v>610</v>
      </c>
      <c r="AI84" s="195"/>
      <c r="AJ84" s="193" t="s">
        <v>611</v>
      </c>
      <c r="AK84" s="195"/>
      <c r="AL84" s="194" t="s">
        <v>612</v>
      </c>
      <c r="AN84" s="193"/>
      <c r="AO84" s="194" t="s">
        <v>610</v>
      </c>
      <c r="AP84" s="195"/>
      <c r="AQ84" s="193" t="s">
        <v>611</v>
      </c>
      <c r="AR84" s="195"/>
      <c r="AS84" s="194" t="s">
        <v>612</v>
      </c>
      <c r="AU84" s="182"/>
    </row>
    <row r="85" ht="15.0" customHeight="1">
      <c r="A85" s="199"/>
      <c r="B85" s="200" t="s">
        <v>620</v>
      </c>
      <c r="C85" s="201"/>
      <c r="D85" s="203" t="s">
        <v>1112</v>
      </c>
      <c r="E85" s="202"/>
      <c r="F85" s="203"/>
      <c r="G85" s="204"/>
      <c r="H85" s="203"/>
      <c r="I85" s="204"/>
      <c r="J85" s="203"/>
      <c r="K85" s="204"/>
      <c r="L85" s="221"/>
      <c r="M85" s="724" t="s">
        <v>1124</v>
      </c>
      <c r="N85" s="204"/>
      <c r="O85" s="203"/>
      <c r="P85" s="204"/>
      <c r="Q85" s="724" t="s">
        <v>1125</v>
      </c>
      <c r="R85" s="204"/>
      <c r="S85" s="205"/>
      <c r="T85" s="203"/>
      <c r="U85" s="204"/>
      <c r="V85" s="203"/>
      <c r="W85" s="204"/>
      <c r="X85" s="724" t="s">
        <v>1126</v>
      </c>
      <c r="Y85" s="204"/>
      <c r="Z85" s="205"/>
      <c r="AA85" s="203"/>
      <c r="AB85" s="204"/>
      <c r="AC85" s="797" t="s">
        <v>1127</v>
      </c>
      <c r="AD85" s="204"/>
      <c r="AE85" s="797" t="s">
        <v>1128</v>
      </c>
      <c r="AF85" s="204"/>
      <c r="AG85" s="205"/>
      <c r="AH85" s="203"/>
      <c r="AI85" s="204"/>
      <c r="AJ85" s="203"/>
      <c r="AK85" s="204"/>
      <c r="AL85" s="203"/>
      <c r="AM85" s="204"/>
      <c r="AN85" s="205"/>
      <c r="AO85" s="203"/>
      <c r="AP85" s="204"/>
      <c r="AQ85" s="203"/>
      <c r="AR85" s="204"/>
      <c r="AS85" s="203"/>
      <c r="AT85" s="204"/>
      <c r="AU85" s="199"/>
    </row>
    <row r="86">
      <c r="A86" s="234"/>
      <c r="B86" s="235" t="s">
        <v>608</v>
      </c>
      <c r="C86" s="195" t="s">
        <v>609</v>
      </c>
      <c r="D86" s="236"/>
      <c r="E86" s="237"/>
      <c r="F86" s="238"/>
      <c r="G86" s="182"/>
      <c r="H86" s="238"/>
      <c r="I86" s="239"/>
      <c r="J86" s="238"/>
      <c r="K86" s="239"/>
      <c r="L86" s="94"/>
      <c r="M86" s="238"/>
      <c r="N86" s="182"/>
      <c r="O86" s="238"/>
      <c r="P86" s="239"/>
      <c r="Q86" s="238"/>
      <c r="R86" s="239"/>
      <c r="S86" s="237"/>
      <c r="T86" s="238"/>
      <c r="U86" s="182"/>
      <c r="V86" s="238"/>
      <c r="W86" s="239"/>
      <c r="X86" s="238"/>
      <c r="Y86" s="239"/>
      <c r="Z86" s="237"/>
      <c r="AA86" s="238"/>
      <c r="AB86" s="182"/>
      <c r="AC86" s="238"/>
      <c r="AD86" s="239"/>
      <c r="AE86" s="238"/>
      <c r="AF86" s="239"/>
      <c r="AG86" s="237"/>
      <c r="AH86" s="238"/>
      <c r="AI86" s="182"/>
      <c r="AJ86" s="238"/>
      <c r="AK86" s="239"/>
      <c r="AL86" s="238"/>
      <c r="AM86" s="239"/>
      <c r="AN86" s="237"/>
      <c r="AO86" s="238"/>
      <c r="AP86" s="182"/>
      <c r="AQ86" s="238"/>
      <c r="AR86" s="239"/>
      <c r="AS86" s="238"/>
      <c r="AT86" s="239"/>
      <c r="AU86" s="236"/>
    </row>
    <row r="87" ht="14.25" customHeight="1">
      <c r="A87" s="240"/>
      <c r="B87" s="241" t="s">
        <v>638</v>
      </c>
      <c r="C87" s="242" t="s">
        <v>639</v>
      </c>
      <c r="D87" s="243"/>
      <c r="E87" s="244"/>
      <c r="F87" s="371"/>
      <c r="G87" s="246"/>
      <c r="H87" s="282"/>
      <c r="I87" s="246"/>
      <c r="J87" s="282"/>
      <c r="K87" s="246"/>
      <c r="L87" s="676"/>
      <c r="M87" s="250"/>
      <c r="N87" s="246"/>
      <c r="O87" s="282"/>
      <c r="P87" s="246"/>
      <c r="Q87" s="336" t="s">
        <v>414</v>
      </c>
      <c r="R87" s="246"/>
      <c r="S87" s="249"/>
      <c r="T87" s="250"/>
      <c r="U87" s="246"/>
      <c r="V87" s="683" t="s">
        <v>419</v>
      </c>
      <c r="W87" s="246"/>
      <c r="Y87" s="246"/>
      <c r="Z87" s="249"/>
      <c r="AA87" s="250"/>
      <c r="AB87" s="246"/>
      <c r="AD87" s="246"/>
      <c r="AF87" s="246"/>
      <c r="AG87" s="249"/>
      <c r="AH87" s="371"/>
      <c r="AI87" s="246"/>
      <c r="AK87" s="246"/>
      <c r="AM87" s="246"/>
      <c r="AN87" s="249"/>
      <c r="AO87" s="479"/>
      <c r="AP87" s="246"/>
      <c r="AR87" s="246"/>
      <c r="AT87" s="254" t="str">
        <f>IF(COUNTIF($AO$79:$AT$81, #REF!) &gt; 0, "X", "")</f>
        <v/>
      </c>
      <c r="AU87" s="255"/>
    </row>
    <row r="88" ht="13.5" customHeight="1">
      <c r="A88" s="94"/>
      <c r="B88" s="256" t="s">
        <v>638</v>
      </c>
      <c r="C88" s="257" t="s">
        <v>639</v>
      </c>
      <c r="D88" s="258"/>
      <c r="E88" s="259"/>
      <c r="F88" s="371"/>
      <c r="G88" s="246"/>
      <c r="H88" s="282"/>
      <c r="I88" s="246"/>
      <c r="J88" s="336" t="s">
        <v>414</v>
      </c>
      <c r="K88" s="246"/>
      <c r="L88" s="676"/>
      <c r="M88" s="250"/>
      <c r="N88" s="246"/>
      <c r="O88" s="274" t="s">
        <v>406</v>
      </c>
      <c r="P88" s="246"/>
      <c r="Q88" s="282"/>
      <c r="R88" s="246"/>
      <c r="S88" s="249"/>
      <c r="T88" s="250"/>
      <c r="U88" s="246"/>
      <c r="V88" s="334" t="s">
        <v>414</v>
      </c>
      <c r="W88" s="246"/>
      <c r="Y88" s="246"/>
      <c r="Z88" s="249"/>
      <c r="AA88" s="250"/>
      <c r="AB88" s="246"/>
      <c r="AD88" s="246"/>
      <c r="AE88" s="265"/>
      <c r="AF88" s="246"/>
      <c r="AG88" s="249"/>
      <c r="AH88" s="371"/>
      <c r="AI88" s="246"/>
      <c r="AK88" s="246"/>
      <c r="AM88" s="246"/>
      <c r="AN88" s="249"/>
      <c r="AO88" s="506"/>
      <c r="AP88" s="246"/>
      <c r="AQ88" s="282"/>
      <c r="AR88" s="246"/>
      <c r="AS88" s="282"/>
      <c r="AT88" s="254" t="str">
        <f>IF(COUNTIF($AO$79:$AT$81, AS94) &gt; 0, "X", "")</f>
        <v/>
      </c>
      <c r="AU88" s="269"/>
    </row>
    <row r="89" ht="13.5" customHeight="1">
      <c r="A89" s="270"/>
      <c r="B89" s="271" t="s">
        <v>642</v>
      </c>
      <c r="C89" s="272" t="s">
        <v>639</v>
      </c>
      <c r="D89" s="258"/>
      <c r="E89" s="259"/>
      <c r="F89" s="426"/>
      <c r="G89" s="246"/>
      <c r="H89" s="426"/>
      <c r="I89" s="246"/>
      <c r="J89" s="265"/>
      <c r="K89" s="246"/>
      <c r="L89" s="462"/>
      <c r="M89" s="262"/>
      <c r="N89" s="246"/>
      <c r="P89" s="246"/>
      <c r="Q89" s="282"/>
      <c r="R89" s="246"/>
      <c r="S89" s="261"/>
      <c r="T89" s="262"/>
      <c r="U89" s="246"/>
      <c r="V89" s="265"/>
      <c r="W89" s="246"/>
      <c r="Y89" s="246"/>
      <c r="Z89" s="261"/>
      <c r="AA89" s="262"/>
      <c r="AB89" s="246"/>
      <c r="AD89" s="246"/>
      <c r="AF89" s="246"/>
      <c r="AG89" s="261"/>
      <c r="AH89" s="426"/>
      <c r="AI89" s="246"/>
      <c r="AJ89" s="426"/>
      <c r="AK89" s="246"/>
      <c r="AM89" s="246"/>
      <c r="AN89" s="261"/>
      <c r="AO89" s="767"/>
      <c r="AP89" s="246"/>
      <c r="AQ89" s="426"/>
      <c r="AR89" s="246"/>
      <c r="AS89" s="426"/>
      <c r="AT89" s="254" t="str">
        <f>IF(COUNTIF($AO$79:$AT$81, #REF!) &gt; 0, "X", "")</f>
        <v/>
      </c>
      <c r="AU89" s="269"/>
    </row>
    <row r="90" ht="11.25" customHeight="1">
      <c r="A90" s="234"/>
      <c r="B90" s="277" t="s">
        <v>644</v>
      </c>
      <c r="C90" s="278" t="s">
        <v>645</v>
      </c>
      <c r="D90" s="243"/>
      <c r="E90" s="259"/>
      <c r="F90" s="281"/>
      <c r="G90" s="246"/>
      <c r="H90" s="280" t="s">
        <v>400</v>
      </c>
      <c r="I90" s="246"/>
      <c r="J90" s="282"/>
      <c r="K90" s="246"/>
      <c r="L90" s="462"/>
      <c r="M90" s="250"/>
      <c r="N90" s="246"/>
      <c r="O90" s="280" t="s">
        <v>400</v>
      </c>
      <c r="P90" s="246"/>
      <c r="Q90" s="282"/>
      <c r="R90" s="246"/>
      <c r="S90" s="261"/>
      <c r="T90" s="250"/>
      <c r="U90" s="246"/>
      <c r="V90" s="281"/>
      <c r="W90" s="246"/>
      <c r="X90" s="280" t="s">
        <v>400</v>
      </c>
      <c r="Y90" s="246"/>
      <c r="Z90" s="261"/>
      <c r="AA90" s="250"/>
      <c r="AB90" s="246"/>
      <c r="AC90" s="280" t="s">
        <v>400</v>
      </c>
      <c r="AD90" s="246"/>
      <c r="AE90" s="282"/>
      <c r="AF90" s="246"/>
      <c r="AG90" s="261"/>
      <c r="AH90" s="281"/>
      <c r="AI90" s="246"/>
      <c r="AJ90" s="280" t="s">
        <v>400</v>
      </c>
      <c r="AK90" s="246"/>
      <c r="AL90" s="281"/>
      <c r="AM90" s="246"/>
      <c r="AN90" s="261"/>
      <c r="AO90" s="320"/>
      <c r="AP90" s="246"/>
      <c r="AR90" s="246"/>
      <c r="AS90" s="281"/>
      <c r="AT90" s="254" t="str">
        <f t="shared" ref="AT90:AT92" si="15">IF(COUNTIF($AO$79:$AT$81, AS91) &gt; 0, "X", "")</f>
        <v/>
      </c>
      <c r="AU90" s="269"/>
    </row>
    <row r="91">
      <c r="A91" s="94"/>
      <c r="B91" s="256" t="s">
        <v>757</v>
      </c>
      <c r="C91" s="257" t="s">
        <v>645</v>
      </c>
      <c r="D91" s="790" t="s">
        <v>1114</v>
      </c>
      <c r="E91" s="259"/>
      <c r="F91" s="274" t="s">
        <v>402</v>
      </c>
      <c r="G91" s="246"/>
      <c r="H91" s="371"/>
      <c r="I91" s="246"/>
      <c r="J91" s="371"/>
      <c r="K91" s="246"/>
      <c r="L91" s="462"/>
      <c r="M91" s="250"/>
      <c r="N91" s="246"/>
      <c r="O91" s="371"/>
      <c r="P91" s="246"/>
      <c r="Q91" s="280" t="s">
        <v>402</v>
      </c>
      <c r="R91" s="246"/>
      <c r="S91" s="261"/>
      <c r="T91" s="250"/>
      <c r="U91" s="246"/>
      <c r="V91" s="371"/>
      <c r="W91" s="246"/>
      <c r="X91" s="274" t="s">
        <v>402</v>
      </c>
      <c r="Y91" s="246"/>
      <c r="Z91" s="261"/>
      <c r="AA91" s="250"/>
      <c r="AB91" s="246"/>
      <c r="AC91" s="371"/>
      <c r="AD91" s="246"/>
      <c r="AF91" s="246"/>
      <c r="AG91" s="261"/>
      <c r="AH91" s="371"/>
      <c r="AI91" s="246"/>
      <c r="AJ91" s="371"/>
      <c r="AK91" s="246"/>
      <c r="AL91" s="274" t="s">
        <v>402</v>
      </c>
      <c r="AM91" s="246"/>
      <c r="AN91" s="261"/>
      <c r="AO91" s="320"/>
      <c r="AP91" s="246"/>
      <c r="AQ91" s="282"/>
      <c r="AR91" s="246"/>
      <c r="AS91" s="371"/>
      <c r="AT91" s="254" t="str">
        <f t="shared" si="15"/>
        <v/>
      </c>
      <c r="AU91" s="269"/>
    </row>
    <row r="92">
      <c r="A92" s="94"/>
      <c r="B92" s="284" t="s">
        <v>646</v>
      </c>
      <c r="C92" s="285" t="s">
        <v>647</v>
      </c>
      <c r="D92" s="791" t="s">
        <v>420</v>
      </c>
      <c r="E92" s="259"/>
      <c r="F92" s="251" t="s">
        <v>427</v>
      </c>
      <c r="G92" s="246"/>
      <c r="H92" s="399"/>
      <c r="I92" s="246"/>
      <c r="J92" s="399"/>
      <c r="K92" s="246"/>
      <c r="L92" s="462"/>
      <c r="M92" s="324"/>
      <c r="N92" s="246"/>
      <c r="O92" s="282"/>
      <c r="P92" s="246"/>
      <c r="Q92" s="251" t="s">
        <v>427</v>
      </c>
      <c r="R92" s="246"/>
      <c r="S92" s="261"/>
      <c r="T92" s="324"/>
      <c r="U92" s="246"/>
      <c r="V92" s="282"/>
      <c r="W92" s="246"/>
      <c r="X92" s="251" t="s">
        <v>427</v>
      </c>
      <c r="Y92" s="246"/>
      <c r="Z92" s="261"/>
      <c r="AA92" s="324"/>
      <c r="AB92" s="246"/>
      <c r="AD92" s="246"/>
      <c r="AE92" s="251" t="s">
        <v>427</v>
      </c>
      <c r="AF92" s="246"/>
      <c r="AG92" s="261"/>
      <c r="AH92" s="251" t="s">
        <v>427</v>
      </c>
      <c r="AI92" s="246"/>
      <c r="AJ92" s="399"/>
      <c r="AK92" s="246"/>
      <c r="AL92" s="282"/>
      <c r="AM92" s="246"/>
      <c r="AN92" s="261"/>
      <c r="AO92" s="479"/>
      <c r="AP92" s="246"/>
      <c r="AQ92" s="426"/>
      <c r="AR92" s="246"/>
      <c r="AS92" s="399"/>
      <c r="AT92" s="254" t="str">
        <f t="shared" si="15"/>
        <v/>
      </c>
      <c r="AU92" s="269"/>
    </row>
    <row r="93">
      <c r="A93" s="270"/>
      <c r="B93" s="291" t="s">
        <v>648</v>
      </c>
      <c r="C93" s="292" t="s">
        <v>649</v>
      </c>
      <c r="D93" s="792" t="s">
        <v>760</v>
      </c>
      <c r="E93" s="259"/>
      <c r="F93" s="294"/>
      <c r="G93" s="246"/>
      <c r="H93" s="293" t="s">
        <v>418</v>
      </c>
      <c r="I93" s="246"/>
      <c r="J93" s="294"/>
      <c r="K93" s="246"/>
      <c r="L93" s="462"/>
      <c r="M93" s="250"/>
      <c r="N93" s="246"/>
      <c r="O93" s="293" t="s">
        <v>418</v>
      </c>
      <c r="P93" s="246"/>
      <c r="Q93" s="294"/>
      <c r="R93" s="246"/>
      <c r="S93" s="261"/>
      <c r="T93" s="250"/>
      <c r="U93" s="246"/>
      <c r="V93" s="294"/>
      <c r="W93" s="246"/>
      <c r="X93" s="293" t="s">
        <v>418</v>
      </c>
      <c r="Y93" s="246"/>
      <c r="Z93" s="261"/>
      <c r="AA93" s="250"/>
      <c r="AB93" s="246"/>
      <c r="AC93" s="294"/>
      <c r="AD93" s="246"/>
      <c r="AE93" s="293" t="s">
        <v>418</v>
      </c>
      <c r="AF93" s="246"/>
      <c r="AG93" s="261"/>
      <c r="AH93" s="294"/>
      <c r="AI93" s="246"/>
      <c r="AJ93" s="293" t="s">
        <v>418</v>
      </c>
      <c r="AK93" s="246"/>
      <c r="AL93" s="294"/>
      <c r="AM93" s="246"/>
      <c r="AN93" s="261"/>
      <c r="AO93" s="506"/>
      <c r="AP93" s="246"/>
      <c r="AQ93" s="294"/>
      <c r="AR93" s="246"/>
      <c r="AS93" s="294"/>
      <c r="AT93" s="254" t="str">
        <f t="shared" ref="AT93:AT94" si="16">IF(COUNTIF($AO$79:$AT$81, #REF!) &gt; 0, "X", "")</f>
        <v/>
      </c>
      <c r="AU93" s="269"/>
    </row>
    <row r="94">
      <c r="A94" s="94"/>
      <c r="B94" s="296" t="s">
        <v>650</v>
      </c>
      <c r="C94" s="297" t="s">
        <v>649</v>
      </c>
      <c r="D94" s="475" t="s">
        <v>397</v>
      </c>
      <c r="E94" s="259"/>
      <c r="F94" s="299"/>
      <c r="G94" s="298"/>
      <c r="H94" s="299"/>
      <c r="I94" s="298"/>
      <c r="J94" s="299"/>
      <c r="K94" s="298"/>
      <c r="L94" s="462"/>
      <c r="M94" s="250"/>
      <c r="N94" s="298"/>
      <c r="O94" s="299"/>
      <c r="P94" s="298"/>
      <c r="Q94" s="299"/>
      <c r="R94" s="298"/>
      <c r="S94" s="261"/>
      <c r="T94" s="250"/>
      <c r="U94" s="298"/>
      <c r="V94" s="299"/>
      <c r="W94" s="298"/>
      <c r="X94" s="299"/>
      <c r="Y94" s="298"/>
      <c r="Z94" s="261"/>
      <c r="AA94" s="250"/>
      <c r="AB94" s="298"/>
      <c r="AC94" s="299"/>
      <c r="AD94" s="298"/>
      <c r="AE94" s="356" t="s">
        <v>423</v>
      </c>
      <c r="AF94" s="298"/>
      <c r="AG94" s="261"/>
      <c r="AH94" s="299"/>
      <c r="AI94" s="298"/>
      <c r="AJ94" s="299"/>
      <c r="AK94" s="298"/>
      <c r="AL94" s="299"/>
      <c r="AM94" s="298"/>
      <c r="AN94" s="261"/>
      <c r="AO94" s="767"/>
      <c r="AP94" s="298"/>
      <c r="AQ94" s="299"/>
      <c r="AR94" s="298"/>
      <c r="AS94" s="299"/>
      <c r="AT94" s="254" t="str">
        <f t="shared" si="16"/>
        <v/>
      </c>
      <c r="AU94" s="269"/>
    </row>
    <row r="95">
      <c r="A95" s="94"/>
      <c r="B95" s="301" t="s">
        <v>651</v>
      </c>
      <c r="C95" s="302" t="s">
        <v>652</v>
      </c>
      <c r="D95" s="251" t="s">
        <v>405</v>
      </c>
      <c r="E95" s="259"/>
      <c r="F95" s="303"/>
      <c r="G95" s="298"/>
      <c r="H95" s="303"/>
      <c r="I95" s="298"/>
      <c r="J95" s="303"/>
      <c r="K95" s="298"/>
      <c r="L95" s="462"/>
      <c r="M95" s="250"/>
      <c r="N95" s="298"/>
      <c r="O95" s="303"/>
      <c r="P95" s="298"/>
      <c r="Q95" s="303"/>
      <c r="R95" s="298"/>
      <c r="S95" s="261"/>
      <c r="T95" s="250"/>
      <c r="U95" s="298"/>
      <c r="V95" s="303"/>
      <c r="W95" s="298"/>
      <c r="X95" s="303"/>
      <c r="Y95" s="298"/>
      <c r="Z95" s="261"/>
      <c r="AA95" s="250"/>
      <c r="AB95" s="298"/>
      <c r="AC95" s="303"/>
      <c r="AD95" s="298"/>
      <c r="AE95" s="798" t="s">
        <v>398</v>
      </c>
      <c r="AF95" s="298"/>
      <c r="AG95" s="261"/>
      <c r="AH95" s="303"/>
      <c r="AI95" s="298"/>
      <c r="AJ95" s="303"/>
      <c r="AK95" s="298"/>
      <c r="AL95" s="303"/>
      <c r="AM95" s="298"/>
      <c r="AN95" s="261"/>
      <c r="AO95" s="320"/>
      <c r="AP95" s="298"/>
      <c r="AQ95" s="303"/>
      <c r="AR95" s="298"/>
      <c r="AS95" s="303"/>
      <c r="AT95" s="254" t="str">
        <f t="shared" ref="AT95:AT96" si="17">IF(COUNTIF($AO$79:$AT$81, AS96) &gt; 0, "X", "")</f>
        <v/>
      </c>
      <c r="AU95" s="269"/>
    </row>
    <row r="96">
      <c r="A96" s="94"/>
      <c r="B96" s="305" t="s">
        <v>653</v>
      </c>
      <c r="C96" s="306" t="s">
        <v>654</v>
      </c>
      <c r="D96" s="243"/>
      <c r="E96" s="259"/>
      <c r="F96" s="307"/>
      <c r="G96" s="298"/>
      <c r="H96" s="307"/>
      <c r="I96" s="298"/>
      <c r="J96" s="307"/>
      <c r="K96" s="298"/>
      <c r="L96" s="462"/>
      <c r="M96" s="250"/>
      <c r="N96" s="298"/>
      <c r="O96" s="309" t="s">
        <v>458</v>
      </c>
      <c r="P96" s="298"/>
      <c r="Q96" s="307"/>
      <c r="R96" s="298"/>
      <c r="S96" s="261"/>
      <c r="T96" s="250"/>
      <c r="U96" s="298"/>
      <c r="V96" s="307"/>
      <c r="W96" s="298"/>
      <c r="X96" s="307"/>
      <c r="Y96" s="298"/>
      <c r="Z96" s="261"/>
      <c r="AA96" s="250"/>
      <c r="AB96" s="298"/>
      <c r="AC96" s="307"/>
      <c r="AD96" s="298"/>
      <c r="AE96" s="308" t="s">
        <v>434</v>
      </c>
      <c r="AF96" s="298"/>
      <c r="AG96" s="261"/>
      <c r="AH96" s="307"/>
      <c r="AI96" s="298"/>
      <c r="AJ96" s="307"/>
      <c r="AK96" s="298"/>
      <c r="AL96" s="307"/>
      <c r="AM96" s="298"/>
      <c r="AN96" s="261"/>
      <c r="AO96" s="320"/>
      <c r="AP96" s="298"/>
      <c r="AQ96" s="307"/>
      <c r="AR96" s="298"/>
      <c r="AS96" s="307"/>
      <c r="AT96" s="254" t="str">
        <f t="shared" si="17"/>
        <v/>
      </c>
      <c r="AU96" s="269"/>
    </row>
    <row r="97">
      <c r="A97" s="94"/>
      <c r="B97" s="310" t="s">
        <v>656</v>
      </c>
      <c r="C97" s="278" t="s">
        <v>657</v>
      </c>
      <c r="D97" s="243"/>
      <c r="E97" s="259"/>
      <c r="F97" s="281"/>
      <c r="G97" s="246"/>
      <c r="H97" s="282"/>
      <c r="I97" s="246"/>
      <c r="K97" s="246"/>
      <c r="L97" s="462"/>
      <c r="M97" s="250"/>
      <c r="N97" s="246"/>
      <c r="O97" s="336" t="s">
        <v>398</v>
      </c>
      <c r="P97" s="246"/>
      <c r="R97" s="246"/>
      <c r="S97" s="261"/>
      <c r="T97" s="250"/>
      <c r="U97" s="246"/>
      <c r="W97" s="246"/>
      <c r="Y97" s="246"/>
      <c r="Z97" s="261"/>
      <c r="AA97" s="250"/>
      <c r="AB97" s="246"/>
      <c r="AD97" s="246"/>
      <c r="AE97" s="772" t="s">
        <v>1064</v>
      </c>
      <c r="AF97" s="246"/>
      <c r="AG97" s="261"/>
      <c r="AH97" s="282"/>
      <c r="AI97" s="246"/>
      <c r="AK97" s="246"/>
      <c r="AL97" s="282"/>
      <c r="AM97" s="246"/>
      <c r="AN97" s="261"/>
      <c r="AO97" s="479"/>
      <c r="AP97" s="246"/>
      <c r="AR97" s="246"/>
      <c r="AS97" s="281"/>
      <c r="AT97" s="254" t="str">
        <f t="shared" ref="AT97:AT99" si="18">IF(COUNTIF($AO$79:$AT$81, #REF!) &gt; 0, "X", "")</f>
        <v/>
      </c>
      <c r="AU97" s="269"/>
    </row>
    <row r="98">
      <c r="A98" s="94"/>
      <c r="B98" s="277" t="s">
        <v>658</v>
      </c>
      <c r="C98" s="278" t="s">
        <v>657</v>
      </c>
      <c r="D98" s="243"/>
      <c r="E98" s="259"/>
      <c r="G98" s="246"/>
      <c r="I98" s="246"/>
      <c r="K98" s="246"/>
      <c r="L98" s="462"/>
      <c r="M98" s="250"/>
      <c r="N98" s="246"/>
      <c r="P98" s="246"/>
      <c r="R98" s="246"/>
      <c r="S98" s="261"/>
      <c r="T98" s="250"/>
      <c r="U98" s="246"/>
      <c r="W98" s="246"/>
      <c r="Y98" s="246"/>
      <c r="Z98" s="261"/>
      <c r="AA98" s="250"/>
      <c r="AB98" s="246"/>
      <c r="AD98" s="246"/>
      <c r="AE98" s="799" t="s">
        <v>419</v>
      </c>
      <c r="AF98" s="246"/>
      <c r="AG98" s="261"/>
      <c r="AH98" s="282"/>
      <c r="AI98" s="246"/>
      <c r="AK98" s="246"/>
      <c r="AM98" s="246"/>
      <c r="AN98" s="261"/>
      <c r="AO98" s="506"/>
      <c r="AP98" s="246"/>
      <c r="AR98" s="246"/>
      <c r="AT98" s="254" t="str">
        <f t="shared" si="18"/>
        <v/>
      </c>
      <c r="AU98" s="269"/>
    </row>
    <row r="99">
      <c r="A99" s="94"/>
      <c r="B99" s="314" t="s">
        <v>660</v>
      </c>
      <c r="C99" s="315" t="s">
        <v>649</v>
      </c>
      <c r="D99" s="243"/>
      <c r="E99" s="259"/>
      <c r="F99" s="286"/>
      <c r="G99" s="246"/>
      <c r="H99" s="293" t="s">
        <v>416</v>
      </c>
      <c r="I99" s="246"/>
      <c r="J99" s="356" t="s">
        <v>423</v>
      </c>
      <c r="K99" s="246"/>
      <c r="L99" s="462"/>
      <c r="M99" s="316"/>
      <c r="N99" s="246"/>
      <c r="O99" s="293" t="s">
        <v>416</v>
      </c>
      <c r="P99" s="246"/>
      <c r="Q99" s="353" t="s">
        <v>424</v>
      </c>
      <c r="R99" s="246"/>
      <c r="S99" s="261"/>
      <c r="T99" s="316"/>
      <c r="U99" s="246"/>
      <c r="V99" s="293" t="s">
        <v>416</v>
      </c>
      <c r="W99" s="246"/>
      <c r="X99" s="353" t="s">
        <v>421</v>
      </c>
      <c r="Y99" s="246"/>
      <c r="Z99" s="261"/>
      <c r="AA99" s="316"/>
      <c r="AB99" s="246"/>
      <c r="AC99" s="293" t="s">
        <v>416</v>
      </c>
      <c r="AD99" s="246"/>
      <c r="AE99" s="353" t="s">
        <v>421</v>
      </c>
      <c r="AF99" s="246"/>
      <c r="AG99" s="261"/>
      <c r="AH99" s="506"/>
      <c r="AI99" s="246"/>
      <c r="AJ99" s="293" t="s">
        <v>416</v>
      </c>
      <c r="AK99" s="246"/>
      <c r="AL99" s="632" t="s">
        <v>423</v>
      </c>
      <c r="AM99" s="246"/>
      <c r="AN99" s="261"/>
      <c r="AO99" s="767"/>
      <c r="AP99" s="246"/>
      <c r="AQ99" s="645" t="s">
        <v>417</v>
      </c>
      <c r="AR99" s="246"/>
      <c r="AS99" s="632" t="s">
        <v>423</v>
      </c>
      <c r="AT99" s="254" t="str">
        <f t="shared" si="18"/>
        <v/>
      </c>
      <c r="AU99" s="269"/>
    </row>
    <row r="100">
      <c r="A100" s="94"/>
      <c r="B100" s="296" t="s">
        <v>650</v>
      </c>
      <c r="C100" s="297" t="s">
        <v>649</v>
      </c>
      <c r="D100" s="243"/>
      <c r="E100" s="259"/>
      <c r="F100" s="245"/>
      <c r="G100" s="298"/>
      <c r="H100" s="645" t="s">
        <v>417</v>
      </c>
      <c r="I100" s="298"/>
      <c r="J100" s="353" t="s">
        <v>421</v>
      </c>
      <c r="K100" s="298"/>
      <c r="L100" s="462"/>
      <c r="M100" s="250"/>
      <c r="N100" s="298"/>
      <c r="O100" s="299"/>
      <c r="P100" s="298"/>
      <c r="Q100" s="293" t="s">
        <v>426</v>
      </c>
      <c r="R100" s="298"/>
      <c r="S100" s="261"/>
      <c r="T100" s="250"/>
      <c r="U100" s="298"/>
      <c r="V100" s="300"/>
      <c r="W100" s="298"/>
      <c r="X100" s="293" t="s">
        <v>424</v>
      </c>
      <c r="Y100" s="298"/>
      <c r="Z100" s="261"/>
      <c r="AA100" s="250"/>
      <c r="AB100" s="298"/>
      <c r="AC100" s="300"/>
      <c r="AD100" s="298"/>
      <c r="AE100" s="353" t="s">
        <v>424</v>
      </c>
      <c r="AF100" s="298"/>
      <c r="AG100" s="261"/>
      <c r="AH100" s="317"/>
      <c r="AI100" s="298"/>
      <c r="AJ100" s="300"/>
      <c r="AK100" s="298"/>
      <c r="AL100" s="300"/>
      <c r="AM100" s="298"/>
      <c r="AN100" s="261"/>
      <c r="AO100" s="320"/>
      <c r="AP100" s="298"/>
      <c r="AQ100" s="300"/>
      <c r="AR100" s="298"/>
      <c r="AS100" s="300"/>
      <c r="AT100" s="254" t="str">
        <f>IF(COUNTIF($AO$79:$AT$81, AS101) &gt; 0, "X", "")</f>
        <v/>
      </c>
      <c r="AU100" s="269"/>
    </row>
    <row r="101">
      <c r="A101" s="94"/>
      <c r="B101" s="301" t="s">
        <v>651</v>
      </c>
      <c r="C101" s="302" t="s">
        <v>652</v>
      </c>
      <c r="D101" s="720" t="s">
        <v>1113</v>
      </c>
      <c r="E101" s="259"/>
      <c r="F101" s="279"/>
      <c r="G101" s="298"/>
      <c r="H101" s="303"/>
      <c r="I101" s="298"/>
      <c r="J101" s="303"/>
      <c r="K101" s="298"/>
      <c r="L101" s="462"/>
      <c r="M101" s="250"/>
      <c r="N101" s="298"/>
      <c r="O101" s="303"/>
      <c r="P101" s="298"/>
      <c r="Q101" s="569" t="s">
        <v>409</v>
      </c>
      <c r="R101" s="298"/>
      <c r="S101" s="261"/>
      <c r="U101" s="298"/>
      <c r="V101" s="303"/>
      <c r="W101" s="298"/>
      <c r="X101" s="569" t="s">
        <v>409</v>
      </c>
      <c r="Y101" s="298"/>
      <c r="Z101" s="261"/>
      <c r="AA101" s="250"/>
      <c r="AB101" s="298"/>
      <c r="AC101" s="303"/>
      <c r="AD101" s="298"/>
      <c r="AE101" s="569" t="s">
        <v>409</v>
      </c>
      <c r="AF101" s="298"/>
      <c r="AG101" s="261"/>
      <c r="AH101" s="320"/>
      <c r="AI101" s="298"/>
      <c r="AJ101" s="303"/>
      <c r="AK101" s="298"/>
      <c r="AL101" s="303"/>
      <c r="AM101" s="298"/>
      <c r="AN101" s="261"/>
      <c r="AO101" s="320"/>
      <c r="AP101" s="298"/>
      <c r="AQ101" s="303"/>
      <c r="AR101" s="298"/>
      <c r="AS101" s="303"/>
      <c r="AT101" s="254" t="str">
        <f t="shared" ref="AT101:AT102" si="19">IF(COUNTIF($AO$79:$AT$81, #REF!) &gt; 0, "X", "")</f>
        <v/>
      </c>
      <c r="AU101" s="269"/>
    </row>
    <row r="102">
      <c r="A102" s="94"/>
      <c r="B102" s="322" t="s">
        <v>662</v>
      </c>
      <c r="C102" s="306" t="s">
        <v>663</v>
      </c>
      <c r="D102" s="800" t="s">
        <v>640</v>
      </c>
      <c r="E102" s="259"/>
      <c r="F102" s="250"/>
      <c r="G102" s="298"/>
      <c r="H102" s="309" t="s">
        <v>409</v>
      </c>
      <c r="I102" s="298"/>
      <c r="J102" s="309" t="s">
        <v>415</v>
      </c>
      <c r="K102" s="298"/>
      <c r="L102" s="462"/>
      <c r="M102" s="250"/>
      <c r="N102" s="298"/>
      <c r="O102" s="307"/>
      <c r="P102" s="298"/>
      <c r="Q102" s="309" t="s">
        <v>449</v>
      </c>
      <c r="R102" s="298"/>
      <c r="S102" s="261"/>
      <c r="T102" s="324"/>
      <c r="U102" s="298"/>
      <c r="V102" s="307"/>
      <c r="W102" s="298"/>
      <c r="X102" s="309" t="s">
        <v>449</v>
      </c>
      <c r="Y102" s="298"/>
      <c r="Z102" s="261"/>
      <c r="AA102" s="324"/>
      <c r="AB102" s="298"/>
      <c r="AC102" s="307"/>
      <c r="AD102" s="298"/>
      <c r="AE102" s="309" t="s">
        <v>449</v>
      </c>
      <c r="AF102" s="298"/>
      <c r="AG102" s="261"/>
      <c r="AH102" s="317"/>
      <c r="AI102" s="298"/>
      <c r="AJ102" s="309" t="s">
        <v>415</v>
      </c>
      <c r="AK102" s="298"/>
      <c r="AL102" s="395" t="s">
        <v>414</v>
      </c>
      <c r="AM102" s="298"/>
      <c r="AN102" s="261"/>
      <c r="AO102" s="479"/>
      <c r="AP102" s="298"/>
      <c r="AQ102" s="309" t="s">
        <v>409</v>
      </c>
      <c r="AR102" s="298"/>
      <c r="AS102" s="307"/>
      <c r="AT102" s="254" t="str">
        <f t="shared" si="19"/>
        <v/>
      </c>
      <c r="AU102" s="269"/>
    </row>
    <row r="103">
      <c r="A103" s="94"/>
      <c r="B103" s="328" t="s">
        <v>665</v>
      </c>
      <c r="C103" s="329" t="s">
        <v>654</v>
      </c>
      <c r="D103" s="311" t="s">
        <v>432</v>
      </c>
      <c r="E103" s="259"/>
      <c r="F103" s="286"/>
      <c r="G103" s="246"/>
      <c r="H103" s="339" t="s">
        <v>1087</v>
      </c>
      <c r="I103" s="246"/>
      <c r="J103" s="274" t="s">
        <v>443</v>
      </c>
      <c r="K103" s="246"/>
      <c r="L103" s="462"/>
      <c r="M103" s="250"/>
      <c r="N103" s="246"/>
      <c r="O103" s="339" t="s">
        <v>1087</v>
      </c>
      <c r="P103" s="246"/>
      <c r="Q103" s="311" t="s">
        <v>434</v>
      </c>
      <c r="R103" s="246"/>
      <c r="S103" s="261"/>
      <c r="T103" s="333"/>
      <c r="U103" s="246"/>
      <c r="V103" s="311" t="s">
        <v>459</v>
      </c>
      <c r="W103" s="246"/>
      <c r="X103" s="339" t="s">
        <v>447</v>
      </c>
      <c r="Y103" s="246"/>
      <c r="Z103" s="261"/>
      <c r="AA103" s="333"/>
      <c r="AB103" s="246"/>
      <c r="AC103" s="274" t="s">
        <v>439</v>
      </c>
      <c r="AD103" s="246"/>
      <c r="AE103" s="274" t="s">
        <v>443</v>
      </c>
      <c r="AF103" s="246"/>
      <c r="AG103" s="261"/>
      <c r="AH103" s="506"/>
      <c r="AI103" s="246"/>
      <c r="AJ103" s="339" t="s">
        <v>1087</v>
      </c>
      <c r="AK103" s="246"/>
      <c r="AL103" s="311" t="s">
        <v>434</v>
      </c>
      <c r="AM103" s="246"/>
      <c r="AN103" s="261"/>
      <c r="AO103" s="506"/>
      <c r="AP103" s="246"/>
      <c r="AR103" s="246"/>
      <c r="AS103" s="274" t="s">
        <v>443</v>
      </c>
      <c r="AT103" s="254" t="str">
        <f>IF(COUNTIF($AO$79:$AT$81, AL115) &gt; 0, "X", "")</f>
        <v/>
      </c>
      <c r="AU103" s="269"/>
    </row>
    <row r="104">
      <c r="A104" s="94"/>
      <c r="B104" s="337" t="s">
        <v>665</v>
      </c>
      <c r="C104" s="338" t="s">
        <v>657</v>
      </c>
      <c r="D104" s="330"/>
      <c r="E104" s="259"/>
      <c r="F104" s="286"/>
      <c r="G104" s="246"/>
      <c r="H104" s="311" t="s">
        <v>459</v>
      </c>
      <c r="I104" s="246"/>
      <c r="J104" s="311" t="s">
        <v>434</v>
      </c>
      <c r="K104" s="246"/>
      <c r="L104" s="462"/>
      <c r="M104" s="250"/>
      <c r="N104" s="246"/>
      <c r="O104" s="311" t="s">
        <v>459</v>
      </c>
      <c r="P104" s="246"/>
      <c r="Q104" s="274" t="s">
        <v>443</v>
      </c>
      <c r="R104" s="246"/>
      <c r="S104" s="261"/>
      <c r="U104" s="246"/>
      <c r="V104" s="274" t="s">
        <v>458</v>
      </c>
      <c r="W104" s="246"/>
      <c r="X104" s="274" t="s">
        <v>448</v>
      </c>
      <c r="Y104" s="246"/>
      <c r="Z104" s="261"/>
      <c r="AA104" s="324"/>
      <c r="AB104" s="246"/>
      <c r="AC104" s="339" t="s">
        <v>1115</v>
      </c>
      <c r="AD104" s="246"/>
      <c r="AE104" s="339" t="s">
        <v>447</v>
      </c>
      <c r="AF104" s="246"/>
      <c r="AG104" s="261"/>
      <c r="AH104" s="506"/>
      <c r="AI104" s="246"/>
      <c r="AJ104" s="339" t="s">
        <v>1115</v>
      </c>
      <c r="AK104" s="246"/>
      <c r="AL104" s="339" t="s">
        <v>447</v>
      </c>
      <c r="AM104" s="246"/>
      <c r="AN104" s="261"/>
      <c r="AO104" s="767"/>
      <c r="AP104" s="246"/>
      <c r="AQ104" s="339" t="s">
        <v>1115</v>
      </c>
      <c r="AR104" s="246"/>
      <c r="AS104" s="311" t="s">
        <v>434</v>
      </c>
      <c r="AT104" s="254" t="str">
        <f t="shared" ref="AT104:AT108" si="20">IF(COUNTIF($AO$79:$AT$81, #REF!) &gt; 0, "X", "")</f>
        <v/>
      </c>
      <c r="AU104" s="269"/>
    </row>
    <row r="105">
      <c r="A105" s="94"/>
      <c r="B105" s="256" t="s">
        <v>665</v>
      </c>
      <c r="C105" s="257" t="s">
        <v>663</v>
      </c>
      <c r="D105" s="330"/>
      <c r="E105" s="259"/>
      <c r="F105" s="286"/>
      <c r="G105" s="246"/>
      <c r="H105" s="274" t="s">
        <v>458</v>
      </c>
      <c r="I105" s="246"/>
      <c r="J105" s="339" t="s">
        <v>447</v>
      </c>
      <c r="K105" s="246"/>
      <c r="L105" s="462"/>
      <c r="M105" s="341"/>
      <c r="N105" s="246"/>
      <c r="O105" s="283" t="s">
        <v>450</v>
      </c>
      <c r="P105" s="246"/>
      <c r="Q105" s="339" t="s">
        <v>468</v>
      </c>
      <c r="R105" s="246"/>
      <c r="S105" s="261"/>
      <c r="T105" s="341"/>
      <c r="U105" s="246"/>
      <c r="V105" s="339" t="s">
        <v>431</v>
      </c>
      <c r="W105" s="246"/>
      <c r="X105" s="274" t="s">
        <v>443</v>
      </c>
      <c r="Y105" s="246"/>
      <c r="Z105" s="261"/>
      <c r="AA105" s="341"/>
      <c r="AB105" s="246"/>
      <c r="AC105" s="311" t="s">
        <v>459</v>
      </c>
      <c r="AD105" s="246"/>
      <c r="AE105" s="339" t="s">
        <v>431</v>
      </c>
      <c r="AF105" s="246"/>
      <c r="AG105" s="261"/>
      <c r="AH105" s="506"/>
      <c r="AI105" s="246"/>
      <c r="AJ105" s="339" t="s">
        <v>431</v>
      </c>
      <c r="AK105" s="246"/>
      <c r="AL105" s="274" t="s">
        <v>448</v>
      </c>
      <c r="AM105" s="246"/>
      <c r="AN105" s="261"/>
      <c r="AO105" s="320"/>
      <c r="AP105" s="246"/>
      <c r="AQ105" s="274" t="s">
        <v>458</v>
      </c>
      <c r="AR105" s="246"/>
      <c r="AS105" s="339" t="s">
        <v>447</v>
      </c>
      <c r="AT105" s="254" t="str">
        <f t="shared" si="20"/>
        <v/>
      </c>
      <c r="AU105" s="269"/>
    </row>
    <row r="106">
      <c r="A106" s="94"/>
      <c r="B106" s="328" t="s">
        <v>665</v>
      </c>
      <c r="C106" s="329" t="s">
        <v>645</v>
      </c>
      <c r="D106" s="323"/>
      <c r="E106" s="261"/>
      <c r="G106" s="246"/>
      <c r="H106" s="336" t="s">
        <v>450</v>
      </c>
      <c r="I106" s="246"/>
      <c r="J106" s="274" t="s">
        <v>449</v>
      </c>
      <c r="K106" s="246"/>
      <c r="L106" s="462"/>
      <c r="M106" s="341"/>
      <c r="N106" s="246"/>
      <c r="O106" s="339" t="s">
        <v>1115</v>
      </c>
      <c r="P106" s="246"/>
      <c r="Q106" s="274" t="s">
        <v>448</v>
      </c>
      <c r="R106" s="246"/>
      <c r="S106" s="261"/>
      <c r="T106" s="341"/>
      <c r="U106" s="246"/>
      <c r="V106" s="339" t="s">
        <v>1087</v>
      </c>
      <c r="W106" s="246"/>
      <c r="X106" s="336" t="s">
        <v>450</v>
      </c>
      <c r="Y106" s="246"/>
      <c r="Z106" s="261"/>
      <c r="AA106" s="341"/>
      <c r="AB106" s="246"/>
      <c r="AC106" s="283" t="s">
        <v>450</v>
      </c>
      <c r="AD106" s="246"/>
      <c r="AE106" s="339" t="s">
        <v>468</v>
      </c>
      <c r="AF106" s="246"/>
      <c r="AG106" s="261"/>
      <c r="AH106" s="506"/>
      <c r="AI106" s="246"/>
      <c r="AJ106" s="336" t="s">
        <v>450</v>
      </c>
      <c r="AK106" s="246"/>
      <c r="AL106" s="274" t="s">
        <v>449</v>
      </c>
      <c r="AM106" s="246"/>
      <c r="AN106" s="261"/>
      <c r="AO106" s="320"/>
      <c r="AP106" s="246"/>
      <c r="AQ106" s="274" t="s">
        <v>448</v>
      </c>
      <c r="AR106" s="246"/>
      <c r="AS106" s="274" t="s">
        <v>415</v>
      </c>
      <c r="AT106" s="254" t="str">
        <f t="shared" si="20"/>
        <v/>
      </c>
      <c r="AU106" s="269"/>
    </row>
    <row r="107">
      <c r="A107" s="94"/>
      <c r="B107" s="342" t="s">
        <v>667</v>
      </c>
      <c r="C107" s="343" t="s">
        <v>657</v>
      </c>
      <c r="D107" s="351"/>
      <c r="E107" s="259"/>
      <c r="F107" s="345" t="s">
        <v>401</v>
      </c>
      <c r="G107" s="246"/>
      <c r="H107" s="339" t="s">
        <v>1115</v>
      </c>
      <c r="I107" s="246"/>
      <c r="J107" s="274" t="s">
        <v>448</v>
      </c>
      <c r="K107" s="246"/>
      <c r="L107" s="462"/>
      <c r="M107" s="345" t="s">
        <v>401</v>
      </c>
      <c r="N107" s="246"/>
      <c r="P107" s="246"/>
      <c r="Q107" s="339" t="s">
        <v>431</v>
      </c>
      <c r="R107" s="246"/>
      <c r="S107" s="261"/>
      <c r="T107" s="347" t="s">
        <v>401</v>
      </c>
      <c r="U107" s="246"/>
      <c r="W107" s="246"/>
      <c r="X107" s="274" t="s">
        <v>415</v>
      </c>
      <c r="Y107" s="246"/>
      <c r="Z107" s="261"/>
      <c r="AA107" s="346"/>
      <c r="AB107" s="246"/>
      <c r="AC107" s="347" t="s">
        <v>401</v>
      </c>
      <c r="AD107" s="246"/>
      <c r="AE107" s="336" t="s">
        <v>414</v>
      </c>
      <c r="AF107" s="246"/>
      <c r="AG107" s="261"/>
      <c r="AH107" s="347" t="s">
        <v>401</v>
      </c>
      <c r="AI107" s="246"/>
      <c r="AK107" s="246"/>
      <c r="AM107" s="246"/>
      <c r="AN107" s="261"/>
      <c r="AO107" s="479"/>
      <c r="AP107" s="246"/>
      <c r="AQ107" s="339" t="s">
        <v>431</v>
      </c>
      <c r="AR107" s="246"/>
      <c r="AT107" s="254" t="str">
        <f t="shared" si="20"/>
        <v/>
      </c>
      <c r="AU107" s="269"/>
    </row>
    <row r="108">
      <c r="A108" s="94"/>
      <c r="B108" s="349" t="s">
        <v>669</v>
      </c>
      <c r="C108" s="350" t="s">
        <v>649</v>
      </c>
      <c r="D108" s="323"/>
      <c r="E108" s="259"/>
      <c r="F108" s="353" t="s">
        <v>426</v>
      </c>
      <c r="G108" s="246"/>
      <c r="H108" s="357" t="s">
        <v>420</v>
      </c>
      <c r="I108" s="246"/>
      <c r="J108" s="293" t="s">
        <v>422</v>
      </c>
      <c r="K108" s="246"/>
      <c r="L108" s="462"/>
      <c r="M108" s="354"/>
      <c r="N108" s="246"/>
      <c r="O108" s="633" t="s">
        <v>670</v>
      </c>
      <c r="P108" s="246"/>
      <c r="Q108" s="353" t="s">
        <v>421</v>
      </c>
      <c r="R108" s="246"/>
      <c r="S108" s="261"/>
      <c r="T108" s="354"/>
      <c r="U108" s="246"/>
      <c r="V108" s="355" t="s">
        <v>670</v>
      </c>
      <c r="W108" s="246"/>
      <c r="X108" s="356" t="s">
        <v>423</v>
      </c>
      <c r="Y108" s="246"/>
      <c r="Z108" s="261"/>
      <c r="AA108" s="354"/>
      <c r="AB108" s="246"/>
      <c r="AC108" s="253" t="s">
        <v>417</v>
      </c>
      <c r="AD108" s="246"/>
      <c r="AE108" s="293" t="s">
        <v>422</v>
      </c>
      <c r="AF108" s="246"/>
      <c r="AG108" s="261"/>
      <c r="AH108" s="293" t="s">
        <v>422</v>
      </c>
      <c r="AI108" s="246"/>
      <c r="AJ108" s="645" t="s">
        <v>417</v>
      </c>
      <c r="AK108" s="246"/>
      <c r="AL108" s="353" t="s">
        <v>421</v>
      </c>
      <c r="AM108" s="246"/>
      <c r="AN108" s="261"/>
      <c r="AO108" s="506"/>
      <c r="AP108" s="246"/>
      <c r="AQ108" s="293" t="s">
        <v>426</v>
      </c>
      <c r="AR108" s="246"/>
      <c r="AS108" s="293" t="s">
        <v>422</v>
      </c>
      <c r="AT108" s="254" t="str">
        <f t="shared" si="20"/>
        <v/>
      </c>
      <c r="AU108" s="269"/>
    </row>
    <row r="109">
      <c r="A109" s="234"/>
      <c r="B109" s="296" t="s">
        <v>650</v>
      </c>
      <c r="C109" s="297" t="s">
        <v>649</v>
      </c>
      <c r="D109" s="330"/>
      <c r="E109" s="259"/>
      <c r="F109" s="299"/>
      <c r="G109" s="298"/>
      <c r="H109" s="299"/>
      <c r="I109" s="298"/>
      <c r="J109" s="299"/>
      <c r="K109" s="298"/>
      <c r="L109" s="462"/>
      <c r="M109" s="324"/>
      <c r="N109" s="298"/>
      <c r="O109" s="645" t="s">
        <v>417</v>
      </c>
      <c r="P109" s="298"/>
      <c r="Q109" s="300"/>
      <c r="R109" s="298"/>
      <c r="S109" s="261"/>
      <c r="T109" s="324"/>
      <c r="U109" s="298"/>
      <c r="V109" s="293" t="s">
        <v>426</v>
      </c>
      <c r="W109" s="298"/>
      <c r="X109" s="299"/>
      <c r="Y109" s="298"/>
      <c r="Z109" s="261"/>
      <c r="AA109" s="324"/>
      <c r="AB109" s="298"/>
      <c r="AC109" s="617" t="s">
        <v>397</v>
      </c>
      <c r="AD109" s="298"/>
      <c r="AE109" s="300"/>
      <c r="AF109" s="298"/>
      <c r="AG109" s="261"/>
      <c r="AH109" s="300"/>
      <c r="AI109" s="298"/>
      <c r="AJ109" s="617" t="s">
        <v>397</v>
      </c>
      <c r="AK109" s="298"/>
      <c r="AL109" s="300"/>
      <c r="AM109" s="298"/>
      <c r="AN109" s="261"/>
      <c r="AO109" s="767"/>
      <c r="AP109" s="298"/>
      <c r="AQ109" s="299"/>
      <c r="AR109" s="298"/>
      <c r="AS109" s="299"/>
      <c r="AT109" s="254" t="str">
        <f>IF(COUNTIF($AO$79:$AT$81, AO110) &gt; 0, "X", "")</f>
        <v/>
      </c>
      <c r="AU109" s="269"/>
    </row>
    <row r="110">
      <c r="A110" s="94"/>
      <c r="B110" s="301" t="s">
        <v>651</v>
      </c>
      <c r="C110" s="302" t="s">
        <v>652</v>
      </c>
      <c r="D110" s="363"/>
      <c r="E110" s="259"/>
      <c r="F110" s="303"/>
      <c r="G110" s="298"/>
      <c r="H110" s="304"/>
      <c r="I110" s="298"/>
      <c r="J110" s="484"/>
      <c r="K110" s="298"/>
      <c r="L110" s="462"/>
      <c r="M110" s="250"/>
      <c r="N110" s="298"/>
      <c r="O110" s="491" t="s">
        <v>397</v>
      </c>
      <c r="P110" s="298"/>
      <c r="Q110" s="303"/>
      <c r="R110" s="298"/>
      <c r="S110" s="261"/>
      <c r="T110" s="250"/>
      <c r="U110" s="298"/>
      <c r="V110" s="491" t="s">
        <v>397</v>
      </c>
      <c r="W110" s="298"/>
      <c r="X110" s="484"/>
      <c r="Y110" s="298"/>
      <c r="Z110" s="261"/>
      <c r="AA110" s="250"/>
      <c r="AB110" s="298"/>
      <c r="AC110" s="304"/>
      <c r="AD110" s="298"/>
      <c r="AE110" s="304"/>
      <c r="AF110" s="298"/>
      <c r="AG110" s="261"/>
      <c r="AH110" s="304"/>
      <c r="AI110" s="298"/>
      <c r="AJ110" s="304"/>
      <c r="AK110" s="298"/>
      <c r="AL110" s="303"/>
      <c r="AM110" s="298"/>
      <c r="AN110" s="261"/>
      <c r="AO110" s="320"/>
      <c r="AP110" s="298"/>
      <c r="AQ110" s="303"/>
      <c r="AR110" s="298"/>
      <c r="AS110" s="303"/>
      <c r="AT110" s="254" t="str">
        <f t="shared" ref="AT110:AT111" si="21">IF(COUNTIF($AO$79:$AT$81, #REF!) &gt; 0, "X", "")</f>
        <v/>
      </c>
      <c r="AU110" s="269"/>
    </row>
    <row r="111">
      <c r="A111" s="94"/>
      <c r="B111" s="361" t="s">
        <v>673</v>
      </c>
      <c r="C111" s="362" t="s">
        <v>674</v>
      </c>
      <c r="D111" s="369"/>
      <c r="E111" s="259"/>
      <c r="F111" s="280" t="s">
        <v>433</v>
      </c>
      <c r="G111" s="298"/>
      <c r="H111" s="336" t="s">
        <v>412</v>
      </c>
      <c r="I111" s="298"/>
      <c r="J111" s="311" t="s">
        <v>765</v>
      </c>
      <c r="K111" s="298"/>
      <c r="L111" s="462"/>
      <c r="M111" s="324"/>
      <c r="N111" s="298"/>
      <c r="O111" s="336" t="s">
        <v>412</v>
      </c>
      <c r="P111" s="298"/>
      <c r="Q111" s="311" t="s">
        <v>765</v>
      </c>
      <c r="R111" s="298"/>
      <c r="S111" s="261"/>
      <c r="T111" s="324"/>
      <c r="U111" s="298"/>
      <c r="V111" s="251" t="s">
        <v>412</v>
      </c>
      <c r="W111" s="298"/>
      <c r="X111" s="311" t="s">
        <v>394</v>
      </c>
      <c r="Y111" s="298"/>
      <c r="Z111" s="261"/>
      <c r="AA111" s="324"/>
      <c r="AB111" s="298"/>
      <c r="AC111" s="251" t="s">
        <v>412</v>
      </c>
      <c r="AD111" s="298"/>
      <c r="AE111" s="251" t="s">
        <v>457</v>
      </c>
      <c r="AF111" s="298"/>
      <c r="AG111" s="261"/>
      <c r="AH111" s="251" t="s">
        <v>457</v>
      </c>
      <c r="AI111" s="298"/>
      <c r="AJ111" s="251" t="s">
        <v>412</v>
      </c>
      <c r="AK111" s="298"/>
      <c r="AL111" s="311" t="s">
        <v>765</v>
      </c>
      <c r="AM111" s="298"/>
      <c r="AN111" s="261"/>
      <c r="AO111" s="320"/>
      <c r="AP111" s="298"/>
      <c r="AQ111" s="311" t="s">
        <v>765</v>
      </c>
      <c r="AR111" s="298"/>
      <c r="AS111" s="311" t="s">
        <v>394</v>
      </c>
      <c r="AT111" s="254" t="str">
        <f t="shared" si="21"/>
        <v/>
      </c>
      <c r="AU111" s="269"/>
    </row>
    <row r="112">
      <c r="A112" s="94"/>
      <c r="B112" s="367" t="s">
        <v>677</v>
      </c>
      <c r="C112" s="368" t="s">
        <v>674</v>
      </c>
      <c r="D112" s="330"/>
      <c r="E112" s="259"/>
      <c r="G112" s="246"/>
      <c r="I112" s="246"/>
      <c r="J112" s="339" t="s">
        <v>931</v>
      </c>
      <c r="K112" s="246"/>
      <c r="L112" s="462"/>
      <c r="M112" s="250"/>
      <c r="N112" s="246"/>
      <c r="O112" s="282"/>
      <c r="P112" s="246"/>
      <c r="Q112" s="339" t="s">
        <v>931</v>
      </c>
      <c r="R112" s="246"/>
      <c r="S112" s="261"/>
      <c r="T112" s="250"/>
      <c r="U112" s="246"/>
      <c r="V112" s="282"/>
      <c r="W112" s="246"/>
      <c r="Y112" s="246"/>
      <c r="Z112" s="261"/>
      <c r="AA112" s="250"/>
      <c r="AB112" s="246"/>
      <c r="AC112" s="282"/>
      <c r="AD112" s="246"/>
      <c r="AE112" s="339" t="s">
        <v>931</v>
      </c>
      <c r="AF112" s="246"/>
      <c r="AG112" s="261"/>
      <c r="AH112" s="282"/>
      <c r="AI112" s="246"/>
      <c r="AJ112" s="282"/>
      <c r="AK112" s="246"/>
      <c r="AL112" s="339" t="s">
        <v>931</v>
      </c>
      <c r="AM112" s="246"/>
      <c r="AN112" s="261"/>
      <c r="AO112" s="479"/>
      <c r="AP112" s="246"/>
      <c r="AR112" s="246"/>
      <c r="AS112" s="339" t="s">
        <v>931</v>
      </c>
      <c r="AT112" s="254" t="str">
        <f>IF(COUNTIF($AO$79:$AT$81, AO112) &gt; 0, "X", "")</f>
        <v/>
      </c>
      <c r="AU112" s="269"/>
    </row>
    <row r="113">
      <c r="A113" s="94"/>
      <c r="B113" s="256" t="s">
        <v>679</v>
      </c>
      <c r="C113" s="257" t="s">
        <v>680</v>
      </c>
      <c r="D113" s="330"/>
      <c r="E113" s="259"/>
      <c r="F113" s="311" t="s">
        <v>393</v>
      </c>
      <c r="G113" s="246"/>
      <c r="H113" s="374" t="s">
        <v>436</v>
      </c>
      <c r="I113" s="246"/>
      <c r="J113" s="274" t="s">
        <v>437</v>
      </c>
      <c r="K113" s="246"/>
      <c r="L113" s="462"/>
      <c r="M113" s="333"/>
      <c r="N113" s="246"/>
      <c r="O113" s="374" t="s">
        <v>436</v>
      </c>
      <c r="P113" s="246"/>
      <c r="Q113" s="280" t="s">
        <v>433</v>
      </c>
      <c r="R113" s="246"/>
      <c r="S113" s="261"/>
      <c r="T113" s="333"/>
      <c r="U113" s="246"/>
      <c r="V113" s="374" t="s">
        <v>436</v>
      </c>
      <c r="W113" s="246"/>
      <c r="X113" s="274" t="s">
        <v>433</v>
      </c>
      <c r="Y113" s="246"/>
      <c r="Z113" s="261"/>
      <c r="AA113" s="333"/>
      <c r="AB113" s="246"/>
      <c r="AC113" s="374" t="s">
        <v>436</v>
      </c>
      <c r="AD113" s="246"/>
      <c r="AE113" s="280" t="s">
        <v>433</v>
      </c>
      <c r="AF113" s="246"/>
      <c r="AG113" s="261"/>
      <c r="AH113" s="274" t="s">
        <v>439</v>
      </c>
      <c r="AI113" s="246"/>
      <c r="AJ113" s="274" t="s">
        <v>406</v>
      </c>
      <c r="AK113" s="246"/>
      <c r="AL113" s="339" t="s">
        <v>468</v>
      </c>
      <c r="AM113" s="246"/>
      <c r="AN113" s="261"/>
      <c r="AO113" s="506"/>
      <c r="AP113" s="246"/>
      <c r="AQ113" s="274" t="s">
        <v>439</v>
      </c>
      <c r="AR113" s="246"/>
      <c r="AS113" s="274" t="s">
        <v>437</v>
      </c>
      <c r="AT113" s="254" t="str">
        <f t="shared" ref="AT113:AT119" si="22">IF(COUNTIF($AO$79:$AT$81, #REF!) &gt; 0, "X", "")</f>
        <v/>
      </c>
      <c r="AU113" s="269"/>
    </row>
    <row r="114">
      <c r="A114" s="372"/>
      <c r="B114" s="328" t="s">
        <v>679</v>
      </c>
      <c r="C114" s="329" t="s">
        <v>652</v>
      </c>
      <c r="D114" s="330"/>
      <c r="E114" s="259"/>
      <c r="G114" s="246"/>
      <c r="I114" s="246"/>
      <c r="J114" s="274" t="s">
        <v>439</v>
      </c>
      <c r="K114" s="246"/>
      <c r="L114" s="462"/>
      <c r="M114" s="346"/>
      <c r="N114" s="246"/>
      <c r="P114" s="246"/>
      <c r="R114" s="246"/>
      <c r="S114" s="261"/>
      <c r="T114" s="346"/>
      <c r="U114" s="246"/>
      <c r="W114" s="246"/>
      <c r="Y114" s="246"/>
      <c r="Z114" s="261"/>
      <c r="AA114" s="346"/>
      <c r="AB114" s="246"/>
      <c r="AD114" s="246"/>
      <c r="AF114" s="246"/>
      <c r="AG114" s="261"/>
      <c r="AH114" s="282"/>
      <c r="AI114" s="246"/>
      <c r="AK114" s="246"/>
      <c r="AM114" s="246"/>
      <c r="AN114" s="261"/>
      <c r="AO114" s="767"/>
      <c r="AP114" s="246"/>
      <c r="AR114" s="246"/>
      <c r="AT114" s="254" t="str">
        <f t="shared" si="22"/>
        <v/>
      </c>
      <c r="AU114" s="269"/>
    </row>
    <row r="115">
      <c r="A115" s="94"/>
      <c r="B115" s="328" t="s">
        <v>679</v>
      </c>
      <c r="C115" s="329" t="s">
        <v>683</v>
      </c>
      <c r="D115" s="379"/>
      <c r="E115" s="380"/>
      <c r="F115" s="486" t="s">
        <v>466</v>
      </c>
      <c r="G115" s="246"/>
      <c r="H115" s="336" t="s">
        <v>398</v>
      </c>
      <c r="I115" s="246"/>
      <c r="J115" s="339" t="s">
        <v>468</v>
      </c>
      <c r="K115" s="246"/>
      <c r="L115" s="462"/>
      <c r="M115" s="341"/>
      <c r="N115" s="246"/>
      <c r="O115" s="274" t="s">
        <v>439</v>
      </c>
      <c r="P115" s="246"/>
      <c r="Q115" s="376" t="s">
        <v>466</v>
      </c>
      <c r="R115" s="246"/>
      <c r="S115" s="261"/>
      <c r="T115" s="341"/>
      <c r="U115" s="246"/>
      <c r="V115" s="274" t="s">
        <v>406</v>
      </c>
      <c r="W115" s="246"/>
      <c r="X115" s="339" t="s">
        <v>468</v>
      </c>
      <c r="Y115" s="246"/>
      <c r="Z115" s="261"/>
      <c r="AA115" s="341"/>
      <c r="AB115" s="246"/>
      <c r="AC115" s="274" t="s">
        <v>406</v>
      </c>
      <c r="AD115" s="246"/>
      <c r="AE115" s="311" t="s">
        <v>455</v>
      </c>
      <c r="AF115" s="246"/>
      <c r="AG115" s="261"/>
      <c r="AH115" s="311" t="s">
        <v>455</v>
      </c>
      <c r="AI115" s="246"/>
      <c r="AJ115" s="374" t="s">
        <v>436</v>
      </c>
      <c r="AK115" s="246"/>
      <c r="AL115" s="274" t="s">
        <v>433</v>
      </c>
      <c r="AM115" s="246"/>
      <c r="AN115" s="261"/>
      <c r="AO115" s="320"/>
      <c r="AP115" s="246"/>
      <c r="AQ115" s="274" t="s">
        <v>406</v>
      </c>
      <c r="AR115" s="246"/>
      <c r="AS115" s="251" t="s">
        <v>457</v>
      </c>
      <c r="AT115" s="254" t="str">
        <f t="shared" si="22"/>
        <v/>
      </c>
      <c r="AU115" s="269"/>
    </row>
    <row r="116">
      <c r="A116" s="94"/>
      <c r="B116" s="377" t="s">
        <v>684</v>
      </c>
      <c r="C116" s="378" t="s">
        <v>685</v>
      </c>
      <c r="D116" s="363"/>
      <c r="E116" s="259"/>
      <c r="G116" s="246"/>
      <c r="I116" s="246"/>
      <c r="K116" s="246"/>
      <c r="L116" s="677"/>
      <c r="M116" s="341"/>
      <c r="N116" s="246"/>
      <c r="P116" s="246"/>
      <c r="R116" s="246"/>
      <c r="S116" s="381"/>
      <c r="T116" s="341"/>
      <c r="U116" s="246"/>
      <c r="W116" s="246"/>
      <c r="Y116" s="246"/>
      <c r="Z116" s="381"/>
      <c r="AA116" s="341"/>
      <c r="AB116" s="246"/>
      <c r="AD116" s="246"/>
      <c r="AE116" s="311" t="s">
        <v>410</v>
      </c>
      <c r="AF116" s="246"/>
      <c r="AG116" s="381"/>
      <c r="AI116" s="246"/>
      <c r="AK116" s="246"/>
      <c r="AM116" s="246"/>
      <c r="AN116" s="381"/>
      <c r="AO116" s="320"/>
      <c r="AP116" s="246"/>
      <c r="AQ116" s="426"/>
      <c r="AR116" s="246"/>
      <c r="AT116" s="254" t="str">
        <f t="shared" si="22"/>
        <v/>
      </c>
      <c r="AU116" s="269"/>
    </row>
    <row r="117">
      <c r="A117" s="270"/>
      <c r="B117" s="382" t="s">
        <v>686</v>
      </c>
      <c r="C117" s="242" t="s">
        <v>652</v>
      </c>
      <c r="D117" s="330"/>
      <c r="E117" s="259"/>
      <c r="F117" s="251" t="s">
        <v>429</v>
      </c>
      <c r="G117" s="246"/>
      <c r="H117" s="280" t="s">
        <v>435</v>
      </c>
      <c r="I117" s="246"/>
      <c r="J117" s="311" t="s">
        <v>455</v>
      </c>
      <c r="K117" s="246"/>
      <c r="L117" s="462"/>
      <c r="M117" s="341"/>
      <c r="N117" s="246"/>
      <c r="O117" s="280" t="s">
        <v>435</v>
      </c>
      <c r="P117" s="246"/>
      <c r="Q117" s="251" t="s">
        <v>429</v>
      </c>
      <c r="R117" s="246"/>
      <c r="S117" s="261"/>
      <c r="T117" s="341"/>
      <c r="U117" s="246"/>
      <c r="V117" s="251" t="s">
        <v>435</v>
      </c>
      <c r="W117" s="246"/>
      <c r="X117" s="376" t="s">
        <v>466</v>
      </c>
      <c r="Y117" s="246"/>
      <c r="Z117" s="261"/>
      <c r="AA117" s="341"/>
      <c r="AB117" s="246"/>
      <c r="AC117" s="376" t="s">
        <v>466</v>
      </c>
      <c r="AD117" s="246"/>
      <c r="AE117" s="251" t="s">
        <v>429</v>
      </c>
      <c r="AF117" s="246"/>
      <c r="AG117" s="261"/>
      <c r="AH117" s="376" t="s">
        <v>453</v>
      </c>
      <c r="AI117" s="246"/>
      <c r="AJ117" s="280" t="s">
        <v>435</v>
      </c>
      <c r="AK117" s="246"/>
      <c r="AL117" s="376" t="s">
        <v>466</v>
      </c>
      <c r="AM117" s="246"/>
      <c r="AN117" s="261"/>
      <c r="AO117" s="479"/>
      <c r="AP117" s="246"/>
      <c r="AQ117" s="365" t="s">
        <v>435</v>
      </c>
      <c r="AR117" s="246"/>
      <c r="AS117" s="251" t="s">
        <v>429</v>
      </c>
      <c r="AT117" s="254" t="str">
        <f t="shared" si="22"/>
        <v/>
      </c>
      <c r="AU117" s="269"/>
    </row>
    <row r="118">
      <c r="A118" s="234"/>
      <c r="B118" s="337" t="s">
        <v>686</v>
      </c>
      <c r="C118" s="338" t="s">
        <v>687</v>
      </c>
      <c r="D118" s="330"/>
      <c r="E118" s="259"/>
      <c r="F118" s="282"/>
      <c r="G118" s="246"/>
      <c r="H118" s="383" t="s">
        <v>428</v>
      </c>
      <c r="I118" s="246"/>
      <c r="K118" s="246"/>
      <c r="L118" s="462"/>
      <c r="M118" s="250"/>
      <c r="N118" s="246"/>
      <c r="O118" s="383" t="s">
        <v>428</v>
      </c>
      <c r="P118" s="246"/>
      <c r="Q118" s="311" t="s">
        <v>455</v>
      </c>
      <c r="R118" s="246"/>
      <c r="S118" s="261"/>
      <c r="T118" s="250"/>
      <c r="U118" s="246"/>
      <c r="V118" s="376" t="s">
        <v>453</v>
      </c>
      <c r="W118" s="246"/>
      <c r="X118" s="311" t="s">
        <v>455</v>
      </c>
      <c r="Y118" s="246"/>
      <c r="Z118" s="261"/>
      <c r="AA118" s="250"/>
      <c r="AB118" s="246"/>
      <c r="AC118" s="383" t="s">
        <v>428</v>
      </c>
      <c r="AD118" s="246"/>
      <c r="AE118" s="376" t="s">
        <v>453</v>
      </c>
      <c r="AF118" s="246"/>
      <c r="AG118" s="261"/>
      <c r="AH118" s="282"/>
      <c r="AI118" s="246"/>
      <c r="AJ118" s="383" t="s">
        <v>428</v>
      </c>
      <c r="AK118" s="246"/>
      <c r="AL118" s="251" t="s">
        <v>429</v>
      </c>
      <c r="AM118" s="246"/>
      <c r="AN118" s="261"/>
      <c r="AO118" s="506"/>
      <c r="AP118" s="246"/>
      <c r="AQ118" s="383" t="s">
        <v>428</v>
      </c>
      <c r="AR118" s="246"/>
      <c r="AS118" s="376" t="s">
        <v>453</v>
      </c>
      <c r="AT118" s="254" t="str">
        <f t="shared" si="22"/>
        <v/>
      </c>
      <c r="AU118" s="269"/>
    </row>
    <row r="119">
      <c r="A119" s="94"/>
      <c r="B119" s="337" t="s">
        <v>688</v>
      </c>
      <c r="C119" s="285" t="s">
        <v>687</v>
      </c>
      <c r="D119" s="389"/>
      <c r="E119" s="259"/>
      <c r="F119" s="265"/>
      <c r="G119" s="246"/>
      <c r="I119" s="246"/>
      <c r="J119" s="265"/>
      <c r="K119" s="246"/>
      <c r="L119" s="462"/>
      <c r="M119" s="262"/>
      <c r="N119" s="246"/>
      <c r="P119" s="246"/>
      <c r="R119" s="246"/>
      <c r="S119" s="261"/>
      <c r="T119" s="262"/>
      <c r="U119" s="246"/>
      <c r="V119" s="265"/>
      <c r="W119" s="246"/>
      <c r="X119" s="274" t="s">
        <v>437</v>
      </c>
      <c r="Y119" s="246"/>
      <c r="Z119" s="261"/>
      <c r="AA119" s="262"/>
      <c r="AB119" s="246"/>
      <c r="AC119" s="265"/>
      <c r="AD119" s="246"/>
      <c r="AF119" s="246"/>
      <c r="AG119" s="261"/>
      <c r="AH119" s="265"/>
      <c r="AI119" s="246"/>
      <c r="AJ119" s="265"/>
      <c r="AK119" s="246"/>
      <c r="AM119" s="246"/>
      <c r="AN119" s="261"/>
      <c r="AO119" s="767"/>
      <c r="AP119" s="246"/>
      <c r="AQ119" s="426"/>
      <c r="AR119" s="246"/>
      <c r="AS119" s="265"/>
      <c r="AT119" s="254" t="str">
        <f t="shared" si="22"/>
        <v/>
      </c>
      <c r="AU119" s="269"/>
    </row>
    <row r="120">
      <c r="A120" s="94"/>
      <c r="B120" s="387" t="s">
        <v>690</v>
      </c>
      <c r="C120" s="388" t="s">
        <v>649</v>
      </c>
      <c r="D120" s="323"/>
      <c r="E120" s="259"/>
      <c r="F120" s="390"/>
      <c r="G120" s="246"/>
      <c r="H120" s="390"/>
      <c r="I120" s="246"/>
      <c r="J120" s="390"/>
      <c r="K120" s="246"/>
      <c r="L120" s="462"/>
      <c r="M120" s="250"/>
      <c r="N120" s="246"/>
      <c r="O120" s="357" t="s">
        <v>420</v>
      </c>
      <c r="P120" s="246"/>
      <c r="Q120" s="390"/>
      <c r="R120" s="246"/>
      <c r="S120" s="261"/>
      <c r="T120" s="250"/>
      <c r="U120" s="246"/>
      <c r="V120" s="633" t="s">
        <v>420</v>
      </c>
      <c r="W120" s="246"/>
      <c r="X120" s="390"/>
      <c r="Y120" s="246"/>
      <c r="Z120" s="261"/>
      <c r="AA120" s="250"/>
      <c r="AB120" s="246"/>
      <c r="AC120" s="390"/>
      <c r="AD120" s="246"/>
      <c r="AE120" s="390"/>
      <c r="AF120" s="246"/>
      <c r="AG120" s="261"/>
      <c r="AH120" s="390"/>
      <c r="AI120" s="246"/>
      <c r="AJ120" s="390"/>
      <c r="AK120" s="246"/>
      <c r="AL120" s="390"/>
      <c r="AM120" s="246"/>
      <c r="AN120" s="261"/>
      <c r="AO120" s="320"/>
      <c r="AP120" s="246"/>
      <c r="AQ120" s="390"/>
      <c r="AR120" s="246"/>
      <c r="AS120" s="390"/>
      <c r="AT120" s="254" t="str">
        <f t="shared" ref="AT120:AT127" si="23">IF(COUNTIF($AO$79:$AT$81, AS121) &gt; 0, "X", "")</f>
        <v/>
      </c>
      <c r="AU120" s="269"/>
    </row>
    <row r="121">
      <c r="A121" s="94"/>
      <c r="B121" s="296" t="s">
        <v>650</v>
      </c>
      <c r="C121" s="297" t="s">
        <v>649</v>
      </c>
      <c r="D121" s="323"/>
      <c r="E121" s="261"/>
      <c r="F121" s="300"/>
      <c r="G121" s="246"/>
      <c r="H121" s="319"/>
      <c r="I121" s="246"/>
      <c r="J121" s="300"/>
      <c r="K121" s="246"/>
      <c r="L121" s="462"/>
      <c r="M121" s="250"/>
      <c r="N121" s="246"/>
      <c r="O121" s="300"/>
      <c r="P121" s="246"/>
      <c r="Q121" s="300"/>
      <c r="R121" s="246"/>
      <c r="S121" s="261"/>
      <c r="T121" s="250"/>
      <c r="U121" s="246"/>
      <c r="V121" s="319"/>
      <c r="W121" s="246"/>
      <c r="X121" s="300"/>
      <c r="Y121" s="246"/>
      <c r="Z121" s="261"/>
      <c r="AA121" s="250"/>
      <c r="AB121" s="246"/>
      <c r="AC121" s="521"/>
      <c r="AD121" s="246"/>
      <c r="AE121" s="300"/>
      <c r="AF121" s="246"/>
      <c r="AG121" s="261"/>
      <c r="AH121" s="300"/>
      <c r="AI121" s="246"/>
      <c r="AJ121" s="300"/>
      <c r="AK121" s="246"/>
      <c r="AL121" s="300"/>
      <c r="AM121" s="246"/>
      <c r="AN121" s="261"/>
      <c r="AO121" s="320"/>
      <c r="AP121" s="246"/>
      <c r="AQ121" s="300"/>
      <c r="AR121" s="246"/>
      <c r="AS121" s="300"/>
      <c r="AT121" s="254" t="str">
        <f t="shared" si="23"/>
        <v/>
      </c>
      <c r="AU121" s="269"/>
    </row>
    <row r="122">
      <c r="A122" s="94"/>
      <c r="B122" s="301" t="s">
        <v>651</v>
      </c>
      <c r="C122" s="391" t="s">
        <v>652</v>
      </c>
      <c r="D122" s="323"/>
      <c r="E122" s="259"/>
      <c r="F122" s="304"/>
      <c r="G122" s="246"/>
      <c r="H122" s="304"/>
      <c r="I122" s="246"/>
      <c r="J122" s="304"/>
      <c r="K122" s="246"/>
      <c r="L122" s="462"/>
      <c r="M122" s="250"/>
      <c r="N122" s="246"/>
      <c r="O122" s="304"/>
      <c r="P122" s="246"/>
      <c r="Q122" s="304"/>
      <c r="R122" s="246"/>
      <c r="S122" s="261"/>
      <c r="T122" s="250"/>
      <c r="U122" s="246"/>
      <c r="V122" s="304"/>
      <c r="W122" s="246"/>
      <c r="X122" s="304"/>
      <c r="Y122" s="246"/>
      <c r="Z122" s="261"/>
      <c r="AA122" s="250"/>
      <c r="AB122" s="246"/>
      <c r="AC122" s="304"/>
      <c r="AD122" s="246"/>
      <c r="AE122" s="304"/>
      <c r="AF122" s="246"/>
      <c r="AG122" s="261"/>
      <c r="AH122" s="304"/>
      <c r="AI122" s="246"/>
      <c r="AJ122" s="304"/>
      <c r="AK122" s="246"/>
      <c r="AL122" s="304"/>
      <c r="AM122" s="246"/>
      <c r="AN122" s="261"/>
      <c r="AO122" s="479"/>
      <c r="AP122" s="246"/>
      <c r="AQ122" s="304"/>
      <c r="AR122" s="246"/>
      <c r="AS122" s="304"/>
      <c r="AT122" s="254" t="str">
        <f t="shared" si="23"/>
        <v/>
      </c>
      <c r="AU122" s="269"/>
    </row>
    <row r="123">
      <c r="A123" s="94"/>
      <c r="B123" s="392" t="s">
        <v>691</v>
      </c>
      <c r="C123" s="393" t="s">
        <v>652</v>
      </c>
      <c r="D123" s="330"/>
      <c r="E123" s="259"/>
      <c r="F123" s="307"/>
      <c r="G123" s="246"/>
      <c r="H123" s="307"/>
      <c r="I123" s="246"/>
      <c r="J123" s="307"/>
      <c r="K123" s="246"/>
      <c r="L123" s="462"/>
      <c r="M123" s="250"/>
      <c r="N123" s="246"/>
      <c r="O123" s="308" t="s">
        <v>438</v>
      </c>
      <c r="P123" s="246"/>
      <c r="Q123" s="307"/>
      <c r="R123" s="246"/>
      <c r="S123" s="261"/>
      <c r="T123" s="250"/>
      <c r="U123" s="246"/>
      <c r="V123" s="394" t="s">
        <v>398</v>
      </c>
      <c r="W123" s="246"/>
      <c r="X123" s="307"/>
      <c r="Y123" s="246"/>
      <c r="Z123" s="261"/>
      <c r="AA123" s="250"/>
      <c r="AB123" s="246"/>
      <c r="AC123" s="307"/>
      <c r="AD123" s="246"/>
      <c r="AE123" s="307"/>
      <c r="AF123" s="246"/>
      <c r="AG123" s="261"/>
      <c r="AH123" s="307"/>
      <c r="AI123" s="246"/>
      <c r="AJ123" s="307"/>
      <c r="AK123" s="246"/>
      <c r="AL123" s="307"/>
      <c r="AM123" s="246"/>
      <c r="AN123" s="261"/>
      <c r="AO123" s="506"/>
      <c r="AP123" s="246"/>
      <c r="AQ123" s="307"/>
      <c r="AR123" s="246"/>
      <c r="AS123" s="307"/>
      <c r="AT123" s="254" t="str">
        <f t="shared" si="23"/>
        <v/>
      </c>
      <c r="AU123" s="269"/>
    </row>
    <row r="124">
      <c r="A124" s="94"/>
      <c r="B124" s="328" t="s">
        <v>692</v>
      </c>
      <c r="C124" s="329" t="s">
        <v>652</v>
      </c>
      <c r="D124" s="369"/>
      <c r="E124" s="259"/>
      <c r="F124" s="282"/>
      <c r="G124" s="246"/>
      <c r="H124" s="371"/>
      <c r="I124" s="246"/>
      <c r="J124" s="371"/>
      <c r="K124" s="246"/>
      <c r="L124" s="462"/>
      <c r="M124" s="250"/>
      <c r="N124" s="246"/>
      <c r="P124" s="246"/>
      <c r="Q124" s="371"/>
      <c r="R124" s="246"/>
      <c r="S124" s="261"/>
      <c r="T124" s="250"/>
      <c r="U124" s="246"/>
      <c r="W124" s="246"/>
      <c r="X124" s="282"/>
      <c r="Y124" s="246"/>
      <c r="Z124" s="261"/>
      <c r="AA124" s="250"/>
      <c r="AB124" s="246"/>
      <c r="AC124" s="371"/>
      <c r="AD124" s="246"/>
      <c r="AE124" s="371"/>
      <c r="AF124" s="246"/>
      <c r="AG124" s="261"/>
      <c r="AH124" s="371"/>
      <c r="AI124" s="246"/>
      <c r="AJ124" s="371"/>
      <c r="AK124" s="246"/>
      <c r="AL124" s="371"/>
      <c r="AM124" s="246"/>
      <c r="AN124" s="261"/>
      <c r="AO124" s="767"/>
      <c r="AP124" s="246"/>
      <c r="AR124" s="246"/>
      <c r="AS124" s="265"/>
      <c r="AT124" s="254" t="str">
        <f t="shared" si="23"/>
        <v/>
      </c>
      <c r="AU124" s="269"/>
    </row>
    <row r="125">
      <c r="A125" s="94"/>
      <c r="B125" s="397" t="s">
        <v>692</v>
      </c>
      <c r="C125" s="398" t="s">
        <v>687</v>
      </c>
      <c r="D125" s="389"/>
      <c r="E125" s="259"/>
      <c r="F125" s="399"/>
      <c r="G125" s="246"/>
      <c r="H125" s="399"/>
      <c r="I125" s="246"/>
      <c r="J125" s="399"/>
      <c r="K125" s="246"/>
      <c r="L125" s="462"/>
      <c r="M125" s="250"/>
      <c r="N125" s="246"/>
      <c r="O125" s="282"/>
      <c r="P125" s="246"/>
      <c r="Q125" s="399"/>
      <c r="R125" s="246"/>
      <c r="S125" s="261"/>
      <c r="T125" s="250"/>
      <c r="U125" s="246"/>
      <c r="V125" s="282"/>
      <c r="W125" s="246"/>
      <c r="X125" s="282"/>
      <c r="Y125" s="246"/>
      <c r="Z125" s="261"/>
      <c r="AA125" s="250"/>
      <c r="AB125" s="246"/>
      <c r="AC125" s="399"/>
      <c r="AD125" s="246"/>
      <c r="AE125" s="399"/>
      <c r="AF125" s="246"/>
      <c r="AG125" s="261"/>
      <c r="AH125" s="399"/>
      <c r="AI125" s="246"/>
      <c r="AJ125" s="399"/>
      <c r="AK125" s="246"/>
      <c r="AL125" s="399"/>
      <c r="AM125" s="246"/>
      <c r="AN125" s="261"/>
      <c r="AO125" s="320"/>
      <c r="AP125" s="246"/>
      <c r="AQ125" s="282"/>
      <c r="AR125" s="246"/>
      <c r="AS125" s="265"/>
      <c r="AT125" s="254" t="str">
        <f t="shared" si="23"/>
        <v/>
      </c>
      <c r="AU125" s="269"/>
    </row>
    <row r="126">
      <c r="A126" s="94"/>
      <c r="B126" s="387" t="s">
        <v>694</v>
      </c>
      <c r="C126" s="388" t="s">
        <v>649</v>
      </c>
      <c r="D126" s="323"/>
      <c r="E126" s="259"/>
      <c r="F126" s="390"/>
      <c r="G126" s="246"/>
      <c r="H126" s="390"/>
      <c r="I126" s="246"/>
      <c r="J126" s="390"/>
      <c r="K126" s="246"/>
      <c r="L126" s="462"/>
      <c r="M126" s="250"/>
      <c r="N126" s="246"/>
      <c r="O126" s="390"/>
      <c r="P126" s="246"/>
      <c r="Q126" s="390"/>
      <c r="R126" s="246"/>
      <c r="S126" s="261"/>
      <c r="T126" s="250"/>
      <c r="U126" s="246"/>
      <c r="V126" s="390"/>
      <c r="W126" s="246"/>
      <c r="X126" s="357" t="s">
        <v>425</v>
      </c>
      <c r="Y126" s="246"/>
      <c r="Z126" s="261"/>
      <c r="AA126" s="250"/>
      <c r="AB126" s="246"/>
      <c r="AC126" s="390"/>
      <c r="AD126" s="246"/>
      <c r="AE126" s="357" t="s">
        <v>425</v>
      </c>
      <c r="AF126" s="246"/>
      <c r="AG126" s="261"/>
      <c r="AH126" s="390"/>
      <c r="AI126" s="246"/>
      <c r="AJ126" s="390"/>
      <c r="AK126" s="246"/>
      <c r="AL126" s="357" t="s">
        <v>425</v>
      </c>
      <c r="AM126" s="246"/>
      <c r="AN126" s="261"/>
      <c r="AO126" s="320"/>
      <c r="AP126" s="246"/>
      <c r="AQ126" s="390"/>
      <c r="AR126" s="246"/>
      <c r="AS126" s="357" t="s">
        <v>425</v>
      </c>
      <c r="AT126" s="254" t="str">
        <f t="shared" si="23"/>
        <v/>
      </c>
      <c r="AU126" s="269"/>
    </row>
    <row r="127">
      <c r="A127" s="94"/>
      <c r="B127" s="296" t="s">
        <v>650</v>
      </c>
      <c r="C127" s="297" t="s">
        <v>649</v>
      </c>
      <c r="D127" s="323"/>
      <c r="E127" s="261"/>
      <c r="F127" s="300"/>
      <c r="G127" s="298"/>
      <c r="H127" s="300"/>
      <c r="I127" s="298"/>
      <c r="J127" s="300"/>
      <c r="K127" s="298"/>
      <c r="L127" s="462"/>
      <c r="M127" s="250"/>
      <c r="N127" s="298"/>
      <c r="O127" s="300"/>
      <c r="P127" s="298"/>
      <c r="Q127" s="319"/>
      <c r="R127" s="298"/>
      <c r="S127" s="261"/>
      <c r="T127" s="250"/>
      <c r="U127" s="298"/>
      <c r="V127" s="300"/>
      <c r="W127" s="298"/>
      <c r="X127" s="300"/>
      <c r="Y127" s="298"/>
      <c r="Z127" s="261"/>
      <c r="AA127" s="250"/>
      <c r="AB127" s="298"/>
      <c r="AC127" s="300"/>
      <c r="AD127" s="298"/>
      <c r="AE127" s="300"/>
      <c r="AF127" s="298"/>
      <c r="AG127" s="261"/>
      <c r="AH127" s="300"/>
      <c r="AI127" s="298"/>
      <c r="AJ127" s="300"/>
      <c r="AK127" s="298"/>
      <c r="AL127" s="300"/>
      <c r="AM127" s="298"/>
      <c r="AN127" s="261"/>
      <c r="AO127" s="479"/>
      <c r="AP127" s="298"/>
      <c r="AQ127" s="300"/>
      <c r="AR127" s="298"/>
      <c r="AS127" s="299"/>
      <c r="AT127" s="254" t="str">
        <f t="shared" si="23"/>
        <v/>
      </c>
      <c r="AU127" s="269"/>
    </row>
    <row r="128">
      <c r="A128" s="94"/>
      <c r="B128" s="301" t="s">
        <v>651</v>
      </c>
      <c r="C128" s="391" t="s">
        <v>652</v>
      </c>
      <c r="D128" s="323"/>
      <c r="E128" s="259"/>
      <c r="F128" s="304"/>
      <c r="G128" s="298"/>
      <c r="H128" s="304"/>
      <c r="I128" s="298"/>
      <c r="J128" s="304"/>
      <c r="K128" s="298"/>
      <c r="L128" s="462"/>
      <c r="M128" s="250"/>
      <c r="N128" s="298"/>
      <c r="O128" s="304"/>
      <c r="P128" s="298"/>
      <c r="Q128" s="304"/>
      <c r="R128" s="298"/>
      <c r="S128" s="261"/>
      <c r="T128" s="250"/>
      <c r="U128" s="298"/>
      <c r="V128" s="304"/>
      <c r="W128" s="298"/>
      <c r="X128" s="304"/>
      <c r="Y128" s="298"/>
      <c r="Z128" s="261"/>
      <c r="AA128" s="250"/>
      <c r="AB128" s="298"/>
      <c r="AC128" s="304"/>
      <c r="AD128" s="298"/>
      <c r="AE128" s="304"/>
      <c r="AF128" s="298"/>
      <c r="AG128" s="261"/>
      <c r="AH128" s="304"/>
      <c r="AI128" s="298"/>
      <c r="AJ128" s="304"/>
      <c r="AK128" s="298"/>
      <c r="AL128" s="304"/>
      <c r="AM128" s="298"/>
      <c r="AN128" s="261"/>
      <c r="AO128" s="506"/>
      <c r="AP128" s="298"/>
      <c r="AQ128" s="304"/>
      <c r="AR128" s="298"/>
      <c r="AS128" s="303"/>
      <c r="AT128" s="254" t="str">
        <f t="shared" ref="AT128:AT129" si="24">IF(COUNTIF($AO$79:$AT$81, #REF!) &gt; 0, "X", "")</f>
        <v/>
      </c>
      <c r="AU128" s="269"/>
    </row>
    <row r="129">
      <c r="A129" s="94"/>
      <c r="B129" s="392" t="s">
        <v>691</v>
      </c>
      <c r="C129" s="393" t="s">
        <v>652</v>
      </c>
      <c r="D129" s="330"/>
      <c r="E129" s="259"/>
      <c r="F129" s="307"/>
      <c r="G129" s="298"/>
      <c r="H129" s="307"/>
      <c r="I129" s="298"/>
      <c r="J129" s="307"/>
      <c r="K129" s="298"/>
      <c r="L129" s="462"/>
      <c r="M129" s="250"/>
      <c r="N129" s="298"/>
      <c r="O129" s="307"/>
      <c r="P129" s="298"/>
      <c r="Q129" s="307"/>
      <c r="R129" s="298"/>
      <c r="S129" s="261"/>
      <c r="T129" s="250"/>
      <c r="U129" s="298"/>
      <c r="V129" s="307"/>
      <c r="W129" s="298"/>
      <c r="X129" s="492" t="s">
        <v>430</v>
      </c>
      <c r="Y129" s="298"/>
      <c r="Z129" s="261"/>
      <c r="AA129" s="250"/>
      <c r="AB129" s="298"/>
      <c r="AC129" s="307"/>
      <c r="AD129" s="298"/>
      <c r="AE129" s="492" t="s">
        <v>430</v>
      </c>
      <c r="AF129" s="298"/>
      <c r="AG129" s="261"/>
      <c r="AH129" s="307"/>
      <c r="AI129" s="298"/>
      <c r="AJ129" s="307"/>
      <c r="AK129" s="298"/>
      <c r="AL129" s="308" t="s">
        <v>445</v>
      </c>
      <c r="AM129" s="298"/>
      <c r="AN129" s="261"/>
      <c r="AO129" s="767"/>
      <c r="AP129" s="298"/>
      <c r="AQ129" s="307"/>
      <c r="AR129" s="298"/>
      <c r="AS129" s="308" t="s">
        <v>445</v>
      </c>
      <c r="AT129" s="254" t="str">
        <f t="shared" si="24"/>
        <v/>
      </c>
      <c r="AU129" s="269"/>
    </row>
    <row r="130">
      <c r="A130" s="94"/>
      <c r="B130" s="328" t="s">
        <v>692</v>
      </c>
      <c r="C130" s="329" t="s">
        <v>652</v>
      </c>
      <c r="D130" s="369"/>
      <c r="E130" s="259"/>
      <c r="F130" s="371"/>
      <c r="G130" s="246"/>
      <c r="H130" s="371"/>
      <c r="I130" s="246"/>
      <c r="J130" s="282"/>
      <c r="K130" s="246"/>
      <c r="L130" s="462"/>
      <c r="M130" s="250"/>
      <c r="N130" s="246"/>
      <c r="O130" s="371"/>
      <c r="P130" s="246"/>
      <c r="Q130" s="282"/>
      <c r="R130" s="246"/>
      <c r="S130" s="261"/>
      <c r="T130" s="250"/>
      <c r="U130" s="246"/>
      <c r="W130" s="246"/>
      <c r="Y130" s="246"/>
      <c r="Z130" s="261"/>
      <c r="AA130" s="250"/>
      <c r="AB130" s="246"/>
      <c r="AC130" s="282"/>
      <c r="AD130" s="246"/>
      <c r="AF130" s="246"/>
      <c r="AG130" s="261"/>
      <c r="AH130" s="371"/>
      <c r="AI130" s="246"/>
      <c r="AJ130" s="371"/>
      <c r="AK130" s="246"/>
      <c r="AL130" s="282"/>
      <c r="AM130" s="246"/>
      <c r="AN130" s="261"/>
      <c r="AO130" s="320"/>
      <c r="AP130" s="246"/>
      <c r="AR130" s="246"/>
      <c r="AS130" s="282"/>
      <c r="AT130" s="254" t="str">
        <f t="shared" ref="AT130:AT133" si="25">IF(COUNTIF($AO$79:$AT$81, AS131) &gt; 0, "X", "")</f>
        <v/>
      </c>
      <c r="AU130" s="269"/>
    </row>
    <row r="131">
      <c r="A131" s="94"/>
      <c r="B131" s="397" t="s">
        <v>692</v>
      </c>
      <c r="C131" s="398" t="s">
        <v>687</v>
      </c>
      <c r="D131" s="404"/>
      <c r="E131" s="259"/>
      <c r="F131" s="399"/>
      <c r="G131" s="246"/>
      <c r="H131" s="399"/>
      <c r="I131" s="246"/>
      <c r="J131" s="252"/>
      <c r="K131" s="246"/>
      <c r="L131" s="462"/>
      <c r="M131" s="250"/>
      <c r="N131" s="246"/>
      <c r="O131" s="399"/>
      <c r="P131" s="246"/>
      <c r="Q131" s="399"/>
      <c r="R131" s="246"/>
      <c r="S131" s="261"/>
      <c r="T131" s="250"/>
      <c r="U131" s="246"/>
      <c r="V131" s="399"/>
      <c r="W131" s="246"/>
      <c r="X131" s="399"/>
      <c r="Y131" s="246"/>
      <c r="Z131" s="261"/>
      <c r="AA131" s="250"/>
      <c r="AB131" s="246"/>
      <c r="AC131" s="282"/>
      <c r="AD131" s="246"/>
      <c r="AE131" s="399"/>
      <c r="AF131" s="246"/>
      <c r="AG131" s="261"/>
      <c r="AH131" s="399"/>
      <c r="AI131" s="246"/>
      <c r="AJ131" s="399"/>
      <c r="AK131" s="246"/>
      <c r="AL131" s="399"/>
      <c r="AM131" s="246"/>
      <c r="AN131" s="261"/>
      <c r="AO131" s="320"/>
      <c r="AP131" s="246"/>
      <c r="AQ131" s="282"/>
      <c r="AR131" s="246"/>
      <c r="AS131" s="399"/>
      <c r="AT131" s="254" t="str">
        <f t="shared" si="25"/>
        <v/>
      </c>
      <c r="AU131" s="269"/>
    </row>
    <row r="132">
      <c r="A132" s="270"/>
      <c r="B132" s="402" t="s">
        <v>699</v>
      </c>
      <c r="C132" s="403" t="s">
        <v>649</v>
      </c>
      <c r="D132" s="330"/>
      <c r="E132" s="259"/>
      <c r="F132" s="294"/>
      <c r="G132" s="246"/>
      <c r="H132" s="294"/>
      <c r="I132" s="246"/>
      <c r="J132" s="294"/>
      <c r="K132" s="246"/>
      <c r="L132" s="462"/>
      <c r="M132" s="250"/>
      <c r="N132" s="246"/>
      <c r="O132" s="294"/>
      <c r="P132" s="246"/>
      <c r="Q132" s="293" t="s">
        <v>422</v>
      </c>
      <c r="R132" s="246"/>
      <c r="S132" s="261"/>
      <c r="T132" s="250"/>
      <c r="U132" s="246"/>
      <c r="V132" s="294"/>
      <c r="W132" s="246"/>
      <c r="X132" s="294"/>
      <c r="Y132" s="246"/>
      <c r="Z132" s="261"/>
      <c r="AA132" s="250"/>
      <c r="AB132" s="246"/>
      <c r="AC132" s="294"/>
      <c r="AD132" s="246"/>
      <c r="AE132" s="293" t="s">
        <v>426</v>
      </c>
      <c r="AF132" s="246"/>
      <c r="AG132" s="261"/>
      <c r="AH132" s="294"/>
      <c r="AI132" s="246"/>
      <c r="AJ132" s="294"/>
      <c r="AK132" s="246"/>
      <c r="AL132" s="294"/>
      <c r="AM132" s="246"/>
      <c r="AN132" s="261"/>
      <c r="AO132" s="479"/>
      <c r="AP132" s="246"/>
      <c r="AQ132" s="294"/>
      <c r="AR132" s="246"/>
      <c r="AS132" s="294"/>
      <c r="AT132" s="254" t="str">
        <f t="shared" si="25"/>
        <v/>
      </c>
      <c r="AU132" s="269"/>
    </row>
    <row r="133">
      <c r="A133" s="94"/>
      <c r="B133" s="328" t="s">
        <v>700</v>
      </c>
      <c r="C133" s="329" t="s">
        <v>657</v>
      </c>
      <c r="D133" s="330"/>
      <c r="E133" s="259"/>
      <c r="F133" s="371"/>
      <c r="G133" s="246"/>
      <c r="H133" s="282"/>
      <c r="I133" s="246"/>
      <c r="J133" s="282"/>
      <c r="K133" s="246"/>
      <c r="L133" s="462"/>
      <c r="M133" s="250"/>
      <c r="N133" s="246"/>
      <c r="O133" s="371"/>
      <c r="P133" s="246"/>
      <c r="Q133" s="280" t="s">
        <v>437</v>
      </c>
      <c r="R133" s="246"/>
      <c r="S133" s="261"/>
      <c r="T133" s="250"/>
      <c r="U133" s="246"/>
      <c r="V133" s="371"/>
      <c r="W133" s="246"/>
      <c r="X133" s="371"/>
      <c r="Y133" s="246"/>
      <c r="Z133" s="261"/>
      <c r="AA133" s="250"/>
      <c r="AB133" s="246"/>
      <c r="AC133" s="371"/>
      <c r="AD133" s="246"/>
      <c r="AE133" s="274" t="s">
        <v>437</v>
      </c>
      <c r="AF133" s="246"/>
      <c r="AG133" s="261"/>
      <c r="AH133" s="371"/>
      <c r="AI133" s="246"/>
      <c r="AJ133" s="371"/>
      <c r="AK133" s="246"/>
      <c r="AL133" s="371"/>
      <c r="AM133" s="246"/>
      <c r="AN133" s="261"/>
      <c r="AO133" s="506"/>
      <c r="AP133" s="246"/>
      <c r="AR133" s="246"/>
      <c r="AS133" s="371"/>
      <c r="AT133" s="254" t="str">
        <f t="shared" si="25"/>
        <v/>
      </c>
      <c r="AU133" s="269"/>
    </row>
    <row r="134">
      <c r="A134" s="94"/>
      <c r="B134" s="328" t="s">
        <v>700</v>
      </c>
      <c r="C134" s="329" t="s">
        <v>657</v>
      </c>
      <c r="D134" s="330"/>
      <c r="E134" s="259"/>
      <c r="F134" s="264"/>
      <c r="G134" s="246"/>
      <c r="I134" s="246"/>
      <c r="K134" s="246"/>
      <c r="L134" s="462"/>
      <c r="M134" s="262"/>
      <c r="N134" s="246"/>
      <c r="P134" s="246"/>
      <c r="Q134" s="405" t="s">
        <v>462</v>
      </c>
      <c r="R134" s="246"/>
      <c r="S134" s="261"/>
      <c r="T134" s="262"/>
      <c r="U134" s="246"/>
      <c r="V134" s="264"/>
      <c r="W134" s="246"/>
      <c r="Y134" s="246"/>
      <c r="Z134" s="261"/>
      <c r="AA134" s="262"/>
      <c r="AB134" s="246"/>
      <c r="AD134" s="246"/>
      <c r="AE134" s="405" t="s">
        <v>462</v>
      </c>
      <c r="AF134" s="246"/>
      <c r="AG134" s="261"/>
      <c r="AH134" s="264"/>
      <c r="AI134" s="246"/>
      <c r="AJ134" s="264"/>
      <c r="AK134" s="246"/>
      <c r="AL134" s="265"/>
      <c r="AM134" s="246"/>
      <c r="AN134" s="261"/>
      <c r="AO134" s="767"/>
      <c r="AP134" s="246"/>
      <c r="AQ134" s="282"/>
      <c r="AR134" s="246"/>
      <c r="AS134" s="264"/>
      <c r="AT134" s="254" t="str">
        <f>IF(COUNTIF($AO$79:$AT$81, #REF!) &gt; 0, "X", "")</f>
        <v/>
      </c>
      <c r="AU134" s="269"/>
    </row>
    <row r="135">
      <c r="A135" s="94"/>
      <c r="B135" s="328" t="s">
        <v>700</v>
      </c>
      <c r="C135" s="329" t="s">
        <v>657</v>
      </c>
      <c r="D135" s="351"/>
      <c r="E135" s="259"/>
      <c r="F135" s="371"/>
      <c r="G135" s="246"/>
      <c r="H135" s="282"/>
      <c r="I135" s="246"/>
      <c r="K135" s="246"/>
      <c r="L135" s="462"/>
      <c r="M135" s="250"/>
      <c r="N135" s="246"/>
      <c r="O135" s="282"/>
      <c r="P135" s="246"/>
      <c r="Q135" s="282"/>
      <c r="R135" s="246"/>
      <c r="S135" s="261"/>
      <c r="T135" s="250"/>
      <c r="U135" s="246"/>
      <c r="W135" s="246"/>
      <c r="Y135" s="246"/>
      <c r="Z135" s="261"/>
      <c r="AA135" s="250"/>
      <c r="AB135" s="246"/>
      <c r="AC135" s="371"/>
      <c r="AD135" s="246"/>
      <c r="AF135" s="246"/>
      <c r="AG135" s="261"/>
      <c r="AI135" s="246"/>
      <c r="AK135" s="246"/>
      <c r="AL135" s="371"/>
      <c r="AM135" s="246"/>
      <c r="AN135" s="261"/>
      <c r="AO135" s="320"/>
      <c r="AP135" s="246"/>
      <c r="AQ135" s="426"/>
      <c r="AR135" s="246"/>
      <c r="AS135" s="282"/>
      <c r="AT135" s="254" t="str">
        <f t="shared" ref="AT135:AT136" si="26">IF(COUNTIF($AO$79:$AT$81, AS136) &gt; 0, "X", "")</f>
        <v/>
      </c>
      <c r="AU135" s="269"/>
    </row>
    <row r="136">
      <c r="A136" s="94"/>
      <c r="B136" s="408" t="s">
        <v>702</v>
      </c>
      <c r="C136" s="409" t="s">
        <v>652</v>
      </c>
      <c r="D136" s="323"/>
      <c r="E136" s="259"/>
      <c r="F136" s="411"/>
      <c r="G136" s="246"/>
      <c r="H136" s="411"/>
      <c r="I136" s="246"/>
      <c r="J136" s="411"/>
      <c r="K136" s="246"/>
      <c r="L136" s="462"/>
      <c r="M136" s="262"/>
      <c r="N136" s="246"/>
      <c r="O136" s="411"/>
      <c r="P136" s="246"/>
      <c r="Q136" s="411"/>
      <c r="R136" s="246"/>
      <c r="S136" s="261"/>
      <c r="T136" s="262"/>
      <c r="U136" s="246"/>
      <c r="V136" s="411"/>
      <c r="W136" s="246"/>
      <c r="X136" s="411"/>
      <c r="Y136" s="246"/>
      <c r="Z136" s="261"/>
      <c r="AA136" s="262"/>
      <c r="AB136" s="246"/>
      <c r="AC136" s="411"/>
      <c r="AD136" s="246"/>
      <c r="AE136" s="411"/>
      <c r="AF136" s="246"/>
      <c r="AG136" s="261"/>
      <c r="AH136" s="411"/>
      <c r="AI136" s="246"/>
      <c r="AJ136" s="411"/>
      <c r="AK136" s="246"/>
      <c r="AL136" s="411"/>
      <c r="AM136" s="246"/>
      <c r="AN136" s="261"/>
      <c r="AO136" s="320"/>
      <c r="AP136" s="246"/>
      <c r="AQ136" s="411"/>
      <c r="AR136" s="246"/>
      <c r="AS136" s="411"/>
      <c r="AT136" s="254" t="str">
        <f t="shared" si="26"/>
        <v/>
      </c>
      <c r="AU136" s="269"/>
    </row>
    <row r="137">
      <c r="A137" s="234"/>
      <c r="B137" s="401" t="s">
        <v>703</v>
      </c>
      <c r="C137" s="412" t="s">
        <v>704</v>
      </c>
      <c r="D137" s="323"/>
      <c r="E137" s="259"/>
      <c r="F137" s="413"/>
      <c r="G137" s="246"/>
      <c r="H137" s="413"/>
      <c r="I137" s="246"/>
      <c r="J137" s="413"/>
      <c r="K137" s="246"/>
      <c r="L137" s="462"/>
      <c r="M137" s="262"/>
      <c r="N137" s="246"/>
      <c r="O137" s="413"/>
      <c r="P137" s="246"/>
      <c r="Q137" s="413"/>
      <c r="R137" s="246"/>
      <c r="S137" s="261"/>
      <c r="T137" s="262"/>
      <c r="U137" s="246"/>
      <c r="V137" s="413"/>
      <c r="W137" s="246"/>
      <c r="X137" s="413"/>
      <c r="Y137" s="246"/>
      <c r="Z137" s="261"/>
      <c r="AA137" s="262"/>
      <c r="AB137" s="246"/>
      <c r="AC137" s="413"/>
      <c r="AD137" s="246"/>
      <c r="AE137" s="413"/>
      <c r="AF137" s="246"/>
      <c r="AG137" s="261"/>
      <c r="AH137" s="413"/>
      <c r="AI137" s="246"/>
      <c r="AJ137" s="413"/>
      <c r="AK137" s="246"/>
      <c r="AL137" s="413"/>
      <c r="AM137" s="246"/>
      <c r="AN137" s="261"/>
      <c r="AO137" s="479"/>
      <c r="AP137" s="246"/>
      <c r="AQ137" s="413"/>
      <c r="AR137" s="246"/>
      <c r="AS137" s="413"/>
      <c r="AT137" s="254" t="str">
        <f t="shared" ref="AT137:AT141" si="27">IF(COUNTIF($AO$79:$AT$81, #REF!) &gt; 0, "X", "")</f>
        <v/>
      </c>
      <c r="AU137" s="269"/>
    </row>
    <row r="138">
      <c r="A138" s="234"/>
      <c r="B138" s="414" t="s">
        <v>705</v>
      </c>
      <c r="C138" s="415" t="s">
        <v>704</v>
      </c>
      <c r="D138" s="323"/>
      <c r="E138" s="259"/>
      <c r="F138" s="311" t="s">
        <v>467</v>
      </c>
      <c r="G138" s="246"/>
      <c r="H138" s="339" t="s">
        <v>404</v>
      </c>
      <c r="I138" s="246"/>
      <c r="J138" s="374" t="s">
        <v>410</v>
      </c>
      <c r="K138" s="246"/>
      <c r="L138" s="462"/>
      <c r="M138" s="341"/>
      <c r="N138" s="246"/>
      <c r="O138" s="311" t="s">
        <v>407</v>
      </c>
      <c r="P138" s="246"/>
      <c r="Q138" s="311" t="s">
        <v>394</v>
      </c>
      <c r="R138" s="246"/>
      <c r="S138" s="261"/>
      <c r="T138" s="341"/>
      <c r="U138" s="246"/>
      <c r="V138" s="311" t="s">
        <v>438</v>
      </c>
      <c r="W138" s="246"/>
      <c r="X138" s="311" t="s">
        <v>467</v>
      </c>
      <c r="Y138" s="246"/>
      <c r="Z138" s="261"/>
      <c r="AA138" s="341"/>
      <c r="AB138" s="246"/>
      <c r="AC138" s="311" t="s">
        <v>407</v>
      </c>
      <c r="AD138" s="246"/>
      <c r="AE138" s="311" t="s">
        <v>394</v>
      </c>
      <c r="AF138" s="246"/>
      <c r="AG138" s="261"/>
      <c r="AH138" s="311" t="s">
        <v>467</v>
      </c>
      <c r="AI138" s="246"/>
      <c r="AJ138" s="374" t="s">
        <v>407</v>
      </c>
      <c r="AK138" s="246"/>
      <c r="AL138" s="311" t="s">
        <v>394</v>
      </c>
      <c r="AM138" s="246"/>
      <c r="AN138" s="261"/>
      <c r="AO138" s="506"/>
      <c r="AP138" s="246"/>
      <c r="AQ138" s="311" t="s">
        <v>407</v>
      </c>
      <c r="AR138" s="246"/>
      <c r="AS138" s="374" t="s">
        <v>410</v>
      </c>
      <c r="AT138" s="254" t="str">
        <f t="shared" si="27"/>
        <v/>
      </c>
      <c r="AU138" s="269"/>
    </row>
    <row r="139">
      <c r="A139" s="94"/>
      <c r="B139" s="328" t="s">
        <v>705</v>
      </c>
      <c r="C139" s="257" t="s">
        <v>657</v>
      </c>
      <c r="D139" s="323"/>
      <c r="E139" s="259"/>
      <c r="F139" s="311" t="s">
        <v>470</v>
      </c>
      <c r="G139" s="246"/>
      <c r="H139" s="339" t="s">
        <v>472</v>
      </c>
      <c r="I139" s="246"/>
      <c r="J139" s="586" t="s">
        <v>452</v>
      </c>
      <c r="K139" s="246"/>
      <c r="L139" s="462"/>
      <c r="M139" s="341"/>
      <c r="N139" s="246"/>
      <c r="O139" s="339" t="s">
        <v>404</v>
      </c>
      <c r="P139" s="246"/>
      <c r="Q139" s="311" t="s">
        <v>410</v>
      </c>
      <c r="R139" s="246"/>
      <c r="S139" s="261"/>
      <c r="T139" s="341"/>
      <c r="U139" s="246"/>
      <c r="V139" s="251" t="s">
        <v>440</v>
      </c>
      <c r="W139" s="246"/>
      <c r="X139" s="311" t="s">
        <v>410</v>
      </c>
      <c r="Y139" s="246"/>
      <c r="Z139" s="261"/>
      <c r="AA139" s="341"/>
      <c r="AB139" s="246"/>
      <c r="AC139" s="311" t="s">
        <v>438</v>
      </c>
      <c r="AD139" s="246"/>
      <c r="AE139" s="311" t="s">
        <v>467</v>
      </c>
      <c r="AF139" s="246"/>
      <c r="AG139" s="261"/>
      <c r="AH139" s="311" t="s">
        <v>470</v>
      </c>
      <c r="AI139" s="246"/>
      <c r="AJ139" s="251" t="s">
        <v>440</v>
      </c>
      <c r="AK139" s="246"/>
      <c r="AL139" s="339" t="s">
        <v>472</v>
      </c>
      <c r="AM139" s="246"/>
      <c r="AN139" s="261"/>
      <c r="AO139" s="767"/>
      <c r="AP139" s="246"/>
      <c r="AQ139" s="339" t="s">
        <v>472</v>
      </c>
      <c r="AR139" s="246"/>
      <c r="AS139" s="586" t="s">
        <v>452</v>
      </c>
      <c r="AT139" s="254" t="str">
        <f t="shared" si="27"/>
        <v/>
      </c>
      <c r="AU139" s="269"/>
    </row>
    <row r="140">
      <c r="A140" s="94"/>
      <c r="B140" s="277" t="s">
        <v>705</v>
      </c>
      <c r="C140" s="329" t="s">
        <v>685</v>
      </c>
      <c r="D140" s="369"/>
      <c r="E140" s="259"/>
      <c r="G140" s="246"/>
      <c r="H140" s="274" t="s">
        <v>406</v>
      </c>
      <c r="I140" s="246"/>
      <c r="J140" s="251" t="s">
        <v>405</v>
      </c>
      <c r="K140" s="246"/>
      <c r="L140" s="462"/>
      <c r="M140" s="341"/>
      <c r="N140" s="246"/>
      <c r="O140" s="339" t="s">
        <v>472</v>
      </c>
      <c r="P140" s="246"/>
      <c r="Q140" s="311" t="s">
        <v>470</v>
      </c>
      <c r="R140" s="246"/>
      <c r="S140" s="261"/>
      <c r="T140" s="341"/>
      <c r="U140" s="246"/>
      <c r="V140" s="311" t="s">
        <v>407</v>
      </c>
      <c r="W140" s="246"/>
      <c r="X140" s="586" t="s">
        <v>452</v>
      </c>
      <c r="Y140" s="246"/>
      <c r="Z140" s="261"/>
      <c r="AA140" s="341"/>
      <c r="AB140" s="246"/>
      <c r="AC140" s="339" t="s">
        <v>472</v>
      </c>
      <c r="AD140" s="246"/>
      <c r="AE140" s="311" t="s">
        <v>470</v>
      </c>
      <c r="AF140" s="246"/>
      <c r="AG140" s="261"/>
      <c r="AI140" s="246"/>
      <c r="AJ140" s="311" t="s">
        <v>438</v>
      </c>
      <c r="AK140" s="246"/>
      <c r="AL140" s="586" t="s">
        <v>452</v>
      </c>
      <c r="AM140" s="246"/>
      <c r="AN140" s="261"/>
      <c r="AO140" s="320"/>
      <c r="AP140" s="246"/>
      <c r="AQ140" s="311" t="s">
        <v>438</v>
      </c>
      <c r="AR140" s="246"/>
      <c r="AS140" s="311" t="s">
        <v>470</v>
      </c>
      <c r="AT140" s="254" t="str">
        <f t="shared" si="27"/>
        <v/>
      </c>
      <c r="AU140" s="269"/>
    </row>
    <row r="141">
      <c r="A141" s="94"/>
      <c r="B141" s="271" t="s">
        <v>705</v>
      </c>
      <c r="C141" s="272" t="s">
        <v>687</v>
      </c>
      <c r="D141" s="330"/>
      <c r="E141" s="259"/>
      <c r="G141" s="246"/>
      <c r="I141" s="246"/>
      <c r="K141" s="246"/>
      <c r="L141" s="462"/>
      <c r="M141" s="341"/>
      <c r="N141" s="246"/>
      <c r="O141" s="475" t="s">
        <v>440</v>
      </c>
      <c r="P141" s="246"/>
      <c r="R141" s="246"/>
      <c r="S141" s="261"/>
      <c r="T141" s="341"/>
      <c r="U141" s="246"/>
      <c r="W141" s="246"/>
      <c r="Y141" s="246"/>
      <c r="Z141" s="261"/>
      <c r="AA141" s="341"/>
      <c r="AB141" s="246"/>
      <c r="AD141" s="246"/>
      <c r="AF141" s="246"/>
      <c r="AG141" s="261"/>
      <c r="AI141" s="246"/>
      <c r="AK141" s="246"/>
      <c r="AM141" s="246"/>
      <c r="AN141" s="261"/>
      <c r="AO141" s="320"/>
      <c r="AP141" s="246"/>
      <c r="AR141" s="246"/>
      <c r="AS141" s="282"/>
      <c r="AT141" s="254" t="str">
        <f t="shared" si="27"/>
        <v/>
      </c>
      <c r="AU141" s="269"/>
    </row>
    <row r="142">
      <c r="A142" s="270"/>
      <c r="B142" s="397" t="s">
        <v>708</v>
      </c>
      <c r="C142" s="398" t="s">
        <v>654</v>
      </c>
      <c r="D142" s="330"/>
      <c r="E142" s="259"/>
      <c r="F142" s="275"/>
      <c r="G142" s="246"/>
      <c r="H142" s="311" t="s">
        <v>441</v>
      </c>
      <c r="I142" s="246"/>
      <c r="J142" s="374"/>
      <c r="K142" s="246"/>
      <c r="L142" s="462"/>
      <c r="M142" s="341"/>
      <c r="N142" s="246"/>
      <c r="O142" s="251" t="s">
        <v>469</v>
      </c>
      <c r="P142" s="246"/>
      <c r="Q142" s="311" t="s">
        <v>441</v>
      </c>
      <c r="R142" s="246"/>
      <c r="S142" s="261"/>
      <c r="T142" s="341"/>
      <c r="U142" s="246"/>
      <c r="V142" s="365" t="s">
        <v>469</v>
      </c>
      <c r="W142" s="246"/>
      <c r="X142" s="311" t="s">
        <v>441</v>
      </c>
      <c r="Y142" s="246"/>
      <c r="Z142" s="261"/>
      <c r="AA142" s="341"/>
      <c r="AB142" s="246"/>
      <c r="AD142" s="246"/>
      <c r="AE142" s="311" t="s">
        <v>441</v>
      </c>
      <c r="AF142" s="246"/>
      <c r="AG142" s="261"/>
      <c r="AH142" s="275"/>
      <c r="AI142" s="246"/>
      <c r="AJ142" s="251" t="s">
        <v>469</v>
      </c>
      <c r="AK142" s="246"/>
      <c r="AL142" s="311" t="s">
        <v>441</v>
      </c>
      <c r="AM142" s="246"/>
      <c r="AN142" s="261"/>
      <c r="AO142" s="479"/>
      <c r="AP142" s="246"/>
      <c r="AQ142" s="251" t="s">
        <v>469</v>
      </c>
      <c r="AR142" s="246"/>
      <c r="AS142" s="374"/>
      <c r="AT142" s="254" t="str">
        <f t="shared" ref="AT142:AT143" si="28">IF(COUNTIF($AO$79:$AT$81, AS143) &gt; 0, "X", "")</f>
        <v/>
      </c>
      <c r="AU142" s="269"/>
    </row>
    <row r="143">
      <c r="A143" s="94"/>
      <c r="B143" s="796" t="s">
        <v>1116</v>
      </c>
      <c r="C143" s="278" t="s">
        <v>710</v>
      </c>
      <c r="D143" s="323"/>
      <c r="E143" s="259"/>
      <c r="F143" s="281"/>
      <c r="G143" s="246"/>
      <c r="H143" s="801" t="s">
        <v>440</v>
      </c>
      <c r="I143" s="246"/>
      <c r="J143" s="281"/>
      <c r="K143" s="246"/>
      <c r="L143" s="462"/>
      <c r="M143" s="286"/>
      <c r="N143" s="246"/>
      <c r="P143" s="246"/>
      <c r="R143" s="246"/>
      <c r="S143" s="261"/>
      <c r="T143" s="286"/>
      <c r="U143" s="246"/>
      <c r="V143" s="282"/>
      <c r="W143" s="246"/>
      <c r="X143" s="281"/>
      <c r="Y143" s="246"/>
      <c r="Z143" s="261"/>
      <c r="AA143" s="286"/>
      <c r="AB143" s="246"/>
      <c r="AC143" s="475" t="s">
        <v>440</v>
      </c>
      <c r="AD143" s="246"/>
      <c r="AE143" s="282"/>
      <c r="AF143" s="246"/>
      <c r="AG143" s="261"/>
      <c r="AH143" s="281"/>
      <c r="AI143" s="246"/>
      <c r="AJ143" s="281"/>
      <c r="AK143" s="246"/>
      <c r="AL143" s="281"/>
      <c r="AM143" s="246"/>
      <c r="AN143" s="261"/>
      <c r="AO143" s="506"/>
      <c r="AP143" s="246"/>
      <c r="AQ143" s="426"/>
      <c r="AR143" s="246"/>
      <c r="AS143" s="281"/>
      <c r="AT143" s="254" t="str">
        <f t="shared" si="28"/>
        <v/>
      </c>
      <c r="AU143" s="269"/>
    </row>
    <row r="144">
      <c r="A144" s="94"/>
      <c r="B144" s="673" t="s">
        <v>944</v>
      </c>
      <c r="C144" s="272" t="s">
        <v>639</v>
      </c>
      <c r="D144" s="431"/>
      <c r="E144" s="259"/>
      <c r="F144" s="282"/>
      <c r="G144" s="246"/>
      <c r="H144" s="311" t="s">
        <v>432</v>
      </c>
      <c r="I144" s="246"/>
      <c r="J144" s="282"/>
      <c r="K144" s="246"/>
      <c r="L144" s="462"/>
      <c r="M144" s="341"/>
      <c r="N144" s="246"/>
      <c r="P144" s="246"/>
      <c r="Q144" s="282"/>
      <c r="R144" s="246"/>
      <c r="S144" s="261"/>
      <c r="T144" s="341"/>
      <c r="U144" s="246"/>
      <c r="V144" s="311" t="s">
        <v>432</v>
      </c>
      <c r="W144" s="246"/>
      <c r="X144" s="282"/>
      <c r="Y144" s="246"/>
      <c r="Z144" s="261"/>
      <c r="AA144" s="341"/>
      <c r="AB144" s="246"/>
      <c r="AC144" s="251" t="s">
        <v>432</v>
      </c>
      <c r="AD144" s="246"/>
      <c r="AE144" s="282"/>
      <c r="AF144" s="246"/>
      <c r="AG144" s="261"/>
      <c r="AH144" s="282"/>
      <c r="AI144" s="246"/>
      <c r="AJ144" s="251" t="s">
        <v>432</v>
      </c>
      <c r="AK144" s="246"/>
      <c r="AL144" s="282"/>
      <c r="AM144" s="246"/>
      <c r="AN144" s="261"/>
      <c r="AO144" s="767"/>
      <c r="AP144" s="246"/>
      <c r="AQ144" s="426"/>
      <c r="AR144" s="246"/>
      <c r="AS144" s="282"/>
      <c r="AT144" s="430"/>
      <c r="AU144" s="269"/>
    </row>
    <row r="145">
      <c r="A145" s="94"/>
      <c r="B145" s="429" t="s">
        <v>714</v>
      </c>
      <c r="C145" s="430"/>
      <c r="D145" s="323"/>
      <c r="E145" s="259"/>
      <c r="F145" s="432"/>
      <c r="G145" s="432"/>
      <c r="I145" s="432"/>
      <c r="J145" s="432"/>
      <c r="K145" s="432"/>
      <c r="L145" s="462"/>
      <c r="M145" s="432"/>
      <c r="N145" s="433"/>
      <c r="O145" s="432"/>
      <c r="P145" s="432"/>
      <c r="Q145" s="432"/>
      <c r="R145" s="432"/>
      <c r="S145" s="261"/>
      <c r="T145" s="432"/>
      <c r="U145" s="433"/>
      <c r="V145" s="432"/>
      <c r="W145" s="432"/>
      <c r="X145" s="432"/>
      <c r="Y145" s="432"/>
      <c r="Z145" s="261"/>
      <c r="AA145" s="432"/>
      <c r="AB145" s="433"/>
      <c r="AC145" s="432"/>
      <c r="AD145" s="432"/>
      <c r="AE145" s="432"/>
      <c r="AF145" s="432"/>
      <c r="AG145" s="261"/>
      <c r="AH145" s="432"/>
      <c r="AI145" s="433"/>
      <c r="AJ145" s="432"/>
      <c r="AK145" s="432"/>
      <c r="AL145" s="432"/>
      <c r="AM145" s="432"/>
      <c r="AN145" s="261"/>
      <c r="AO145" s="320"/>
      <c r="AP145" s="433"/>
      <c r="AQ145" s="432"/>
      <c r="AR145" s="432"/>
      <c r="AS145" s="432"/>
      <c r="AT145" s="254" t="str">
        <f t="shared" ref="AT145:AT150" si="29">IF(COUNTIF($AO$79:$AT$81, AS146) &gt; 0, "X", "")</f>
        <v/>
      </c>
      <c r="AU145" s="269"/>
    </row>
    <row r="146">
      <c r="A146" s="94"/>
      <c r="B146" s="401" t="s">
        <v>715</v>
      </c>
      <c r="C146" s="412" t="s">
        <v>716</v>
      </c>
      <c r="D146" s="323"/>
      <c r="E146" s="259"/>
      <c r="F146" s="434"/>
      <c r="G146" s="246"/>
      <c r="H146" s="434" t="s">
        <v>403</v>
      </c>
      <c r="I146" s="246"/>
      <c r="J146" s="434"/>
      <c r="K146" s="246"/>
      <c r="L146" s="462"/>
      <c r="M146" s="434"/>
      <c r="N146" s="246"/>
      <c r="O146" s="434" t="s">
        <v>403</v>
      </c>
      <c r="P146" s="246"/>
      <c r="Q146" s="434"/>
      <c r="R146" s="246"/>
      <c r="S146" s="261"/>
      <c r="T146" s="434"/>
      <c r="U146" s="246"/>
      <c r="V146" s="434"/>
      <c r="W146" s="246"/>
      <c r="X146" s="434"/>
      <c r="Y146" s="246"/>
      <c r="Z146" s="261"/>
      <c r="AA146" s="434"/>
      <c r="AB146" s="246"/>
      <c r="AC146" s="434" t="s">
        <v>403</v>
      </c>
      <c r="AD146" s="246"/>
      <c r="AE146" s="434"/>
      <c r="AF146" s="246"/>
      <c r="AG146" s="261"/>
      <c r="AH146" s="434"/>
      <c r="AI146" s="246"/>
      <c r="AJ146" s="434" t="s">
        <v>403</v>
      </c>
      <c r="AK146" s="246"/>
      <c r="AL146" s="434"/>
      <c r="AM146" s="246"/>
      <c r="AN146" s="261"/>
      <c r="AO146" s="320"/>
      <c r="AP146" s="246"/>
      <c r="AQ146" s="434" t="s">
        <v>576</v>
      </c>
      <c r="AR146" s="246"/>
      <c r="AS146" s="434"/>
      <c r="AT146" s="254" t="str">
        <f t="shared" si="29"/>
        <v/>
      </c>
      <c r="AU146" s="269"/>
    </row>
    <row r="147">
      <c r="A147" s="94"/>
      <c r="B147" s="435" t="s">
        <v>717</v>
      </c>
      <c r="C147" s="415" t="s">
        <v>718</v>
      </c>
      <c r="D147" s="363"/>
      <c r="E147" s="259"/>
      <c r="F147" s="434"/>
      <c r="G147" s="246"/>
      <c r="H147" s="578" t="s">
        <v>463</v>
      </c>
      <c r="I147" s="246"/>
      <c r="J147" s="434"/>
      <c r="K147" s="246"/>
      <c r="L147" s="462"/>
      <c r="M147" s="434"/>
      <c r="N147" s="246"/>
      <c r="O147" s="578" t="s">
        <v>463</v>
      </c>
      <c r="P147" s="246"/>
      <c r="Q147" s="434"/>
      <c r="R147" s="246"/>
      <c r="S147" s="261"/>
      <c r="T147" s="434"/>
      <c r="U147" s="246"/>
      <c r="V147" s="578" t="s">
        <v>463</v>
      </c>
      <c r="W147" s="246"/>
      <c r="X147" s="434"/>
      <c r="Y147" s="246"/>
      <c r="Z147" s="261"/>
      <c r="AA147" s="434"/>
      <c r="AB147" s="246"/>
      <c r="AC147" s="578" t="s">
        <v>463</v>
      </c>
      <c r="AD147" s="246"/>
      <c r="AE147" s="434"/>
      <c r="AF147" s="246"/>
      <c r="AG147" s="261"/>
      <c r="AH147" s="434"/>
      <c r="AI147" s="246"/>
      <c r="AJ147" s="406" t="s">
        <v>463</v>
      </c>
      <c r="AK147" s="246"/>
      <c r="AL147" s="434"/>
      <c r="AM147" s="246"/>
      <c r="AN147" s="261"/>
      <c r="AO147" s="479"/>
      <c r="AP147" s="246"/>
      <c r="AQ147" s="406" t="s">
        <v>463</v>
      </c>
      <c r="AR147" s="246"/>
      <c r="AS147" s="434"/>
      <c r="AT147" s="254" t="str">
        <f t="shared" si="29"/>
        <v/>
      </c>
      <c r="AU147" s="269"/>
    </row>
    <row r="148">
      <c r="A148" s="94"/>
      <c r="B148" s="436" t="s">
        <v>719</v>
      </c>
      <c r="C148" s="437" t="s">
        <v>720</v>
      </c>
      <c r="D148" s="330"/>
      <c r="E148" s="259"/>
      <c r="F148" s="406"/>
      <c r="G148" s="246"/>
      <c r="H148" s="406" t="s">
        <v>456</v>
      </c>
      <c r="I148" s="246"/>
      <c r="J148" s="406"/>
      <c r="K148" s="246"/>
      <c r="L148" s="462"/>
      <c r="M148" s="406"/>
      <c r="N148" s="246"/>
      <c r="O148" s="206" t="s">
        <v>946</v>
      </c>
      <c r="P148" s="246"/>
      <c r="Q148" s="406"/>
      <c r="R148" s="246"/>
      <c r="S148" s="261"/>
      <c r="T148" s="406"/>
      <c r="U148" s="246"/>
      <c r="V148" s="406" t="s">
        <v>1066</v>
      </c>
      <c r="W148" s="246"/>
      <c r="X148" s="406"/>
      <c r="Y148" s="246"/>
      <c r="Z148" s="261"/>
      <c r="AA148" s="406"/>
      <c r="AB148" s="246"/>
      <c r="AC148" s="206" t="s">
        <v>946</v>
      </c>
      <c r="AD148" s="246"/>
      <c r="AE148" s="406"/>
      <c r="AF148" s="246"/>
      <c r="AG148" s="261"/>
      <c r="AH148" s="406"/>
      <c r="AI148" s="246"/>
      <c r="AJ148" s="206" t="s">
        <v>946</v>
      </c>
      <c r="AK148" s="246"/>
      <c r="AL148" s="406"/>
      <c r="AM148" s="246"/>
      <c r="AN148" s="261"/>
      <c r="AO148" s="506"/>
      <c r="AP148" s="246"/>
      <c r="AQ148" s="406"/>
      <c r="AR148" s="246"/>
      <c r="AS148" s="406"/>
      <c r="AT148" s="254" t="str">
        <f t="shared" si="29"/>
        <v/>
      </c>
      <c r="AU148" s="269"/>
    </row>
    <row r="149">
      <c r="A149" s="94"/>
      <c r="B149" s="439" t="s">
        <v>721</v>
      </c>
      <c r="C149" s="440" t="s">
        <v>722</v>
      </c>
      <c r="D149" s="330"/>
      <c r="E149" s="259"/>
      <c r="F149" s="406"/>
      <c r="G149" s="246"/>
      <c r="H149" s="406" t="s">
        <v>970</v>
      </c>
      <c r="I149" s="246"/>
      <c r="J149" s="406"/>
      <c r="K149" s="246"/>
      <c r="L149" s="462"/>
      <c r="M149" s="406"/>
      <c r="N149" s="246"/>
      <c r="O149" s="406" t="s">
        <v>970</v>
      </c>
      <c r="P149" s="246"/>
      <c r="Q149" s="406"/>
      <c r="R149" s="246"/>
      <c r="S149" s="261"/>
      <c r="T149" s="406"/>
      <c r="U149" s="246"/>
      <c r="V149" s="406" t="s">
        <v>970</v>
      </c>
      <c r="W149" s="246"/>
      <c r="X149" s="406"/>
      <c r="Y149" s="246"/>
      <c r="Z149" s="261"/>
      <c r="AA149" s="406"/>
      <c r="AB149" s="246"/>
      <c r="AC149" s="406" t="s">
        <v>970</v>
      </c>
      <c r="AD149" s="246"/>
      <c r="AE149" s="406"/>
      <c r="AF149" s="246"/>
      <c r="AG149" s="261"/>
      <c r="AH149" s="406"/>
      <c r="AI149" s="246"/>
      <c r="AJ149" s="406" t="s">
        <v>970</v>
      </c>
      <c r="AK149" s="246"/>
      <c r="AL149" s="406"/>
      <c r="AM149" s="246"/>
      <c r="AN149" s="261"/>
      <c r="AO149" s="767"/>
      <c r="AP149" s="246"/>
      <c r="AQ149" s="406"/>
      <c r="AR149" s="246"/>
      <c r="AS149" s="406"/>
      <c r="AT149" s="254" t="str">
        <f t="shared" si="29"/>
        <v/>
      </c>
      <c r="AU149" s="269"/>
    </row>
    <row r="150">
      <c r="A150" s="94"/>
      <c r="B150" s="439" t="s">
        <v>723</v>
      </c>
      <c r="C150" s="440" t="s">
        <v>724</v>
      </c>
      <c r="D150" s="330"/>
      <c r="E150" s="259"/>
      <c r="F150" s="406"/>
      <c r="G150" s="246"/>
      <c r="H150" s="406" t="s">
        <v>996</v>
      </c>
      <c r="I150" s="246"/>
      <c r="J150" s="406"/>
      <c r="K150" s="246"/>
      <c r="L150" s="462"/>
      <c r="M150" s="406"/>
      <c r="N150" s="246"/>
      <c r="O150" s="406" t="s">
        <v>456</v>
      </c>
      <c r="P150" s="246"/>
      <c r="Q150" s="406"/>
      <c r="R150" s="246"/>
      <c r="S150" s="261"/>
      <c r="T150" s="406"/>
      <c r="U150" s="246"/>
      <c r="V150" s="406" t="s">
        <v>456</v>
      </c>
      <c r="W150" s="246"/>
      <c r="X150" s="406"/>
      <c r="Y150" s="246"/>
      <c r="Z150" s="261"/>
      <c r="AA150" s="406"/>
      <c r="AB150" s="246"/>
      <c r="AC150" s="406" t="s">
        <v>576</v>
      </c>
      <c r="AD150" s="246"/>
      <c r="AE150" s="406"/>
      <c r="AF150" s="246"/>
      <c r="AG150" s="261"/>
      <c r="AH150" s="406"/>
      <c r="AI150" s="246"/>
      <c r="AJ150" s="406" t="s">
        <v>903</v>
      </c>
      <c r="AK150" s="246"/>
      <c r="AL150" s="406"/>
      <c r="AM150" s="246"/>
      <c r="AN150" s="261"/>
      <c r="AO150" s="320"/>
      <c r="AP150" s="246"/>
      <c r="AQ150" s="434" t="s">
        <v>1066</v>
      </c>
      <c r="AR150" s="246"/>
      <c r="AS150" s="406"/>
      <c r="AT150" s="254" t="str">
        <f t="shared" si="29"/>
        <v/>
      </c>
      <c r="AU150" s="269"/>
    </row>
    <row r="151">
      <c r="A151" s="94"/>
      <c r="B151" s="439" t="s">
        <v>725</v>
      </c>
      <c r="C151" s="442" t="s">
        <v>726</v>
      </c>
      <c r="D151" s="330"/>
      <c r="E151" s="259"/>
      <c r="F151" s="441"/>
      <c r="G151" s="246"/>
      <c r="H151" s="406" t="s">
        <v>1066</v>
      </c>
      <c r="I151" s="246"/>
      <c r="J151" s="441"/>
      <c r="K151" s="246"/>
      <c r="L151" s="462"/>
      <c r="M151" s="441"/>
      <c r="N151" s="246"/>
      <c r="O151" s="406" t="s">
        <v>1066</v>
      </c>
      <c r="P151" s="246"/>
      <c r="Q151" s="441"/>
      <c r="R151" s="246"/>
      <c r="S151" s="261"/>
      <c r="T151" s="441"/>
      <c r="U151" s="246"/>
      <c r="V151" s="406" t="s">
        <v>460</v>
      </c>
      <c r="W151" s="246"/>
      <c r="X151" s="441"/>
      <c r="Y151" s="246"/>
      <c r="Z151" s="261"/>
      <c r="AA151" s="441"/>
      <c r="AB151" s="246"/>
      <c r="AC151" s="406" t="s">
        <v>1066</v>
      </c>
      <c r="AD151" s="246"/>
      <c r="AE151" s="441"/>
      <c r="AF151" s="246"/>
      <c r="AG151" s="261"/>
      <c r="AH151" s="441"/>
      <c r="AI151" s="246"/>
      <c r="AJ151" s="406" t="s">
        <v>1066</v>
      </c>
      <c r="AK151" s="246"/>
      <c r="AL151" s="406"/>
      <c r="AM151" s="246"/>
      <c r="AN151" s="261"/>
      <c r="AO151" s="320"/>
      <c r="AP151" s="246"/>
      <c r="AQ151" s="434" t="s">
        <v>460</v>
      </c>
      <c r="AR151" s="246"/>
      <c r="AS151" s="441"/>
      <c r="AT151" s="254" t="str">
        <f>IF(COUNTIF($AO$79:$AT$81, #REF!) &gt; 0, "X", "")</f>
        <v/>
      </c>
      <c r="AU151" s="269"/>
    </row>
    <row r="152">
      <c r="A152" s="94"/>
      <c r="B152" s="447" t="s">
        <v>729</v>
      </c>
      <c r="C152" s="448" t="s">
        <v>730</v>
      </c>
      <c r="D152" s="330"/>
      <c r="E152" s="259"/>
      <c r="F152" s="441"/>
      <c r="G152" s="246"/>
      <c r="H152" s="406"/>
      <c r="I152" s="246"/>
      <c r="J152" s="441"/>
      <c r="K152" s="246"/>
      <c r="L152" s="462"/>
      <c r="M152" s="441"/>
      <c r="N152" s="246"/>
      <c r="O152" s="406"/>
      <c r="P152" s="246"/>
      <c r="Q152" s="441"/>
      <c r="R152" s="246"/>
      <c r="S152" s="261"/>
      <c r="T152" s="441"/>
      <c r="U152" s="246"/>
      <c r="V152" s="406"/>
      <c r="W152" s="246"/>
      <c r="X152" s="441"/>
      <c r="Y152" s="246"/>
      <c r="Z152" s="261"/>
      <c r="AA152" s="441"/>
      <c r="AB152" s="246"/>
      <c r="AC152" s="406"/>
      <c r="AD152" s="246"/>
      <c r="AE152" s="441"/>
      <c r="AF152" s="246"/>
      <c r="AG152" s="261"/>
      <c r="AH152" s="441"/>
      <c r="AI152" s="246"/>
      <c r="AJ152" s="406"/>
      <c r="AK152" s="246"/>
      <c r="AL152" s="441"/>
      <c r="AM152" s="246"/>
      <c r="AN152" s="261"/>
      <c r="AO152" s="479"/>
      <c r="AP152" s="246"/>
      <c r="AQ152" s="441"/>
      <c r="AR152" s="246"/>
      <c r="AS152" s="441"/>
      <c r="AT152" s="254" t="str">
        <f t="shared" ref="AT152:AT154" si="30">IF(COUNTIF($AO$79:$AT$81, AS152) &gt; 0, "X", "")</f>
        <v/>
      </c>
      <c r="AU152" s="269"/>
    </row>
    <row r="153">
      <c r="A153" s="94"/>
      <c r="B153" s="450" t="s">
        <v>731</v>
      </c>
      <c r="C153" s="451" t="s">
        <v>732</v>
      </c>
      <c r="D153" s="363"/>
      <c r="E153" s="259"/>
      <c r="F153" s="206"/>
      <c r="G153" s="246"/>
      <c r="H153" s="206" t="s">
        <v>946</v>
      </c>
      <c r="I153" s="246"/>
      <c r="J153" s="206"/>
      <c r="K153" s="246"/>
      <c r="L153" s="462"/>
      <c r="M153" s="206"/>
      <c r="N153" s="246"/>
      <c r="O153" s="206" t="s">
        <v>460</v>
      </c>
      <c r="P153" s="246"/>
      <c r="Q153" s="206"/>
      <c r="R153" s="246"/>
      <c r="S153" s="261"/>
      <c r="T153" s="206"/>
      <c r="U153" s="246"/>
      <c r="V153" s="206" t="s">
        <v>946</v>
      </c>
      <c r="W153" s="246"/>
      <c r="X153" s="206"/>
      <c r="Y153" s="246"/>
      <c r="Z153" s="261"/>
      <c r="AA153" s="206"/>
      <c r="AB153" s="246"/>
      <c r="AC153" s="206" t="s">
        <v>460</v>
      </c>
      <c r="AD153" s="246"/>
      <c r="AE153" s="206"/>
      <c r="AF153" s="246"/>
      <c r="AG153" s="261"/>
      <c r="AH153" s="206"/>
      <c r="AI153" s="246"/>
      <c r="AJ153" s="406"/>
      <c r="AK153" s="246"/>
      <c r="AL153" s="206"/>
      <c r="AM153" s="246"/>
      <c r="AN153" s="261"/>
      <c r="AO153" s="506"/>
      <c r="AP153" s="246"/>
      <c r="AQ153" s="206"/>
      <c r="AR153" s="246"/>
      <c r="AS153" s="206"/>
      <c r="AT153" s="254" t="str">
        <f t="shared" si="30"/>
        <v/>
      </c>
      <c r="AU153" s="269"/>
    </row>
    <row r="154">
      <c r="A154" s="94"/>
      <c r="B154" s="452" t="s">
        <v>733</v>
      </c>
      <c r="C154" s="453" t="s">
        <v>734</v>
      </c>
      <c r="D154" s="363"/>
      <c r="E154" s="259"/>
      <c r="F154" s="74"/>
      <c r="G154" s="246"/>
      <c r="H154" s="594" t="s">
        <v>395</v>
      </c>
      <c r="I154" s="246"/>
      <c r="J154" s="74"/>
      <c r="K154" s="246"/>
      <c r="L154" s="462"/>
      <c r="M154" s="74"/>
      <c r="N154" s="246"/>
      <c r="O154" s="594" t="s">
        <v>395</v>
      </c>
      <c r="P154" s="246"/>
      <c r="Q154" s="74"/>
      <c r="R154" s="246"/>
      <c r="S154" s="261"/>
      <c r="T154" s="74"/>
      <c r="U154" s="246"/>
      <c r="V154" s="594" t="s">
        <v>395</v>
      </c>
      <c r="W154" s="246"/>
      <c r="X154" s="74"/>
      <c r="Y154" s="246"/>
      <c r="Z154" s="261"/>
      <c r="AA154" s="74"/>
      <c r="AB154" s="246"/>
      <c r="AC154" s="594" t="s">
        <v>395</v>
      </c>
      <c r="AD154" s="246"/>
      <c r="AE154" s="74"/>
      <c r="AF154" s="246"/>
      <c r="AG154" s="261"/>
      <c r="AH154" s="74"/>
      <c r="AI154" s="246"/>
      <c r="AJ154" s="594" t="s">
        <v>395</v>
      </c>
      <c r="AK154" s="246"/>
      <c r="AL154" s="74"/>
      <c r="AM154" s="246"/>
      <c r="AN154" s="261"/>
      <c r="AO154" s="767"/>
      <c r="AP154" s="246"/>
      <c r="AQ154" s="206" t="s">
        <v>403</v>
      </c>
      <c r="AR154" s="246"/>
      <c r="AS154" s="654"/>
      <c r="AT154" s="254" t="str">
        <f t="shared" si="30"/>
        <v/>
      </c>
      <c r="AU154" s="269"/>
    </row>
    <row r="155">
      <c r="A155" s="94"/>
      <c r="B155" s="636"/>
      <c r="C155" s="637"/>
      <c r="D155" s="269"/>
      <c r="E155" s="638"/>
      <c r="F155" s="446"/>
      <c r="G155" s="246"/>
      <c r="H155" s="446"/>
      <c r="I155" s="246"/>
      <c r="J155" s="446"/>
      <c r="K155" s="246"/>
      <c r="L155" s="462"/>
      <c r="M155" s="446"/>
      <c r="N155" s="246"/>
      <c r="O155" s="446"/>
      <c r="P155" s="246"/>
      <c r="Q155" s="446"/>
      <c r="R155" s="246"/>
      <c r="S155" s="462"/>
      <c r="T155" s="446"/>
      <c r="U155" s="246"/>
      <c r="V155" s="446"/>
      <c r="W155" s="246"/>
      <c r="X155" s="446"/>
      <c r="Y155" s="246"/>
      <c r="Z155" s="462"/>
      <c r="AA155" s="446"/>
      <c r="AB155" s="246"/>
      <c r="AC155" s="446"/>
      <c r="AD155" s="246"/>
      <c r="AE155" s="446"/>
      <c r="AF155" s="246"/>
      <c r="AG155" s="462"/>
      <c r="AH155" s="446"/>
      <c r="AI155" s="246"/>
      <c r="AJ155" s="446"/>
      <c r="AK155" s="246"/>
      <c r="AL155" s="446"/>
      <c r="AM155" s="246"/>
      <c r="AN155" s="462"/>
      <c r="AO155" s="320"/>
      <c r="AP155" s="246"/>
      <c r="AQ155" s="446"/>
      <c r="AR155" s="246"/>
      <c r="AS155" s="446"/>
      <c r="AT155" s="254"/>
      <c r="AU155" s="269"/>
    </row>
    <row r="156">
      <c r="A156" s="94"/>
      <c r="B156" s="454" t="s">
        <v>735</v>
      </c>
      <c r="C156" s="455" t="s">
        <v>736</v>
      </c>
      <c r="D156" s="363"/>
      <c r="E156" s="259"/>
      <c r="F156" s="441"/>
      <c r="G156" s="246"/>
      <c r="H156" s="441"/>
      <c r="I156" s="246"/>
      <c r="J156" s="405" t="s">
        <v>462</v>
      </c>
      <c r="K156" s="246"/>
      <c r="L156" s="462"/>
      <c r="M156" s="441"/>
      <c r="N156" s="246"/>
      <c r="O156" s="441"/>
      <c r="P156" s="246"/>
      <c r="Q156" s="441"/>
      <c r="R156" s="246"/>
      <c r="S156" s="261"/>
      <c r="T156" s="441"/>
      <c r="U156" s="246"/>
      <c r="V156" s="441"/>
      <c r="W156" s="246"/>
      <c r="X156" s="405" t="s">
        <v>462</v>
      </c>
      <c r="Y156" s="246"/>
      <c r="Z156" s="261"/>
      <c r="AA156" s="441"/>
      <c r="AB156" s="246"/>
      <c r="AC156" s="441"/>
      <c r="AD156" s="246"/>
      <c r="AE156" s="441"/>
      <c r="AF156" s="246"/>
      <c r="AG156" s="261"/>
      <c r="AH156" s="441"/>
      <c r="AI156" s="246"/>
      <c r="AJ156" s="441"/>
      <c r="AK156" s="246"/>
      <c r="AL156" s="405" t="s">
        <v>462</v>
      </c>
      <c r="AM156" s="246"/>
      <c r="AN156" s="261"/>
      <c r="AO156" s="320"/>
      <c r="AP156" s="246"/>
      <c r="AQ156" s="441"/>
      <c r="AR156" s="246"/>
      <c r="AS156" s="441"/>
      <c r="AT156" s="254" t="str">
        <f t="shared" ref="AT156:AT158" si="31">IF(COUNTIF($AO$79:$AT$81, AS156) &gt; 0, "X", "")</f>
        <v/>
      </c>
      <c r="AU156" s="269"/>
    </row>
    <row r="157">
      <c r="A157" s="94"/>
      <c r="B157" s="454" t="s">
        <v>735</v>
      </c>
      <c r="C157" s="442" t="s">
        <v>736</v>
      </c>
      <c r="D157" s="363"/>
      <c r="E157" s="259"/>
      <c r="F157" s="456"/>
      <c r="G157" s="246"/>
      <c r="H157" s="456"/>
      <c r="I157" s="246"/>
      <c r="J157" s="456"/>
      <c r="K157" s="246"/>
      <c r="L157" s="462"/>
      <c r="M157" s="456"/>
      <c r="N157" s="246"/>
      <c r="O157" s="456"/>
      <c r="P157" s="246"/>
      <c r="Q157" s="456"/>
      <c r="R157" s="246"/>
      <c r="S157" s="261"/>
      <c r="T157" s="456"/>
      <c r="U157" s="246"/>
      <c r="V157" s="456"/>
      <c r="W157" s="246"/>
      <c r="X157" s="456"/>
      <c r="Y157" s="246"/>
      <c r="Z157" s="261"/>
      <c r="AA157" s="456"/>
      <c r="AB157" s="246"/>
      <c r="AC157" s="456"/>
      <c r="AD157" s="246"/>
      <c r="AE157" s="456"/>
      <c r="AF157" s="246"/>
      <c r="AG157" s="261"/>
      <c r="AH157" s="456"/>
      <c r="AI157" s="246"/>
      <c r="AJ157" s="456"/>
      <c r="AK157" s="246"/>
      <c r="AL157" s="456"/>
      <c r="AM157" s="246"/>
      <c r="AN157" s="261"/>
      <c r="AO157" s="479"/>
      <c r="AP157" s="246"/>
      <c r="AQ157" s="456"/>
      <c r="AR157" s="246"/>
      <c r="AS157" s="456"/>
      <c r="AT157" s="254" t="str">
        <f t="shared" si="31"/>
        <v/>
      </c>
      <c r="AU157" s="269"/>
    </row>
    <row r="158">
      <c r="A158" s="94"/>
      <c r="B158" s="457" t="s">
        <v>735</v>
      </c>
      <c r="C158" s="458" t="s">
        <v>737</v>
      </c>
      <c r="D158" s="363"/>
      <c r="E158" s="259"/>
      <c r="F158" s="406"/>
      <c r="G158" s="246"/>
      <c r="H158" s="406"/>
      <c r="I158" s="246"/>
      <c r="J158" s="406"/>
      <c r="K158" s="246"/>
      <c r="L158" s="462"/>
      <c r="M158" s="406"/>
      <c r="N158" s="246"/>
      <c r="O158" s="406"/>
      <c r="P158" s="246"/>
      <c r="Q158" s="406"/>
      <c r="R158" s="246"/>
      <c r="S158" s="261"/>
      <c r="T158" s="406"/>
      <c r="U158" s="246"/>
      <c r="V158" s="406"/>
      <c r="W158" s="246"/>
      <c r="X158" s="406"/>
      <c r="Y158" s="246"/>
      <c r="Z158" s="261"/>
      <c r="AA158" s="406"/>
      <c r="AB158" s="246"/>
      <c r="AC158" s="406"/>
      <c r="AD158" s="246"/>
      <c r="AE158" s="406"/>
      <c r="AF158" s="246"/>
      <c r="AG158" s="261"/>
      <c r="AH158" s="406"/>
      <c r="AI158" s="246"/>
      <c r="AJ158" s="406"/>
      <c r="AK158" s="246"/>
      <c r="AL158" s="406"/>
      <c r="AM158" s="246"/>
      <c r="AN158" s="261"/>
      <c r="AO158" s="506"/>
      <c r="AP158" s="246"/>
      <c r="AQ158" s="406"/>
      <c r="AR158" s="246"/>
      <c r="AS158" s="406"/>
      <c r="AT158" s="254" t="str">
        <f t="shared" si="31"/>
        <v/>
      </c>
      <c r="AU158" s="269"/>
    </row>
    <row r="159">
      <c r="A159" s="94"/>
      <c r="B159" s="459"/>
      <c r="C159" s="460" t="s">
        <v>738</v>
      </c>
      <c r="D159" s="363"/>
      <c r="E159" s="259"/>
      <c r="F159" s="461" t="s">
        <v>1129</v>
      </c>
      <c r="G159" s="246"/>
      <c r="H159" s="132"/>
      <c r="I159" s="246"/>
      <c r="J159" s="132"/>
      <c r="K159" s="246"/>
      <c r="L159" s="462"/>
      <c r="M159" s="461" t="s">
        <v>1130</v>
      </c>
      <c r="N159" s="246"/>
      <c r="O159" s="132"/>
      <c r="P159" s="246"/>
      <c r="Q159" s="132"/>
      <c r="R159" s="246"/>
      <c r="S159" s="462"/>
      <c r="T159" s="461" t="s">
        <v>1131</v>
      </c>
      <c r="U159" s="246"/>
      <c r="V159" s="132"/>
      <c r="W159" s="246"/>
      <c r="X159" s="132"/>
      <c r="Y159" s="246"/>
      <c r="Z159" s="462"/>
      <c r="AA159" s="461" t="s">
        <v>1132</v>
      </c>
      <c r="AB159" s="246"/>
      <c r="AC159" s="132"/>
      <c r="AD159" s="246"/>
      <c r="AE159" s="132"/>
      <c r="AF159" s="246"/>
      <c r="AG159" s="462"/>
      <c r="AH159" s="461" t="s">
        <v>1133</v>
      </c>
      <c r="AI159" s="246"/>
      <c r="AJ159" s="132"/>
      <c r="AK159" s="246"/>
      <c r="AL159" s="132"/>
      <c r="AM159" s="246"/>
      <c r="AN159" s="462"/>
      <c r="AO159" s="461" t="s">
        <v>1134</v>
      </c>
      <c r="AP159" s="246"/>
      <c r="AQ159" s="132"/>
      <c r="AR159" s="246"/>
      <c r="AS159" s="132"/>
      <c r="AT159" s="460"/>
      <c r="AU159" s="269"/>
    </row>
    <row r="160">
      <c r="A160" s="270"/>
      <c r="B160" s="459"/>
      <c r="C160" s="460" t="s">
        <v>738</v>
      </c>
      <c r="D160" s="363"/>
      <c r="E160" s="259"/>
      <c r="F160" s="461" t="s">
        <v>446</v>
      </c>
      <c r="G160" s="246"/>
      <c r="H160" s="132"/>
      <c r="I160" s="246"/>
      <c r="J160" s="132"/>
      <c r="K160" s="246"/>
      <c r="L160" s="462"/>
      <c r="M160" s="461" t="s">
        <v>446</v>
      </c>
      <c r="N160" s="246"/>
      <c r="O160" s="132"/>
      <c r="P160" s="246"/>
      <c r="Q160" s="132"/>
      <c r="R160" s="246"/>
      <c r="S160" s="462"/>
      <c r="T160" s="461" t="s">
        <v>446</v>
      </c>
      <c r="U160" s="246"/>
      <c r="V160" s="132"/>
      <c r="W160" s="246"/>
      <c r="X160" s="132"/>
      <c r="Y160" s="246"/>
      <c r="Z160" s="462"/>
      <c r="AA160" s="461" t="s">
        <v>446</v>
      </c>
      <c r="AB160" s="246"/>
      <c r="AC160" s="132"/>
      <c r="AD160" s="246"/>
      <c r="AE160" s="132"/>
      <c r="AF160" s="246"/>
      <c r="AG160" s="462"/>
      <c r="AH160" s="461" t="s">
        <v>446</v>
      </c>
      <c r="AI160" s="246"/>
      <c r="AJ160" s="132"/>
      <c r="AK160" s="246"/>
      <c r="AL160" s="132"/>
      <c r="AM160" s="246"/>
      <c r="AN160" s="462"/>
      <c r="AO160" s="461" t="s">
        <v>446</v>
      </c>
      <c r="AP160" s="246"/>
      <c r="AQ160" s="132"/>
      <c r="AR160" s="246"/>
      <c r="AS160" s="132"/>
      <c r="AT160" s="460"/>
      <c r="AU160" s="236"/>
    </row>
    <row r="161">
      <c r="A161" s="236"/>
      <c r="B161" s="459"/>
      <c r="C161" s="460" t="s">
        <v>738</v>
      </c>
      <c r="D161" s="363"/>
      <c r="E161" s="259"/>
      <c r="F161" s="132"/>
      <c r="G161" s="246"/>
      <c r="H161" s="132"/>
      <c r="I161" s="246"/>
      <c r="J161" s="132"/>
      <c r="K161" s="246"/>
      <c r="L161" s="462"/>
      <c r="M161" s="132"/>
      <c r="N161" s="246"/>
      <c r="O161" s="132"/>
      <c r="P161" s="246"/>
      <c r="Q161" s="132"/>
      <c r="R161" s="246"/>
      <c r="S161" s="462"/>
      <c r="T161" s="132"/>
      <c r="U161" s="246"/>
      <c r="V161" s="132"/>
      <c r="W161" s="246"/>
      <c r="X161" s="132"/>
      <c r="Y161" s="246"/>
      <c r="Z161" s="462"/>
      <c r="AA161" s="461" t="s">
        <v>562</v>
      </c>
      <c r="AB161" s="246"/>
      <c r="AC161" s="132"/>
      <c r="AD161" s="246"/>
      <c r="AE161" s="132"/>
      <c r="AF161" s="246"/>
      <c r="AG161" s="462"/>
      <c r="AH161" s="461" t="s">
        <v>1135</v>
      </c>
      <c r="AI161" s="246"/>
      <c r="AJ161" s="132"/>
      <c r="AK161" s="246"/>
      <c r="AL161" s="132"/>
      <c r="AM161" s="246"/>
      <c r="AN161" s="462"/>
      <c r="AO161" s="461" t="s">
        <v>1136</v>
      </c>
      <c r="AP161" s="246"/>
      <c r="AQ161" s="132"/>
      <c r="AR161" s="246"/>
      <c r="AS161" s="132"/>
      <c r="AT161" s="460"/>
      <c r="AU161" s="236"/>
    </row>
    <row r="162">
      <c r="A162" s="182"/>
      <c r="B162" s="183" t="s">
        <v>778</v>
      </c>
      <c r="C162" s="184" t="s">
        <v>605</v>
      </c>
      <c r="D162" s="185" t="s">
        <v>486</v>
      </c>
      <c r="E162" s="186"/>
      <c r="F162" s="185" t="s">
        <v>487</v>
      </c>
      <c r="M162" s="185" t="s">
        <v>488</v>
      </c>
      <c r="T162" s="185" t="s">
        <v>489</v>
      </c>
      <c r="AA162" s="185" t="s">
        <v>490</v>
      </c>
      <c r="AH162" s="185" t="s">
        <v>491</v>
      </c>
      <c r="AO162" s="185" t="s">
        <v>492</v>
      </c>
      <c r="AU162" s="182"/>
    </row>
    <row r="163">
      <c r="A163" s="182"/>
      <c r="B163" s="187"/>
      <c r="C163" s="187"/>
      <c r="D163" s="188">
        <f>AO83+1</f>
        <v>19</v>
      </c>
      <c r="E163" s="189"/>
      <c r="F163" s="188">
        <f>D163+1</f>
        <v>20</v>
      </c>
      <c r="M163" s="188">
        <f>F163+1</f>
        <v>21</v>
      </c>
      <c r="T163" s="188">
        <f>M163+1</f>
        <v>22</v>
      </c>
      <c r="AA163" s="188">
        <f>T163+1</f>
        <v>23</v>
      </c>
      <c r="AH163" s="188">
        <f>AA163+1</f>
        <v>24</v>
      </c>
      <c r="AO163" s="188">
        <f>AH163+1</f>
        <v>25</v>
      </c>
      <c r="AU163" s="182"/>
    </row>
    <row r="164">
      <c r="A164" s="182"/>
      <c r="B164" s="193" t="s">
        <v>608</v>
      </c>
      <c r="C164" s="193" t="s">
        <v>609</v>
      </c>
      <c r="D164" s="187"/>
      <c r="E164" s="189"/>
      <c r="F164" s="194" t="s">
        <v>610</v>
      </c>
      <c r="G164" s="195"/>
      <c r="H164" s="193" t="s">
        <v>611</v>
      </c>
      <c r="J164" s="194" t="s">
        <v>612</v>
      </c>
      <c r="M164" s="194" t="s">
        <v>610</v>
      </c>
      <c r="N164" s="195"/>
      <c r="O164" s="193" t="s">
        <v>611</v>
      </c>
      <c r="P164" s="195"/>
      <c r="Q164" s="194" t="s">
        <v>612</v>
      </c>
      <c r="S164" s="193"/>
      <c r="T164" s="194" t="s">
        <v>610</v>
      </c>
      <c r="U164" s="195"/>
      <c r="V164" s="193" t="s">
        <v>611</v>
      </c>
      <c r="W164" s="195"/>
      <c r="X164" s="194" t="s">
        <v>612</v>
      </c>
      <c r="Z164" s="193"/>
      <c r="AA164" s="194" t="s">
        <v>610</v>
      </c>
      <c r="AB164" s="195"/>
      <c r="AC164" s="193" t="s">
        <v>611</v>
      </c>
      <c r="AD164" s="195"/>
      <c r="AE164" s="194" t="s">
        <v>612</v>
      </c>
      <c r="AG164" s="193"/>
      <c r="AH164" s="194" t="s">
        <v>610</v>
      </c>
      <c r="AI164" s="195"/>
      <c r="AJ164" s="193" t="s">
        <v>611</v>
      </c>
      <c r="AK164" s="195"/>
      <c r="AL164" s="194" t="s">
        <v>612</v>
      </c>
      <c r="AN164" s="193"/>
      <c r="AO164" s="194" t="s">
        <v>610</v>
      </c>
      <c r="AP164" s="195"/>
      <c r="AQ164" s="193" t="s">
        <v>611</v>
      </c>
      <c r="AR164" s="195"/>
      <c r="AS164" s="194" t="s">
        <v>612</v>
      </c>
      <c r="AU164" s="182"/>
    </row>
    <row r="165">
      <c r="A165" s="199"/>
      <c r="B165" s="200" t="s">
        <v>620</v>
      </c>
      <c r="C165" s="201"/>
      <c r="D165" s="203"/>
      <c r="E165" s="202"/>
      <c r="F165" s="203"/>
      <c r="G165" s="204"/>
      <c r="H165" s="203"/>
      <c r="I165" s="204"/>
      <c r="J165" s="724" t="s">
        <v>1137</v>
      </c>
      <c r="K165" s="204"/>
      <c r="L165" s="221"/>
      <c r="M165" s="203"/>
      <c r="N165" s="204"/>
      <c r="O165" s="203"/>
      <c r="P165" s="204"/>
      <c r="Q165" s="203"/>
      <c r="R165" s="204"/>
      <c r="S165" s="205"/>
      <c r="T165" s="203"/>
      <c r="U165" s="204"/>
      <c r="V165" s="203"/>
      <c r="W165" s="204"/>
      <c r="X165" s="203"/>
      <c r="Y165" s="204"/>
      <c r="Z165" s="205"/>
      <c r="AA165" s="203"/>
      <c r="AB165" s="204"/>
      <c r="AC165" s="203"/>
      <c r="AD165" s="204"/>
      <c r="AE165" s="203"/>
      <c r="AF165" s="204"/>
      <c r="AG165" s="205"/>
      <c r="AH165" s="203"/>
      <c r="AI165" s="204"/>
      <c r="AJ165" s="203"/>
      <c r="AK165" s="204"/>
      <c r="AL165" s="203" t="s">
        <v>1111</v>
      </c>
      <c r="AM165" s="204"/>
      <c r="AN165" s="205"/>
      <c r="AO165" s="203"/>
      <c r="AP165" s="204"/>
      <c r="AQ165" s="203"/>
      <c r="AR165" s="204"/>
      <c r="AS165" s="203"/>
      <c r="AT165" s="204"/>
      <c r="AU165" s="199"/>
    </row>
    <row r="166">
      <c r="A166" s="234"/>
      <c r="B166" s="235" t="s">
        <v>608</v>
      </c>
      <c r="C166" s="195" t="s">
        <v>609</v>
      </c>
      <c r="D166" s="236"/>
      <c r="E166" s="237"/>
      <c r="F166" s="238"/>
      <c r="G166" s="182"/>
      <c r="H166" s="238"/>
      <c r="I166" s="239"/>
      <c r="J166" s="238"/>
      <c r="K166" s="239"/>
      <c r="L166" s="94"/>
      <c r="M166" s="238"/>
      <c r="N166" s="182"/>
      <c r="O166" s="238"/>
      <c r="P166" s="239"/>
      <c r="Q166" s="238"/>
      <c r="R166" s="239"/>
      <c r="S166" s="237"/>
      <c r="T166" s="238"/>
      <c r="U166" s="182"/>
      <c r="V166" s="238"/>
      <c r="W166" s="239"/>
      <c r="X166" s="238"/>
      <c r="Y166" s="239"/>
      <c r="Z166" s="237"/>
      <c r="AA166" s="238"/>
      <c r="AB166" s="182"/>
      <c r="AC166" s="238"/>
      <c r="AD166" s="239"/>
      <c r="AE166" s="238"/>
      <c r="AF166" s="239"/>
      <c r="AG166" s="237"/>
      <c r="AH166" s="238"/>
      <c r="AI166" s="182"/>
      <c r="AJ166" s="238"/>
      <c r="AK166" s="239"/>
      <c r="AL166" s="238"/>
      <c r="AM166" s="239"/>
      <c r="AN166" s="237"/>
      <c r="AO166" s="238"/>
      <c r="AP166" s="182"/>
      <c r="AQ166" s="238"/>
      <c r="AR166" s="239"/>
      <c r="AS166" s="238"/>
      <c r="AT166" s="239"/>
      <c r="AU166" s="236"/>
    </row>
    <row r="167">
      <c r="A167" s="240"/>
      <c r="B167" s="241" t="s">
        <v>638</v>
      </c>
      <c r="C167" s="242" t="s">
        <v>639</v>
      </c>
      <c r="D167" s="243"/>
      <c r="E167" s="244"/>
      <c r="F167" s="371"/>
      <c r="G167" s="246"/>
      <c r="H167" s="426"/>
      <c r="I167" s="246"/>
      <c r="J167" s="274" t="s">
        <v>414</v>
      </c>
      <c r="K167" s="246"/>
      <c r="L167" s="676"/>
      <c r="M167" s="250"/>
      <c r="N167" s="246"/>
      <c r="P167" s="246"/>
      <c r="R167" s="246"/>
      <c r="S167" s="249"/>
      <c r="T167" s="250"/>
      <c r="U167" s="246"/>
      <c r="V167" s="282"/>
      <c r="W167" s="246"/>
      <c r="X167" s="251" t="s">
        <v>405</v>
      </c>
      <c r="Y167" s="246"/>
      <c r="Z167" s="249"/>
      <c r="AA167" s="250"/>
      <c r="AB167" s="246"/>
      <c r="AC167" s="282"/>
      <c r="AD167" s="246"/>
      <c r="AE167" s="251" t="s">
        <v>405</v>
      </c>
      <c r="AF167" s="246"/>
      <c r="AG167" s="249"/>
      <c r="AH167" s="371"/>
      <c r="AI167" s="246"/>
      <c r="AJ167" s="282"/>
      <c r="AK167" s="246"/>
      <c r="AL167" s="251" t="s">
        <v>405</v>
      </c>
      <c r="AM167" s="246"/>
      <c r="AN167" s="249"/>
      <c r="AO167" s="286"/>
      <c r="AP167" s="246"/>
      <c r="AR167" s="246"/>
      <c r="AT167" s="254" t="str">
        <f>IF(COUNTIF($AO$79:$AT$81, #REF!) &gt; 0, "X", "")</f>
        <v/>
      </c>
      <c r="AU167" s="255"/>
    </row>
    <row r="168">
      <c r="A168" s="94"/>
      <c r="B168" s="256" t="s">
        <v>638</v>
      </c>
      <c r="C168" s="257" t="s">
        <v>639</v>
      </c>
      <c r="D168" s="258"/>
      <c r="E168" s="259"/>
      <c r="F168" s="371"/>
      <c r="G168" s="246"/>
      <c r="H168" s="426"/>
      <c r="I168" s="246"/>
      <c r="J168" s="274" t="s">
        <v>419</v>
      </c>
      <c r="K168" s="246"/>
      <c r="L168" s="676"/>
      <c r="M168" s="250"/>
      <c r="N168" s="246"/>
      <c r="P168" s="246"/>
      <c r="Q168" s="274" t="s">
        <v>419</v>
      </c>
      <c r="R168" s="246"/>
      <c r="S168" s="249"/>
      <c r="T168" s="250"/>
      <c r="U168" s="246"/>
      <c r="V168" s="282"/>
      <c r="W168" s="246"/>
      <c r="Y168" s="246"/>
      <c r="Z168" s="249"/>
      <c r="AA168" s="250"/>
      <c r="AB168" s="246"/>
      <c r="AC168" s="282"/>
      <c r="AD168" s="246"/>
      <c r="AF168" s="246"/>
      <c r="AG168" s="249"/>
      <c r="AH168" s="371"/>
      <c r="AI168" s="246"/>
      <c r="AJ168" s="282"/>
      <c r="AK168" s="246"/>
      <c r="AL168" s="274" t="s">
        <v>414</v>
      </c>
      <c r="AM168" s="246"/>
      <c r="AN168" s="249"/>
      <c r="AO168" s="286"/>
      <c r="AP168" s="246"/>
      <c r="AR168" s="246"/>
      <c r="AS168" s="251" t="s">
        <v>405</v>
      </c>
      <c r="AT168" s="254" t="str">
        <f>IF(COUNTIF($AO$79:$AT$81, AS174) &gt; 0, "X", "")</f>
        <v/>
      </c>
      <c r="AU168" s="269"/>
    </row>
    <row r="169">
      <c r="A169" s="270"/>
      <c r="B169" s="271" t="s">
        <v>642</v>
      </c>
      <c r="C169" s="272" t="s">
        <v>639</v>
      </c>
      <c r="D169" s="258"/>
      <c r="E169" s="259"/>
      <c r="F169" s="426"/>
      <c r="G169" s="246"/>
      <c r="H169" s="426"/>
      <c r="I169" s="246"/>
      <c r="J169" s="265"/>
      <c r="K169" s="246"/>
      <c r="L169" s="462"/>
      <c r="M169" s="262"/>
      <c r="N169" s="246"/>
      <c r="O169" s="265"/>
      <c r="P169" s="246"/>
      <c r="R169" s="246"/>
      <c r="S169" s="261"/>
      <c r="T169" s="262"/>
      <c r="U169" s="246"/>
      <c r="V169" s="282"/>
      <c r="W169" s="246"/>
      <c r="Y169" s="246"/>
      <c r="Z169" s="261"/>
      <c r="AA169" s="262"/>
      <c r="AB169" s="246"/>
      <c r="AC169" s="265"/>
      <c r="AD169" s="246"/>
      <c r="AF169" s="246"/>
      <c r="AG169" s="261"/>
      <c r="AH169" s="426"/>
      <c r="AI169" s="246"/>
      <c r="AJ169" s="265"/>
      <c r="AK169" s="246"/>
      <c r="AM169" s="246"/>
      <c r="AN169" s="261"/>
      <c r="AO169" s="262"/>
      <c r="AP169" s="246"/>
      <c r="AQ169" s="598"/>
      <c r="AR169" s="246"/>
      <c r="AS169" s="598"/>
      <c r="AT169" s="254" t="str">
        <f>IF(COUNTIF($AO$79:$AT$81, #REF!) &gt; 0, "X", "")</f>
        <v/>
      </c>
      <c r="AU169" s="269"/>
    </row>
    <row r="170">
      <c r="A170" s="234"/>
      <c r="B170" s="277" t="s">
        <v>644</v>
      </c>
      <c r="C170" s="278" t="s">
        <v>645</v>
      </c>
      <c r="D170" s="258"/>
      <c r="E170" s="259"/>
      <c r="F170" s="281"/>
      <c r="G170" s="246"/>
      <c r="H170" s="280" t="s">
        <v>400</v>
      </c>
      <c r="I170" s="246"/>
      <c r="J170" s="282"/>
      <c r="K170" s="246"/>
      <c r="L170" s="462"/>
      <c r="M170" s="250"/>
      <c r="N170" s="246"/>
      <c r="P170" s="246"/>
      <c r="Q170" s="282"/>
      <c r="R170" s="246"/>
      <c r="S170" s="261"/>
      <c r="T170" s="250"/>
      <c r="U170" s="246"/>
      <c r="V170" s="280" t="s">
        <v>400</v>
      </c>
      <c r="W170" s="246"/>
      <c r="Y170" s="246"/>
      <c r="Z170" s="261"/>
      <c r="AA170" s="250"/>
      <c r="AB170" s="246"/>
      <c r="AC170" s="281"/>
      <c r="AD170" s="246"/>
      <c r="AE170" s="280" t="s">
        <v>400</v>
      </c>
      <c r="AF170" s="246"/>
      <c r="AG170" s="261"/>
      <c r="AH170" s="282"/>
      <c r="AI170" s="246"/>
      <c r="AJ170" s="280" t="s">
        <v>400</v>
      </c>
      <c r="AK170" s="246"/>
      <c r="AL170" s="281"/>
      <c r="AM170" s="246"/>
      <c r="AN170" s="261"/>
      <c r="AO170" s="250"/>
      <c r="AP170" s="246"/>
      <c r="AQ170" s="276"/>
      <c r="AR170" s="246"/>
      <c r="AS170" s="276"/>
      <c r="AT170" s="254" t="str">
        <f>IF(COUNTIF($AO$79:$AT$81, AO171) &gt; 0, "X", "")</f>
        <v/>
      </c>
      <c r="AU170" s="269"/>
    </row>
    <row r="171">
      <c r="A171" s="94"/>
      <c r="B171" s="256" t="s">
        <v>757</v>
      </c>
      <c r="C171" s="257" t="s">
        <v>645</v>
      </c>
      <c r="D171" s="258"/>
      <c r="E171" s="259"/>
      <c r="F171" s="274" t="s">
        <v>402</v>
      </c>
      <c r="G171" s="246"/>
      <c r="H171" s="371"/>
      <c r="I171" s="246"/>
      <c r="J171" s="371"/>
      <c r="K171" s="246"/>
      <c r="L171" s="462"/>
      <c r="M171" s="250"/>
      <c r="N171" s="246"/>
      <c r="O171" s="280" t="s">
        <v>402</v>
      </c>
      <c r="P171" s="246"/>
      <c r="Q171" s="280" t="s">
        <v>400</v>
      </c>
      <c r="R171" s="246"/>
      <c r="S171" s="261"/>
      <c r="T171" s="250"/>
      <c r="U171" s="246"/>
      <c r="V171" s="371"/>
      <c r="W171" s="246"/>
      <c r="X171" s="274" t="s">
        <v>402</v>
      </c>
      <c r="Y171" s="246"/>
      <c r="Z171" s="261"/>
      <c r="AA171" s="250"/>
      <c r="AB171" s="246"/>
      <c r="AC171" s="274" t="s">
        <v>402</v>
      </c>
      <c r="AD171" s="246"/>
      <c r="AE171" s="282"/>
      <c r="AF171" s="246"/>
      <c r="AG171" s="261"/>
      <c r="AH171" s="371"/>
      <c r="AI171" s="246"/>
      <c r="AJ171" s="371"/>
      <c r="AK171" s="246"/>
      <c r="AL171" s="274" t="s">
        <v>402</v>
      </c>
      <c r="AM171" s="246"/>
      <c r="AN171" s="261"/>
      <c r="AO171" s="332"/>
      <c r="AP171" s="246"/>
      <c r="AQ171" s="252"/>
      <c r="AR171" s="246"/>
      <c r="AS171" s="252"/>
      <c r="AT171" s="254" t="str">
        <f>IF(COUNTIF($AO$79:$AT$81, AS173) &gt; 0, "X", "")</f>
        <v/>
      </c>
      <c r="AU171" s="269"/>
    </row>
    <row r="172">
      <c r="A172" s="94"/>
      <c r="B172" s="284" t="s">
        <v>646</v>
      </c>
      <c r="C172" s="285" t="s">
        <v>647</v>
      </c>
      <c r="D172" s="258"/>
      <c r="E172" s="259"/>
      <c r="F172" s="251" t="s">
        <v>427</v>
      </c>
      <c r="G172" s="246"/>
      <c r="H172" s="399"/>
      <c r="I172" s="246"/>
      <c r="J172" s="399"/>
      <c r="K172" s="246"/>
      <c r="L172" s="462"/>
      <c r="M172" s="324"/>
      <c r="N172" s="246"/>
      <c r="O172" s="399"/>
      <c r="P172" s="246"/>
      <c r="Q172" s="287" t="s">
        <v>427</v>
      </c>
      <c r="R172" s="246"/>
      <c r="S172" s="261"/>
      <c r="T172" s="324"/>
      <c r="U172" s="246"/>
      <c r="W172" s="246"/>
      <c r="X172" s="251" t="s">
        <v>427</v>
      </c>
      <c r="Y172" s="246"/>
      <c r="Z172" s="261"/>
      <c r="AA172" s="324"/>
      <c r="AB172" s="246"/>
      <c r="AD172" s="246"/>
      <c r="AE172" s="251" t="s">
        <v>427</v>
      </c>
      <c r="AF172" s="246"/>
      <c r="AG172" s="261"/>
      <c r="AH172" s="251" t="s">
        <v>427</v>
      </c>
      <c r="AI172" s="246"/>
      <c r="AJ172" s="282"/>
      <c r="AK172" s="246"/>
      <c r="AL172" s="282"/>
      <c r="AM172" s="246"/>
      <c r="AN172" s="261"/>
      <c r="AO172" s="250"/>
      <c r="AP172" s="246"/>
      <c r="AQ172" s="252"/>
      <c r="AR172" s="246"/>
      <c r="AS172" s="252"/>
      <c r="AT172" s="254" t="str">
        <f t="shared" ref="AT172:AT174" si="32">IF(COUNTIF($AO$79:$AT$81, #REF!) &gt; 0, "X", "")</f>
        <v/>
      </c>
      <c r="AU172" s="269"/>
    </row>
    <row r="173">
      <c r="A173" s="270"/>
      <c r="B173" s="291" t="s">
        <v>648</v>
      </c>
      <c r="C173" s="292" t="s">
        <v>649</v>
      </c>
      <c r="D173" s="258"/>
      <c r="E173" s="259"/>
      <c r="F173" s="294"/>
      <c r="G173" s="246"/>
      <c r="H173" s="293"/>
      <c r="I173" s="246"/>
      <c r="J173" s="294"/>
      <c r="K173" s="246"/>
      <c r="L173" s="462"/>
      <c r="M173" s="250"/>
      <c r="N173" s="246"/>
      <c r="O173" s="356" t="s">
        <v>423</v>
      </c>
      <c r="P173" s="246"/>
      <c r="Q173" s="294"/>
      <c r="R173" s="246"/>
      <c r="S173" s="261"/>
      <c r="T173" s="250"/>
      <c r="U173" s="246"/>
      <c r="V173" s="294"/>
      <c r="W173" s="246"/>
      <c r="X173" s="294"/>
      <c r="Y173" s="246"/>
      <c r="Z173" s="261"/>
      <c r="AA173" s="250"/>
      <c r="AB173" s="246"/>
      <c r="AC173" s="294"/>
      <c r="AD173" s="246"/>
      <c r="AE173" s="293" t="s">
        <v>418</v>
      </c>
      <c r="AF173" s="246"/>
      <c r="AG173" s="261"/>
      <c r="AH173" s="294"/>
      <c r="AI173" s="246"/>
      <c r="AJ173" s="294"/>
      <c r="AK173" s="246"/>
      <c r="AL173" s="294"/>
      <c r="AM173" s="246"/>
      <c r="AN173" s="261"/>
      <c r="AO173" s="250"/>
      <c r="AP173" s="246"/>
      <c r="AQ173" s="293" t="s">
        <v>418</v>
      </c>
      <c r="AR173" s="246"/>
      <c r="AS173" s="294"/>
      <c r="AT173" s="254" t="str">
        <f t="shared" si="32"/>
        <v/>
      </c>
      <c r="AU173" s="269"/>
    </row>
    <row r="174">
      <c r="A174" s="94"/>
      <c r="B174" s="296" t="s">
        <v>650</v>
      </c>
      <c r="C174" s="297" t="s">
        <v>649</v>
      </c>
      <c r="D174" s="258"/>
      <c r="E174" s="259"/>
      <c r="F174" s="299"/>
      <c r="G174" s="298"/>
      <c r="H174" s="299"/>
      <c r="I174" s="298"/>
      <c r="J174" s="299"/>
      <c r="K174" s="298"/>
      <c r="L174" s="462"/>
      <c r="M174" s="250"/>
      <c r="N174" s="298"/>
      <c r="O174" s="299"/>
      <c r="P174" s="298"/>
      <c r="Q174" s="299"/>
      <c r="R174" s="298"/>
      <c r="S174" s="261"/>
      <c r="T174" s="250"/>
      <c r="U174" s="298"/>
      <c r="V174" s="299"/>
      <c r="W174" s="298"/>
      <c r="X174" s="299"/>
      <c r="Y174" s="298"/>
      <c r="Z174" s="261"/>
      <c r="AA174" s="250"/>
      <c r="AB174" s="298"/>
      <c r="AC174" s="299"/>
      <c r="AD174" s="298"/>
      <c r="AE174" s="299"/>
      <c r="AF174" s="298"/>
      <c r="AG174" s="261"/>
      <c r="AH174" s="299"/>
      <c r="AI174" s="298"/>
      <c r="AJ174" s="299"/>
      <c r="AK174" s="298"/>
      <c r="AL174" s="299"/>
      <c r="AM174" s="298"/>
      <c r="AN174" s="261"/>
      <c r="AO174" s="250"/>
      <c r="AP174" s="298"/>
      <c r="AQ174" s="300"/>
      <c r="AR174" s="298"/>
      <c r="AS174" s="300"/>
      <c r="AT174" s="254" t="str">
        <f t="shared" si="32"/>
        <v/>
      </c>
      <c r="AU174" s="269"/>
    </row>
    <row r="175">
      <c r="A175" s="94"/>
      <c r="B175" s="301" t="s">
        <v>651</v>
      </c>
      <c r="C175" s="302" t="s">
        <v>652</v>
      </c>
      <c r="D175" s="243"/>
      <c r="E175" s="259"/>
      <c r="F175" s="303"/>
      <c r="G175" s="298"/>
      <c r="H175" s="303"/>
      <c r="I175" s="298"/>
      <c r="J175" s="303"/>
      <c r="K175" s="298"/>
      <c r="L175" s="462"/>
      <c r="M175" s="250"/>
      <c r="N175" s="298"/>
      <c r="O175" s="303"/>
      <c r="P175" s="298"/>
      <c r="Q175" s="303"/>
      <c r="R175" s="298"/>
      <c r="S175" s="261"/>
      <c r="T175" s="250"/>
      <c r="U175" s="298"/>
      <c r="V175" s="303"/>
      <c r="W175" s="298"/>
      <c r="X175" s="303"/>
      <c r="Y175" s="298"/>
      <c r="Z175" s="261"/>
      <c r="AA175" s="250"/>
      <c r="AB175" s="298"/>
      <c r="AC175" s="303"/>
      <c r="AD175" s="298"/>
      <c r="AE175" s="303"/>
      <c r="AF175" s="298"/>
      <c r="AG175" s="261"/>
      <c r="AH175" s="303"/>
      <c r="AI175" s="298"/>
      <c r="AJ175" s="303"/>
      <c r="AK175" s="298"/>
      <c r="AL175" s="303"/>
      <c r="AM175" s="298"/>
      <c r="AN175" s="261"/>
      <c r="AO175" s="250"/>
      <c r="AP175" s="298"/>
      <c r="AQ175" s="304"/>
      <c r="AR175" s="298"/>
      <c r="AS175" s="304"/>
      <c r="AT175" s="254" t="str">
        <f t="shared" ref="AT175:AT176" si="33">IF(COUNTIF($AO$79:$AT$81, AS176) &gt; 0, "X", "")</f>
        <v/>
      </c>
      <c r="AU175" s="269"/>
    </row>
    <row r="176">
      <c r="A176" s="94"/>
      <c r="B176" s="305" t="s">
        <v>653</v>
      </c>
      <c r="C176" s="306" t="s">
        <v>654</v>
      </c>
      <c r="D176" s="243"/>
      <c r="E176" s="259"/>
      <c r="F176" s="307"/>
      <c r="G176" s="298"/>
      <c r="H176" s="307"/>
      <c r="I176" s="298"/>
      <c r="J176" s="307"/>
      <c r="K176" s="298"/>
      <c r="L176" s="462"/>
      <c r="M176" s="250"/>
      <c r="N176" s="298"/>
      <c r="O176" s="307"/>
      <c r="P176" s="298"/>
      <c r="Q176" s="307"/>
      <c r="R176" s="298"/>
      <c r="S176" s="261"/>
      <c r="T176" s="250"/>
      <c r="U176" s="298"/>
      <c r="V176" s="307"/>
      <c r="W176" s="298"/>
      <c r="X176" s="307"/>
      <c r="Y176" s="298"/>
      <c r="Z176" s="261"/>
      <c r="AA176" s="250"/>
      <c r="AB176" s="298"/>
      <c r="AC176" s="307"/>
      <c r="AD176" s="298"/>
      <c r="AE176" s="307"/>
      <c r="AF176" s="298"/>
      <c r="AG176" s="261"/>
      <c r="AH176" s="307"/>
      <c r="AI176" s="298"/>
      <c r="AJ176" s="307"/>
      <c r="AK176" s="298"/>
      <c r="AL176" s="307"/>
      <c r="AM176" s="298"/>
      <c r="AN176" s="261"/>
      <c r="AO176" s="250"/>
      <c r="AP176" s="298"/>
      <c r="AQ176" s="307"/>
      <c r="AR176" s="298"/>
      <c r="AS176" s="307"/>
      <c r="AT176" s="254" t="str">
        <f t="shared" si="33"/>
        <v/>
      </c>
      <c r="AU176" s="269"/>
    </row>
    <row r="177">
      <c r="A177" s="94"/>
      <c r="B177" s="310" t="s">
        <v>656</v>
      </c>
      <c r="C177" s="278" t="s">
        <v>657</v>
      </c>
      <c r="D177" s="243"/>
      <c r="E177" s="259"/>
      <c r="F177" s="281"/>
      <c r="G177" s="246"/>
      <c r="H177" s="282"/>
      <c r="I177" s="246"/>
      <c r="J177" s="282"/>
      <c r="K177" s="246"/>
      <c r="L177" s="462"/>
      <c r="M177" s="250"/>
      <c r="N177" s="246"/>
      <c r="O177" s="274" t="s">
        <v>458</v>
      </c>
      <c r="P177" s="246"/>
      <c r="R177" s="246"/>
      <c r="S177" s="261"/>
      <c r="T177" s="250"/>
      <c r="U177" s="246"/>
      <c r="V177" s="282"/>
      <c r="W177" s="246"/>
      <c r="Y177" s="246"/>
      <c r="Z177" s="261"/>
      <c r="AA177" s="250"/>
      <c r="AB177" s="246"/>
      <c r="AD177" s="246"/>
      <c r="AE177" s="311" t="s">
        <v>434</v>
      </c>
      <c r="AF177" s="246"/>
      <c r="AG177" s="261"/>
      <c r="AH177" s="282"/>
      <c r="AI177" s="246"/>
      <c r="AK177" s="246"/>
      <c r="AM177" s="246"/>
      <c r="AN177" s="261"/>
      <c r="AO177" s="250"/>
      <c r="AP177" s="246"/>
      <c r="AQ177" s="276"/>
      <c r="AR177" s="246"/>
      <c r="AS177" s="276"/>
      <c r="AT177" s="254" t="str">
        <f t="shared" ref="AT177:AT182" si="34">IF(COUNTIF($AO$79:$AT$81, #REF!) &gt; 0, "X", "")</f>
        <v/>
      </c>
      <c r="AU177" s="269"/>
    </row>
    <row r="178">
      <c r="A178" s="94"/>
      <c r="B178" s="277" t="s">
        <v>658</v>
      </c>
      <c r="C178" s="278" t="s">
        <v>657</v>
      </c>
      <c r="D178" s="243"/>
      <c r="E178" s="259"/>
      <c r="F178" s="282"/>
      <c r="G178" s="246"/>
      <c r="I178" s="246"/>
      <c r="K178" s="246"/>
      <c r="L178" s="462"/>
      <c r="M178" s="250"/>
      <c r="N178" s="246"/>
      <c r="O178" s="311" t="s">
        <v>434</v>
      </c>
      <c r="P178" s="246"/>
      <c r="Q178" s="353" t="s">
        <v>421</v>
      </c>
      <c r="R178" s="246"/>
      <c r="S178" s="261"/>
      <c r="T178" s="250"/>
      <c r="U178" s="246"/>
      <c r="W178" s="246"/>
      <c r="Y178" s="246"/>
      <c r="Z178" s="261"/>
      <c r="AA178" s="250"/>
      <c r="AB178" s="246"/>
      <c r="AD178" s="246"/>
      <c r="AE178" s="336" t="s">
        <v>398</v>
      </c>
      <c r="AF178" s="246"/>
      <c r="AG178" s="261"/>
      <c r="AH178" s="282"/>
      <c r="AI178" s="246"/>
      <c r="AK178" s="246"/>
      <c r="AL178" s="802" t="s">
        <v>419</v>
      </c>
      <c r="AM178" s="246"/>
      <c r="AN178" s="261"/>
      <c r="AO178" s="250"/>
      <c r="AP178" s="246"/>
      <c r="AR178" s="246"/>
      <c r="AT178" s="254" t="str">
        <f t="shared" si="34"/>
        <v/>
      </c>
      <c r="AU178" s="269"/>
    </row>
    <row r="179">
      <c r="A179" s="94"/>
      <c r="B179" s="314" t="s">
        <v>660</v>
      </c>
      <c r="C179" s="315" t="s">
        <v>649</v>
      </c>
      <c r="D179" s="243"/>
      <c r="E179" s="259"/>
      <c r="F179" s="479"/>
      <c r="G179" s="246"/>
      <c r="H179" s="293" t="s">
        <v>416</v>
      </c>
      <c r="I179" s="246"/>
      <c r="J179" s="353" t="s">
        <v>421</v>
      </c>
      <c r="K179" s="246"/>
      <c r="L179" s="462"/>
      <c r="M179" s="316"/>
      <c r="N179" s="246"/>
      <c r="O179" s="293" t="s">
        <v>416</v>
      </c>
      <c r="P179" s="246"/>
      <c r="Q179" s="253" t="s">
        <v>419</v>
      </c>
      <c r="R179" s="246"/>
      <c r="S179" s="261"/>
      <c r="T179" s="316"/>
      <c r="U179" s="246"/>
      <c r="V179" s="293" t="s">
        <v>416</v>
      </c>
      <c r="W179" s="246"/>
      <c r="X179" s="253" t="s">
        <v>419</v>
      </c>
      <c r="Y179" s="246"/>
      <c r="Z179" s="261"/>
      <c r="AA179" s="316"/>
      <c r="AB179" s="246"/>
      <c r="AC179" s="293" t="s">
        <v>416</v>
      </c>
      <c r="AD179" s="246"/>
      <c r="AE179" s="353" t="s">
        <v>421</v>
      </c>
      <c r="AF179" s="246"/>
      <c r="AG179" s="261"/>
      <c r="AH179" s="317"/>
      <c r="AI179" s="246"/>
      <c r="AJ179" s="293" t="s">
        <v>418</v>
      </c>
      <c r="AK179" s="246"/>
      <c r="AL179" s="353" t="s">
        <v>421</v>
      </c>
      <c r="AM179" s="246"/>
      <c r="AN179" s="261"/>
      <c r="AO179" s="286"/>
      <c r="AP179" s="246"/>
      <c r="AQ179" s="293" t="s">
        <v>416</v>
      </c>
      <c r="AR179" s="246"/>
      <c r="AS179" s="353" t="s">
        <v>426</v>
      </c>
      <c r="AT179" s="254" t="str">
        <f t="shared" si="34"/>
        <v/>
      </c>
      <c r="AU179" s="269"/>
    </row>
    <row r="180">
      <c r="A180" s="94"/>
      <c r="B180" s="296" t="s">
        <v>650</v>
      </c>
      <c r="C180" s="297" t="s">
        <v>649</v>
      </c>
      <c r="D180" s="243"/>
      <c r="E180" s="259"/>
      <c r="F180" s="317"/>
      <c r="G180" s="298"/>
      <c r="H180" s="300"/>
      <c r="I180" s="298"/>
      <c r="J180" s="300"/>
      <c r="K180" s="298"/>
      <c r="L180" s="462"/>
      <c r="M180" s="250"/>
      <c r="N180" s="298"/>
      <c r="O180" s="300"/>
      <c r="P180" s="298"/>
      <c r="Q180" s="300"/>
      <c r="R180" s="298"/>
      <c r="S180" s="261"/>
      <c r="T180" s="250"/>
      <c r="U180" s="298"/>
      <c r="V180" s="300"/>
      <c r="W180" s="298"/>
      <c r="X180" s="300"/>
      <c r="Y180" s="298"/>
      <c r="Z180" s="261"/>
      <c r="AA180" s="250"/>
      <c r="AB180" s="298"/>
      <c r="AC180" s="319"/>
      <c r="AD180" s="298"/>
      <c r="AE180" s="319"/>
      <c r="AF180" s="298"/>
      <c r="AG180" s="261"/>
      <c r="AH180" s="317"/>
      <c r="AI180" s="298"/>
      <c r="AJ180" s="300"/>
      <c r="AK180" s="298"/>
      <c r="AL180" s="300"/>
      <c r="AM180" s="298"/>
      <c r="AN180" s="261"/>
      <c r="AO180" s="286"/>
      <c r="AP180" s="298"/>
      <c r="AQ180" s="300"/>
      <c r="AR180" s="298"/>
      <c r="AS180" s="299"/>
      <c r="AT180" s="254" t="str">
        <f t="shared" si="34"/>
        <v/>
      </c>
      <c r="AU180" s="269"/>
    </row>
    <row r="181">
      <c r="A181" s="94"/>
      <c r="B181" s="301" t="s">
        <v>651</v>
      </c>
      <c r="C181" s="302" t="s">
        <v>652</v>
      </c>
      <c r="D181" s="323"/>
      <c r="E181" s="259"/>
      <c r="F181" s="320"/>
      <c r="G181" s="298"/>
      <c r="H181" s="303"/>
      <c r="I181" s="298"/>
      <c r="J181" s="303"/>
      <c r="K181" s="298"/>
      <c r="L181" s="462"/>
      <c r="M181" s="250"/>
      <c r="N181" s="298"/>
      <c r="O181" s="303"/>
      <c r="P181" s="298"/>
      <c r="Q181" s="569" t="s">
        <v>414</v>
      </c>
      <c r="R181" s="298"/>
      <c r="S181" s="261"/>
      <c r="T181" s="250"/>
      <c r="U181" s="298"/>
      <c r="V181" s="303"/>
      <c r="W181" s="298"/>
      <c r="X181" s="569" t="s">
        <v>414</v>
      </c>
      <c r="Y181" s="298"/>
      <c r="Z181" s="261"/>
      <c r="AA181" s="250"/>
      <c r="AB181" s="298"/>
      <c r="AC181" s="303"/>
      <c r="AD181" s="298"/>
      <c r="AE181" s="303"/>
      <c r="AF181" s="298"/>
      <c r="AG181" s="261"/>
      <c r="AH181" s="320"/>
      <c r="AI181" s="298"/>
      <c r="AJ181" s="303"/>
      <c r="AK181" s="298"/>
      <c r="AL181" s="569" t="s">
        <v>409</v>
      </c>
      <c r="AM181" s="298"/>
      <c r="AN181" s="261"/>
      <c r="AO181" s="286"/>
      <c r="AP181" s="298"/>
      <c r="AQ181" s="303"/>
      <c r="AR181" s="298"/>
      <c r="AS181" s="303"/>
      <c r="AT181" s="254" t="str">
        <f t="shared" si="34"/>
        <v/>
      </c>
      <c r="AU181" s="269"/>
    </row>
    <row r="182">
      <c r="A182" s="94"/>
      <c r="B182" s="322" t="s">
        <v>662</v>
      </c>
      <c r="C182" s="306" t="s">
        <v>663</v>
      </c>
      <c r="D182" s="330"/>
      <c r="E182" s="259"/>
      <c r="F182" s="317"/>
      <c r="G182" s="298"/>
      <c r="H182" s="395" t="s">
        <v>450</v>
      </c>
      <c r="I182" s="298"/>
      <c r="J182" s="309" t="s">
        <v>409</v>
      </c>
      <c r="K182" s="298"/>
      <c r="L182" s="462"/>
      <c r="M182" s="324"/>
      <c r="N182" s="298"/>
      <c r="O182" s="309" t="s">
        <v>409</v>
      </c>
      <c r="P182" s="298"/>
      <c r="Q182" s="309" t="s">
        <v>415</v>
      </c>
      <c r="R182" s="298"/>
      <c r="S182" s="261"/>
      <c r="T182" s="324"/>
      <c r="U182" s="298"/>
      <c r="V182" s="395" t="s">
        <v>450</v>
      </c>
      <c r="W182" s="298"/>
      <c r="X182" s="311" t="s">
        <v>434</v>
      </c>
      <c r="Y182" s="298"/>
      <c r="Z182" s="261"/>
      <c r="AA182" s="324"/>
      <c r="AB182" s="298"/>
      <c r="AC182" s="309" t="s">
        <v>448</v>
      </c>
      <c r="AD182" s="298"/>
      <c r="AE182" s="309" t="s">
        <v>409</v>
      </c>
      <c r="AF182" s="298"/>
      <c r="AG182" s="261"/>
      <c r="AH182" s="317"/>
      <c r="AI182" s="298"/>
      <c r="AJ182" s="307"/>
      <c r="AK182" s="298"/>
      <c r="AL182" s="309" t="s">
        <v>443</v>
      </c>
      <c r="AM182" s="298"/>
      <c r="AN182" s="261"/>
      <c r="AO182" s="286"/>
      <c r="AP182" s="298"/>
      <c r="AQ182" s="395" t="s">
        <v>450</v>
      </c>
      <c r="AR182" s="298"/>
      <c r="AS182" s="307"/>
      <c r="AT182" s="254" t="str">
        <f t="shared" si="34"/>
        <v/>
      </c>
      <c r="AU182" s="269"/>
    </row>
    <row r="183">
      <c r="A183" s="94"/>
      <c r="B183" s="328" t="s">
        <v>665</v>
      </c>
      <c r="C183" s="329" t="s">
        <v>654</v>
      </c>
      <c r="D183" s="330"/>
      <c r="E183" s="259"/>
      <c r="F183" s="479"/>
      <c r="G183" s="246"/>
      <c r="H183" s="339" t="s">
        <v>1087</v>
      </c>
      <c r="I183" s="246"/>
      <c r="J183" s="274" t="s">
        <v>449</v>
      </c>
      <c r="K183" s="246"/>
      <c r="L183" s="462"/>
      <c r="M183" s="333"/>
      <c r="N183" s="246"/>
      <c r="O183" s="339" t="s">
        <v>1115</v>
      </c>
      <c r="P183" s="246"/>
      <c r="Q183" s="274" t="s">
        <v>449</v>
      </c>
      <c r="R183" s="246"/>
      <c r="S183" s="261"/>
      <c r="T183" s="333"/>
      <c r="U183" s="246"/>
      <c r="V183" s="339" t="s">
        <v>1087</v>
      </c>
      <c r="W183" s="246"/>
      <c r="X183" s="339" t="s">
        <v>447</v>
      </c>
      <c r="Y183" s="246"/>
      <c r="Z183" s="261"/>
      <c r="AA183" s="333"/>
      <c r="AB183" s="246"/>
      <c r="AC183" s="339" t="s">
        <v>1115</v>
      </c>
      <c r="AD183" s="246"/>
      <c r="AE183" s="274" t="s">
        <v>449</v>
      </c>
      <c r="AF183" s="246"/>
      <c r="AG183" s="261"/>
      <c r="AH183" s="320"/>
      <c r="AI183" s="246"/>
      <c r="AJ183" s="311" t="s">
        <v>459</v>
      </c>
      <c r="AK183" s="246"/>
      <c r="AL183" s="339" t="s">
        <v>468</v>
      </c>
      <c r="AM183" s="246"/>
      <c r="AN183" s="261"/>
      <c r="AO183" s="286"/>
      <c r="AP183" s="246"/>
      <c r="AQ183" s="339" t="s">
        <v>1087</v>
      </c>
      <c r="AR183" s="246"/>
      <c r="AS183" s="274" t="s">
        <v>449</v>
      </c>
      <c r="AT183" s="254" t="str">
        <f>IF(COUNTIF($AO$79:$AT$81, AL193) &gt; 0, "X", "")</f>
        <v/>
      </c>
      <c r="AU183" s="269"/>
    </row>
    <row r="184">
      <c r="A184" s="94"/>
      <c r="B184" s="337" t="s">
        <v>665</v>
      </c>
      <c r="C184" s="338" t="s">
        <v>657</v>
      </c>
      <c r="D184" s="330"/>
      <c r="E184" s="259"/>
      <c r="F184" s="479"/>
      <c r="G184" s="246"/>
      <c r="H184" s="339" t="s">
        <v>1115</v>
      </c>
      <c r="I184" s="246"/>
      <c r="J184" s="311" t="s">
        <v>434</v>
      </c>
      <c r="K184" s="246"/>
      <c r="L184" s="462"/>
      <c r="M184" s="324"/>
      <c r="N184" s="246"/>
      <c r="O184" s="339" t="s">
        <v>431</v>
      </c>
      <c r="P184" s="246"/>
      <c r="Q184" s="339" t="s">
        <v>447</v>
      </c>
      <c r="R184" s="246"/>
      <c r="S184" s="261"/>
      <c r="T184" s="324"/>
      <c r="U184" s="246"/>
      <c r="V184" s="339" t="s">
        <v>1115</v>
      </c>
      <c r="W184" s="246"/>
      <c r="X184" s="274" t="s">
        <v>443</v>
      </c>
      <c r="Y184" s="246"/>
      <c r="Z184" s="261"/>
      <c r="AA184" s="324"/>
      <c r="AB184" s="246"/>
      <c r="AC184" s="274" t="s">
        <v>458</v>
      </c>
      <c r="AD184" s="246"/>
      <c r="AE184" s="339" t="s">
        <v>447</v>
      </c>
      <c r="AF184" s="246"/>
      <c r="AG184" s="261"/>
      <c r="AH184" s="320"/>
      <c r="AI184" s="246"/>
      <c r="AJ184" s="336" t="s">
        <v>398</v>
      </c>
      <c r="AK184" s="246"/>
      <c r="AL184" s="339" t="s">
        <v>1087</v>
      </c>
      <c r="AM184" s="246"/>
      <c r="AN184" s="261"/>
      <c r="AO184" s="286"/>
      <c r="AP184" s="246"/>
      <c r="AQ184" s="339" t="s">
        <v>1115</v>
      </c>
      <c r="AR184" s="246"/>
      <c r="AS184" s="339" t="s">
        <v>431</v>
      </c>
      <c r="AT184" s="254" t="str">
        <f t="shared" ref="AT184:AT199" si="35">IF(COUNTIF($AO$79:$AT$81, #REF!) &gt; 0, "X", "")</f>
        <v/>
      </c>
      <c r="AU184" s="269"/>
    </row>
    <row r="185">
      <c r="A185" s="94"/>
      <c r="B185" s="256" t="s">
        <v>665</v>
      </c>
      <c r="C185" s="257" t="s">
        <v>663</v>
      </c>
      <c r="D185" s="330"/>
      <c r="E185" s="259"/>
      <c r="F185" s="506"/>
      <c r="G185" s="246"/>
      <c r="H185" s="339" t="s">
        <v>431</v>
      </c>
      <c r="I185" s="246"/>
      <c r="J185" s="339" t="s">
        <v>447</v>
      </c>
      <c r="K185" s="246"/>
      <c r="L185" s="462"/>
      <c r="M185" s="341"/>
      <c r="N185" s="246"/>
      <c r="O185" s="339" t="s">
        <v>1087</v>
      </c>
      <c r="P185" s="246"/>
      <c r="Q185" s="339" t="s">
        <v>468</v>
      </c>
      <c r="R185" s="246"/>
      <c r="S185" s="261"/>
      <c r="T185" s="341"/>
      <c r="U185" s="246"/>
      <c r="V185" s="274" t="s">
        <v>458</v>
      </c>
      <c r="W185" s="246"/>
      <c r="X185" s="339" t="s">
        <v>431</v>
      </c>
      <c r="Y185" s="246"/>
      <c r="Z185" s="261"/>
      <c r="AA185" s="341"/>
      <c r="AB185" s="246"/>
      <c r="AC185" s="311" t="s">
        <v>459</v>
      </c>
      <c r="AD185" s="246"/>
      <c r="AE185" s="274" t="s">
        <v>443</v>
      </c>
      <c r="AF185" s="246"/>
      <c r="AG185" s="261"/>
      <c r="AH185" s="320"/>
      <c r="AI185" s="246"/>
      <c r="AJ185" s="274" t="s">
        <v>415</v>
      </c>
      <c r="AK185" s="246"/>
      <c r="AL185" s="274" t="s">
        <v>439</v>
      </c>
      <c r="AM185" s="246"/>
      <c r="AN185" s="261"/>
      <c r="AO185" s="286"/>
      <c r="AP185" s="246"/>
      <c r="AQ185" s="274" t="s">
        <v>458</v>
      </c>
      <c r="AR185" s="246"/>
      <c r="AS185" s="274" t="s">
        <v>415</v>
      </c>
      <c r="AT185" s="254" t="str">
        <f t="shared" si="35"/>
        <v/>
      </c>
      <c r="AU185" s="269"/>
    </row>
    <row r="186">
      <c r="A186" s="94"/>
      <c r="B186" s="328" t="s">
        <v>665</v>
      </c>
      <c r="C186" s="329" t="s">
        <v>645</v>
      </c>
      <c r="D186" s="323"/>
      <c r="E186" s="261"/>
      <c r="G186" s="246"/>
      <c r="H186" s="274" t="s">
        <v>458</v>
      </c>
      <c r="I186" s="246"/>
      <c r="J186" s="274" t="s">
        <v>443</v>
      </c>
      <c r="K186" s="246"/>
      <c r="L186" s="462"/>
      <c r="M186" s="341"/>
      <c r="N186" s="246"/>
      <c r="O186" s="311" t="s">
        <v>459</v>
      </c>
      <c r="P186" s="246"/>
      <c r="Q186" s="274" t="s">
        <v>443</v>
      </c>
      <c r="R186" s="246"/>
      <c r="S186" s="261"/>
      <c r="T186" s="341"/>
      <c r="U186" s="246"/>
      <c r="V186" s="311" t="s">
        <v>459</v>
      </c>
      <c r="W186" s="246"/>
      <c r="X186" s="274" t="s">
        <v>448</v>
      </c>
      <c r="Y186" s="246"/>
      <c r="Z186" s="261"/>
      <c r="AA186" s="341"/>
      <c r="AB186" s="246"/>
      <c r="AC186" s="339" t="s">
        <v>431</v>
      </c>
      <c r="AD186" s="246"/>
      <c r="AE186" s="274" t="s">
        <v>415</v>
      </c>
      <c r="AF186" s="246"/>
      <c r="AG186" s="261"/>
      <c r="AH186" s="320"/>
      <c r="AI186" s="246"/>
      <c r="AJ186" s="336" t="s">
        <v>450</v>
      </c>
      <c r="AK186" s="246"/>
      <c r="AL186" s="274" t="s">
        <v>448</v>
      </c>
      <c r="AM186" s="246"/>
      <c r="AN186" s="261"/>
      <c r="AO186" s="286"/>
      <c r="AP186" s="246"/>
      <c r="AQ186" s="311" t="s">
        <v>459</v>
      </c>
      <c r="AR186" s="246"/>
      <c r="AS186" s="274" t="s">
        <v>409</v>
      </c>
      <c r="AT186" s="254" t="str">
        <f t="shared" si="35"/>
        <v/>
      </c>
      <c r="AU186" s="269"/>
    </row>
    <row r="187">
      <c r="A187" s="94"/>
      <c r="B187" s="342" t="s">
        <v>667</v>
      </c>
      <c r="C187" s="343" t="s">
        <v>657</v>
      </c>
      <c r="D187" s="351"/>
      <c r="E187" s="259"/>
      <c r="F187" s="345" t="s">
        <v>401</v>
      </c>
      <c r="G187" s="246"/>
      <c r="I187" s="246"/>
      <c r="J187" s="274" t="s">
        <v>448</v>
      </c>
      <c r="K187" s="246"/>
      <c r="L187" s="462"/>
      <c r="M187" s="345" t="s">
        <v>401</v>
      </c>
      <c r="N187" s="246"/>
      <c r="O187" s="336" t="s">
        <v>450</v>
      </c>
      <c r="P187" s="688"/>
      <c r="Q187" s="274" t="s">
        <v>448</v>
      </c>
      <c r="R187" s="246"/>
      <c r="S187" s="261"/>
      <c r="T187" s="346"/>
      <c r="U187" s="246"/>
      <c r="W187" s="246"/>
      <c r="X187" s="274" t="s">
        <v>415</v>
      </c>
      <c r="Y187" s="246"/>
      <c r="Z187" s="261"/>
      <c r="AA187" s="347" t="s">
        <v>401</v>
      </c>
      <c r="AB187" s="246"/>
      <c r="AD187" s="246"/>
      <c r="AF187" s="246"/>
      <c r="AG187" s="261"/>
      <c r="AH187" s="345" t="s">
        <v>401</v>
      </c>
      <c r="AI187" s="246"/>
      <c r="AK187" s="246"/>
      <c r="AL187" s="274" t="s">
        <v>449</v>
      </c>
      <c r="AM187" s="246"/>
      <c r="AN187" s="261"/>
      <c r="AO187" s="345" t="s">
        <v>401</v>
      </c>
      <c r="AP187" s="246"/>
      <c r="AR187" s="246"/>
      <c r="AT187" s="254" t="str">
        <f t="shared" si="35"/>
        <v/>
      </c>
      <c r="AU187" s="269"/>
    </row>
    <row r="188">
      <c r="A188" s="94"/>
      <c r="B188" s="349" t="s">
        <v>669</v>
      </c>
      <c r="C188" s="350" t="s">
        <v>649</v>
      </c>
      <c r="D188" s="323"/>
      <c r="E188" s="259"/>
      <c r="F188" s="293" t="s">
        <v>422</v>
      </c>
      <c r="G188" s="246"/>
      <c r="H188" s="353" t="s">
        <v>426</v>
      </c>
      <c r="I188" s="246"/>
      <c r="J188" s="632" t="s">
        <v>423</v>
      </c>
      <c r="K188" s="246"/>
      <c r="L188" s="462"/>
      <c r="M188" s="354"/>
      <c r="N188" s="246"/>
      <c r="O188" s="353" t="s">
        <v>426</v>
      </c>
      <c r="P188" s="246"/>
      <c r="Q188" s="293" t="s">
        <v>422</v>
      </c>
      <c r="R188" s="246"/>
      <c r="S188" s="261"/>
      <c r="T188" s="354"/>
      <c r="U188" s="246"/>
      <c r="V188" s="353" t="s">
        <v>426</v>
      </c>
      <c r="W188" s="246"/>
      <c r="X188" s="353" t="s">
        <v>421</v>
      </c>
      <c r="Y188" s="246"/>
      <c r="Z188" s="261"/>
      <c r="AA188" s="354"/>
      <c r="AB188" s="246"/>
      <c r="AC188" s="355" t="s">
        <v>670</v>
      </c>
      <c r="AD188" s="246"/>
      <c r="AE188" s="293" t="s">
        <v>422</v>
      </c>
      <c r="AF188" s="246"/>
      <c r="AG188" s="261"/>
      <c r="AH188" s="320"/>
      <c r="AI188" s="246"/>
      <c r="AJ188" s="357" t="s">
        <v>420</v>
      </c>
      <c r="AK188" s="246"/>
      <c r="AL188" s="293" t="s">
        <v>422</v>
      </c>
      <c r="AM188" s="246"/>
      <c r="AN188" s="261"/>
      <c r="AO188" s="286"/>
      <c r="AP188" s="246"/>
      <c r="AQ188" s="357" t="s">
        <v>420</v>
      </c>
      <c r="AR188" s="246"/>
      <c r="AS188" s="353" t="s">
        <v>422</v>
      </c>
      <c r="AT188" s="254" t="str">
        <f t="shared" si="35"/>
        <v/>
      </c>
      <c r="AU188" s="269"/>
    </row>
    <row r="189">
      <c r="A189" s="234"/>
      <c r="B189" s="296" t="s">
        <v>650</v>
      </c>
      <c r="C189" s="297" t="s">
        <v>649</v>
      </c>
      <c r="D189" s="330"/>
      <c r="E189" s="259"/>
      <c r="F189" s="299"/>
      <c r="G189" s="298"/>
      <c r="H189" s="617" t="s">
        <v>397</v>
      </c>
      <c r="I189" s="298"/>
      <c r="J189" s="358"/>
      <c r="K189" s="298"/>
      <c r="L189" s="462"/>
      <c r="M189" s="324"/>
      <c r="N189" s="298"/>
      <c r="O189" s="617" t="s">
        <v>397</v>
      </c>
      <c r="P189" s="298"/>
      <c r="Q189" s="319"/>
      <c r="R189" s="298"/>
      <c r="S189" s="261"/>
      <c r="T189" s="324"/>
      <c r="U189" s="298"/>
      <c r="V189" s="617" t="s">
        <v>397</v>
      </c>
      <c r="W189" s="298"/>
      <c r="Y189" s="298"/>
      <c r="Z189" s="261"/>
      <c r="AA189" s="324"/>
      <c r="AB189" s="298"/>
      <c r="AC189" s="617" t="s">
        <v>397</v>
      </c>
      <c r="AD189" s="298"/>
      <c r="AE189" s="319"/>
      <c r="AF189" s="298"/>
      <c r="AG189" s="261"/>
      <c r="AH189" s="320"/>
      <c r="AI189" s="298"/>
      <c r="AJ189" s="617" t="s">
        <v>397</v>
      </c>
      <c r="AK189" s="298"/>
      <c r="AM189" s="298"/>
      <c r="AN189" s="261"/>
      <c r="AO189" s="286"/>
      <c r="AP189" s="298"/>
      <c r="AQ189" s="359"/>
      <c r="AR189" s="298"/>
      <c r="AS189" s="359"/>
      <c r="AT189" s="254" t="str">
        <f t="shared" si="35"/>
        <v/>
      </c>
      <c r="AU189" s="269"/>
    </row>
    <row r="190">
      <c r="A190" s="94"/>
      <c r="B190" s="301" t="s">
        <v>651</v>
      </c>
      <c r="C190" s="302" t="s">
        <v>652</v>
      </c>
      <c r="D190" s="363"/>
      <c r="E190" s="259"/>
      <c r="F190" s="303"/>
      <c r="G190" s="298"/>
      <c r="H190" s="304"/>
      <c r="I190" s="298"/>
      <c r="J190" s="303"/>
      <c r="K190" s="298"/>
      <c r="L190" s="462"/>
      <c r="M190" s="250"/>
      <c r="N190" s="298"/>
      <c r="O190" s="304"/>
      <c r="P190" s="298"/>
      <c r="Q190" s="303"/>
      <c r="R190" s="298"/>
      <c r="S190" s="261"/>
      <c r="T190" s="250"/>
      <c r="U190" s="298"/>
      <c r="V190" s="303"/>
      <c r="W190" s="298"/>
      <c r="X190" s="303"/>
      <c r="Y190" s="298"/>
      <c r="Z190" s="261"/>
      <c r="AA190" s="250"/>
      <c r="AB190" s="298"/>
      <c r="AC190" s="304"/>
      <c r="AD190" s="298"/>
      <c r="AE190" s="303"/>
      <c r="AF190" s="298"/>
      <c r="AG190" s="261"/>
      <c r="AH190" s="320"/>
      <c r="AI190" s="298"/>
      <c r="AJ190" s="304"/>
      <c r="AK190" s="298"/>
      <c r="AL190" s="484"/>
      <c r="AM190" s="298"/>
      <c r="AN190" s="261"/>
      <c r="AO190" s="286"/>
      <c r="AP190" s="298"/>
      <c r="AQ190" s="303"/>
      <c r="AR190" s="298"/>
      <c r="AS190" s="303"/>
      <c r="AT190" s="254" t="str">
        <f t="shared" si="35"/>
        <v/>
      </c>
      <c r="AU190" s="269"/>
    </row>
    <row r="191">
      <c r="A191" s="94"/>
      <c r="B191" s="361" t="s">
        <v>673</v>
      </c>
      <c r="C191" s="362" t="s">
        <v>674</v>
      </c>
      <c r="D191" s="369"/>
      <c r="E191" s="259"/>
      <c r="F191" s="251" t="s">
        <v>433</v>
      </c>
      <c r="G191" s="298"/>
      <c r="H191" s="336" t="s">
        <v>412</v>
      </c>
      <c r="I191" s="298"/>
      <c r="J191" s="311" t="s">
        <v>765</v>
      </c>
      <c r="K191" s="298"/>
      <c r="L191" s="462"/>
      <c r="M191" s="324"/>
      <c r="N191" s="298"/>
      <c r="O191" s="336" t="s">
        <v>412</v>
      </c>
      <c r="P191" s="298"/>
      <c r="Q191" s="311" t="s">
        <v>765</v>
      </c>
      <c r="R191" s="298"/>
      <c r="S191" s="261"/>
      <c r="T191" s="324"/>
      <c r="U191" s="298"/>
      <c r="V191" s="336" t="s">
        <v>412</v>
      </c>
      <c r="W191" s="298"/>
      <c r="X191" s="311" t="s">
        <v>394</v>
      </c>
      <c r="Y191" s="298"/>
      <c r="Z191" s="261"/>
      <c r="AA191" s="324"/>
      <c r="AB191" s="298"/>
      <c r="AC191" s="336" t="s">
        <v>412</v>
      </c>
      <c r="AD191" s="298"/>
      <c r="AE191" s="311" t="s">
        <v>765</v>
      </c>
      <c r="AF191" s="298"/>
      <c r="AG191" s="261"/>
      <c r="AH191" s="320"/>
      <c r="AI191" s="298"/>
      <c r="AJ191" s="336" t="s">
        <v>412</v>
      </c>
      <c r="AK191" s="298"/>
      <c r="AL191" s="251" t="s">
        <v>457</v>
      </c>
      <c r="AM191" s="298"/>
      <c r="AN191" s="261"/>
      <c r="AO191" s="286"/>
      <c r="AP191" s="298"/>
      <c r="AQ191" s="251" t="s">
        <v>457</v>
      </c>
      <c r="AR191" s="298"/>
      <c r="AS191" s="311" t="s">
        <v>765</v>
      </c>
      <c r="AT191" s="254" t="str">
        <f t="shared" si="35"/>
        <v/>
      </c>
      <c r="AU191" s="269"/>
    </row>
    <row r="192">
      <c r="A192" s="94"/>
      <c r="B192" s="367" t="s">
        <v>677</v>
      </c>
      <c r="C192" s="368" t="s">
        <v>674</v>
      </c>
      <c r="D192" s="330"/>
      <c r="E192" s="259"/>
      <c r="F192" s="282"/>
      <c r="G192" s="246"/>
      <c r="H192" s="282"/>
      <c r="I192" s="246"/>
      <c r="J192" s="339" t="s">
        <v>931</v>
      </c>
      <c r="K192" s="246"/>
      <c r="L192" s="462"/>
      <c r="M192" s="250"/>
      <c r="N192" s="246"/>
      <c r="O192" s="282"/>
      <c r="P192" s="246"/>
      <c r="Q192" s="339" t="s">
        <v>931</v>
      </c>
      <c r="R192" s="246"/>
      <c r="S192" s="261"/>
      <c r="T192" s="250"/>
      <c r="U192" s="246"/>
      <c r="W192" s="246"/>
      <c r="X192" s="339" t="s">
        <v>931</v>
      </c>
      <c r="Y192" s="246"/>
      <c r="Z192" s="261"/>
      <c r="AA192" s="250"/>
      <c r="AB192" s="246"/>
      <c r="AD192" s="246"/>
      <c r="AE192" s="339" t="s">
        <v>931</v>
      </c>
      <c r="AF192" s="246"/>
      <c r="AG192" s="261"/>
      <c r="AH192" s="320"/>
      <c r="AI192" s="246"/>
      <c r="AK192" s="246"/>
      <c r="AL192" s="339" t="s">
        <v>931</v>
      </c>
      <c r="AM192" s="246"/>
      <c r="AN192" s="261"/>
      <c r="AO192" s="286"/>
      <c r="AP192" s="246"/>
      <c r="AR192" s="246"/>
      <c r="AT192" s="254" t="str">
        <f t="shared" si="35"/>
        <v/>
      </c>
      <c r="AU192" s="269"/>
    </row>
    <row r="193">
      <c r="A193" s="94"/>
      <c r="B193" s="256" t="s">
        <v>679</v>
      </c>
      <c r="C193" s="257" t="s">
        <v>680</v>
      </c>
      <c r="D193" s="330"/>
      <c r="E193" s="259"/>
      <c r="F193" s="311" t="s">
        <v>393</v>
      </c>
      <c r="G193" s="246"/>
      <c r="H193" s="374" t="s">
        <v>436</v>
      </c>
      <c r="I193" s="246"/>
      <c r="J193" s="339" t="s">
        <v>468</v>
      </c>
      <c r="K193" s="246"/>
      <c r="L193" s="462"/>
      <c r="M193" s="333"/>
      <c r="N193" s="246"/>
      <c r="O193" s="374" t="s">
        <v>436</v>
      </c>
      <c r="P193" s="246"/>
      <c r="Q193" s="274" t="s">
        <v>437</v>
      </c>
      <c r="R193" s="246"/>
      <c r="S193" s="261"/>
      <c r="T193" s="333"/>
      <c r="U193" s="246"/>
      <c r="V193" s="336" t="s">
        <v>398</v>
      </c>
      <c r="W193" s="246"/>
      <c r="X193" s="251" t="s">
        <v>433</v>
      </c>
      <c r="Y193" s="246"/>
      <c r="Z193" s="261"/>
      <c r="AA193" s="333"/>
      <c r="AB193" s="246"/>
      <c r="AC193" s="374" t="s">
        <v>436</v>
      </c>
      <c r="AD193" s="246"/>
      <c r="AE193" s="251" t="s">
        <v>433</v>
      </c>
      <c r="AF193" s="246"/>
      <c r="AG193" s="261"/>
      <c r="AH193" s="320"/>
      <c r="AI193" s="246"/>
      <c r="AJ193" s="274" t="s">
        <v>406</v>
      </c>
      <c r="AK193" s="246"/>
      <c r="AL193" s="251" t="s">
        <v>433</v>
      </c>
      <c r="AM193" s="246"/>
      <c r="AN193" s="261"/>
      <c r="AO193" s="286"/>
      <c r="AP193" s="246"/>
      <c r="AQ193" s="311" t="s">
        <v>436</v>
      </c>
      <c r="AR193" s="246"/>
      <c r="AS193" s="251" t="s">
        <v>433</v>
      </c>
      <c r="AT193" s="254" t="str">
        <f t="shared" si="35"/>
        <v/>
      </c>
      <c r="AU193" s="269"/>
    </row>
    <row r="194">
      <c r="A194" s="372"/>
      <c r="B194" s="328" t="s">
        <v>679</v>
      </c>
      <c r="C194" s="329" t="s">
        <v>652</v>
      </c>
      <c r="D194" s="330"/>
      <c r="E194" s="259"/>
      <c r="G194" s="246"/>
      <c r="I194" s="246"/>
      <c r="K194" s="246"/>
      <c r="L194" s="462"/>
      <c r="M194" s="346"/>
      <c r="N194" s="246"/>
      <c r="P194" s="246"/>
      <c r="R194" s="246"/>
      <c r="S194" s="261"/>
      <c r="T194" s="346"/>
      <c r="U194" s="246"/>
      <c r="W194" s="246"/>
      <c r="X194" s="339" t="s">
        <v>468</v>
      </c>
      <c r="Y194" s="246"/>
      <c r="Z194" s="261"/>
      <c r="AA194" s="346"/>
      <c r="AB194" s="246"/>
      <c r="AC194" s="274" t="s">
        <v>439</v>
      </c>
      <c r="AD194" s="246"/>
      <c r="AF194" s="246"/>
      <c r="AG194" s="261"/>
      <c r="AH194" s="320"/>
      <c r="AI194" s="246"/>
      <c r="AK194" s="246"/>
      <c r="AM194" s="246"/>
      <c r="AN194" s="261"/>
      <c r="AO194" s="286"/>
      <c r="AP194" s="246"/>
      <c r="AQ194" s="336" t="s">
        <v>398</v>
      </c>
      <c r="AR194" s="246"/>
      <c r="AT194" s="254" t="str">
        <f t="shared" si="35"/>
        <v/>
      </c>
      <c r="AU194" s="269"/>
    </row>
    <row r="195">
      <c r="A195" s="94"/>
      <c r="B195" s="328" t="s">
        <v>679</v>
      </c>
      <c r="C195" s="329" t="s">
        <v>683</v>
      </c>
      <c r="D195" s="379"/>
      <c r="E195" s="380"/>
      <c r="F195" s="311" t="s">
        <v>439</v>
      </c>
      <c r="G195" s="246"/>
      <c r="H195" s="376" t="s">
        <v>466</v>
      </c>
      <c r="I195" s="246"/>
      <c r="J195" s="311" t="s">
        <v>410</v>
      </c>
      <c r="K195" s="246"/>
      <c r="L195" s="462"/>
      <c r="M195" s="341"/>
      <c r="N195" s="246"/>
      <c r="O195" s="274" t="s">
        <v>439</v>
      </c>
      <c r="P195" s="246"/>
      <c r="Q195" s="376" t="s">
        <v>466</v>
      </c>
      <c r="R195" s="246"/>
      <c r="S195" s="261"/>
      <c r="T195" s="341"/>
      <c r="U195" s="246"/>
      <c r="V195" s="251" t="s">
        <v>407</v>
      </c>
      <c r="W195" s="246"/>
      <c r="X195" s="311" t="s">
        <v>455</v>
      </c>
      <c r="Y195" s="246"/>
      <c r="Z195" s="261"/>
      <c r="AA195" s="341"/>
      <c r="AB195" s="246"/>
      <c r="AC195" s="274" t="s">
        <v>406</v>
      </c>
      <c r="AD195" s="246"/>
      <c r="AE195" s="339" t="s">
        <v>468</v>
      </c>
      <c r="AF195" s="246"/>
      <c r="AG195" s="261"/>
      <c r="AH195" s="320"/>
      <c r="AI195" s="246"/>
      <c r="AJ195" s="374" t="s">
        <v>436</v>
      </c>
      <c r="AK195" s="246"/>
      <c r="AL195" s="274" t="s">
        <v>437</v>
      </c>
      <c r="AM195" s="246"/>
      <c r="AN195" s="261"/>
      <c r="AO195" s="286"/>
      <c r="AP195" s="246"/>
      <c r="AQ195" s="274" t="s">
        <v>406</v>
      </c>
      <c r="AR195" s="246"/>
      <c r="AS195" s="311" t="s">
        <v>439</v>
      </c>
      <c r="AT195" s="254" t="str">
        <f t="shared" si="35"/>
        <v/>
      </c>
      <c r="AU195" s="269"/>
    </row>
    <row r="196">
      <c r="A196" s="94"/>
      <c r="B196" s="377" t="s">
        <v>684</v>
      </c>
      <c r="C196" s="378" t="s">
        <v>685</v>
      </c>
      <c r="D196" s="363"/>
      <c r="E196" s="259"/>
      <c r="G196" s="246"/>
      <c r="I196" s="246"/>
      <c r="K196" s="246"/>
      <c r="L196" s="677"/>
      <c r="M196" s="341"/>
      <c r="N196" s="246"/>
      <c r="P196" s="246"/>
      <c r="Q196" s="311" t="s">
        <v>410</v>
      </c>
      <c r="R196" s="246"/>
      <c r="S196" s="381"/>
      <c r="T196" s="341"/>
      <c r="U196" s="246"/>
      <c r="V196" s="274"/>
      <c r="W196" s="246"/>
      <c r="X196" s="516"/>
      <c r="Y196" s="246"/>
      <c r="Z196" s="381"/>
      <c r="AA196" s="341"/>
      <c r="AB196" s="246"/>
      <c r="AD196" s="246"/>
      <c r="AF196" s="246"/>
      <c r="AG196" s="381"/>
      <c r="AH196" s="320"/>
      <c r="AI196" s="246"/>
      <c r="AK196" s="246"/>
      <c r="AM196" s="246"/>
      <c r="AN196" s="381"/>
      <c r="AO196" s="286"/>
      <c r="AP196" s="246"/>
      <c r="AQ196" s="282"/>
      <c r="AR196" s="246"/>
      <c r="AT196" s="254" t="str">
        <f t="shared" si="35"/>
        <v/>
      </c>
      <c r="AU196" s="269"/>
    </row>
    <row r="197">
      <c r="A197" s="270"/>
      <c r="B197" s="382" t="s">
        <v>686</v>
      </c>
      <c r="C197" s="242" t="s">
        <v>652</v>
      </c>
      <c r="D197" s="330"/>
      <c r="E197" s="259"/>
      <c r="F197" s="251" t="s">
        <v>429</v>
      </c>
      <c r="G197" s="246"/>
      <c r="H197" s="251" t="s">
        <v>435</v>
      </c>
      <c r="I197" s="246"/>
      <c r="J197" s="376" t="s">
        <v>453</v>
      </c>
      <c r="K197" s="246"/>
      <c r="L197" s="462"/>
      <c r="M197" s="341"/>
      <c r="N197" s="246"/>
      <c r="O197" s="251" t="s">
        <v>435</v>
      </c>
      <c r="P197" s="246"/>
      <c r="Q197" s="251" t="s">
        <v>429</v>
      </c>
      <c r="R197" s="246"/>
      <c r="S197" s="261"/>
      <c r="T197" s="341"/>
      <c r="U197" s="246"/>
      <c r="V197" s="251" t="s">
        <v>435</v>
      </c>
      <c r="W197" s="246"/>
      <c r="X197" s="376" t="s">
        <v>466</v>
      </c>
      <c r="Y197" s="246"/>
      <c r="Z197" s="261"/>
      <c r="AA197" s="341"/>
      <c r="AB197" s="246"/>
      <c r="AC197" s="251" t="s">
        <v>435</v>
      </c>
      <c r="AD197" s="246"/>
      <c r="AE197" s="376" t="s">
        <v>466</v>
      </c>
      <c r="AF197" s="246"/>
      <c r="AG197" s="261"/>
      <c r="AH197" s="320"/>
      <c r="AI197" s="246"/>
      <c r="AJ197" s="251" t="s">
        <v>435</v>
      </c>
      <c r="AK197" s="246"/>
      <c r="AL197" s="251" t="s">
        <v>429</v>
      </c>
      <c r="AM197" s="246"/>
      <c r="AN197" s="261"/>
      <c r="AO197" s="286"/>
      <c r="AP197" s="246"/>
      <c r="AQ197" s="385" t="s">
        <v>428</v>
      </c>
      <c r="AR197" s="246"/>
      <c r="AS197" s="251" t="s">
        <v>429</v>
      </c>
      <c r="AT197" s="254" t="str">
        <f t="shared" si="35"/>
        <v/>
      </c>
      <c r="AU197" s="269"/>
    </row>
    <row r="198">
      <c r="A198" s="234"/>
      <c r="B198" s="337" t="s">
        <v>686</v>
      </c>
      <c r="C198" s="338" t="s">
        <v>687</v>
      </c>
      <c r="D198" s="330"/>
      <c r="E198" s="259"/>
      <c r="G198" s="246"/>
      <c r="H198" s="385" t="s">
        <v>428</v>
      </c>
      <c r="I198" s="246"/>
      <c r="J198" s="311" t="s">
        <v>455</v>
      </c>
      <c r="K198" s="246"/>
      <c r="L198" s="462"/>
      <c r="M198" s="250"/>
      <c r="N198" s="246"/>
      <c r="O198" s="385" t="s">
        <v>428</v>
      </c>
      <c r="P198" s="246"/>
      <c r="Q198" s="311" t="s">
        <v>455</v>
      </c>
      <c r="R198" s="246"/>
      <c r="S198" s="261"/>
      <c r="T198" s="250"/>
      <c r="U198" s="246"/>
      <c r="V198" s="376" t="s">
        <v>453</v>
      </c>
      <c r="W198" s="246"/>
      <c r="X198" s="251" t="s">
        <v>429</v>
      </c>
      <c r="Y198" s="246"/>
      <c r="Z198" s="261"/>
      <c r="AA198" s="250"/>
      <c r="AB198" s="246"/>
      <c r="AC198" s="385" t="s">
        <v>428</v>
      </c>
      <c r="AD198" s="246"/>
      <c r="AE198" s="311" t="s">
        <v>455</v>
      </c>
      <c r="AF198" s="246"/>
      <c r="AG198" s="261"/>
      <c r="AH198" s="320"/>
      <c r="AI198" s="246"/>
      <c r="AJ198" s="385" t="s">
        <v>428</v>
      </c>
      <c r="AK198" s="246"/>
      <c r="AL198" s="376" t="s">
        <v>466</v>
      </c>
      <c r="AM198" s="246"/>
      <c r="AN198" s="261"/>
      <c r="AO198" s="286"/>
      <c r="AP198" s="246"/>
      <c r="AQ198" s="311" t="s">
        <v>455</v>
      </c>
      <c r="AR198" s="246"/>
      <c r="AS198" s="376" t="s">
        <v>453</v>
      </c>
      <c r="AT198" s="254" t="str">
        <f t="shared" si="35"/>
        <v/>
      </c>
      <c r="AU198" s="269"/>
    </row>
    <row r="199">
      <c r="A199" s="94"/>
      <c r="B199" s="337" t="s">
        <v>688</v>
      </c>
      <c r="C199" s="285" t="s">
        <v>687</v>
      </c>
      <c r="D199" s="389"/>
      <c r="E199" s="259"/>
      <c r="F199" s="274" t="s">
        <v>437</v>
      </c>
      <c r="G199" s="246"/>
      <c r="H199" s="265"/>
      <c r="I199" s="246"/>
      <c r="K199" s="246"/>
      <c r="L199" s="462"/>
      <c r="M199" s="262"/>
      <c r="N199" s="246"/>
      <c r="P199" s="246"/>
      <c r="R199" s="246"/>
      <c r="S199" s="261"/>
      <c r="T199" s="262"/>
      <c r="U199" s="246"/>
      <c r="W199" s="246"/>
      <c r="Y199" s="246"/>
      <c r="Z199" s="261"/>
      <c r="AA199" s="262"/>
      <c r="AB199" s="246"/>
      <c r="AC199" s="265"/>
      <c r="AD199" s="246"/>
      <c r="AE199" s="274"/>
      <c r="AF199" s="246"/>
      <c r="AG199" s="261"/>
      <c r="AH199" s="320"/>
      <c r="AI199" s="246"/>
      <c r="AK199" s="246"/>
      <c r="AM199" s="246"/>
      <c r="AN199" s="261"/>
      <c r="AO199" s="386"/>
      <c r="AP199" s="246"/>
      <c r="AQ199" s="265"/>
      <c r="AR199" s="246"/>
      <c r="AS199" s="274" t="s">
        <v>437</v>
      </c>
      <c r="AT199" s="254" t="str">
        <f t="shared" si="35"/>
        <v/>
      </c>
      <c r="AU199" s="269"/>
    </row>
    <row r="200">
      <c r="A200" s="94"/>
      <c r="B200" s="387" t="s">
        <v>690</v>
      </c>
      <c r="C200" s="388" t="s">
        <v>649</v>
      </c>
      <c r="D200" s="323"/>
      <c r="E200" s="259"/>
      <c r="F200" s="390"/>
      <c r="G200" s="246"/>
      <c r="H200" s="390"/>
      <c r="I200" s="246"/>
      <c r="J200" s="390"/>
      <c r="K200" s="246"/>
      <c r="L200" s="462"/>
      <c r="M200" s="250"/>
      <c r="N200" s="246"/>
      <c r="O200" s="357"/>
      <c r="P200" s="246"/>
      <c r="Q200" s="390"/>
      <c r="R200" s="246"/>
      <c r="S200" s="261"/>
      <c r="T200" s="250"/>
      <c r="U200" s="246"/>
      <c r="V200" s="390"/>
      <c r="W200" s="246"/>
      <c r="X200" s="390"/>
      <c r="Y200" s="246"/>
      <c r="Z200" s="261"/>
      <c r="AA200" s="250"/>
      <c r="AB200" s="246"/>
      <c r="AC200" s="357" t="s">
        <v>420</v>
      </c>
      <c r="AD200" s="246"/>
      <c r="AE200" s="390"/>
      <c r="AF200" s="246"/>
      <c r="AG200" s="261"/>
      <c r="AH200" s="320"/>
      <c r="AI200" s="246"/>
      <c r="AJ200" s="355" t="s">
        <v>670</v>
      </c>
      <c r="AK200" s="246"/>
      <c r="AL200" s="390"/>
      <c r="AM200" s="246"/>
      <c r="AN200" s="261"/>
      <c r="AO200" s="279"/>
      <c r="AP200" s="246"/>
      <c r="AQ200" s="390"/>
      <c r="AR200" s="246"/>
      <c r="AS200" s="390"/>
      <c r="AT200" s="254" t="str">
        <f t="shared" ref="AT200:AT207" si="36">IF(COUNTIF($AO$79:$AT$81, AS201) &gt; 0, "X", "")</f>
        <v/>
      </c>
      <c r="AU200" s="269"/>
    </row>
    <row r="201">
      <c r="A201" s="94"/>
      <c r="B201" s="296" t="s">
        <v>650</v>
      </c>
      <c r="C201" s="297" t="s">
        <v>649</v>
      </c>
      <c r="D201" s="323"/>
      <c r="E201" s="261"/>
      <c r="F201" s="300"/>
      <c r="G201" s="246"/>
      <c r="H201" s="319"/>
      <c r="I201" s="246"/>
      <c r="J201" s="300"/>
      <c r="K201" s="246"/>
      <c r="L201" s="462"/>
      <c r="M201" s="250"/>
      <c r="N201" s="246"/>
      <c r="O201" s="300"/>
      <c r="P201" s="246"/>
      <c r="Q201" s="300"/>
      <c r="R201" s="246"/>
      <c r="S201" s="261"/>
      <c r="T201" s="250"/>
      <c r="U201" s="246"/>
      <c r="V201" s="300"/>
      <c r="W201" s="246"/>
      <c r="X201" s="300"/>
      <c r="Y201" s="246"/>
      <c r="Z201" s="261"/>
      <c r="AA201" s="250"/>
      <c r="AB201" s="246"/>
      <c r="AC201" s="300"/>
      <c r="AD201" s="246"/>
      <c r="AE201" s="300"/>
      <c r="AF201" s="246"/>
      <c r="AG201" s="261"/>
      <c r="AH201" s="320"/>
      <c r="AI201" s="246"/>
      <c r="AJ201" s="300"/>
      <c r="AK201" s="246"/>
      <c r="AL201" s="300"/>
      <c r="AM201" s="246"/>
      <c r="AN201" s="261"/>
      <c r="AO201" s="250"/>
      <c r="AP201" s="246"/>
      <c r="AQ201" s="300"/>
      <c r="AR201" s="246"/>
      <c r="AS201" s="300"/>
      <c r="AT201" s="254" t="str">
        <f t="shared" si="36"/>
        <v/>
      </c>
      <c r="AU201" s="269"/>
    </row>
    <row r="202">
      <c r="A202" s="94"/>
      <c r="B202" s="301" t="s">
        <v>651</v>
      </c>
      <c r="C202" s="391" t="s">
        <v>652</v>
      </c>
      <c r="D202" s="323"/>
      <c r="E202" s="259"/>
      <c r="F202" s="304"/>
      <c r="G202" s="246"/>
      <c r="H202" s="304"/>
      <c r="I202" s="246"/>
      <c r="J202" s="304"/>
      <c r="K202" s="246"/>
      <c r="L202" s="462"/>
      <c r="M202" s="250"/>
      <c r="N202" s="246"/>
      <c r="O202" s="304"/>
      <c r="P202" s="246"/>
      <c r="Q202" s="304"/>
      <c r="R202" s="246"/>
      <c r="S202" s="261"/>
      <c r="T202" s="250"/>
      <c r="U202" s="246"/>
      <c r="V202" s="304"/>
      <c r="W202" s="246"/>
      <c r="X202" s="304"/>
      <c r="Y202" s="246"/>
      <c r="Z202" s="261"/>
      <c r="AA202" s="250"/>
      <c r="AB202" s="246"/>
      <c r="AC202" s="304"/>
      <c r="AD202" s="246"/>
      <c r="AE202" s="304"/>
      <c r="AF202" s="246"/>
      <c r="AG202" s="261"/>
      <c r="AH202" s="320"/>
      <c r="AI202" s="246"/>
      <c r="AJ202" s="304"/>
      <c r="AK202" s="246"/>
      <c r="AL202" s="304"/>
      <c r="AM202" s="246"/>
      <c r="AN202" s="261"/>
      <c r="AO202" s="250"/>
      <c r="AP202" s="246"/>
      <c r="AQ202" s="304"/>
      <c r="AR202" s="246"/>
      <c r="AS202" s="304"/>
      <c r="AT202" s="254" t="str">
        <f t="shared" si="36"/>
        <v/>
      </c>
      <c r="AU202" s="269"/>
    </row>
    <row r="203">
      <c r="A203" s="94"/>
      <c r="B203" s="392" t="s">
        <v>691</v>
      </c>
      <c r="C203" s="393" t="s">
        <v>652</v>
      </c>
      <c r="D203" s="330"/>
      <c r="E203" s="259"/>
      <c r="F203" s="307"/>
      <c r="G203" s="246"/>
      <c r="H203" s="307"/>
      <c r="I203" s="246"/>
      <c r="J203" s="307"/>
      <c r="K203" s="246"/>
      <c r="L203" s="462"/>
      <c r="M203" s="250"/>
      <c r="N203" s="246"/>
      <c r="O203" s="307"/>
      <c r="P203" s="246"/>
      <c r="Q203" s="307"/>
      <c r="R203" s="246"/>
      <c r="S203" s="261"/>
      <c r="T203" s="250"/>
      <c r="U203" s="246"/>
      <c r="V203" s="307"/>
      <c r="W203" s="246"/>
      <c r="X203" s="307"/>
      <c r="Y203" s="246"/>
      <c r="Z203" s="261"/>
      <c r="AA203" s="250"/>
      <c r="AB203" s="246"/>
      <c r="AC203" s="308" t="s">
        <v>438</v>
      </c>
      <c r="AD203" s="246"/>
      <c r="AE203" s="307"/>
      <c r="AF203" s="246"/>
      <c r="AG203" s="261"/>
      <c r="AH203" s="320"/>
      <c r="AI203" s="246"/>
      <c r="AJ203" s="308" t="s">
        <v>438</v>
      </c>
      <c r="AK203" s="246"/>
      <c r="AL203" s="307"/>
      <c r="AM203" s="246"/>
      <c r="AN203" s="261"/>
      <c r="AO203" s="250"/>
      <c r="AP203" s="246"/>
      <c r="AQ203" s="307"/>
      <c r="AR203" s="246"/>
      <c r="AS203" s="307"/>
      <c r="AT203" s="254" t="str">
        <f t="shared" si="36"/>
        <v/>
      </c>
      <c r="AU203" s="269"/>
    </row>
    <row r="204">
      <c r="A204" s="94"/>
      <c r="B204" s="328" t="s">
        <v>692</v>
      </c>
      <c r="C204" s="329" t="s">
        <v>652</v>
      </c>
      <c r="D204" s="369"/>
      <c r="E204" s="259"/>
      <c r="F204" s="371"/>
      <c r="G204" s="246"/>
      <c r="H204" s="371"/>
      <c r="I204" s="246"/>
      <c r="J204" s="282"/>
      <c r="K204" s="246"/>
      <c r="L204" s="462"/>
      <c r="M204" s="250"/>
      <c r="N204" s="246"/>
      <c r="O204" s="371"/>
      <c r="P204" s="246"/>
      <c r="R204" s="246"/>
      <c r="S204" s="261"/>
      <c r="T204" s="250"/>
      <c r="U204" s="246"/>
      <c r="W204" s="246"/>
      <c r="Y204" s="246"/>
      <c r="Z204" s="261"/>
      <c r="AA204" s="250"/>
      <c r="AB204" s="246"/>
      <c r="AD204" s="246"/>
      <c r="AE204" s="371"/>
      <c r="AF204" s="246"/>
      <c r="AG204" s="261"/>
      <c r="AH204" s="320"/>
      <c r="AI204" s="246"/>
      <c r="AK204" s="246"/>
      <c r="AM204" s="246"/>
      <c r="AN204" s="261"/>
      <c r="AO204" s="279"/>
      <c r="AP204" s="246"/>
      <c r="AQ204" s="371"/>
      <c r="AR204" s="246"/>
      <c r="AS204" s="371"/>
      <c r="AT204" s="254" t="str">
        <f t="shared" si="36"/>
        <v/>
      </c>
      <c r="AU204" s="269"/>
    </row>
    <row r="205">
      <c r="A205" s="94"/>
      <c r="B205" s="397" t="s">
        <v>692</v>
      </c>
      <c r="C205" s="398" t="s">
        <v>687</v>
      </c>
      <c r="D205" s="389"/>
      <c r="E205" s="259"/>
      <c r="F205" s="399"/>
      <c r="G205" s="246"/>
      <c r="H205" s="399"/>
      <c r="I205" s="246"/>
      <c r="J205" s="399"/>
      <c r="K205" s="246"/>
      <c r="L205" s="462"/>
      <c r="M205" s="250"/>
      <c r="N205" s="246"/>
      <c r="O205" s="282"/>
      <c r="P205" s="246"/>
      <c r="Q205" s="282"/>
      <c r="R205" s="246"/>
      <c r="S205" s="261"/>
      <c r="T205" s="250"/>
      <c r="U205" s="246"/>
      <c r="V205" s="282"/>
      <c r="W205" s="246"/>
      <c r="Y205" s="246"/>
      <c r="Z205" s="261"/>
      <c r="AA205" s="250"/>
      <c r="AB205" s="246"/>
      <c r="AC205" s="399"/>
      <c r="AD205" s="246"/>
      <c r="AE205" s="399"/>
      <c r="AF205" s="246"/>
      <c r="AG205" s="261"/>
      <c r="AH205" s="320"/>
      <c r="AI205" s="246"/>
      <c r="AJ205" s="399"/>
      <c r="AK205" s="246"/>
      <c r="AM205" s="246"/>
      <c r="AN205" s="261"/>
      <c r="AO205" s="273"/>
      <c r="AP205" s="246"/>
      <c r="AQ205" s="399"/>
      <c r="AR205" s="246"/>
      <c r="AS205" s="399"/>
      <c r="AT205" s="254" t="str">
        <f t="shared" si="36"/>
        <v/>
      </c>
      <c r="AU205" s="269"/>
    </row>
    <row r="206">
      <c r="A206" s="94"/>
      <c r="B206" s="387" t="s">
        <v>694</v>
      </c>
      <c r="C206" s="388" t="s">
        <v>649</v>
      </c>
      <c r="D206" s="323"/>
      <c r="E206" s="259"/>
      <c r="F206" s="390"/>
      <c r="G206" s="246"/>
      <c r="H206" s="390"/>
      <c r="I206" s="246"/>
      <c r="J206" s="390"/>
      <c r="K206" s="246"/>
      <c r="L206" s="462"/>
      <c r="M206" s="250"/>
      <c r="N206" s="246"/>
      <c r="O206" s="390"/>
      <c r="P206" s="246"/>
      <c r="Q206" s="357" t="s">
        <v>425</v>
      </c>
      <c r="R206" s="246"/>
      <c r="S206" s="261"/>
      <c r="T206" s="250"/>
      <c r="U206" s="246"/>
      <c r="V206" s="390"/>
      <c r="W206" s="246"/>
      <c r="X206" s="357" t="s">
        <v>425</v>
      </c>
      <c r="Y206" s="246"/>
      <c r="Z206" s="261"/>
      <c r="AA206" s="250"/>
      <c r="AB206" s="246"/>
      <c r="AC206" s="390"/>
      <c r="AD206" s="246"/>
      <c r="AE206" s="357" t="s">
        <v>425</v>
      </c>
      <c r="AF206" s="246"/>
      <c r="AG206" s="261"/>
      <c r="AH206" s="320"/>
      <c r="AI206" s="246"/>
      <c r="AJ206" s="390"/>
      <c r="AK206" s="246"/>
      <c r="AL206" s="357" t="s">
        <v>425</v>
      </c>
      <c r="AM206" s="246"/>
      <c r="AN206" s="261"/>
      <c r="AO206" s="279"/>
      <c r="AP206" s="246"/>
      <c r="AQ206" s="390"/>
      <c r="AR206" s="246"/>
      <c r="AS206" s="357" t="s">
        <v>425</v>
      </c>
      <c r="AT206" s="254" t="str">
        <f t="shared" si="36"/>
        <v/>
      </c>
      <c r="AU206" s="269"/>
    </row>
    <row r="207">
      <c r="A207" s="94"/>
      <c r="B207" s="296" t="s">
        <v>650</v>
      </c>
      <c r="C207" s="297" t="s">
        <v>649</v>
      </c>
      <c r="D207" s="323"/>
      <c r="E207" s="261"/>
      <c r="F207" s="300"/>
      <c r="G207" s="298"/>
      <c r="H207" s="300"/>
      <c r="I207" s="298"/>
      <c r="J207" s="300"/>
      <c r="K207" s="298"/>
      <c r="L207" s="462"/>
      <c r="M207" s="250"/>
      <c r="N207" s="298"/>
      <c r="O207" s="300"/>
      <c r="P207" s="298"/>
      <c r="Q207" s="319"/>
      <c r="R207" s="298"/>
      <c r="S207" s="261"/>
      <c r="T207" s="250"/>
      <c r="U207" s="298"/>
      <c r="V207" s="300"/>
      <c r="W207" s="298"/>
      <c r="X207" s="300"/>
      <c r="Y207" s="298"/>
      <c r="Z207" s="261"/>
      <c r="AA207" s="250"/>
      <c r="AB207" s="298"/>
      <c r="AC207" s="300"/>
      <c r="AD207" s="298"/>
      <c r="AE207" s="300"/>
      <c r="AF207" s="298"/>
      <c r="AG207" s="261"/>
      <c r="AH207" s="320"/>
      <c r="AI207" s="298"/>
      <c r="AJ207" s="300"/>
      <c r="AK207" s="298"/>
      <c r="AL207" s="300"/>
      <c r="AM207" s="298"/>
      <c r="AN207" s="261"/>
      <c r="AO207" s="250"/>
      <c r="AP207" s="298"/>
      <c r="AQ207" s="300"/>
      <c r="AR207" s="298"/>
      <c r="AS207" s="300"/>
      <c r="AT207" s="254" t="str">
        <f t="shared" si="36"/>
        <v/>
      </c>
      <c r="AU207" s="269"/>
    </row>
    <row r="208">
      <c r="A208" s="94"/>
      <c r="B208" s="301" t="s">
        <v>651</v>
      </c>
      <c r="C208" s="391" t="s">
        <v>652</v>
      </c>
      <c r="D208" s="323"/>
      <c r="E208" s="259"/>
      <c r="F208" s="304"/>
      <c r="G208" s="298"/>
      <c r="H208" s="304"/>
      <c r="I208" s="298"/>
      <c r="J208" s="304"/>
      <c r="K208" s="298"/>
      <c r="L208" s="462"/>
      <c r="M208" s="250"/>
      <c r="N208" s="298"/>
      <c r="O208" s="304"/>
      <c r="P208" s="298"/>
      <c r="Q208" s="304"/>
      <c r="R208" s="298"/>
      <c r="S208" s="261"/>
      <c r="T208" s="250"/>
      <c r="U208" s="298"/>
      <c r="V208" s="304"/>
      <c r="W208" s="298"/>
      <c r="X208" s="304"/>
      <c r="Y208" s="298"/>
      <c r="Z208" s="261"/>
      <c r="AA208" s="250"/>
      <c r="AB208" s="298"/>
      <c r="AC208" s="304"/>
      <c r="AD208" s="298"/>
      <c r="AE208" s="304"/>
      <c r="AF208" s="298"/>
      <c r="AG208" s="261"/>
      <c r="AH208" s="320"/>
      <c r="AI208" s="298"/>
      <c r="AJ208" s="304"/>
      <c r="AK208" s="298"/>
      <c r="AL208" s="304"/>
      <c r="AM208" s="298"/>
      <c r="AN208" s="261"/>
      <c r="AO208" s="250"/>
      <c r="AP208" s="298"/>
      <c r="AQ208" s="304"/>
      <c r="AR208" s="298"/>
      <c r="AS208" s="304"/>
      <c r="AT208" s="254" t="str">
        <f t="shared" ref="AT208:AT209" si="37">IF(COUNTIF($AO$79:$AT$81, #REF!) &gt; 0, "X", "")</f>
        <v/>
      </c>
      <c r="AU208" s="269"/>
    </row>
    <row r="209">
      <c r="A209" s="94"/>
      <c r="B209" s="392" t="s">
        <v>691</v>
      </c>
      <c r="C209" s="393" t="s">
        <v>652</v>
      </c>
      <c r="D209" s="330"/>
      <c r="E209" s="259"/>
      <c r="F209" s="307"/>
      <c r="G209" s="298"/>
      <c r="H209" s="307"/>
      <c r="I209" s="298"/>
      <c r="J209" s="307"/>
      <c r="K209" s="298"/>
      <c r="L209" s="462"/>
      <c r="M209" s="250"/>
      <c r="N209" s="298"/>
      <c r="O209" s="307"/>
      <c r="P209" s="298"/>
      <c r="Q209" s="309" t="s">
        <v>406</v>
      </c>
      <c r="R209" s="298"/>
      <c r="S209" s="261"/>
      <c r="T209" s="250"/>
      <c r="U209" s="298"/>
      <c r="V209" s="307"/>
      <c r="W209" s="298"/>
      <c r="X209" s="395" t="s">
        <v>430</v>
      </c>
      <c r="Y209" s="298"/>
      <c r="Z209" s="261"/>
      <c r="AA209" s="250"/>
      <c r="AB209" s="298"/>
      <c r="AC209" s="307"/>
      <c r="AD209" s="298"/>
      <c r="AE209" s="395" t="s">
        <v>430</v>
      </c>
      <c r="AF209" s="298"/>
      <c r="AG209" s="261"/>
      <c r="AH209" s="320"/>
      <c r="AI209" s="298"/>
      <c r="AJ209" s="307"/>
      <c r="AK209" s="298"/>
      <c r="AL209" s="308" t="s">
        <v>445</v>
      </c>
      <c r="AM209" s="298"/>
      <c r="AN209" s="261"/>
      <c r="AO209" s="250"/>
      <c r="AP209" s="298"/>
      <c r="AQ209" s="307"/>
      <c r="AR209" s="298"/>
      <c r="AS209" s="308" t="s">
        <v>445</v>
      </c>
      <c r="AT209" s="254" t="str">
        <f t="shared" si="37"/>
        <v/>
      </c>
      <c r="AU209" s="269"/>
    </row>
    <row r="210">
      <c r="A210" s="94"/>
      <c r="B210" s="328" t="s">
        <v>692</v>
      </c>
      <c r="C210" s="329" t="s">
        <v>652</v>
      </c>
      <c r="D210" s="369"/>
      <c r="E210" s="259"/>
      <c r="F210" s="371"/>
      <c r="G210" s="246"/>
      <c r="H210" s="371"/>
      <c r="I210" s="246"/>
      <c r="J210" s="371"/>
      <c r="K210" s="246"/>
      <c r="L210" s="462"/>
      <c r="M210" s="250"/>
      <c r="N210" s="246"/>
      <c r="O210" s="371"/>
      <c r="P210" s="246"/>
      <c r="Q210" s="371"/>
      <c r="R210" s="246"/>
      <c r="S210" s="261"/>
      <c r="T210" s="250"/>
      <c r="U210" s="246"/>
      <c r="V210" s="371"/>
      <c r="W210" s="246"/>
      <c r="X210" s="282"/>
      <c r="Y210" s="246"/>
      <c r="Z210" s="261"/>
      <c r="AA210" s="250"/>
      <c r="AB210" s="246"/>
      <c r="AC210" s="282"/>
      <c r="AD210" s="246"/>
      <c r="AE210" s="584"/>
      <c r="AF210" s="246"/>
      <c r="AG210" s="261"/>
      <c r="AH210" s="320"/>
      <c r="AI210" s="246"/>
      <c r="AK210" s="246"/>
      <c r="AL210" s="282"/>
      <c r="AM210" s="246"/>
      <c r="AN210" s="261"/>
      <c r="AO210" s="279"/>
      <c r="AP210" s="246"/>
      <c r="AQ210" s="371"/>
      <c r="AR210" s="246"/>
      <c r="AS210" s="282"/>
      <c r="AT210" s="254" t="str">
        <f t="shared" ref="AT210:AT213" si="38">IF(COUNTIF($AO$79:$AT$81, AS211) &gt; 0, "X", "")</f>
        <v/>
      </c>
      <c r="AU210" s="269"/>
    </row>
    <row r="211">
      <c r="A211" s="94"/>
      <c r="B211" s="397" t="s">
        <v>692</v>
      </c>
      <c r="C211" s="398" t="s">
        <v>687</v>
      </c>
      <c r="D211" s="404"/>
      <c r="E211" s="259"/>
      <c r="F211" s="399"/>
      <c r="G211" s="246"/>
      <c r="H211" s="399"/>
      <c r="I211" s="246"/>
      <c r="K211" s="246"/>
      <c r="L211" s="462"/>
      <c r="M211" s="250"/>
      <c r="N211" s="246"/>
      <c r="O211" s="399"/>
      <c r="P211" s="246"/>
      <c r="Q211" s="282"/>
      <c r="R211" s="246"/>
      <c r="S211" s="261"/>
      <c r="T211" s="250"/>
      <c r="U211" s="246"/>
      <c r="V211" s="399"/>
      <c r="W211" s="246"/>
      <c r="X211" s="399"/>
      <c r="Y211" s="246"/>
      <c r="Z211" s="261"/>
      <c r="AA211" s="250"/>
      <c r="AB211" s="246"/>
      <c r="AC211" s="282"/>
      <c r="AD211" s="246"/>
      <c r="AE211" s="399"/>
      <c r="AF211" s="246"/>
      <c r="AG211" s="261"/>
      <c r="AH211" s="320"/>
      <c r="AI211" s="246"/>
      <c r="AJ211" s="399"/>
      <c r="AK211" s="246"/>
      <c r="AL211" s="399"/>
      <c r="AM211" s="246"/>
      <c r="AN211" s="261"/>
      <c r="AO211" s="273"/>
      <c r="AP211" s="246"/>
      <c r="AQ211" s="399"/>
      <c r="AR211" s="246"/>
      <c r="AS211" s="399"/>
      <c r="AT211" s="254" t="str">
        <f t="shared" si="38"/>
        <v/>
      </c>
      <c r="AU211" s="269"/>
    </row>
    <row r="212">
      <c r="A212" s="270"/>
      <c r="B212" s="402" t="s">
        <v>699</v>
      </c>
      <c r="C212" s="403" t="s">
        <v>649</v>
      </c>
      <c r="D212" s="330"/>
      <c r="E212" s="259"/>
      <c r="F212" s="294"/>
      <c r="G212" s="246"/>
      <c r="H212" s="294"/>
      <c r="I212" s="246"/>
      <c r="J212" s="294"/>
      <c r="K212" s="246"/>
      <c r="L212" s="462"/>
      <c r="M212" s="250"/>
      <c r="N212" s="246"/>
      <c r="O212" s="294"/>
      <c r="P212" s="246"/>
      <c r="Q212" s="294"/>
      <c r="R212" s="246"/>
      <c r="S212" s="261"/>
      <c r="T212" s="250"/>
      <c r="U212" s="246"/>
      <c r="V212" s="294"/>
      <c r="W212" s="246"/>
      <c r="X212" s="294"/>
      <c r="Y212" s="246"/>
      <c r="Z212" s="261"/>
      <c r="AA212" s="250"/>
      <c r="AB212" s="246"/>
      <c r="AC212" s="294"/>
      <c r="AD212" s="246"/>
      <c r="AE212" s="353" t="s">
        <v>426</v>
      </c>
      <c r="AF212" s="246"/>
      <c r="AG212" s="261"/>
      <c r="AH212" s="320"/>
      <c r="AI212" s="246"/>
      <c r="AJ212" s="294"/>
      <c r="AK212" s="246"/>
      <c r="AL212" s="294"/>
      <c r="AM212" s="246"/>
      <c r="AN212" s="261"/>
      <c r="AO212" s="250"/>
      <c r="AP212" s="246"/>
      <c r="AQ212" s="294"/>
      <c r="AR212" s="246"/>
      <c r="AS212" s="294"/>
      <c r="AT212" s="254" t="str">
        <f t="shared" si="38"/>
        <v/>
      </c>
      <c r="AU212" s="269"/>
    </row>
    <row r="213">
      <c r="A213" s="94"/>
      <c r="B213" s="328" t="s">
        <v>700</v>
      </c>
      <c r="C213" s="329" t="s">
        <v>657</v>
      </c>
      <c r="D213" s="330"/>
      <c r="E213" s="259"/>
      <c r="F213" s="371"/>
      <c r="G213" s="246"/>
      <c r="H213" s="282"/>
      <c r="I213" s="246"/>
      <c r="J213" s="371"/>
      <c r="K213" s="246"/>
      <c r="L213" s="462"/>
      <c r="M213" s="250"/>
      <c r="N213" s="246"/>
      <c r="O213" s="371"/>
      <c r="P213" s="246"/>
      <c r="Q213" s="274"/>
      <c r="R213" s="246"/>
      <c r="S213" s="261"/>
      <c r="T213" s="250"/>
      <c r="U213" s="246"/>
      <c r="V213" s="371"/>
      <c r="W213" s="246"/>
      <c r="X213" s="371"/>
      <c r="Y213" s="246"/>
      <c r="Z213" s="261"/>
      <c r="AA213" s="250"/>
      <c r="AB213" s="246"/>
      <c r="AC213" s="371"/>
      <c r="AD213" s="246"/>
      <c r="AE213" s="347" t="s">
        <v>437</v>
      </c>
      <c r="AF213" s="246"/>
      <c r="AG213" s="261"/>
      <c r="AH213" s="320"/>
      <c r="AI213" s="246"/>
      <c r="AJ213" s="371"/>
      <c r="AK213" s="246"/>
      <c r="AL213" s="371"/>
      <c r="AM213" s="246"/>
      <c r="AN213" s="261"/>
      <c r="AO213" s="312"/>
      <c r="AP213" s="246"/>
      <c r="AQ213" s="282"/>
      <c r="AR213" s="246"/>
      <c r="AS213" s="371"/>
      <c r="AT213" s="254" t="str">
        <f t="shared" si="38"/>
        <v/>
      </c>
      <c r="AU213" s="269"/>
    </row>
    <row r="214">
      <c r="A214" s="94"/>
      <c r="B214" s="328" t="s">
        <v>700</v>
      </c>
      <c r="C214" s="329" t="s">
        <v>657</v>
      </c>
      <c r="D214" s="330"/>
      <c r="E214" s="259"/>
      <c r="F214" s="264"/>
      <c r="G214" s="246"/>
      <c r="I214" s="246"/>
      <c r="K214" s="246"/>
      <c r="L214" s="462"/>
      <c r="M214" s="262"/>
      <c r="N214" s="246"/>
      <c r="O214" s="265"/>
      <c r="P214" s="246"/>
      <c r="R214" s="246"/>
      <c r="S214" s="261"/>
      <c r="T214" s="262"/>
      <c r="U214" s="246"/>
      <c r="V214" s="264"/>
      <c r="W214" s="246"/>
      <c r="X214" s="371"/>
      <c r="Y214" s="246"/>
      <c r="Z214" s="261"/>
      <c r="AA214" s="262"/>
      <c r="AB214" s="246"/>
      <c r="AC214" s="264"/>
      <c r="AD214" s="246"/>
      <c r="AE214" s="405" t="s">
        <v>462</v>
      </c>
      <c r="AF214" s="246"/>
      <c r="AG214" s="261"/>
      <c r="AH214" s="320"/>
      <c r="AI214" s="246"/>
      <c r="AJ214" s="264"/>
      <c r="AK214" s="246"/>
      <c r="AL214" s="264"/>
      <c r="AM214" s="246"/>
      <c r="AN214" s="261"/>
      <c r="AO214" s="260"/>
      <c r="AP214" s="246"/>
      <c r="AQ214" s="264"/>
      <c r="AR214" s="246"/>
      <c r="AS214" s="264"/>
      <c r="AT214" s="254" t="str">
        <f>IF(COUNTIF($AO$79:$AT$81, #REF!) &gt; 0, "X", "")</f>
        <v/>
      </c>
      <c r="AU214" s="269"/>
    </row>
    <row r="215">
      <c r="A215" s="94"/>
      <c r="B215" s="328" t="s">
        <v>700</v>
      </c>
      <c r="C215" s="329" t="s">
        <v>657</v>
      </c>
      <c r="D215" s="351"/>
      <c r="E215" s="259"/>
      <c r="F215" s="282"/>
      <c r="G215" s="246"/>
      <c r="H215" s="282"/>
      <c r="I215" s="246"/>
      <c r="K215" s="246"/>
      <c r="L215" s="462"/>
      <c r="M215" s="250"/>
      <c r="N215" s="246"/>
      <c r="O215" s="282"/>
      <c r="P215" s="246"/>
      <c r="Q215" s="282"/>
      <c r="R215" s="246"/>
      <c r="S215" s="261"/>
      <c r="T215" s="250"/>
      <c r="U215" s="246"/>
      <c r="W215" s="246"/>
      <c r="Y215" s="246"/>
      <c r="Z215" s="261"/>
      <c r="AA215" s="250"/>
      <c r="AB215" s="246"/>
      <c r="AD215" s="246"/>
      <c r="AF215" s="246"/>
      <c r="AG215" s="261"/>
      <c r="AH215" s="320"/>
      <c r="AI215" s="246"/>
      <c r="AK215" s="246"/>
      <c r="AL215" s="399"/>
      <c r="AM215" s="246"/>
      <c r="AN215" s="261"/>
      <c r="AO215" s="279"/>
      <c r="AP215" s="246"/>
      <c r="AR215" s="246"/>
      <c r="AS215" s="282"/>
      <c r="AT215" s="254" t="str">
        <f t="shared" ref="AT215:AT216" si="39">IF(COUNTIF($AO$79:$AT$81, AS216) &gt; 0, "X", "")</f>
        <v/>
      </c>
      <c r="AU215" s="269"/>
    </row>
    <row r="216">
      <c r="A216" s="94"/>
      <c r="B216" s="408" t="s">
        <v>702</v>
      </c>
      <c r="C216" s="409" t="s">
        <v>652</v>
      </c>
      <c r="D216" s="323"/>
      <c r="E216" s="259"/>
      <c r="F216" s="411"/>
      <c r="G216" s="246"/>
      <c r="H216" s="411"/>
      <c r="I216" s="246"/>
      <c r="J216" s="411"/>
      <c r="K216" s="246"/>
      <c r="L216" s="462"/>
      <c r="M216" s="262"/>
      <c r="N216" s="246"/>
      <c r="O216" s="411"/>
      <c r="P216" s="246"/>
      <c r="Q216" s="411"/>
      <c r="R216" s="246"/>
      <c r="S216" s="261"/>
      <c r="T216" s="262"/>
      <c r="U216" s="246"/>
      <c r="V216" s="411"/>
      <c r="W216" s="246"/>
      <c r="X216" s="411"/>
      <c r="Y216" s="246"/>
      <c r="Z216" s="261"/>
      <c r="AA216" s="262"/>
      <c r="AB216" s="246"/>
      <c r="AC216" s="411"/>
      <c r="AD216" s="246"/>
      <c r="AE216" s="411"/>
      <c r="AF216" s="246"/>
      <c r="AG216" s="261"/>
      <c r="AH216" s="320"/>
      <c r="AI216" s="246"/>
      <c r="AJ216" s="411"/>
      <c r="AK216" s="246"/>
      <c r="AL216" s="411"/>
      <c r="AM216" s="246"/>
      <c r="AN216" s="261"/>
      <c r="AO216" s="279"/>
      <c r="AP216" s="246"/>
      <c r="AQ216" s="411"/>
      <c r="AR216" s="246"/>
      <c r="AS216" s="411"/>
      <c r="AT216" s="254" t="str">
        <f t="shared" si="39"/>
        <v/>
      </c>
      <c r="AU216" s="269"/>
    </row>
    <row r="217">
      <c r="A217" s="234"/>
      <c r="B217" s="401" t="s">
        <v>703</v>
      </c>
      <c r="C217" s="412" t="s">
        <v>704</v>
      </c>
      <c r="D217" s="330"/>
      <c r="E217" s="259"/>
      <c r="F217" s="413"/>
      <c r="G217" s="246"/>
      <c r="H217" s="413"/>
      <c r="I217" s="246"/>
      <c r="J217" s="413"/>
      <c r="K217" s="246"/>
      <c r="L217" s="462"/>
      <c r="M217" s="262"/>
      <c r="N217" s="246"/>
      <c r="O217" s="413"/>
      <c r="P217" s="246"/>
      <c r="Q217" s="413"/>
      <c r="R217" s="246"/>
      <c r="S217" s="261"/>
      <c r="T217" s="262"/>
      <c r="U217" s="246"/>
      <c r="V217" s="413"/>
      <c r="W217" s="246"/>
      <c r="X217" s="413"/>
      <c r="Y217" s="246"/>
      <c r="Z217" s="261"/>
      <c r="AA217" s="262"/>
      <c r="AB217" s="246"/>
      <c r="AC217" s="413"/>
      <c r="AD217" s="246"/>
      <c r="AE217" s="413"/>
      <c r="AF217" s="246"/>
      <c r="AG217" s="261"/>
      <c r="AH217" s="320"/>
      <c r="AI217" s="246"/>
      <c r="AJ217" s="413"/>
      <c r="AK217" s="246"/>
      <c r="AL217" s="413"/>
      <c r="AM217" s="246"/>
      <c r="AN217" s="261"/>
      <c r="AO217" s="279"/>
      <c r="AP217" s="246"/>
      <c r="AQ217" s="413"/>
      <c r="AR217" s="246"/>
      <c r="AS217" s="413"/>
      <c r="AT217" s="254" t="str">
        <f t="shared" ref="AT217:AT221" si="40">IF(COUNTIF($AO$79:$AT$81, #REF!) &gt; 0, "X", "")</f>
        <v/>
      </c>
      <c r="AU217" s="269"/>
    </row>
    <row r="218">
      <c r="A218" s="234"/>
      <c r="B218" s="414" t="s">
        <v>705</v>
      </c>
      <c r="C218" s="415" t="s">
        <v>704</v>
      </c>
      <c r="D218" s="330"/>
      <c r="E218" s="259"/>
      <c r="G218" s="246"/>
      <c r="H218" s="251" t="s">
        <v>407</v>
      </c>
      <c r="I218" s="246"/>
      <c r="J218" s="586" t="s">
        <v>452</v>
      </c>
      <c r="K218" s="246"/>
      <c r="L218" s="462"/>
      <c r="M218" s="341"/>
      <c r="N218" s="246"/>
      <c r="O218" s="251" t="s">
        <v>407</v>
      </c>
      <c r="P218" s="246"/>
      <c r="Q218" s="311" t="s">
        <v>394</v>
      </c>
      <c r="R218" s="246"/>
      <c r="S218" s="261"/>
      <c r="T218" s="341"/>
      <c r="U218" s="246"/>
      <c r="V218" s="311" t="s">
        <v>438</v>
      </c>
      <c r="W218" s="246"/>
      <c r="X218" s="311" t="s">
        <v>410</v>
      </c>
      <c r="Y218" s="246"/>
      <c r="Z218" s="261"/>
      <c r="AA218" s="341"/>
      <c r="AB218" s="246"/>
      <c r="AC218" s="251" t="s">
        <v>407</v>
      </c>
      <c r="AD218" s="246"/>
      <c r="AE218" s="311" t="s">
        <v>467</v>
      </c>
      <c r="AF218" s="246"/>
      <c r="AG218" s="261"/>
      <c r="AH218" s="320"/>
      <c r="AI218" s="246"/>
      <c r="AJ218" s="251" t="s">
        <v>407</v>
      </c>
      <c r="AK218" s="246"/>
      <c r="AL218" s="311" t="s">
        <v>394</v>
      </c>
      <c r="AM218" s="246"/>
      <c r="AN218" s="261"/>
      <c r="AO218" s="279"/>
      <c r="AP218" s="246"/>
      <c r="AQ218" s="311" t="s">
        <v>438</v>
      </c>
      <c r="AR218" s="246"/>
      <c r="AS218" s="374" t="s">
        <v>410</v>
      </c>
      <c r="AT218" s="254" t="str">
        <f t="shared" si="40"/>
        <v/>
      </c>
      <c r="AU218" s="269"/>
    </row>
    <row r="219">
      <c r="A219" s="94"/>
      <c r="B219" s="328" t="s">
        <v>705</v>
      </c>
      <c r="C219" s="257" t="s">
        <v>657</v>
      </c>
      <c r="D219" s="330"/>
      <c r="E219" s="259"/>
      <c r="F219" s="311" t="s">
        <v>470</v>
      </c>
      <c r="G219" s="246"/>
      <c r="H219" s="311" t="s">
        <v>438</v>
      </c>
      <c r="I219" s="246"/>
      <c r="J219" s="311" t="s">
        <v>394</v>
      </c>
      <c r="K219" s="246"/>
      <c r="L219" s="462"/>
      <c r="M219" s="341"/>
      <c r="N219" s="246"/>
      <c r="O219" s="251" t="s">
        <v>440</v>
      </c>
      <c r="P219" s="246"/>
      <c r="Q219" s="339" t="s">
        <v>472</v>
      </c>
      <c r="R219" s="246"/>
      <c r="S219" s="261"/>
      <c r="T219" s="341"/>
      <c r="U219" s="246"/>
      <c r="V219" s="339" t="s">
        <v>404</v>
      </c>
      <c r="W219" s="246"/>
      <c r="X219" s="311" t="s">
        <v>467</v>
      </c>
      <c r="Y219" s="246"/>
      <c r="Z219" s="261"/>
      <c r="AA219" s="341"/>
      <c r="AB219" s="246"/>
      <c r="AC219" s="339" t="s">
        <v>472</v>
      </c>
      <c r="AD219" s="246"/>
      <c r="AE219" s="376" t="s">
        <v>453</v>
      </c>
      <c r="AF219" s="246"/>
      <c r="AG219" s="261"/>
      <c r="AH219" s="320"/>
      <c r="AI219" s="246"/>
      <c r="AJ219" s="376" t="s">
        <v>453</v>
      </c>
      <c r="AK219" s="246"/>
      <c r="AL219" s="311" t="s">
        <v>467</v>
      </c>
      <c r="AM219" s="246"/>
      <c r="AN219" s="261"/>
      <c r="AO219" s="279"/>
      <c r="AP219" s="246"/>
      <c r="AQ219" s="339" t="s">
        <v>404</v>
      </c>
      <c r="AR219" s="246"/>
      <c r="AS219" s="339" t="s">
        <v>472</v>
      </c>
      <c r="AT219" s="254" t="str">
        <f t="shared" si="40"/>
        <v/>
      </c>
      <c r="AU219" s="269"/>
    </row>
    <row r="220">
      <c r="A220" s="94"/>
      <c r="B220" s="277" t="s">
        <v>705</v>
      </c>
      <c r="C220" s="329" t="s">
        <v>685</v>
      </c>
      <c r="D220" s="369"/>
      <c r="E220" s="259"/>
      <c r="F220" s="311" t="s">
        <v>467</v>
      </c>
      <c r="G220" s="246"/>
      <c r="H220" s="339" t="s">
        <v>472</v>
      </c>
      <c r="I220" s="246"/>
      <c r="J220" s="274" t="s">
        <v>406</v>
      </c>
      <c r="K220" s="246"/>
      <c r="L220" s="462"/>
      <c r="M220" s="341"/>
      <c r="N220" s="246"/>
      <c r="O220" s="311" t="s">
        <v>470</v>
      </c>
      <c r="P220" s="246"/>
      <c r="Q220" s="251" t="s">
        <v>405</v>
      </c>
      <c r="R220" s="246"/>
      <c r="S220" s="261"/>
      <c r="T220" s="341"/>
      <c r="U220" s="246"/>
      <c r="V220" s="339" t="s">
        <v>472</v>
      </c>
      <c r="W220" s="246"/>
      <c r="X220" s="586" t="s">
        <v>452</v>
      </c>
      <c r="Y220" s="246"/>
      <c r="Z220" s="261"/>
      <c r="AA220" s="341"/>
      <c r="AB220" s="246"/>
      <c r="AC220" s="311" t="s">
        <v>470</v>
      </c>
      <c r="AD220" s="246"/>
      <c r="AE220" s="251" t="s">
        <v>410</v>
      </c>
      <c r="AF220" s="246"/>
      <c r="AG220" s="261"/>
      <c r="AH220" s="320"/>
      <c r="AI220" s="246"/>
      <c r="AJ220" s="251" t="s">
        <v>440</v>
      </c>
      <c r="AK220" s="246"/>
      <c r="AL220" s="311" t="s">
        <v>470</v>
      </c>
      <c r="AM220" s="246"/>
      <c r="AN220" s="261"/>
      <c r="AO220" s="279"/>
      <c r="AP220" s="246"/>
      <c r="AQ220" s="311" t="s">
        <v>470</v>
      </c>
      <c r="AR220" s="246"/>
      <c r="AS220" s="311" t="s">
        <v>394</v>
      </c>
      <c r="AT220" s="254" t="str">
        <f t="shared" si="40"/>
        <v/>
      </c>
      <c r="AU220" s="269"/>
    </row>
    <row r="221">
      <c r="A221" s="94"/>
      <c r="B221" s="271" t="s">
        <v>705</v>
      </c>
      <c r="C221" s="272" t="s">
        <v>687</v>
      </c>
      <c r="D221" s="330"/>
      <c r="E221" s="259"/>
      <c r="F221" s="282"/>
      <c r="G221" s="246"/>
      <c r="I221" s="246"/>
      <c r="K221" s="246"/>
      <c r="L221" s="462"/>
      <c r="M221" s="341"/>
      <c r="N221" s="246"/>
      <c r="O221" s="311"/>
      <c r="P221" s="246"/>
      <c r="Q221" s="374"/>
      <c r="R221" s="246"/>
      <c r="S221" s="261"/>
      <c r="T221" s="341"/>
      <c r="U221" s="246"/>
      <c r="W221" s="246"/>
      <c r="X221" s="282"/>
      <c r="Y221" s="246"/>
      <c r="Z221" s="261"/>
      <c r="AA221" s="341"/>
      <c r="AB221" s="246"/>
      <c r="AD221" s="246"/>
      <c r="AF221" s="246"/>
      <c r="AG221" s="261"/>
      <c r="AH221" s="320"/>
      <c r="AI221" s="246"/>
      <c r="AJ221" s="276"/>
      <c r="AK221" s="246"/>
      <c r="AL221" s="282"/>
      <c r="AM221" s="246"/>
      <c r="AN221" s="261"/>
      <c r="AO221" s="279"/>
      <c r="AP221" s="246"/>
      <c r="AQ221" s="282"/>
      <c r="AR221" s="246"/>
      <c r="AT221" s="254" t="str">
        <f t="shared" si="40"/>
        <v/>
      </c>
      <c r="AU221" s="269"/>
    </row>
    <row r="222">
      <c r="A222" s="270"/>
      <c r="B222" s="397" t="s">
        <v>708</v>
      </c>
      <c r="C222" s="398" t="s">
        <v>654</v>
      </c>
      <c r="D222" s="330"/>
      <c r="E222" s="259"/>
      <c r="F222" s="275"/>
      <c r="G222" s="246"/>
      <c r="H222" s="311" t="s">
        <v>441</v>
      </c>
      <c r="I222" s="246"/>
      <c r="J222" s="374"/>
      <c r="K222" s="246"/>
      <c r="L222" s="462"/>
      <c r="M222" s="341"/>
      <c r="N222" s="246"/>
      <c r="O222" s="365" t="s">
        <v>469</v>
      </c>
      <c r="P222" s="246"/>
      <c r="Q222" s="311" t="s">
        <v>441</v>
      </c>
      <c r="R222" s="246"/>
      <c r="S222" s="261"/>
      <c r="T222" s="341"/>
      <c r="U222" s="246"/>
      <c r="V222" s="365" t="s">
        <v>469</v>
      </c>
      <c r="W222" s="246"/>
      <c r="X222" s="311" t="s">
        <v>441</v>
      </c>
      <c r="Y222" s="246"/>
      <c r="Z222" s="261"/>
      <c r="AA222" s="341"/>
      <c r="AB222" s="246"/>
      <c r="AD222" s="246"/>
      <c r="AE222" s="311" t="s">
        <v>441</v>
      </c>
      <c r="AF222" s="246"/>
      <c r="AG222" s="261"/>
      <c r="AH222" s="320"/>
      <c r="AI222" s="246"/>
      <c r="AJ222" s="365" t="s">
        <v>469</v>
      </c>
      <c r="AK222" s="246"/>
      <c r="AL222" s="311" t="s">
        <v>441</v>
      </c>
      <c r="AM222" s="246"/>
      <c r="AN222" s="261"/>
      <c r="AO222" s="279"/>
      <c r="AP222" s="246"/>
      <c r="AQ222" s="365" t="s">
        <v>469</v>
      </c>
      <c r="AR222" s="246"/>
      <c r="AS222" s="374"/>
      <c r="AT222" s="254" t="str">
        <f t="shared" ref="AT222:AT223" si="41">IF(COUNTIF($AO$79:$AT$81, AS223) &gt; 0, "X", "")</f>
        <v/>
      </c>
      <c r="AU222" s="269"/>
    </row>
    <row r="223">
      <c r="A223" s="94"/>
      <c r="B223" s="796" t="s">
        <v>1116</v>
      </c>
      <c r="C223" s="278" t="s">
        <v>710</v>
      </c>
      <c r="D223" s="323"/>
      <c r="E223" s="259"/>
      <c r="F223" s="281"/>
      <c r="G223" s="246"/>
      <c r="H223" s="251" t="s">
        <v>440</v>
      </c>
      <c r="I223" s="246"/>
      <c r="K223" s="246"/>
      <c r="L223" s="462"/>
      <c r="M223" s="286"/>
      <c r="N223" s="246"/>
      <c r="O223" s="281"/>
      <c r="P223" s="246"/>
      <c r="R223" s="246"/>
      <c r="S223" s="261"/>
      <c r="T223" s="286"/>
      <c r="U223" s="246"/>
      <c r="V223" s="251" t="s">
        <v>440</v>
      </c>
      <c r="W223" s="246"/>
      <c r="X223" s="282"/>
      <c r="Y223" s="246"/>
      <c r="Z223" s="261"/>
      <c r="AA223" s="286"/>
      <c r="AB223" s="246"/>
      <c r="AC223" s="251" t="s">
        <v>440</v>
      </c>
      <c r="AD223" s="246"/>
      <c r="AE223" s="282"/>
      <c r="AF223" s="246"/>
      <c r="AG223" s="261"/>
      <c r="AH223" s="320"/>
      <c r="AI223" s="246"/>
      <c r="AJ223" s="276"/>
      <c r="AK223" s="246"/>
      <c r="AL223" s="282"/>
      <c r="AM223" s="246"/>
      <c r="AN223" s="261"/>
      <c r="AO223" s="279"/>
      <c r="AP223" s="246"/>
      <c r="AQ223" s="281"/>
      <c r="AR223" s="246"/>
      <c r="AS223" s="281"/>
      <c r="AT223" s="254" t="str">
        <f t="shared" si="41"/>
        <v/>
      </c>
      <c r="AU223" s="269"/>
    </row>
    <row r="224">
      <c r="A224" s="94"/>
      <c r="B224" s="673" t="s">
        <v>944</v>
      </c>
      <c r="C224" s="272" t="s">
        <v>639</v>
      </c>
      <c r="D224" s="431"/>
      <c r="E224" s="259"/>
      <c r="F224" s="282"/>
      <c r="G224" s="246"/>
      <c r="H224" s="311" t="s">
        <v>432</v>
      </c>
      <c r="I224" s="246"/>
      <c r="J224" s="282"/>
      <c r="K224" s="246"/>
      <c r="L224" s="462"/>
      <c r="M224" s="341"/>
      <c r="N224" s="246"/>
      <c r="O224" s="311" t="s">
        <v>432</v>
      </c>
      <c r="P224" s="246"/>
      <c r="Q224" s="282"/>
      <c r="R224" s="246"/>
      <c r="S224" s="261"/>
      <c r="T224" s="341"/>
      <c r="U224" s="246"/>
      <c r="V224" s="311" t="s">
        <v>432</v>
      </c>
      <c r="W224" s="246"/>
      <c r="X224" s="282"/>
      <c r="Y224" s="246"/>
      <c r="Z224" s="261"/>
      <c r="AA224" s="341"/>
      <c r="AB224" s="246"/>
      <c r="AC224" s="251" t="s">
        <v>432</v>
      </c>
      <c r="AD224" s="246"/>
      <c r="AE224" s="282"/>
      <c r="AF224" s="246"/>
      <c r="AG224" s="261"/>
      <c r="AH224" s="320"/>
      <c r="AI224" s="246"/>
      <c r="AJ224" s="251" t="s">
        <v>432</v>
      </c>
      <c r="AK224" s="246"/>
      <c r="AL224" s="282"/>
      <c r="AM224" s="246"/>
      <c r="AN224" s="261"/>
      <c r="AO224" s="279"/>
      <c r="AP224" s="246"/>
      <c r="AQ224" s="282"/>
      <c r="AR224" s="246"/>
      <c r="AS224" s="282"/>
      <c r="AT224" s="430"/>
      <c r="AU224" s="269"/>
    </row>
    <row r="225">
      <c r="A225" s="94"/>
      <c r="B225" s="429" t="s">
        <v>714</v>
      </c>
      <c r="C225" s="430"/>
      <c r="D225" s="323"/>
      <c r="E225" s="259"/>
      <c r="F225" s="432"/>
      <c r="G225" s="432"/>
      <c r="H225" s="432"/>
      <c r="I225" s="432"/>
      <c r="J225" s="432"/>
      <c r="K225" s="432"/>
      <c r="L225" s="462"/>
      <c r="M225" s="432"/>
      <c r="N225" s="433"/>
      <c r="O225" s="432"/>
      <c r="P225" s="432"/>
      <c r="Q225" s="432"/>
      <c r="R225" s="432"/>
      <c r="S225" s="261"/>
      <c r="T225" s="432"/>
      <c r="U225" s="433"/>
      <c r="V225" s="432"/>
      <c r="W225" s="432"/>
      <c r="X225" s="432"/>
      <c r="Y225" s="432"/>
      <c r="Z225" s="261"/>
      <c r="AA225" s="432"/>
      <c r="AB225" s="433"/>
      <c r="AC225" s="432"/>
      <c r="AD225" s="432"/>
      <c r="AE225" s="432"/>
      <c r="AF225" s="432"/>
      <c r="AG225" s="261"/>
      <c r="AH225" s="432"/>
      <c r="AI225" s="433"/>
      <c r="AJ225" s="432"/>
      <c r="AK225" s="432"/>
      <c r="AL225" s="432"/>
      <c r="AM225" s="432"/>
      <c r="AN225" s="261"/>
      <c r="AO225" s="432"/>
      <c r="AP225" s="433"/>
      <c r="AQ225" s="432"/>
      <c r="AR225" s="432"/>
      <c r="AS225" s="432"/>
      <c r="AT225" s="254" t="str">
        <f t="shared" ref="AT225:AT230" si="42">IF(COUNTIF($AO$79:$AT$81, AS226) &gt; 0, "X", "")</f>
        <v/>
      </c>
      <c r="AU225" s="269"/>
    </row>
    <row r="226">
      <c r="A226" s="94"/>
      <c r="B226" s="401" t="s">
        <v>715</v>
      </c>
      <c r="C226" s="412" t="s">
        <v>716</v>
      </c>
      <c r="D226" s="323"/>
      <c r="E226" s="259"/>
      <c r="F226" s="434"/>
      <c r="G226" s="246"/>
      <c r="H226" s="434" t="s">
        <v>403</v>
      </c>
      <c r="I226" s="246"/>
      <c r="J226" s="434"/>
      <c r="K226" s="246"/>
      <c r="L226" s="462"/>
      <c r="M226" s="434"/>
      <c r="N226" s="246"/>
      <c r="O226" s="434" t="s">
        <v>403</v>
      </c>
      <c r="P226" s="246"/>
      <c r="Q226" s="434"/>
      <c r="R226" s="246"/>
      <c r="S226" s="261"/>
      <c r="T226" s="434"/>
      <c r="U226" s="246"/>
      <c r="V226" s="434" t="s">
        <v>403</v>
      </c>
      <c r="W226" s="246"/>
      <c r="X226" s="434"/>
      <c r="Y226" s="246"/>
      <c r="Z226" s="261"/>
      <c r="AA226" s="434"/>
      <c r="AB226" s="246"/>
      <c r="AC226" s="434"/>
      <c r="AD226" s="246"/>
      <c r="AE226" s="434"/>
      <c r="AF226" s="246"/>
      <c r="AG226" s="261"/>
      <c r="AH226" s="434"/>
      <c r="AI226" s="246"/>
      <c r="AJ226" s="434"/>
      <c r="AK226" s="246"/>
      <c r="AL226" s="434"/>
      <c r="AM226" s="246"/>
      <c r="AN226" s="261"/>
      <c r="AO226" s="434"/>
      <c r="AP226" s="246"/>
      <c r="AQ226" s="434"/>
      <c r="AR226" s="246"/>
      <c r="AS226" s="434"/>
      <c r="AT226" s="254" t="str">
        <f t="shared" si="42"/>
        <v/>
      </c>
      <c r="AU226" s="269"/>
    </row>
    <row r="227">
      <c r="A227" s="94"/>
      <c r="B227" s="435" t="s">
        <v>717</v>
      </c>
      <c r="C227" s="415" t="s">
        <v>718</v>
      </c>
      <c r="D227" s="363"/>
      <c r="E227" s="259"/>
      <c r="F227" s="434"/>
      <c r="G227" s="246"/>
      <c r="H227" s="406" t="s">
        <v>1066</v>
      </c>
      <c r="I227" s="246"/>
      <c r="J227" s="434"/>
      <c r="K227" s="246"/>
      <c r="L227" s="462"/>
      <c r="M227" s="434"/>
      <c r="N227" s="246"/>
      <c r="O227" s="578" t="s">
        <v>463</v>
      </c>
      <c r="P227" s="246"/>
      <c r="Q227" s="434"/>
      <c r="R227" s="246"/>
      <c r="S227" s="261"/>
      <c r="T227" s="434"/>
      <c r="U227" s="246"/>
      <c r="V227" s="578" t="s">
        <v>463</v>
      </c>
      <c r="W227" s="246"/>
      <c r="X227" s="434"/>
      <c r="Y227" s="246"/>
      <c r="Z227" s="261"/>
      <c r="AA227" s="434"/>
      <c r="AB227" s="246"/>
      <c r="AC227" s="578" t="s">
        <v>463</v>
      </c>
      <c r="AD227" s="246"/>
      <c r="AE227" s="434"/>
      <c r="AF227" s="246"/>
      <c r="AG227" s="261"/>
      <c r="AH227" s="434"/>
      <c r="AI227" s="246"/>
      <c r="AJ227" s="406" t="s">
        <v>463</v>
      </c>
      <c r="AK227" s="246"/>
      <c r="AL227" s="434"/>
      <c r="AM227" s="246"/>
      <c r="AN227" s="261"/>
      <c r="AO227" s="434"/>
      <c r="AP227" s="246"/>
      <c r="AQ227" s="578" t="s">
        <v>463</v>
      </c>
      <c r="AR227" s="246"/>
      <c r="AS227" s="434"/>
      <c r="AT227" s="254" t="str">
        <f t="shared" si="42"/>
        <v/>
      </c>
      <c r="AU227" s="269"/>
    </row>
    <row r="228">
      <c r="A228" s="94"/>
      <c r="B228" s="436" t="s">
        <v>719</v>
      </c>
      <c r="C228" s="437" t="s">
        <v>720</v>
      </c>
      <c r="D228" s="330"/>
      <c r="E228" s="259"/>
      <c r="F228" s="406"/>
      <c r="G228" s="246"/>
      <c r="H228" s="206" t="s">
        <v>946</v>
      </c>
      <c r="I228" s="246"/>
      <c r="J228" s="406"/>
      <c r="K228" s="246"/>
      <c r="L228" s="462"/>
      <c r="M228" s="406"/>
      <c r="N228" s="246"/>
      <c r="O228" s="406" t="s">
        <v>1066</v>
      </c>
      <c r="P228" s="246"/>
      <c r="Q228" s="406"/>
      <c r="R228" s="246"/>
      <c r="S228" s="261"/>
      <c r="T228" s="406"/>
      <c r="U228" s="246"/>
      <c r="V228" s="406" t="s">
        <v>970</v>
      </c>
      <c r="W228" s="246"/>
      <c r="X228" s="406"/>
      <c r="Y228" s="246"/>
      <c r="Z228" s="261"/>
      <c r="AA228" s="406"/>
      <c r="AB228" s="246"/>
      <c r="AC228" s="206" t="s">
        <v>946</v>
      </c>
      <c r="AD228" s="246"/>
      <c r="AE228" s="406"/>
      <c r="AF228" s="246"/>
      <c r="AG228" s="261"/>
      <c r="AH228" s="406"/>
      <c r="AI228" s="246"/>
      <c r="AJ228" s="206" t="s">
        <v>946</v>
      </c>
      <c r="AK228" s="246"/>
      <c r="AL228" s="406"/>
      <c r="AM228" s="246"/>
      <c r="AN228" s="261"/>
      <c r="AO228" s="406"/>
      <c r="AP228" s="246"/>
      <c r="AQ228" s="406"/>
      <c r="AR228" s="246"/>
      <c r="AS228" s="406"/>
      <c r="AT228" s="254" t="str">
        <f t="shared" si="42"/>
        <v/>
      </c>
      <c r="AU228" s="269"/>
    </row>
    <row r="229">
      <c r="A229" s="94"/>
      <c r="B229" s="439" t="s">
        <v>721</v>
      </c>
      <c r="C229" s="440" t="s">
        <v>722</v>
      </c>
      <c r="D229" s="330"/>
      <c r="E229" s="259"/>
      <c r="F229" s="406"/>
      <c r="G229" s="246"/>
      <c r="H229" s="406" t="s">
        <v>970</v>
      </c>
      <c r="I229" s="246"/>
      <c r="J229" s="406"/>
      <c r="K229" s="246"/>
      <c r="L229" s="462"/>
      <c r="M229" s="406"/>
      <c r="N229" s="246"/>
      <c r="O229" s="406" t="s">
        <v>454</v>
      </c>
      <c r="P229" s="246"/>
      <c r="Q229" s="406"/>
      <c r="R229" s="246"/>
      <c r="S229" s="261"/>
      <c r="T229" s="406"/>
      <c r="U229" s="246"/>
      <c r="V229" s="406" t="s">
        <v>454</v>
      </c>
      <c r="W229" s="246"/>
      <c r="X229" s="406"/>
      <c r="Y229" s="246"/>
      <c r="Z229" s="261"/>
      <c r="AA229" s="406"/>
      <c r="AB229" s="246"/>
      <c r="AC229" s="406" t="s">
        <v>454</v>
      </c>
      <c r="AD229" s="246"/>
      <c r="AE229" s="406"/>
      <c r="AF229" s="246"/>
      <c r="AG229" s="261"/>
      <c r="AH229" s="406"/>
      <c r="AI229" s="246"/>
      <c r="AJ229" s="674" t="s">
        <v>454</v>
      </c>
      <c r="AK229" s="246"/>
      <c r="AL229" s="406"/>
      <c r="AM229" s="246"/>
      <c r="AN229" s="261"/>
      <c r="AO229" s="406"/>
      <c r="AP229" s="246"/>
      <c r="AQ229" s="406"/>
      <c r="AR229" s="246"/>
      <c r="AS229" s="406"/>
      <c r="AT229" s="254" t="str">
        <f t="shared" si="42"/>
        <v/>
      </c>
      <c r="AU229" s="269"/>
    </row>
    <row r="230">
      <c r="A230" s="94"/>
      <c r="B230" s="439" t="s">
        <v>723</v>
      </c>
      <c r="C230" s="440" t="s">
        <v>724</v>
      </c>
      <c r="D230" s="330"/>
      <c r="E230" s="259"/>
      <c r="F230" s="406"/>
      <c r="G230" s="246"/>
      <c r="H230" s="578" t="s">
        <v>576</v>
      </c>
      <c r="I230" s="246"/>
      <c r="J230" s="406"/>
      <c r="K230" s="246"/>
      <c r="L230" s="462"/>
      <c r="M230" s="406"/>
      <c r="N230" s="246"/>
      <c r="O230" s="406" t="s">
        <v>456</v>
      </c>
      <c r="P230" s="246"/>
      <c r="Q230" s="406"/>
      <c r="R230" s="246"/>
      <c r="S230" s="261"/>
      <c r="T230" s="406"/>
      <c r="U230" s="246"/>
      <c r="V230" s="206" t="s">
        <v>460</v>
      </c>
      <c r="W230" s="246"/>
      <c r="X230" s="406"/>
      <c r="Y230" s="246"/>
      <c r="Z230" s="261"/>
      <c r="AA230" s="406"/>
      <c r="AB230" s="246"/>
      <c r="AC230" s="406" t="s">
        <v>456</v>
      </c>
      <c r="AD230" s="246"/>
      <c r="AE230" s="406"/>
      <c r="AF230" s="246"/>
      <c r="AG230" s="261"/>
      <c r="AH230" s="406"/>
      <c r="AI230" s="246"/>
      <c r="AJ230" s="406" t="s">
        <v>970</v>
      </c>
      <c r="AK230" s="246"/>
      <c r="AL230" s="406"/>
      <c r="AM230" s="246"/>
      <c r="AN230" s="261"/>
      <c r="AO230" s="406"/>
      <c r="AP230" s="246"/>
      <c r="AQ230" s="206" t="s">
        <v>1066</v>
      </c>
      <c r="AR230" s="246"/>
      <c r="AS230" s="406"/>
      <c r="AT230" s="254" t="str">
        <f t="shared" si="42"/>
        <v/>
      </c>
      <c r="AU230" s="269"/>
    </row>
    <row r="231">
      <c r="A231" s="94"/>
      <c r="B231" s="439" t="s">
        <v>725</v>
      </c>
      <c r="C231" s="442" t="s">
        <v>726</v>
      </c>
      <c r="D231" s="330"/>
      <c r="E231" s="259"/>
      <c r="F231" s="441"/>
      <c r="G231" s="246"/>
      <c r="H231" s="406" t="s">
        <v>456</v>
      </c>
      <c r="I231" s="246"/>
      <c r="J231" s="441"/>
      <c r="K231" s="246"/>
      <c r="L231" s="462"/>
      <c r="M231" s="441"/>
      <c r="N231" s="246"/>
      <c r="O231" s="406" t="s">
        <v>970</v>
      </c>
      <c r="P231" s="246"/>
      <c r="Q231" s="441"/>
      <c r="R231" s="246"/>
      <c r="S231" s="261"/>
      <c r="T231" s="441"/>
      <c r="U231" s="246"/>
      <c r="V231" s="406" t="s">
        <v>456</v>
      </c>
      <c r="W231" s="246"/>
      <c r="X231" s="441"/>
      <c r="Y231" s="246"/>
      <c r="Z231" s="261"/>
      <c r="AA231" s="441"/>
      <c r="AB231" s="246"/>
      <c r="AC231" s="406" t="s">
        <v>1066</v>
      </c>
      <c r="AD231" s="246"/>
      <c r="AE231" s="441"/>
      <c r="AF231" s="246"/>
      <c r="AG231" s="261"/>
      <c r="AH231" s="441"/>
      <c r="AI231" s="246"/>
      <c r="AJ231" s="406" t="s">
        <v>456</v>
      </c>
      <c r="AK231" s="246"/>
      <c r="AL231" s="441"/>
      <c r="AM231" s="246"/>
      <c r="AN231" s="261"/>
      <c r="AO231" s="441"/>
      <c r="AP231" s="246"/>
      <c r="AQ231" s="406" t="s">
        <v>970</v>
      </c>
      <c r="AR231" s="246"/>
      <c r="AS231" s="441"/>
      <c r="AT231" s="254" t="str">
        <f>IF(COUNTIF($AO$79:$AT$81, #REF!) &gt; 0, "X", "")</f>
        <v/>
      </c>
      <c r="AU231" s="269"/>
    </row>
    <row r="232">
      <c r="A232" s="94"/>
      <c r="B232" s="447" t="s">
        <v>729</v>
      </c>
      <c r="C232" s="448" t="s">
        <v>730</v>
      </c>
      <c r="D232" s="330"/>
      <c r="E232" s="259"/>
      <c r="F232" s="441"/>
      <c r="G232" s="246"/>
      <c r="H232" s="366"/>
      <c r="I232" s="246"/>
      <c r="J232" s="441"/>
      <c r="K232" s="246"/>
      <c r="L232" s="462"/>
      <c r="M232" s="441"/>
      <c r="N232" s="246"/>
      <c r="O232" s="406"/>
      <c r="P232" s="246"/>
      <c r="Q232" s="441"/>
      <c r="R232" s="246"/>
      <c r="S232" s="261"/>
      <c r="T232" s="441"/>
      <c r="U232" s="246"/>
      <c r="V232" s="406"/>
      <c r="W232" s="246"/>
      <c r="X232" s="441"/>
      <c r="Y232" s="246"/>
      <c r="Z232" s="261"/>
      <c r="AA232" s="441"/>
      <c r="AB232" s="246"/>
      <c r="AC232" s="406"/>
      <c r="AD232" s="246"/>
      <c r="AE232" s="441"/>
      <c r="AF232" s="246"/>
      <c r="AG232" s="261"/>
      <c r="AH232" s="441"/>
      <c r="AI232" s="246"/>
      <c r="AJ232" s="406" t="s">
        <v>1066</v>
      </c>
      <c r="AK232" s="246"/>
      <c r="AL232" s="441"/>
      <c r="AM232" s="246"/>
      <c r="AN232" s="261"/>
      <c r="AO232" s="441"/>
      <c r="AP232" s="246"/>
      <c r="AQ232" s="406"/>
      <c r="AR232" s="246"/>
      <c r="AS232" s="441"/>
      <c r="AT232" s="254" t="str">
        <f t="shared" ref="AT232:AT234" si="43">IF(COUNTIF($AO$79:$AT$81, AS232) &gt; 0, "X", "")</f>
        <v/>
      </c>
      <c r="AU232" s="269"/>
    </row>
    <row r="233">
      <c r="A233" s="94"/>
      <c r="B233" s="450" t="s">
        <v>731</v>
      </c>
      <c r="C233" s="451" t="s">
        <v>732</v>
      </c>
      <c r="D233" s="363"/>
      <c r="E233" s="259"/>
      <c r="F233" s="206"/>
      <c r="G233" s="246"/>
      <c r="H233" s="206" t="s">
        <v>460</v>
      </c>
      <c r="I233" s="246"/>
      <c r="J233" s="206"/>
      <c r="K233" s="246"/>
      <c r="L233" s="462"/>
      <c r="M233" s="206"/>
      <c r="N233" s="246"/>
      <c r="O233" s="206" t="s">
        <v>946</v>
      </c>
      <c r="P233" s="246"/>
      <c r="Q233" s="206"/>
      <c r="R233" s="246"/>
      <c r="S233" s="261"/>
      <c r="T233" s="206"/>
      <c r="U233" s="246"/>
      <c r="V233" s="206" t="s">
        <v>946</v>
      </c>
      <c r="W233" s="246"/>
      <c r="X233" s="206"/>
      <c r="Y233" s="246"/>
      <c r="Z233" s="261"/>
      <c r="AA233" s="206"/>
      <c r="AB233" s="246"/>
      <c r="AC233" s="206" t="s">
        <v>460</v>
      </c>
      <c r="AD233" s="246"/>
      <c r="AE233" s="206"/>
      <c r="AF233" s="246"/>
      <c r="AG233" s="261"/>
      <c r="AH233" s="206"/>
      <c r="AI233" s="246"/>
      <c r="AJ233" s="206" t="s">
        <v>460</v>
      </c>
      <c r="AK233" s="246"/>
      <c r="AL233" s="206"/>
      <c r="AM233" s="246"/>
      <c r="AN233" s="261"/>
      <c r="AO233" s="206"/>
      <c r="AP233" s="246"/>
      <c r="AQ233" s="206" t="s">
        <v>460</v>
      </c>
      <c r="AR233" s="246"/>
      <c r="AS233" s="206"/>
      <c r="AT233" s="254" t="str">
        <f t="shared" si="43"/>
        <v/>
      </c>
      <c r="AU233" s="269"/>
    </row>
    <row r="234">
      <c r="A234" s="94"/>
      <c r="B234" s="452" t="s">
        <v>733</v>
      </c>
      <c r="C234" s="453" t="s">
        <v>734</v>
      </c>
      <c r="D234" s="363"/>
      <c r="E234" s="259"/>
      <c r="F234" s="74"/>
      <c r="G234" s="246"/>
      <c r="H234" s="594" t="s">
        <v>395</v>
      </c>
      <c r="I234" s="246"/>
      <c r="J234" s="74"/>
      <c r="K234" s="246"/>
      <c r="L234" s="462"/>
      <c r="M234" s="74"/>
      <c r="N234" s="246"/>
      <c r="O234" s="594" t="s">
        <v>395</v>
      </c>
      <c r="P234" s="246"/>
      <c r="Q234" s="74"/>
      <c r="R234" s="246"/>
      <c r="S234" s="261"/>
      <c r="T234" s="74"/>
      <c r="U234" s="246"/>
      <c r="V234" s="594" t="s">
        <v>395</v>
      </c>
      <c r="W234" s="246"/>
      <c r="X234" s="74"/>
      <c r="Y234" s="246"/>
      <c r="Z234" s="261"/>
      <c r="AA234" s="74"/>
      <c r="AB234" s="246"/>
      <c r="AC234" s="594" t="s">
        <v>395</v>
      </c>
      <c r="AD234" s="246"/>
      <c r="AE234" s="74"/>
      <c r="AF234" s="246"/>
      <c r="AG234" s="261"/>
      <c r="AH234" s="74"/>
      <c r="AI234" s="246"/>
      <c r="AJ234" s="594" t="s">
        <v>395</v>
      </c>
      <c r="AK234" s="246"/>
      <c r="AL234" s="74"/>
      <c r="AM234" s="246"/>
      <c r="AN234" s="261"/>
      <c r="AO234" s="74"/>
      <c r="AP234" s="246"/>
      <c r="AQ234" s="406"/>
      <c r="AR234" s="246"/>
      <c r="AS234" s="654"/>
      <c r="AT234" s="254" t="str">
        <f t="shared" si="43"/>
        <v/>
      </c>
      <c r="AU234" s="269"/>
    </row>
    <row r="235">
      <c r="A235" s="94"/>
      <c r="B235" s="636"/>
      <c r="C235" s="637"/>
      <c r="D235" s="269"/>
      <c r="E235" s="638"/>
      <c r="F235" s="446"/>
      <c r="G235" s="246"/>
      <c r="H235" s="446"/>
      <c r="I235" s="246"/>
      <c r="J235" s="446"/>
      <c r="K235" s="246"/>
      <c r="L235" s="462"/>
      <c r="M235" s="446"/>
      <c r="N235" s="246"/>
      <c r="O235" s="446"/>
      <c r="P235" s="246"/>
      <c r="Q235" s="446"/>
      <c r="R235" s="246"/>
      <c r="S235" s="462"/>
      <c r="T235" s="446"/>
      <c r="U235" s="246"/>
      <c r="V235" s="446"/>
      <c r="W235" s="246"/>
      <c r="X235" s="446"/>
      <c r="Y235" s="246"/>
      <c r="Z235" s="462"/>
      <c r="AA235" s="446"/>
      <c r="AB235" s="246"/>
      <c r="AC235" s="446"/>
      <c r="AD235" s="246"/>
      <c r="AE235" s="446"/>
      <c r="AF235" s="246"/>
      <c r="AG235" s="462"/>
      <c r="AH235" s="446"/>
      <c r="AI235" s="246"/>
      <c r="AJ235" s="446"/>
      <c r="AK235" s="246"/>
      <c r="AL235" s="446"/>
      <c r="AM235" s="246"/>
      <c r="AN235" s="462"/>
      <c r="AO235" s="446"/>
      <c r="AP235" s="246"/>
      <c r="AQ235" s="446"/>
      <c r="AR235" s="246"/>
      <c r="AS235" s="446"/>
      <c r="AT235" s="254"/>
      <c r="AU235" s="269"/>
    </row>
    <row r="236">
      <c r="A236" s="94"/>
      <c r="B236" s="454" t="s">
        <v>735</v>
      </c>
      <c r="C236" s="455" t="s">
        <v>736</v>
      </c>
      <c r="D236" s="363"/>
      <c r="E236" s="259"/>
      <c r="F236" s="441"/>
      <c r="G236" s="246"/>
      <c r="H236" s="441"/>
      <c r="I236" s="246"/>
      <c r="J236" s="405" t="s">
        <v>462</v>
      </c>
      <c r="K236" s="246"/>
      <c r="L236" s="462"/>
      <c r="M236" s="441"/>
      <c r="N236" s="246"/>
      <c r="O236" s="441"/>
      <c r="P236" s="246"/>
      <c r="Q236" s="405" t="s">
        <v>462</v>
      </c>
      <c r="R236" s="246"/>
      <c r="S236" s="261"/>
      <c r="T236" s="441"/>
      <c r="U236" s="246"/>
      <c r="V236" s="441"/>
      <c r="W236" s="246"/>
      <c r="X236" s="405" t="s">
        <v>462</v>
      </c>
      <c r="Y236" s="246"/>
      <c r="Z236" s="261"/>
      <c r="AA236" s="441"/>
      <c r="AB236" s="246"/>
      <c r="AC236" s="441"/>
      <c r="AD236" s="246"/>
      <c r="AE236" s="441"/>
      <c r="AF236" s="246"/>
      <c r="AG236" s="261"/>
      <c r="AH236" s="441"/>
      <c r="AI236" s="246"/>
      <c r="AJ236" s="441"/>
      <c r="AK236" s="246"/>
      <c r="AL236" s="405" t="s">
        <v>462</v>
      </c>
      <c r="AM236" s="246"/>
      <c r="AN236" s="261"/>
      <c r="AO236" s="441"/>
      <c r="AP236" s="246"/>
      <c r="AQ236" s="441"/>
      <c r="AR236" s="246"/>
      <c r="AS236" s="441"/>
      <c r="AT236" s="254" t="str">
        <f t="shared" ref="AT236:AT238" si="44">IF(COUNTIF($AO$79:$AT$81, AS236) &gt; 0, "X", "")</f>
        <v/>
      </c>
      <c r="AU236" s="269"/>
    </row>
    <row r="237">
      <c r="A237" s="94"/>
      <c r="B237" s="454" t="s">
        <v>735</v>
      </c>
      <c r="C237" s="442" t="s">
        <v>736</v>
      </c>
      <c r="D237" s="363"/>
      <c r="E237" s="259"/>
      <c r="F237" s="456"/>
      <c r="G237" s="246"/>
      <c r="H237" s="456"/>
      <c r="I237" s="246"/>
      <c r="J237" s="456"/>
      <c r="K237" s="246"/>
      <c r="L237" s="462"/>
      <c r="M237" s="456"/>
      <c r="N237" s="246"/>
      <c r="O237" s="456"/>
      <c r="P237" s="246"/>
      <c r="Q237" s="456"/>
      <c r="R237" s="246"/>
      <c r="S237" s="261"/>
      <c r="T237" s="456"/>
      <c r="U237" s="246"/>
      <c r="V237" s="456"/>
      <c r="W237" s="246"/>
      <c r="X237" s="456"/>
      <c r="Y237" s="246"/>
      <c r="Z237" s="261"/>
      <c r="AA237" s="456"/>
      <c r="AB237" s="246"/>
      <c r="AC237" s="456"/>
      <c r="AD237" s="246"/>
      <c r="AE237" s="456"/>
      <c r="AF237" s="246"/>
      <c r="AG237" s="261"/>
      <c r="AH237" s="456"/>
      <c r="AI237" s="246"/>
      <c r="AJ237" s="456"/>
      <c r="AK237" s="246"/>
      <c r="AL237" s="456"/>
      <c r="AM237" s="246"/>
      <c r="AN237" s="261"/>
      <c r="AO237" s="456"/>
      <c r="AP237" s="246"/>
      <c r="AQ237" s="456"/>
      <c r="AR237" s="246"/>
      <c r="AS237" s="456"/>
      <c r="AT237" s="254" t="str">
        <f t="shared" si="44"/>
        <v/>
      </c>
      <c r="AU237" s="269"/>
    </row>
    <row r="238">
      <c r="A238" s="94"/>
      <c r="B238" s="457" t="s">
        <v>735</v>
      </c>
      <c r="C238" s="458" t="s">
        <v>737</v>
      </c>
      <c r="D238" s="363"/>
      <c r="E238" s="259"/>
      <c r="F238" s="406"/>
      <c r="G238" s="246"/>
      <c r="H238" s="406"/>
      <c r="I238" s="246"/>
      <c r="J238" s="406"/>
      <c r="K238" s="246"/>
      <c r="L238" s="462"/>
      <c r="M238" s="406"/>
      <c r="N238" s="246"/>
      <c r="O238" s="406"/>
      <c r="P238" s="246"/>
      <c r="Q238" s="406"/>
      <c r="R238" s="246"/>
      <c r="S238" s="261"/>
      <c r="T238" s="406"/>
      <c r="U238" s="246"/>
      <c r="V238" s="406"/>
      <c r="W238" s="246"/>
      <c r="X238" s="406"/>
      <c r="Y238" s="246"/>
      <c r="Z238" s="261"/>
      <c r="AA238" s="406"/>
      <c r="AB238" s="246"/>
      <c r="AC238" s="406"/>
      <c r="AD238" s="246"/>
      <c r="AE238" s="406"/>
      <c r="AF238" s="246"/>
      <c r="AG238" s="261"/>
      <c r="AH238" s="406"/>
      <c r="AI238" s="246"/>
      <c r="AJ238" s="406"/>
      <c r="AK238" s="246"/>
      <c r="AL238" s="406"/>
      <c r="AM238" s="246"/>
      <c r="AN238" s="261"/>
      <c r="AO238" s="406"/>
      <c r="AP238" s="246"/>
      <c r="AQ238" s="406"/>
      <c r="AR238" s="246"/>
      <c r="AS238" s="406"/>
      <c r="AT238" s="254" t="str">
        <f t="shared" si="44"/>
        <v/>
      </c>
      <c r="AU238" s="269"/>
    </row>
    <row r="239">
      <c r="A239" s="94"/>
      <c r="B239" s="459"/>
      <c r="C239" s="460" t="s">
        <v>738</v>
      </c>
      <c r="D239" s="363"/>
      <c r="E239" s="259"/>
      <c r="F239" s="461" t="s">
        <v>1138</v>
      </c>
      <c r="G239" s="246"/>
      <c r="H239" s="132"/>
      <c r="I239" s="246"/>
      <c r="J239" s="132"/>
      <c r="K239" s="246"/>
      <c r="L239" s="462"/>
      <c r="M239" s="461" t="s">
        <v>1139</v>
      </c>
      <c r="N239" s="246"/>
      <c r="O239" s="132"/>
      <c r="P239" s="246"/>
      <c r="Q239" s="132"/>
      <c r="R239" s="246"/>
      <c r="S239" s="462"/>
      <c r="T239" s="461" t="s">
        <v>1140</v>
      </c>
      <c r="U239" s="246"/>
      <c r="V239" s="132"/>
      <c r="W239" s="246"/>
      <c r="X239" s="132"/>
      <c r="Y239" s="246"/>
      <c r="Z239" s="462"/>
      <c r="AA239" s="461" t="s">
        <v>1141</v>
      </c>
      <c r="AB239" s="246"/>
      <c r="AC239" s="132"/>
      <c r="AD239" s="246"/>
      <c r="AE239" s="132"/>
      <c r="AF239" s="246"/>
      <c r="AG239" s="462"/>
      <c r="AH239" s="461" t="s">
        <v>1142</v>
      </c>
      <c r="AI239" s="246"/>
      <c r="AJ239" s="132"/>
      <c r="AK239" s="246"/>
      <c r="AL239" s="132"/>
      <c r="AM239" s="246"/>
      <c r="AN239" s="462"/>
      <c r="AO239" s="461" t="s">
        <v>1143</v>
      </c>
      <c r="AP239" s="246"/>
      <c r="AQ239" s="132"/>
      <c r="AR239" s="246"/>
      <c r="AS239" s="132"/>
      <c r="AT239" s="460"/>
      <c r="AU239" s="269"/>
    </row>
    <row r="240">
      <c r="A240" s="270"/>
      <c r="B240" s="459"/>
      <c r="C240" s="460" t="s">
        <v>738</v>
      </c>
      <c r="D240" s="363"/>
      <c r="E240" s="259"/>
      <c r="F240" s="461" t="s">
        <v>446</v>
      </c>
      <c r="G240" s="246"/>
      <c r="H240" s="132"/>
      <c r="I240" s="246"/>
      <c r="J240" s="132"/>
      <c r="K240" s="246"/>
      <c r="L240" s="462"/>
      <c r="M240" s="461" t="s">
        <v>446</v>
      </c>
      <c r="N240" s="246"/>
      <c r="O240" s="132"/>
      <c r="P240" s="246"/>
      <c r="Q240" s="132"/>
      <c r="R240" s="246"/>
      <c r="S240" s="462"/>
      <c r="T240" s="461" t="s">
        <v>446</v>
      </c>
      <c r="U240" s="246"/>
      <c r="V240" s="132"/>
      <c r="W240" s="246"/>
      <c r="X240" s="132"/>
      <c r="Y240" s="246"/>
      <c r="Z240" s="462"/>
      <c r="AA240" s="461" t="s">
        <v>446</v>
      </c>
      <c r="AB240" s="246"/>
      <c r="AC240" s="132"/>
      <c r="AD240" s="246"/>
      <c r="AE240" s="132"/>
      <c r="AF240" s="246"/>
      <c r="AG240" s="462"/>
      <c r="AH240" s="461" t="s">
        <v>446</v>
      </c>
      <c r="AI240" s="246"/>
      <c r="AJ240" s="132"/>
      <c r="AK240" s="246"/>
      <c r="AL240" s="132"/>
      <c r="AM240" s="246"/>
      <c r="AN240" s="462"/>
      <c r="AO240" s="461" t="s">
        <v>1144</v>
      </c>
      <c r="AP240" s="246"/>
      <c r="AQ240" s="132"/>
      <c r="AR240" s="246"/>
      <c r="AS240" s="132"/>
      <c r="AT240" s="460"/>
      <c r="AU240" s="236"/>
    </row>
    <row r="241">
      <c r="A241" s="236"/>
      <c r="B241" s="459"/>
      <c r="C241" s="460" t="s">
        <v>738</v>
      </c>
      <c r="D241" s="363"/>
      <c r="E241" s="259"/>
      <c r="F241" s="461" t="s">
        <v>1145</v>
      </c>
      <c r="G241" s="246"/>
      <c r="H241" s="132"/>
      <c r="I241" s="246"/>
      <c r="J241" s="132"/>
      <c r="K241" s="246"/>
      <c r="L241" s="462"/>
      <c r="M241" s="132"/>
      <c r="N241" s="246"/>
      <c r="O241" s="132"/>
      <c r="P241" s="246"/>
      <c r="Q241" s="132"/>
      <c r="R241" s="246"/>
      <c r="S241" s="462"/>
      <c r="T241" s="132"/>
      <c r="U241" s="246"/>
      <c r="V241" s="132"/>
      <c r="W241" s="246"/>
      <c r="X241" s="132"/>
      <c r="Y241" s="246"/>
      <c r="Z241" s="462"/>
      <c r="AA241" s="461" t="s">
        <v>1146</v>
      </c>
      <c r="AB241" s="246"/>
      <c r="AC241" s="132"/>
      <c r="AD241" s="246"/>
      <c r="AE241" s="132"/>
      <c r="AF241" s="246"/>
      <c r="AG241" s="462"/>
      <c r="AH241" s="461" t="s">
        <v>1147</v>
      </c>
      <c r="AI241" s="246"/>
      <c r="AJ241" s="132"/>
      <c r="AK241" s="246"/>
      <c r="AL241" s="132"/>
      <c r="AM241" s="246"/>
      <c r="AN241" s="462"/>
      <c r="AO241" s="461" t="s">
        <v>1146</v>
      </c>
      <c r="AP241" s="246"/>
      <c r="AQ241" s="132"/>
      <c r="AR241" s="246"/>
      <c r="AS241" s="132"/>
      <c r="AT241" s="460"/>
      <c r="AU241" s="236"/>
    </row>
    <row r="242">
      <c r="A242" s="182"/>
      <c r="B242" s="183" t="s">
        <v>791</v>
      </c>
      <c r="C242" s="184" t="s">
        <v>1148</v>
      </c>
      <c r="D242" s="185" t="s">
        <v>486</v>
      </c>
      <c r="E242" s="186"/>
      <c r="F242" s="185" t="s">
        <v>487</v>
      </c>
      <c r="M242" s="185" t="s">
        <v>488</v>
      </c>
      <c r="T242" s="185" t="s">
        <v>489</v>
      </c>
      <c r="AA242" s="185" t="s">
        <v>490</v>
      </c>
      <c r="AH242" s="185" t="s">
        <v>491</v>
      </c>
      <c r="AO242" s="185" t="s">
        <v>492</v>
      </c>
      <c r="AU242" s="182"/>
    </row>
    <row r="243">
      <c r="A243" s="182"/>
      <c r="B243" s="187"/>
      <c r="C243" s="187"/>
      <c r="D243" s="188">
        <f>AO163+1</f>
        <v>26</v>
      </c>
      <c r="E243" s="189"/>
      <c r="F243" s="188">
        <f>D243+1</f>
        <v>27</v>
      </c>
      <c r="M243" s="188">
        <f>F243+1</f>
        <v>28</v>
      </c>
      <c r="T243" s="188">
        <f>M243+1</f>
        <v>29</v>
      </c>
      <c r="AA243" s="188">
        <f>T243+1</f>
        <v>30</v>
      </c>
      <c r="AH243" s="188">
        <f>AA243+1</f>
        <v>31</v>
      </c>
      <c r="AO243" s="188">
        <v>1.0</v>
      </c>
      <c r="AU243" s="182"/>
    </row>
    <row r="244">
      <c r="A244" s="182"/>
      <c r="B244" s="193" t="s">
        <v>608</v>
      </c>
      <c r="C244" s="193" t="s">
        <v>609</v>
      </c>
      <c r="D244" s="187"/>
      <c r="E244" s="189"/>
      <c r="F244" s="194" t="s">
        <v>610</v>
      </c>
      <c r="G244" s="195"/>
      <c r="H244" s="193" t="s">
        <v>611</v>
      </c>
      <c r="J244" s="194" t="s">
        <v>612</v>
      </c>
      <c r="M244" s="194" t="s">
        <v>610</v>
      </c>
      <c r="N244" s="195"/>
      <c r="O244" s="193" t="s">
        <v>611</v>
      </c>
      <c r="P244" s="195"/>
      <c r="Q244" s="194" t="s">
        <v>612</v>
      </c>
      <c r="S244" s="193"/>
      <c r="T244" s="194" t="s">
        <v>610</v>
      </c>
      <c r="U244" s="195"/>
      <c r="V244" s="193" t="s">
        <v>611</v>
      </c>
      <c r="W244" s="195"/>
      <c r="X244" s="194" t="s">
        <v>612</v>
      </c>
      <c r="Z244" s="193"/>
      <c r="AA244" s="194" t="s">
        <v>610</v>
      </c>
      <c r="AB244" s="195"/>
      <c r="AC244" s="193" t="s">
        <v>611</v>
      </c>
      <c r="AD244" s="195"/>
      <c r="AE244" s="194" t="s">
        <v>612</v>
      </c>
      <c r="AG244" s="193"/>
      <c r="AH244" s="194" t="s">
        <v>610</v>
      </c>
      <c r="AI244" s="195"/>
      <c r="AJ244" s="193" t="s">
        <v>611</v>
      </c>
      <c r="AK244" s="195"/>
      <c r="AL244" s="194" t="s">
        <v>612</v>
      </c>
      <c r="AN244" s="193"/>
      <c r="AO244" s="194" t="s">
        <v>610</v>
      </c>
      <c r="AP244" s="195"/>
      <c r="AQ244" s="193" t="s">
        <v>611</v>
      </c>
      <c r="AR244" s="195"/>
      <c r="AS244" s="194" t="s">
        <v>612</v>
      </c>
      <c r="AU244" s="182"/>
    </row>
    <row r="245">
      <c r="A245" s="199"/>
      <c r="B245" s="200" t="s">
        <v>620</v>
      </c>
      <c r="C245" s="201"/>
      <c r="D245" s="201"/>
      <c r="E245" s="202"/>
      <c r="F245" s="203"/>
      <c r="G245" s="204"/>
      <c r="H245" s="203"/>
      <c r="I245" s="204"/>
      <c r="J245" s="203"/>
      <c r="K245" s="204"/>
      <c r="L245" s="221"/>
      <c r="M245" s="203"/>
      <c r="N245" s="204"/>
      <c r="O245" s="203"/>
      <c r="P245" s="204"/>
      <c r="Q245" s="203"/>
      <c r="R245" s="204"/>
      <c r="S245" s="205"/>
      <c r="T245" s="203"/>
      <c r="U245" s="204"/>
      <c r="V245" s="203"/>
      <c r="W245" s="204"/>
      <c r="X245" s="203"/>
      <c r="Y245" s="204"/>
      <c r="Z245" s="205"/>
      <c r="AA245" s="203"/>
      <c r="AB245" s="204"/>
      <c r="AC245" s="203"/>
      <c r="AD245" s="204"/>
      <c r="AE245" s="203"/>
      <c r="AF245" s="204"/>
      <c r="AG245" s="205"/>
      <c r="AH245" s="203"/>
      <c r="AI245" s="204"/>
      <c r="AJ245" s="203"/>
      <c r="AK245" s="204"/>
      <c r="AL245" s="203"/>
      <c r="AM245" s="204"/>
      <c r="AN245" s="205"/>
      <c r="AO245" s="203"/>
      <c r="AP245" s="204"/>
      <c r="AQ245" s="203"/>
      <c r="AR245" s="204"/>
      <c r="AS245" s="203"/>
      <c r="AT245" s="204"/>
      <c r="AU245" s="199"/>
    </row>
    <row r="246">
      <c r="A246" s="234"/>
      <c r="B246" s="235" t="s">
        <v>608</v>
      </c>
      <c r="C246" s="195" t="s">
        <v>609</v>
      </c>
      <c r="D246" s="236"/>
      <c r="E246" s="237"/>
      <c r="F246" s="238"/>
      <c r="G246" s="182"/>
      <c r="H246" s="238"/>
      <c r="I246" s="239"/>
      <c r="J246" s="238"/>
      <c r="K246" s="239"/>
      <c r="L246" s="94"/>
      <c r="M246" s="238"/>
      <c r="N246" s="182"/>
      <c r="O246" s="238"/>
      <c r="P246" s="239"/>
      <c r="Q246" s="238"/>
      <c r="R246" s="239"/>
      <c r="S246" s="237"/>
      <c r="T246" s="238"/>
      <c r="U246" s="182"/>
      <c r="V246" s="238"/>
      <c r="W246" s="239"/>
      <c r="X246" s="238"/>
      <c r="Y246" s="239"/>
      <c r="Z246" s="237"/>
      <c r="AA246" s="238"/>
      <c r="AB246" s="182"/>
      <c r="AC246" s="238"/>
      <c r="AD246" s="239"/>
      <c r="AE246" s="238"/>
      <c r="AF246" s="239"/>
      <c r="AG246" s="237"/>
      <c r="AH246" s="238"/>
      <c r="AI246" s="182"/>
      <c r="AJ246" s="238"/>
      <c r="AK246" s="239"/>
      <c r="AL246" s="238"/>
      <c r="AM246" s="239"/>
      <c r="AN246" s="237"/>
      <c r="AO246" s="238"/>
      <c r="AP246" s="182"/>
      <c r="AQ246" s="238"/>
      <c r="AR246" s="239"/>
      <c r="AS246" s="238"/>
      <c r="AT246" s="239"/>
      <c r="AU246" s="236"/>
    </row>
    <row r="247">
      <c r="A247" s="240"/>
      <c r="B247" s="241" t="s">
        <v>638</v>
      </c>
      <c r="C247" s="242" t="s">
        <v>639</v>
      </c>
      <c r="D247" s="243"/>
      <c r="E247" s="244"/>
      <c r="F247" s="371"/>
      <c r="G247" s="246"/>
      <c r="H247" s="274"/>
      <c r="I247" s="246"/>
      <c r="J247" s="274" t="s">
        <v>414</v>
      </c>
      <c r="K247" s="246"/>
      <c r="L247" s="676"/>
      <c r="M247" s="250"/>
      <c r="N247" s="246"/>
      <c r="O247" s="282"/>
      <c r="P247" s="246"/>
      <c r="R247" s="246"/>
      <c r="S247" s="249"/>
      <c r="T247" s="250"/>
      <c r="U247" s="246"/>
      <c r="V247" s="282"/>
      <c r="W247" s="246"/>
      <c r="X247" s="251" t="s">
        <v>405</v>
      </c>
      <c r="Y247" s="246"/>
      <c r="Z247" s="249"/>
      <c r="AA247" s="250"/>
      <c r="AB247" s="246"/>
      <c r="AC247" s="282"/>
      <c r="AD247" s="246"/>
      <c r="AE247" s="660" t="s">
        <v>405</v>
      </c>
      <c r="AF247" s="246"/>
      <c r="AG247" s="249"/>
      <c r="AH247" s="371"/>
      <c r="AI247" s="246"/>
      <c r="AJ247" s="282"/>
      <c r="AK247" s="246"/>
      <c r="AM247" s="246"/>
      <c r="AN247" s="249"/>
      <c r="AO247" s="250"/>
      <c r="AP247" s="246"/>
      <c r="AQ247" s="276"/>
      <c r="AR247" s="246"/>
      <c r="AS247" s="252"/>
      <c r="AT247" s="254" t="str">
        <f>IF(COUNTIF($AO$79:$AT$81, #REF!) &gt; 0, "X", "")</f>
        <v/>
      </c>
      <c r="AU247" s="255"/>
    </row>
    <row r="248">
      <c r="A248" s="94"/>
      <c r="B248" s="256" t="s">
        <v>638</v>
      </c>
      <c r="C248" s="257" t="s">
        <v>639</v>
      </c>
      <c r="D248" s="243"/>
      <c r="E248" s="259"/>
      <c r="F248" s="371"/>
      <c r="G248" s="246"/>
      <c r="H248" s="274"/>
      <c r="I248" s="246"/>
      <c r="J248" s="660" t="s">
        <v>405</v>
      </c>
      <c r="K248" s="246"/>
      <c r="L248" s="676"/>
      <c r="M248" s="250"/>
      <c r="N248" s="246"/>
      <c r="O248" s="282"/>
      <c r="P248" s="246"/>
      <c r="Q248" s="660" t="s">
        <v>405</v>
      </c>
      <c r="R248" s="246"/>
      <c r="S248" s="249"/>
      <c r="T248" s="250"/>
      <c r="U248" s="246"/>
      <c r="V248" s="282"/>
      <c r="W248" s="246"/>
      <c r="Y248" s="246"/>
      <c r="Z248" s="249"/>
      <c r="AA248" s="250"/>
      <c r="AB248" s="246"/>
      <c r="AD248" s="246"/>
      <c r="AE248" s="802" t="s">
        <v>414</v>
      </c>
      <c r="AF248" s="246"/>
      <c r="AG248" s="249"/>
      <c r="AH248" s="371"/>
      <c r="AI248" s="246"/>
      <c r="AJ248" s="282"/>
      <c r="AK248" s="246"/>
      <c r="AL248" s="251" t="s">
        <v>405</v>
      </c>
      <c r="AM248" s="246"/>
      <c r="AN248" s="249"/>
      <c r="AO248" s="250"/>
      <c r="AP248" s="246"/>
      <c r="AQ248" s="276"/>
      <c r="AR248" s="246"/>
      <c r="AS248" s="252"/>
      <c r="AT248" s="254" t="str">
        <f>IF(COUNTIF($AO$79:$AT$81, AS254) &gt; 0, "X", "")</f>
        <v/>
      </c>
      <c r="AU248" s="269"/>
    </row>
    <row r="249">
      <c r="A249" s="270"/>
      <c r="B249" s="271" t="s">
        <v>642</v>
      </c>
      <c r="C249" s="272" t="s">
        <v>639</v>
      </c>
      <c r="D249" s="243"/>
      <c r="E249" s="259"/>
      <c r="F249" s="426"/>
      <c r="G249" s="246"/>
      <c r="H249" s="426"/>
      <c r="I249" s="246"/>
      <c r="K249" s="246"/>
      <c r="L249" s="462"/>
      <c r="M249" s="262"/>
      <c r="N249" s="246"/>
      <c r="O249" s="265"/>
      <c r="P249" s="246"/>
      <c r="Q249" s="265"/>
      <c r="R249" s="246"/>
      <c r="S249" s="261"/>
      <c r="T249" s="262"/>
      <c r="U249" s="246"/>
      <c r="W249" s="246"/>
      <c r="X249" s="265"/>
      <c r="Y249" s="246"/>
      <c r="Z249" s="261"/>
      <c r="AA249" s="262"/>
      <c r="AB249" s="246"/>
      <c r="AD249" s="246"/>
      <c r="AF249" s="246"/>
      <c r="AG249" s="261"/>
      <c r="AH249" s="426"/>
      <c r="AI249" s="246"/>
      <c r="AJ249" s="519" t="s">
        <v>406</v>
      </c>
      <c r="AK249" s="246"/>
      <c r="AL249" s="289"/>
      <c r="AM249" s="246"/>
      <c r="AN249" s="261"/>
      <c r="AO249" s="262"/>
      <c r="AP249" s="246"/>
      <c r="AQ249" s="598"/>
      <c r="AR249" s="246"/>
      <c r="AS249" s="598"/>
      <c r="AT249" s="254" t="str">
        <f>IF(COUNTIF($AO$79:$AT$81, #REF!) &gt; 0, "X", "")</f>
        <v/>
      </c>
      <c r="AU249" s="269"/>
    </row>
    <row r="250">
      <c r="A250" s="234"/>
      <c r="B250" s="277" t="s">
        <v>644</v>
      </c>
      <c r="C250" s="278" t="s">
        <v>645</v>
      </c>
      <c r="D250" s="243"/>
      <c r="E250" s="259"/>
      <c r="F250" s="281"/>
      <c r="G250" s="246"/>
      <c r="H250" s="280" t="s">
        <v>400</v>
      </c>
      <c r="I250" s="246"/>
      <c r="J250" s="282"/>
      <c r="K250" s="246"/>
      <c r="L250" s="462"/>
      <c r="M250" s="250"/>
      <c r="N250" s="246"/>
      <c r="O250" s="281"/>
      <c r="P250" s="246"/>
      <c r="R250" s="246"/>
      <c r="S250" s="261"/>
      <c r="T250" s="250"/>
      <c r="U250" s="246"/>
      <c r="W250" s="246"/>
      <c r="X250" s="280" t="s">
        <v>400</v>
      </c>
      <c r="Y250" s="246"/>
      <c r="Z250" s="261"/>
      <c r="AA250" s="250"/>
      <c r="AB250" s="246"/>
      <c r="AC250" s="281"/>
      <c r="AD250" s="246"/>
      <c r="AE250" s="280" t="s">
        <v>400</v>
      </c>
      <c r="AF250" s="246"/>
      <c r="AG250" s="261"/>
      <c r="AH250" s="282"/>
      <c r="AI250" s="246"/>
      <c r="AJ250" s="280" t="s">
        <v>400</v>
      </c>
      <c r="AK250" s="246"/>
      <c r="AL250" s="281"/>
      <c r="AM250" s="246"/>
      <c r="AN250" s="261"/>
      <c r="AO250" s="250"/>
      <c r="AP250" s="246"/>
      <c r="AQ250" s="276"/>
      <c r="AR250" s="246"/>
      <c r="AS250" s="276"/>
      <c r="AT250" s="254" t="str">
        <f t="shared" ref="AT250:AT252" si="45">IF(COUNTIF($AO$79:$AT$81, AS251) &gt; 0, "X", "")</f>
        <v/>
      </c>
      <c r="AU250" s="269"/>
    </row>
    <row r="251">
      <c r="A251" s="94"/>
      <c r="B251" s="256" t="s">
        <v>757</v>
      </c>
      <c r="C251" s="257" t="s">
        <v>645</v>
      </c>
      <c r="D251" s="243"/>
      <c r="E251" s="259"/>
      <c r="F251" s="371"/>
      <c r="G251" s="246"/>
      <c r="H251" s="371"/>
      <c r="I251" s="246"/>
      <c r="J251" s="371"/>
      <c r="K251" s="246"/>
      <c r="L251" s="462"/>
      <c r="M251" s="250"/>
      <c r="N251" s="246"/>
      <c r="O251" s="280" t="s">
        <v>400</v>
      </c>
      <c r="P251" s="246"/>
      <c r="R251" s="246"/>
      <c r="S251" s="261"/>
      <c r="T251" s="250"/>
      <c r="U251" s="246"/>
      <c r="V251" s="371"/>
      <c r="W251" s="246"/>
      <c r="X251" s="371"/>
      <c r="Y251" s="246"/>
      <c r="Z251" s="261"/>
      <c r="AA251" s="250"/>
      <c r="AB251" s="246"/>
      <c r="AC251" s="282"/>
      <c r="AD251" s="246"/>
      <c r="AE251" s="282"/>
      <c r="AF251" s="246"/>
      <c r="AG251" s="261"/>
      <c r="AH251" s="371"/>
      <c r="AI251" s="246"/>
      <c r="AJ251" s="371"/>
      <c r="AK251" s="246"/>
      <c r="AL251" s="371"/>
      <c r="AM251" s="246"/>
      <c r="AN251" s="261"/>
      <c r="AO251" s="250"/>
      <c r="AP251" s="246"/>
      <c r="AQ251" s="252"/>
      <c r="AR251" s="246"/>
      <c r="AS251" s="252"/>
      <c r="AT251" s="254" t="str">
        <f t="shared" si="45"/>
        <v/>
      </c>
      <c r="AU251" s="269"/>
    </row>
    <row r="252">
      <c r="A252" s="94"/>
      <c r="B252" s="284" t="s">
        <v>646</v>
      </c>
      <c r="C252" s="285" t="s">
        <v>647</v>
      </c>
      <c r="D252" s="243"/>
      <c r="E252" s="259"/>
      <c r="F252" s="251" t="s">
        <v>427</v>
      </c>
      <c r="G252" s="246"/>
      <c r="H252" s="399"/>
      <c r="I252" s="246"/>
      <c r="J252" s="399"/>
      <c r="K252" s="246"/>
      <c r="L252" s="462"/>
      <c r="M252" s="324"/>
      <c r="N252" s="246"/>
      <c r="O252" s="399"/>
      <c r="P252" s="246"/>
      <c r="Q252" s="251" t="s">
        <v>427</v>
      </c>
      <c r="R252" s="246"/>
      <c r="S252" s="261"/>
      <c r="T252" s="324"/>
      <c r="U252" s="246"/>
      <c r="W252" s="246"/>
      <c r="X252" s="251" t="s">
        <v>427</v>
      </c>
      <c r="Y252" s="246"/>
      <c r="Z252" s="261"/>
      <c r="AA252" s="324"/>
      <c r="AB252" s="246"/>
      <c r="AC252" s="282"/>
      <c r="AD252" s="246"/>
      <c r="AE252" s="251" t="s">
        <v>427</v>
      </c>
      <c r="AF252" s="246"/>
      <c r="AG252" s="261"/>
      <c r="AH252" s="251" t="s">
        <v>427</v>
      </c>
      <c r="AI252" s="246"/>
      <c r="AJ252" s="282"/>
      <c r="AK252" s="246"/>
      <c r="AL252" s="282"/>
      <c r="AM252" s="246"/>
      <c r="AN252" s="261"/>
      <c r="AO252" s="324"/>
      <c r="AP252" s="246"/>
      <c r="AQ252" s="252"/>
      <c r="AR252" s="246"/>
      <c r="AS252" s="252"/>
      <c r="AT252" s="254" t="str">
        <f t="shared" si="45"/>
        <v/>
      </c>
      <c r="AU252" s="269"/>
    </row>
    <row r="253">
      <c r="A253" s="270"/>
      <c r="B253" s="291" t="s">
        <v>648</v>
      </c>
      <c r="C253" s="292" t="s">
        <v>649</v>
      </c>
      <c r="D253" s="243"/>
      <c r="E253" s="259"/>
      <c r="F253" s="294"/>
      <c r="G253" s="246"/>
      <c r="H253" s="293"/>
      <c r="I253" s="246"/>
      <c r="J253" s="294"/>
      <c r="K253" s="246"/>
      <c r="L253" s="462"/>
      <c r="M253" s="250"/>
      <c r="N253" s="246"/>
      <c r="O253" s="293"/>
      <c r="P253" s="246"/>
      <c r="Q253" s="294"/>
      <c r="R253" s="246"/>
      <c r="S253" s="261"/>
      <c r="T253" s="250"/>
      <c r="U253" s="246"/>
      <c r="V253" s="294"/>
      <c r="W253" s="246"/>
      <c r="X253" s="293"/>
      <c r="Y253" s="246"/>
      <c r="Z253" s="261"/>
      <c r="AA253" s="250"/>
      <c r="AB253" s="246"/>
      <c r="AC253" s="294"/>
      <c r="AD253" s="246"/>
      <c r="AE253" s="293"/>
      <c r="AF253" s="246"/>
      <c r="AG253" s="261"/>
      <c r="AH253" s="294"/>
      <c r="AI253" s="246"/>
      <c r="AJ253" s="293"/>
      <c r="AK253" s="246"/>
      <c r="AL253" s="294"/>
      <c r="AM253" s="246"/>
      <c r="AN253" s="261"/>
      <c r="AO253" s="250"/>
      <c r="AP253" s="246"/>
      <c r="AQ253" s="294"/>
      <c r="AR253" s="246"/>
      <c r="AS253" s="294"/>
      <c r="AT253" s="254" t="str">
        <f t="shared" ref="AT253:AT254" si="46">IF(COUNTIF($AO$79:$AT$81, #REF!) &gt; 0, "X", "")</f>
        <v/>
      </c>
      <c r="AU253" s="269"/>
    </row>
    <row r="254">
      <c r="A254" s="94"/>
      <c r="B254" s="296" t="s">
        <v>650</v>
      </c>
      <c r="C254" s="297" t="s">
        <v>649</v>
      </c>
      <c r="D254" s="669" t="s">
        <v>758</v>
      </c>
      <c r="E254" s="259"/>
      <c r="F254" s="299"/>
      <c r="G254" s="298"/>
      <c r="H254" s="299"/>
      <c r="I254" s="298"/>
      <c r="J254" s="299"/>
      <c r="K254" s="298"/>
      <c r="L254" s="462"/>
      <c r="M254" s="250"/>
      <c r="N254" s="298"/>
      <c r="O254" s="299"/>
      <c r="P254" s="298"/>
      <c r="Q254" s="299"/>
      <c r="R254" s="298"/>
      <c r="S254" s="261"/>
      <c r="T254" s="250"/>
      <c r="U254" s="298"/>
      <c r="V254" s="299"/>
      <c r="W254" s="298"/>
      <c r="X254" s="299"/>
      <c r="Y254" s="298"/>
      <c r="Z254" s="261"/>
      <c r="AA254" s="250"/>
      <c r="AB254" s="298"/>
      <c r="AC254" s="299"/>
      <c r="AD254" s="298"/>
      <c r="AE254" s="299"/>
      <c r="AF254" s="298"/>
      <c r="AG254" s="261"/>
      <c r="AH254" s="299"/>
      <c r="AI254" s="298"/>
      <c r="AJ254" s="299"/>
      <c r="AK254" s="298"/>
      <c r="AL254" s="299"/>
      <c r="AM254" s="298"/>
      <c r="AN254" s="261"/>
      <c r="AO254" s="250"/>
      <c r="AP254" s="298"/>
      <c r="AQ254" s="300"/>
      <c r="AR254" s="298"/>
      <c r="AS254" s="300"/>
      <c r="AT254" s="254" t="str">
        <f t="shared" si="46"/>
        <v/>
      </c>
      <c r="AU254" s="269"/>
    </row>
    <row r="255">
      <c r="A255" s="94"/>
      <c r="B255" s="301" t="s">
        <v>651</v>
      </c>
      <c r="C255" s="302" t="s">
        <v>652</v>
      </c>
      <c r="D255" s="803" t="s">
        <v>398</v>
      </c>
      <c r="E255" s="259"/>
      <c r="F255" s="303"/>
      <c r="G255" s="298"/>
      <c r="H255" s="303"/>
      <c r="I255" s="298"/>
      <c r="J255" s="303"/>
      <c r="K255" s="298"/>
      <c r="L255" s="462"/>
      <c r="M255" s="250"/>
      <c r="N255" s="298"/>
      <c r="O255" s="303"/>
      <c r="P255" s="298"/>
      <c r="Q255" s="303"/>
      <c r="R255" s="298"/>
      <c r="S255" s="261"/>
      <c r="T255" s="250"/>
      <c r="U255" s="298"/>
      <c r="V255" s="303"/>
      <c r="W255" s="298"/>
      <c r="X255" s="303"/>
      <c r="Y255" s="298"/>
      <c r="Z255" s="261"/>
      <c r="AA255" s="250"/>
      <c r="AB255" s="298"/>
      <c r="AC255" s="303"/>
      <c r="AD255" s="298"/>
      <c r="AE255" s="303"/>
      <c r="AF255" s="298"/>
      <c r="AG255" s="261"/>
      <c r="AH255" s="303"/>
      <c r="AI255" s="298"/>
      <c r="AJ255" s="303"/>
      <c r="AK255" s="298"/>
      <c r="AL255" s="303"/>
      <c r="AM255" s="298"/>
      <c r="AN255" s="261"/>
      <c r="AO255" s="250"/>
      <c r="AP255" s="298"/>
      <c r="AQ255" s="304"/>
      <c r="AR255" s="298"/>
      <c r="AS255" s="304"/>
      <c r="AT255" s="254" t="str">
        <f t="shared" ref="AT255:AT256" si="47">IF(COUNTIF($AO$79:$AT$81, AS256) &gt; 0, "X", "")</f>
        <v/>
      </c>
      <c r="AU255" s="269"/>
    </row>
    <row r="256">
      <c r="A256" s="94"/>
      <c r="B256" s="305" t="s">
        <v>653</v>
      </c>
      <c r="C256" s="306" t="s">
        <v>654</v>
      </c>
      <c r="D256" s="804" t="s">
        <v>422</v>
      </c>
      <c r="E256" s="259"/>
      <c r="F256" s="307"/>
      <c r="G256" s="298"/>
      <c r="H256" s="307"/>
      <c r="I256" s="298"/>
      <c r="J256" s="307"/>
      <c r="K256" s="298"/>
      <c r="L256" s="462"/>
      <c r="M256" s="250"/>
      <c r="N256" s="298"/>
      <c r="O256" s="307"/>
      <c r="P256" s="298"/>
      <c r="Q256" s="307"/>
      <c r="R256" s="298"/>
      <c r="S256" s="261"/>
      <c r="T256" s="250"/>
      <c r="U256" s="298"/>
      <c r="V256" s="307"/>
      <c r="W256" s="298"/>
      <c r="X256" s="307"/>
      <c r="Y256" s="298"/>
      <c r="Z256" s="261"/>
      <c r="AA256" s="250"/>
      <c r="AB256" s="298"/>
      <c r="AC256" s="307"/>
      <c r="AD256" s="298"/>
      <c r="AE256" s="307"/>
      <c r="AF256" s="298"/>
      <c r="AG256" s="261"/>
      <c r="AH256" s="307"/>
      <c r="AI256" s="298"/>
      <c r="AJ256" s="307"/>
      <c r="AK256" s="298"/>
      <c r="AL256" s="307"/>
      <c r="AM256" s="298"/>
      <c r="AN256" s="261"/>
      <c r="AO256" s="250"/>
      <c r="AP256" s="298"/>
      <c r="AQ256" s="307"/>
      <c r="AR256" s="298"/>
      <c r="AS256" s="307"/>
      <c r="AT256" s="254" t="str">
        <f t="shared" si="47"/>
        <v/>
      </c>
      <c r="AU256" s="269"/>
    </row>
    <row r="257">
      <c r="A257" s="94"/>
      <c r="B257" s="310" t="s">
        <v>656</v>
      </c>
      <c r="C257" s="278" t="s">
        <v>657</v>
      </c>
      <c r="D257" s="805" t="s">
        <v>397</v>
      </c>
      <c r="E257" s="259"/>
      <c r="F257" s="281"/>
      <c r="G257" s="246"/>
      <c r="H257" s="282"/>
      <c r="I257" s="246"/>
      <c r="J257" s="282"/>
      <c r="K257" s="246"/>
      <c r="L257" s="462"/>
      <c r="M257" s="250"/>
      <c r="N257" s="246"/>
      <c r="P257" s="246"/>
      <c r="R257" s="246"/>
      <c r="S257" s="261"/>
      <c r="T257" s="250"/>
      <c r="U257" s="246"/>
      <c r="V257" s="282"/>
      <c r="W257" s="246"/>
      <c r="X257" s="282"/>
      <c r="Y257" s="246"/>
      <c r="Z257" s="261"/>
      <c r="AA257" s="250"/>
      <c r="AB257" s="246"/>
      <c r="AC257" s="282"/>
      <c r="AD257" s="246"/>
      <c r="AF257" s="246"/>
      <c r="AG257" s="261"/>
      <c r="AH257" s="282"/>
      <c r="AI257" s="246"/>
      <c r="AJ257" s="282"/>
      <c r="AK257" s="246"/>
      <c r="AM257" s="246"/>
      <c r="AN257" s="261"/>
      <c r="AO257" s="250"/>
      <c r="AP257" s="246"/>
      <c r="AQ257" s="276"/>
      <c r="AR257" s="246"/>
      <c r="AS257" s="276"/>
      <c r="AT257" s="254" t="str">
        <f t="shared" ref="AT257:AT259" si="48">IF(COUNTIF($AO$79:$AT$81, #REF!) &gt; 0, "X", "")</f>
        <v/>
      </c>
      <c r="AU257" s="269"/>
    </row>
    <row r="258">
      <c r="A258" s="94"/>
      <c r="B258" s="277" t="s">
        <v>658</v>
      </c>
      <c r="C258" s="278" t="s">
        <v>657</v>
      </c>
      <c r="D258" s="243"/>
      <c r="E258" s="259"/>
      <c r="F258" s="282"/>
      <c r="G258" s="246"/>
      <c r="H258" s="282"/>
      <c r="I258" s="246"/>
      <c r="K258" s="246"/>
      <c r="L258" s="462"/>
      <c r="M258" s="250"/>
      <c r="N258" s="246"/>
      <c r="P258" s="246"/>
      <c r="R258" s="246"/>
      <c r="S258" s="261"/>
      <c r="T258" s="250"/>
      <c r="U258" s="246"/>
      <c r="V258" s="282"/>
      <c r="W258" s="246"/>
      <c r="X258" s="282"/>
      <c r="Y258" s="246"/>
      <c r="Z258" s="261"/>
      <c r="AA258" s="250"/>
      <c r="AB258" s="246"/>
      <c r="AD258" s="246"/>
      <c r="AF258" s="246"/>
      <c r="AG258" s="261"/>
      <c r="AH258" s="282"/>
      <c r="AI258" s="246"/>
      <c r="AK258" s="246"/>
      <c r="AM258" s="246"/>
      <c r="AN258" s="261"/>
      <c r="AO258" s="250"/>
      <c r="AP258" s="246"/>
      <c r="AQ258" s="276"/>
      <c r="AR258" s="246"/>
      <c r="AS258" s="282"/>
      <c r="AT258" s="254" t="str">
        <f t="shared" si="48"/>
        <v/>
      </c>
      <c r="AU258" s="269"/>
    </row>
    <row r="259">
      <c r="A259" s="94"/>
      <c r="B259" s="314" t="s">
        <v>660</v>
      </c>
      <c r="C259" s="315" t="s">
        <v>649</v>
      </c>
      <c r="D259" s="243"/>
      <c r="E259" s="259"/>
      <c r="F259" s="479"/>
      <c r="G259" s="246"/>
      <c r="H259" s="806" t="s">
        <v>416</v>
      </c>
      <c r="I259" s="246"/>
      <c r="J259" s="353" t="s">
        <v>421</v>
      </c>
      <c r="K259" s="246"/>
      <c r="L259" s="462"/>
      <c r="M259" s="316"/>
      <c r="N259" s="246"/>
      <c r="O259" s="806" t="s">
        <v>416</v>
      </c>
      <c r="P259" s="246"/>
      <c r="Q259" s="353" t="s">
        <v>421</v>
      </c>
      <c r="R259" s="246"/>
      <c r="S259" s="261"/>
      <c r="T259" s="316"/>
      <c r="U259" s="246"/>
      <c r="V259" s="806" t="s">
        <v>416</v>
      </c>
      <c r="W259" s="246"/>
      <c r="X259" s="806" t="s">
        <v>421</v>
      </c>
      <c r="Y259" s="246"/>
      <c r="Z259" s="261"/>
      <c r="AA259" s="250"/>
      <c r="AB259" s="246"/>
      <c r="AC259" s="806" t="s">
        <v>416</v>
      </c>
      <c r="AD259" s="246"/>
      <c r="AE259" s="353" t="s">
        <v>421</v>
      </c>
      <c r="AF259" s="246"/>
      <c r="AG259" s="261"/>
      <c r="AH259" s="317"/>
      <c r="AI259" s="246"/>
      <c r="AJ259" s="253" t="s">
        <v>417</v>
      </c>
      <c r="AK259" s="246"/>
      <c r="AL259" s="353" t="s">
        <v>421</v>
      </c>
      <c r="AM259" s="246"/>
      <c r="AN259" s="261"/>
      <c r="AO259" s="316"/>
      <c r="AP259" s="246"/>
      <c r="AQ259" s="806" t="s">
        <v>416</v>
      </c>
      <c r="AR259" s="246"/>
      <c r="AS259" s="632" t="s">
        <v>423</v>
      </c>
      <c r="AT259" s="254" t="str">
        <f t="shared" si="48"/>
        <v/>
      </c>
      <c r="AU259" s="269"/>
    </row>
    <row r="260">
      <c r="A260" s="94"/>
      <c r="B260" s="807" t="s">
        <v>1149</v>
      </c>
      <c r="C260" s="808" t="s">
        <v>649</v>
      </c>
      <c r="D260" s="243"/>
      <c r="E260" s="259"/>
      <c r="F260" s="479"/>
      <c r="G260" s="246"/>
      <c r="H260" s="809"/>
      <c r="I260" s="246"/>
      <c r="J260" s="809"/>
      <c r="K260" s="246"/>
      <c r="L260" s="462"/>
      <c r="M260" s="316"/>
      <c r="N260" s="246"/>
      <c r="O260" s="809"/>
      <c r="P260" s="246"/>
      <c r="Q260" s="809"/>
      <c r="R260" s="246"/>
      <c r="S260" s="261"/>
      <c r="T260" s="316"/>
      <c r="U260" s="246"/>
      <c r="V260" s="809"/>
      <c r="W260" s="246"/>
      <c r="X260" s="809"/>
      <c r="Y260" s="246"/>
      <c r="Z260" s="261"/>
      <c r="AA260" s="250"/>
      <c r="AB260" s="246"/>
      <c r="AC260" s="809"/>
      <c r="AD260" s="246"/>
      <c r="AE260" s="809"/>
      <c r="AF260" s="246"/>
      <c r="AG260" s="261"/>
      <c r="AH260" s="317"/>
      <c r="AI260" s="246"/>
      <c r="AJ260" s="809"/>
      <c r="AK260" s="246"/>
      <c r="AL260" s="632" t="s">
        <v>423</v>
      </c>
      <c r="AM260" s="246"/>
      <c r="AN260" s="261"/>
      <c r="AO260" s="316"/>
      <c r="AP260" s="246"/>
      <c r="AQ260" s="809"/>
      <c r="AR260" s="246"/>
      <c r="AS260" s="809"/>
      <c r="AT260" s="254"/>
      <c r="AU260" s="269"/>
    </row>
    <row r="261">
      <c r="A261" s="94"/>
      <c r="B261" s="296" t="s">
        <v>650</v>
      </c>
      <c r="C261" s="297" t="s">
        <v>649</v>
      </c>
      <c r="D261" s="243"/>
      <c r="E261" s="259"/>
      <c r="F261" s="317"/>
      <c r="G261" s="298"/>
      <c r="H261" s="300"/>
      <c r="I261" s="298"/>
      <c r="J261" s="300"/>
      <c r="K261" s="298"/>
      <c r="L261" s="462"/>
      <c r="M261" s="250"/>
      <c r="N261" s="298"/>
      <c r="O261" s="300"/>
      <c r="P261" s="298"/>
      <c r="Q261" s="300"/>
      <c r="R261" s="298"/>
      <c r="S261" s="261"/>
      <c r="T261" s="250"/>
      <c r="U261" s="298"/>
      <c r="V261" s="300"/>
      <c r="W261" s="298"/>
      <c r="X261" s="300"/>
      <c r="Y261" s="298"/>
      <c r="Z261" s="261"/>
      <c r="AA261" s="250"/>
      <c r="AB261" s="298"/>
      <c r="AC261" s="319"/>
      <c r="AD261" s="298"/>
      <c r="AE261" s="319"/>
      <c r="AF261" s="298"/>
      <c r="AG261" s="261"/>
      <c r="AH261" s="317"/>
      <c r="AI261" s="298"/>
      <c r="AJ261" s="300"/>
      <c r="AK261" s="298"/>
      <c r="AL261" s="300"/>
      <c r="AM261" s="298"/>
      <c r="AN261" s="261"/>
      <c r="AO261" s="250"/>
      <c r="AP261" s="298"/>
      <c r="AQ261" s="300"/>
      <c r="AR261" s="298"/>
      <c r="AS261" s="300"/>
      <c r="AT261" s="254" t="str">
        <f>IF(COUNTIF($AO$79:$AT$81, AS262) &gt; 0, "X", "")</f>
        <v/>
      </c>
      <c r="AU261" s="269"/>
    </row>
    <row r="262">
      <c r="A262" s="94"/>
      <c r="B262" s="301" t="s">
        <v>651</v>
      </c>
      <c r="C262" s="302" t="s">
        <v>652</v>
      </c>
      <c r="D262" s="323"/>
      <c r="E262" s="259"/>
      <c r="F262" s="320"/>
      <c r="G262" s="298"/>
      <c r="H262" s="303"/>
      <c r="I262" s="298"/>
      <c r="J262" s="303"/>
      <c r="K262" s="298"/>
      <c r="L262" s="462"/>
      <c r="M262" s="250"/>
      <c r="N262" s="298"/>
      <c r="O262" s="303"/>
      <c r="P262" s="298"/>
      <c r="Q262" s="484"/>
      <c r="R262" s="298"/>
      <c r="S262" s="261"/>
      <c r="T262" s="250"/>
      <c r="U262" s="298"/>
      <c r="V262" s="303"/>
      <c r="W262" s="298"/>
      <c r="X262" s="484"/>
      <c r="Y262" s="298"/>
      <c r="Z262" s="261"/>
      <c r="AA262" s="250"/>
      <c r="AB262" s="298"/>
      <c r="AC262" s="303"/>
      <c r="AD262" s="298"/>
      <c r="AE262" s="303"/>
      <c r="AF262" s="298"/>
      <c r="AG262" s="261"/>
      <c r="AH262" s="320"/>
      <c r="AI262" s="298"/>
      <c r="AJ262" s="303"/>
      <c r="AK262" s="298"/>
      <c r="AL262" s="303"/>
      <c r="AM262" s="298"/>
      <c r="AN262" s="261"/>
      <c r="AO262" s="250"/>
      <c r="AP262" s="298"/>
      <c r="AQ262" s="303"/>
      <c r="AR262" s="298"/>
      <c r="AS262" s="303"/>
      <c r="AT262" s="254" t="str">
        <f t="shared" ref="AT262:AT263" si="49">IF(COUNTIF($AO$79:$AT$81, #REF!) &gt; 0, "X", "")</f>
        <v/>
      </c>
      <c r="AU262" s="269"/>
    </row>
    <row r="263">
      <c r="A263" s="94"/>
      <c r="B263" s="322" t="s">
        <v>662</v>
      </c>
      <c r="C263" s="306" t="s">
        <v>663</v>
      </c>
      <c r="D263" s="330"/>
      <c r="E263" s="259"/>
      <c r="F263" s="317"/>
      <c r="G263" s="298"/>
      <c r="H263" s="334" t="s">
        <v>450</v>
      </c>
      <c r="I263" s="298"/>
      <c r="J263" s="519" t="s">
        <v>409</v>
      </c>
      <c r="K263" s="298"/>
      <c r="L263" s="462"/>
      <c r="M263" s="324"/>
      <c r="N263" s="298"/>
      <c r="O263" s="307"/>
      <c r="P263" s="298"/>
      <c r="Q263" s="802" t="s">
        <v>409</v>
      </c>
      <c r="R263" s="298"/>
      <c r="S263" s="261"/>
      <c r="T263" s="324"/>
      <c r="U263" s="298"/>
      <c r="V263" s="307"/>
      <c r="W263" s="298"/>
      <c r="X263" s="519" t="s">
        <v>414</v>
      </c>
      <c r="Y263" s="298"/>
      <c r="Z263" s="261"/>
      <c r="AA263" s="250"/>
      <c r="AB263" s="298"/>
      <c r="AC263" s="334" t="s">
        <v>450</v>
      </c>
      <c r="AD263" s="298"/>
      <c r="AE263" s="802" t="s">
        <v>409</v>
      </c>
      <c r="AF263" s="298"/>
      <c r="AG263" s="261"/>
      <c r="AH263" s="317"/>
      <c r="AI263" s="298"/>
      <c r="AJ263" s="519" t="s">
        <v>415</v>
      </c>
      <c r="AK263" s="298"/>
      <c r="AL263" s="274" t="s">
        <v>414</v>
      </c>
      <c r="AM263" s="298"/>
      <c r="AN263" s="261"/>
      <c r="AO263" s="324"/>
      <c r="AP263" s="298"/>
      <c r="AQ263" s="519" t="s">
        <v>415</v>
      </c>
      <c r="AR263" s="298"/>
      <c r="AS263" s="274" t="s">
        <v>448</v>
      </c>
      <c r="AT263" s="254" t="str">
        <f t="shared" si="49"/>
        <v/>
      </c>
      <c r="AU263" s="269"/>
    </row>
    <row r="264">
      <c r="A264" s="94"/>
      <c r="B264" s="328" t="s">
        <v>665</v>
      </c>
      <c r="C264" s="338" t="s">
        <v>1150</v>
      </c>
      <c r="D264" s="330"/>
      <c r="E264" s="259"/>
      <c r="F264" s="479"/>
      <c r="G264" s="246"/>
      <c r="H264" s="311" t="s">
        <v>459</v>
      </c>
      <c r="I264" s="246"/>
      <c r="J264" s="519" t="s">
        <v>449</v>
      </c>
      <c r="K264" s="246"/>
      <c r="L264" s="462"/>
      <c r="M264" s="333"/>
      <c r="N264" s="246"/>
      <c r="O264" s="339" t="s">
        <v>1087</v>
      </c>
      <c r="P264" s="246"/>
      <c r="Q264" s="311" t="s">
        <v>434</v>
      </c>
      <c r="R264" s="246"/>
      <c r="S264" s="261"/>
      <c r="T264" s="333"/>
      <c r="U264" s="246"/>
      <c r="V264" s="311" t="s">
        <v>459</v>
      </c>
      <c r="W264" s="246"/>
      <c r="X264" s="311" t="s">
        <v>434</v>
      </c>
      <c r="Y264" s="246"/>
      <c r="Z264" s="261"/>
      <c r="AA264" s="250"/>
      <c r="AB264" s="246"/>
      <c r="AC264" s="688" t="s">
        <v>1087</v>
      </c>
      <c r="AD264" s="246"/>
      <c r="AE264" s="519" t="s">
        <v>449</v>
      </c>
      <c r="AF264" s="246"/>
      <c r="AG264" s="261"/>
      <c r="AH264" s="320"/>
      <c r="AI264" s="246"/>
      <c r="AJ264" s="339" t="s">
        <v>1087</v>
      </c>
      <c r="AK264" s="246"/>
      <c r="AL264" s="311" t="s">
        <v>434</v>
      </c>
      <c r="AM264" s="246"/>
      <c r="AN264" s="261"/>
      <c r="AO264" s="333"/>
      <c r="AP264" s="246"/>
      <c r="AR264" s="246"/>
      <c r="AT264" s="254" t="str">
        <f>IF(COUNTIF($AO$79:$AT$81, AH279) &gt; 0, "X", "")</f>
        <v/>
      </c>
      <c r="AU264" s="269"/>
    </row>
    <row r="265">
      <c r="A265" s="94"/>
      <c r="B265" s="337" t="s">
        <v>665</v>
      </c>
      <c r="C265" s="338" t="s">
        <v>1151</v>
      </c>
      <c r="D265" s="330"/>
      <c r="E265" s="259"/>
      <c r="F265" s="479"/>
      <c r="G265" s="246"/>
      <c r="H265" s="810" t="s">
        <v>1115</v>
      </c>
      <c r="I265" s="246"/>
      <c r="J265" s="606" t="s">
        <v>434</v>
      </c>
      <c r="K265" s="246"/>
      <c r="L265" s="462"/>
      <c r="M265" s="324"/>
      <c r="N265" s="246"/>
      <c r="O265" s="810" t="s">
        <v>1115</v>
      </c>
      <c r="P265" s="246"/>
      <c r="Q265" s="688" t="s">
        <v>447</v>
      </c>
      <c r="R265" s="246"/>
      <c r="S265" s="261"/>
      <c r="T265" s="324"/>
      <c r="U265" s="246"/>
      <c r="V265" s="810" t="s">
        <v>1115</v>
      </c>
      <c r="W265" s="246"/>
      <c r="X265" s="688" t="s">
        <v>447</v>
      </c>
      <c r="Y265" s="246"/>
      <c r="Z265" s="261"/>
      <c r="AA265" s="250"/>
      <c r="AB265" s="246"/>
      <c r="AC265" s="810" t="s">
        <v>1115</v>
      </c>
      <c r="AD265" s="246"/>
      <c r="AE265" s="606" t="s">
        <v>434</v>
      </c>
      <c r="AF265" s="246"/>
      <c r="AG265" s="261"/>
      <c r="AH265" s="320"/>
      <c r="AI265" s="246"/>
      <c r="AJ265" s="810" t="s">
        <v>1115</v>
      </c>
      <c r="AK265" s="246"/>
      <c r="AL265" s="688" t="s">
        <v>447</v>
      </c>
      <c r="AM265" s="246"/>
      <c r="AN265" s="261"/>
      <c r="AO265" s="324"/>
      <c r="AP265" s="246"/>
      <c r="AQ265" s="274" t="s">
        <v>458</v>
      </c>
      <c r="AR265" s="246"/>
      <c r="AS265" s="274" t="s">
        <v>449</v>
      </c>
      <c r="AT265" s="254" t="str">
        <f t="shared" ref="AT265:AT267" si="50">IF(COUNTIF($AO$79:$AT$81, #REF!) &gt; 0, "X", "")</f>
        <v/>
      </c>
      <c r="AU265" s="269"/>
    </row>
    <row r="266">
      <c r="A266" s="94"/>
      <c r="B266" s="256" t="s">
        <v>665</v>
      </c>
      <c r="C266" s="338" t="s">
        <v>1152</v>
      </c>
      <c r="D266" s="330"/>
      <c r="E266" s="259"/>
      <c r="F266" s="479"/>
      <c r="G266" s="246"/>
      <c r="H266" s="339" t="s">
        <v>1087</v>
      </c>
      <c r="I266" s="246"/>
      <c r="J266" s="688" t="s">
        <v>447</v>
      </c>
      <c r="K266" s="246"/>
      <c r="L266" s="462"/>
      <c r="M266" s="341"/>
      <c r="N266" s="246"/>
      <c r="O266" s="606" t="s">
        <v>459</v>
      </c>
      <c r="P266" s="246"/>
      <c r="Q266" s="274" t="s">
        <v>443</v>
      </c>
      <c r="R266" s="246"/>
      <c r="S266" s="261"/>
      <c r="T266" s="341"/>
      <c r="U266" s="246"/>
      <c r="V266" s="274" t="s">
        <v>458</v>
      </c>
      <c r="W266" s="246"/>
      <c r="X266" s="688" t="s">
        <v>468</v>
      </c>
      <c r="Y266" s="246"/>
      <c r="Z266" s="261"/>
      <c r="AA266" s="250"/>
      <c r="AB266" s="246"/>
      <c r="AC266" s="336" t="s">
        <v>398</v>
      </c>
      <c r="AD266" s="246"/>
      <c r="AE266" s="688" t="s">
        <v>447</v>
      </c>
      <c r="AF266" s="246"/>
      <c r="AG266" s="261"/>
      <c r="AH266" s="320"/>
      <c r="AI266" s="246"/>
      <c r="AJ266" s="311" t="s">
        <v>459</v>
      </c>
      <c r="AK266" s="246"/>
      <c r="AL266" s="339" t="s">
        <v>431</v>
      </c>
      <c r="AM266" s="246"/>
      <c r="AN266" s="261"/>
      <c r="AO266" s="341"/>
      <c r="AP266" s="246"/>
      <c r="AQ266" s="606" t="s">
        <v>459</v>
      </c>
      <c r="AR266" s="246"/>
      <c r="AS266" s="519" t="s">
        <v>443</v>
      </c>
      <c r="AT266" s="254" t="str">
        <f t="shared" si="50"/>
        <v/>
      </c>
      <c r="AU266" s="269"/>
    </row>
    <row r="267">
      <c r="A267" s="94"/>
      <c r="B267" s="328" t="s">
        <v>665</v>
      </c>
      <c r="C267" s="338" t="s">
        <v>1153</v>
      </c>
      <c r="D267" s="323"/>
      <c r="E267" s="261"/>
      <c r="F267" s="479"/>
      <c r="G267" s="246"/>
      <c r="H267" s="274" t="s">
        <v>458</v>
      </c>
      <c r="I267" s="246"/>
      <c r="J267" s="339" t="s">
        <v>431</v>
      </c>
      <c r="K267" s="246"/>
      <c r="L267" s="462"/>
      <c r="M267" s="341"/>
      <c r="N267" s="246"/>
      <c r="O267" s="334" t="s">
        <v>450</v>
      </c>
      <c r="P267" s="246"/>
      <c r="Q267" s="688" t="s">
        <v>468</v>
      </c>
      <c r="R267" s="246"/>
      <c r="S267" s="261"/>
      <c r="T267" s="341"/>
      <c r="U267" s="246"/>
      <c r="V267" s="688" t="s">
        <v>431</v>
      </c>
      <c r="W267" s="246"/>
      <c r="X267" s="519" t="s">
        <v>448</v>
      </c>
      <c r="Y267" s="246"/>
      <c r="Z267" s="261"/>
      <c r="AA267" s="250"/>
      <c r="AB267" s="246"/>
      <c r="AC267" s="339" t="s">
        <v>431</v>
      </c>
      <c r="AD267" s="246"/>
      <c r="AE267" s="274" t="s">
        <v>443</v>
      </c>
      <c r="AF267" s="246"/>
      <c r="AG267" s="261"/>
      <c r="AH267" s="320"/>
      <c r="AI267" s="246"/>
      <c r="AK267" s="246"/>
      <c r="AM267" s="246"/>
      <c r="AN267" s="261"/>
      <c r="AO267" s="341"/>
      <c r="AP267" s="246"/>
      <c r="AR267" s="246"/>
      <c r="AT267" s="254" t="str">
        <f t="shared" si="50"/>
        <v/>
      </c>
      <c r="AU267" s="269"/>
    </row>
    <row r="268">
      <c r="A268" s="94"/>
      <c r="B268" s="328" t="s">
        <v>665</v>
      </c>
      <c r="C268" s="811" t="s">
        <v>1154</v>
      </c>
      <c r="D268" s="363"/>
      <c r="E268" s="259"/>
      <c r="F268" s="479"/>
      <c r="G268" s="246"/>
      <c r="H268" s="519" t="s">
        <v>439</v>
      </c>
      <c r="I268" s="246"/>
      <c r="J268" s="280" t="s">
        <v>448</v>
      </c>
      <c r="K268" s="246"/>
      <c r="L268" s="462"/>
      <c r="M268" s="341"/>
      <c r="N268" s="246"/>
      <c r="O268" s="519" t="s">
        <v>415</v>
      </c>
      <c r="P268" s="246"/>
      <c r="Q268" s="274" t="s">
        <v>448</v>
      </c>
      <c r="R268" s="246"/>
      <c r="S268" s="261"/>
      <c r="T268" s="812"/>
      <c r="U268" s="246"/>
      <c r="V268" s="336" t="s">
        <v>450</v>
      </c>
      <c r="W268" s="246"/>
      <c r="X268" s="519" t="s">
        <v>409</v>
      </c>
      <c r="Y268" s="246"/>
      <c r="Z268" s="261"/>
      <c r="AA268" s="245"/>
      <c r="AB268" s="246"/>
      <c r="AC268" s="519" t="s">
        <v>458</v>
      </c>
      <c r="AD268" s="246"/>
      <c r="AE268" s="274" t="s">
        <v>448</v>
      </c>
      <c r="AF268" s="246"/>
      <c r="AG268" s="261"/>
      <c r="AH268" s="320"/>
      <c r="AI268" s="246"/>
      <c r="AJ268" s="336" t="s">
        <v>450</v>
      </c>
      <c r="AK268" s="246"/>
      <c r="AL268" s="519" t="s">
        <v>409</v>
      </c>
      <c r="AM268" s="246"/>
      <c r="AN268" s="261"/>
      <c r="AO268" s="812"/>
      <c r="AP268" s="246"/>
      <c r="AQ268" s="339" t="s">
        <v>1087</v>
      </c>
      <c r="AR268" s="246"/>
      <c r="AS268" s="688" t="s">
        <v>431</v>
      </c>
      <c r="AT268" s="254"/>
      <c r="AU268" s="269"/>
    </row>
    <row r="269">
      <c r="A269" s="94"/>
      <c r="B269" s="328" t="s">
        <v>665</v>
      </c>
      <c r="C269" s="338" t="s">
        <v>1155</v>
      </c>
      <c r="D269" s="363"/>
      <c r="E269" s="259"/>
      <c r="F269" s="479"/>
      <c r="G269" s="246"/>
      <c r="H269" s="730"/>
      <c r="I269" s="246"/>
      <c r="K269" s="246"/>
      <c r="L269" s="462"/>
      <c r="M269" s="341"/>
      <c r="N269" s="246"/>
      <c r="O269" s="274" t="s">
        <v>458</v>
      </c>
      <c r="P269" s="246"/>
      <c r="Q269" s="730"/>
      <c r="R269" s="246"/>
      <c r="S269" s="261"/>
      <c r="T269" s="812"/>
      <c r="U269" s="246"/>
      <c r="W269" s="246"/>
      <c r="Y269" s="246"/>
      <c r="Z269" s="261"/>
      <c r="AA269" s="245"/>
      <c r="AB269" s="246"/>
      <c r="AD269" s="246"/>
      <c r="AE269" s="274" t="s">
        <v>415</v>
      </c>
      <c r="AF269" s="246"/>
      <c r="AG269" s="261"/>
      <c r="AH269" s="320"/>
      <c r="AI269" s="246"/>
      <c r="AK269" s="246"/>
      <c r="AL269" s="274" t="s">
        <v>449</v>
      </c>
      <c r="AM269" s="246"/>
      <c r="AN269" s="261"/>
      <c r="AO269" s="812"/>
      <c r="AP269" s="246"/>
      <c r="AR269" s="246"/>
      <c r="AS269" s="282"/>
      <c r="AT269" s="254"/>
      <c r="AU269" s="269"/>
    </row>
    <row r="270">
      <c r="A270" s="94"/>
      <c r="B270" s="342" t="s">
        <v>667</v>
      </c>
      <c r="C270" s="343" t="s">
        <v>657</v>
      </c>
      <c r="D270" s="351"/>
      <c r="E270" s="259"/>
      <c r="F270" s="345" t="s">
        <v>401</v>
      </c>
      <c r="G270" s="246"/>
      <c r="I270" s="246"/>
      <c r="K270" s="246"/>
      <c r="L270" s="462"/>
      <c r="M270" s="346"/>
      <c r="N270" s="246"/>
      <c r="O270" s="345" t="s">
        <v>401</v>
      </c>
      <c r="P270" s="246"/>
      <c r="R270" s="246"/>
      <c r="S270" s="261"/>
      <c r="T270" s="347" t="s">
        <v>401</v>
      </c>
      <c r="U270" s="246"/>
      <c r="W270" s="246"/>
      <c r="Y270" s="246"/>
      <c r="Z270" s="261"/>
      <c r="AA270" s="347" t="s">
        <v>401</v>
      </c>
      <c r="AB270" s="246"/>
      <c r="AD270" s="246"/>
      <c r="AF270" s="246"/>
      <c r="AG270" s="261"/>
      <c r="AH270" s="345" t="s">
        <v>401</v>
      </c>
      <c r="AI270" s="246"/>
      <c r="AK270" s="246"/>
      <c r="AM270" s="246"/>
      <c r="AN270" s="261"/>
      <c r="AO270" s="345" t="s">
        <v>401</v>
      </c>
      <c r="AP270" s="246"/>
      <c r="AR270" s="246"/>
      <c r="AS270" s="282"/>
      <c r="AT270" s="254" t="str">
        <f t="shared" ref="AT270:AT271" si="51">IF(COUNTIF($AO$79:$AT$81, #REF!) &gt; 0, "X", "")</f>
        <v/>
      </c>
      <c r="AU270" s="269"/>
    </row>
    <row r="271">
      <c r="A271" s="94"/>
      <c r="B271" s="349" t="s">
        <v>669</v>
      </c>
      <c r="C271" s="350" t="s">
        <v>649</v>
      </c>
      <c r="D271" s="323"/>
      <c r="E271" s="259"/>
      <c r="F271" s="293" t="s">
        <v>426</v>
      </c>
      <c r="G271" s="246"/>
      <c r="H271" s="633" t="s">
        <v>420</v>
      </c>
      <c r="I271" s="246"/>
      <c r="J271" s="353" t="s">
        <v>422</v>
      </c>
      <c r="K271" s="246"/>
      <c r="L271" s="462"/>
      <c r="M271" s="354"/>
      <c r="N271" s="246"/>
      <c r="O271" s="633" t="s">
        <v>420</v>
      </c>
      <c r="P271" s="246"/>
      <c r="Q271" s="293" t="s">
        <v>426</v>
      </c>
      <c r="R271" s="246"/>
      <c r="S271" s="261"/>
      <c r="T271" s="354"/>
      <c r="U271" s="246"/>
      <c r="V271" s="353" t="s">
        <v>426</v>
      </c>
      <c r="W271" s="246"/>
      <c r="X271" s="633" t="s">
        <v>420</v>
      </c>
      <c r="Y271" s="246"/>
      <c r="Z271" s="261"/>
      <c r="AA271" s="250"/>
      <c r="AB271" s="246"/>
      <c r="AC271" s="633" t="s">
        <v>420</v>
      </c>
      <c r="AD271" s="246"/>
      <c r="AE271" s="353" t="s">
        <v>422</v>
      </c>
      <c r="AF271" s="246"/>
      <c r="AG271" s="261"/>
      <c r="AH271" s="293" t="s">
        <v>426</v>
      </c>
      <c r="AI271" s="246"/>
      <c r="AJ271" s="633" t="s">
        <v>420</v>
      </c>
      <c r="AK271" s="246"/>
      <c r="AL271" s="353" t="s">
        <v>422</v>
      </c>
      <c r="AM271" s="246"/>
      <c r="AN271" s="261"/>
      <c r="AO271" s="354"/>
      <c r="AP271" s="246"/>
      <c r="AQ271" s="253" t="s">
        <v>417</v>
      </c>
      <c r="AR271" s="246"/>
      <c r="AS271" s="353" t="s">
        <v>426</v>
      </c>
      <c r="AT271" s="254" t="str">
        <f t="shared" si="51"/>
        <v/>
      </c>
      <c r="AU271" s="269"/>
    </row>
    <row r="272">
      <c r="A272" s="94"/>
      <c r="B272" s="807" t="s">
        <v>1156</v>
      </c>
      <c r="C272" s="808" t="s">
        <v>649</v>
      </c>
      <c r="D272" s="330"/>
      <c r="E272" s="259"/>
      <c r="F272" s="809"/>
      <c r="G272" s="246"/>
      <c r="H272" s="813" t="s">
        <v>1157</v>
      </c>
      <c r="I272" s="246"/>
      <c r="J272" s="809"/>
      <c r="K272" s="246"/>
      <c r="L272" s="462"/>
      <c r="M272" s="354"/>
      <c r="N272" s="246"/>
      <c r="O272" s="813" t="s">
        <v>1157</v>
      </c>
      <c r="P272" s="246"/>
      <c r="Q272" s="809"/>
      <c r="R272" s="246"/>
      <c r="S272" s="261"/>
      <c r="T272" s="354"/>
      <c r="U272" s="246"/>
      <c r="V272" s="809"/>
      <c r="W272" s="246"/>
      <c r="X272" s="813" t="s">
        <v>1157</v>
      </c>
      <c r="Y272" s="246"/>
      <c r="Z272" s="261"/>
      <c r="AA272" s="250"/>
      <c r="AB272" s="246"/>
      <c r="AC272" s="253" t="s">
        <v>417</v>
      </c>
      <c r="AD272" s="246"/>
      <c r="AE272" s="809"/>
      <c r="AF272" s="246"/>
      <c r="AG272" s="261"/>
      <c r="AH272" s="809"/>
      <c r="AI272" s="246"/>
      <c r="AJ272" s="813" t="s">
        <v>1157</v>
      </c>
      <c r="AK272" s="246"/>
      <c r="AL272" s="809"/>
      <c r="AM272" s="246"/>
      <c r="AN272" s="261"/>
      <c r="AO272" s="354"/>
      <c r="AP272" s="246"/>
      <c r="AQ272" s="809"/>
      <c r="AR272" s="246"/>
      <c r="AS272" s="809"/>
      <c r="AT272" s="254"/>
      <c r="AU272" s="269"/>
    </row>
    <row r="273">
      <c r="A273" s="234"/>
      <c r="B273" s="296" t="s">
        <v>650</v>
      </c>
      <c r="C273" s="297" t="s">
        <v>649</v>
      </c>
      <c r="D273" s="330"/>
      <c r="E273" s="259"/>
      <c r="F273" s="358"/>
      <c r="G273" s="298"/>
      <c r="H273" s="299"/>
      <c r="I273" s="298"/>
      <c r="J273" s="299"/>
      <c r="K273" s="298"/>
      <c r="L273" s="462"/>
      <c r="M273" s="324"/>
      <c r="N273" s="298"/>
      <c r="O273" s="649" t="s">
        <v>397</v>
      </c>
      <c r="P273" s="298"/>
      <c r="Q273" s="300"/>
      <c r="R273" s="298"/>
      <c r="S273" s="261"/>
      <c r="T273" s="324"/>
      <c r="U273" s="298"/>
      <c r="V273" s="300"/>
      <c r="W273" s="298"/>
      <c r="X273" s="649" t="s">
        <v>397</v>
      </c>
      <c r="Y273" s="298"/>
      <c r="Z273" s="261"/>
      <c r="AA273" s="250"/>
      <c r="AB273" s="298"/>
      <c r="AC273" s="813" t="s">
        <v>1157</v>
      </c>
      <c r="AD273" s="298"/>
      <c r="AE273" s="358"/>
      <c r="AF273" s="298"/>
      <c r="AG273" s="261"/>
      <c r="AH273" s="319"/>
      <c r="AI273" s="298"/>
      <c r="AJ273" s="319"/>
      <c r="AK273" s="298"/>
      <c r="AL273" s="319"/>
      <c r="AM273" s="298"/>
      <c r="AN273" s="261"/>
      <c r="AO273" s="324"/>
      <c r="AP273" s="298"/>
      <c r="AQ273" s="649" t="s">
        <v>397</v>
      </c>
      <c r="AR273" s="298"/>
      <c r="AS273" s="359"/>
      <c r="AT273" s="254" t="str">
        <f>IF(COUNTIF($AO$79:$AT$81, AS274) &gt; 0, "X", "")</f>
        <v/>
      </c>
      <c r="AU273" s="269"/>
    </row>
    <row r="274">
      <c r="A274" s="94"/>
      <c r="B274" s="301" t="s">
        <v>651</v>
      </c>
      <c r="C274" s="302" t="s">
        <v>652</v>
      </c>
      <c r="D274" s="363"/>
      <c r="E274" s="259"/>
      <c r="F274" s="303"/>
      <c r="G274" s="298"/>
      <c r="H274" s="304"/>
      <c r="I274" s="298"/>
      <c r="J274" s="303"/>
      <c r="K274" s="298"/>
      <c r="L274" s="462"/>
      <c r="M274" s="250"/>
      <c r="N274" s="298"/>
      <c r="O274" s="304"/>
      <c r="P274" s="298"/>
      <c r="Q274" s="304"/>
      <c r="R274" s="298"/>
      <c r="S274" s="261"/>
      <c r="T274" s="250"/>
      <c r="U274" s="298"/>
      <c r="V274" s="303"/>
      <c r="W274" s="298"/>
      <c r="X274" s="303"/>
      <c r="Y274" s="298"/>
      <c r="Z274" s="261"/>
      <c r="AB274" s="298"/>
      <c r="AC274" s="649" t="s">
        <v>397</v>
      </c>
      <c r="AD274" s="298"/>
      <c r="AE274" s="303"/>
      <c r="AF274" s="298"/>
      <c r="AG274" s="261"/>
      <c r="AH274" s="303"/>
      <c r="AI274" s="298"/>
      <c r="AJ274" s="304"/>
      <c r="AK274" s="298"/>
      <c r="AL274" s="484"/>
      <c r="AM274" s="298"/>
      <c r="AN274" s="261"/>
      <c r="AO274" s="250"/>
      <c r="AP274" s="298"/>
      <c r="AQ274" s="303"/>
      <c r="AR274" s="298"/>
      <c r="AS274" s="303"/>
      <c r="AT274" s="254" t="str">
        <f t="shared" ref="AT274:AT275" si="52">IF(COUNTIF($AO$79:$AT$81, #REF!) &gt; 0, "X", "")</f>
        <v/>
      </c>
      <c r="AU274" s="269"/>
    </row>
    <row r="275">
      <c r="A275" s="94"/>
      <c r="B275" s="361" t="s">
        <v>673</v>
      </c>
      <c r="C275" s="362" t="s">
        <v>674</v>
      </c>
      <c r="D275" s="369"/>
      <c r="E275" s="259"/>
      <c r="F275" s="251" t="s">
        <v>433</v>
      </c>
      <c r="G275" s="298"/>
      <c r="H275" s="336" t="s">
        <v>412</v>
      </c>
      <c r="I275" s="298"/>
      <c r="J275" s="606" t="s">
        <v>765</v>
      </c>
      <c r="K275" s="298"/>
      <c r="L275" s="462"/>
      <c r="M275" s="324"/>
      <c r="N275" s="298"/>
      <c r="O275" s="336" t="s">
        <v>412</v>
      </c>
      <c r="P275" s="298"/>
      <c r="Q275" s="365" t="s">
        <v>433</v>
      </c>
      <c r="R275" s="298"/>
      <c r="S275" s="261"/>
      <c r="T275" s="324"/>
      <c r="U275" s="298"/>
      <c r="V275" s="336" t="s">
        <v>412</v>
      </c>
      <c r="W275" s="298"/>
      <c r="X275" s="606" t="s">
        <v>394</v>
      </c>
      <c r="Y275" s="298"/>
      <c r="Z275" s="261"/>
      <c r="AA275" s="250"/>
      <c r="AB275" s="298"/>
      <c r="AC275" s="334" t="s">
        <v>412</v>
      </c>
      <c r="AD275" s="298"/>
      <c r="AE275" s="251" t="s">
        <v>457</v>
      </c>
      <c r="AF275" s="298"/>
      <c r="AG275" s="261"/>
      <c r="AH275" s="660" t="s">
        <v>457</v>
      </c>
      <c r="AI275" s="298"/>
      <c r="AJ275" s="334" t="s">
        <v>412</v>
      </c>
      <c r="AK275" s="298"/>
      <c r="AL275" s="606" t="s">
        <v>765</v>
      </c>
      <c r="AM275" s="298"/>
      <c r="AN275" s="261"/>
      <c r="AO275" s="324"/>
      <c r="AP275" s="298"/>
      <c r="AQ275" s="251" t="s">
        <v>457</v>
      </c>
      <c r="AR275" s="298"/>
      <c r="AS275" s="606" t="s">
        <v>765</v>
      </c>
      <c r="AT275" s="254" t="str">
        <f t="shared" si="52"/>
        <v/>
      </c>
      <c r="AU275" s="269"/>
    </row>
    <row r="276">
      <c r="A276" s="94"/>
      <c r="B276" s="367" t="s">
        <v>677</v>
      </c>
      <c r="C276" s="368" t="s">
        <v>674</v>
      </c>
      <c r="D276" s="330"/>
      <c r="E276" s="259"/>
      <c r="F276" s="282"/>
      <c r="G276" s="246"/>
      <c r="I276" s="246"/>
      <c r="J276" s="339" t="s">
        <v>931</v>
      </c>
      <c r="K276" s="246"/>
      <c r="L276" s="462"/>
      <c r="M276" s="250"/>
      <c r="N276" s="246"/>
      <c r="P276" s="246"/>
      <c r="Q276" s="339" t="s">
        <v>931</v>
      </c>
      <c r="R276" s="246"/>
      <c r="S276" s="261"/>
      <c r="T276" s="250"/>
      <c r="U276" s="246"/>
      <c r="W276" s="246"/>
      <c r="X276" s="339"/>
      <c r="Y276" s="246"/>
      <c r="Z276" s="261"/>
      <c r="AA276" s="250"/>
      <c r="AB276" s="246"/>
      <c r="AD276" s="246"/>
      <c r="AE276" s="339" t="s">
        <v>931</v>
      </c>
      <c r="AF276" s="246"/>
      <c r="AG276" s="261"/>
      <c r="AI276" s="246"/>
      <c r="AK276" s="246"/>
      <c r="AL276" s="339" t="s">
        <v>931</v>
      </c>
      <c r="AM276" s="246"/>
      <c r="AN276" s="261"/>
      <c r="AO276" s="250"/>
      <c r="AP276" s="246"/>
      <c r="AR276" s="246"/>
      <c r="AS276" s="339" t="s">
        <v>931</v>
      </c>
      <c r="AT276" s="254" t="str">
        <f>IF(COUNTIF($AO$79:$AT$81, AS276) &gt; 0, "X", "")</f>
        <v/>
      </c>
      <c r="AU276" s="269"/>
    </row>
    <row r="277">
      <c r="A277" s="94"/>
      <c r="B277" s="256" t="s">
        <v>679</v>
      </c>
      <c r="C277" s="257" t="s">
        <v>680</v>
      </c>
      <c r="D277" s="330"/>
      <c r="E277" s="259"/>
      <c r="F277" s="311" t="s">
        <v>393</v>
      </c>
      <c r="G277" s="246"/>
      <c r="H277" s="374" t="s">
        <v>436</v>
      </c>
      <c r="I277" s="246"/>
      <c r="J277" s="688" t="s">
        <v>468</v>
      </c>
      <c r="K277" s="246"/>
      <c r="L277" s="462"/>
      <c r="M277" s="333"/>
      <c r="N277" s="246"/>
      <c r="O277" s="374" t="s">
        <v>436</v>
      </c>
      <c r="P277" s="246"/>
      <c r="Q277" s="606" t="s">
        <v>394</v>
      </c>
      <c r="R277" s="246"/>
      <c r="S277" s="261"/>
      <c r="T277" s="333"/>
      <c r="U277" s="246"/>
      <c r="V277" s="311" t="s">
        <v>436</v>
      </c>
      <c r="W277" s="246"/>
      <c r="X277" s="660" t="s">
        <v>433</v>
      </c>
      <c r="Y277" s="246"/>
      <c r="Z277" s="261"/>
      <c r="AA277" s="250"/>
      <c r="AB277" s="246"/>
      <c r="AC277" s="606" t="s">
        <v>436</v>
      </c>
      <c r="AD277" s="246"/>
      <c r="AE277" s="688" t="s">
        <v>468</v>
      </c>
      <c r="AF277" s="246"/>
      <c r="AG277" s="261"/>
      <c r="AH277" s="606" t="s">
        <v>393</v>
      </c>
      <c r="AI277" s="246"/>
      <c r="AJ277" s="274" t="s">
        <v>439</v>
      </c>
      <c r="AK277" s="246"/>
      <c r="AL277" s="365" t="s">
        <v>433</v>
      </c>
      <c r="AM277" s="246"/>
      <c r="AN277" s="261"/>
      <c r="AO277" s="333"/>
      <c r="AP277" s="246"/>
      <c r="AQ277" s="606" t="s">
        <v>436</v>
      </c>
      <c r="AR277" s="246"/>
      <c r="AS277" s="365" t="s">
        <v>433</v>
      </c>
      <c r="AT277" s="254" t="str">
        <f t="shared" ref="AT277:AT279" si="53">IF(COUNTIF($AO$79:$AT$81, #REF!) &gt; 0, "X", "")</f>
        <v/>
      </c>
      <c r="AU277" s="269"/>
    </row>
    <row r="278">
      <c r="A278" s="372"/>
      <c r="B278" s="328" t="s">
        <v>679</v>
      </c>
      <c r="C278" s="329" t="s">
        <v>652</v>
      </c>
      <c r="D278" s="330"/>
      <c r="E278" s="259"/>
      <c r="F278" s="282"/>
      <c r="G278" s="246"/>
      <c r="I278" s="246"/>
      <c r="K278" s="246"/>
      <c r="L278" s="462"/>
      <c r="M278" s="346"/>
      <c r="N278" s="246"/>
      <c r="P278" s="246"/>
      <c r="R278" s="246"/>
      <c r="S278" s="261"/>
      <c r="T278" s="346"/>
      <c r="U278" s="246"/>
      <c r="W278" s="246"/>
      <c r="Y278" s="246"/>
      <c r="Z278" s="261"/>
      <c r="AA278" s="250"/>
      <c r="AB278" s="246"/>
      <c r="AD278" s="246"/>
      <c r="AF278" s="246"/>
      <c r="AG278" s="261"/>
      <c r="AH278" s="282"/>
      <c r="AI278" s="246"/>
      <c r="AK278" s="246"/>
      <c r="AM278" s="246"/>
      <c r="AN278" s="261"/>
      <c r="AO278" s="346"/>
      <c r="AP278" s="246"/>
      <c r="AR278" s="246"/>
      <c r="AS278" s="282"/>
      <c r="AT278" s="254" t="str">
        <f t="shared" si="53"/>
        <v/>
      </c>
      <c r="AU278" s="269"/>
    </row>
    <row r="279">
      <c r="A279" s="94"/>
      <c r="B279" s="328" t="s">
        <v>679</v>
      </c>
      <c r="C279" s="329" t="s">
        <v>683</v>
      </c>
      <c r="D279" s="379"/>
      <c r="E279" s="380"/>
      <c r="F279" s="519" t="s">
        <v>443</v>
      </c>
      <c r="G279" s="246"/>
      <c r="H279" s="274" t="s">
        <v>406</v>
      </c>
      <c r="I279" s="246"/>
      <c r="K279" s="246"/>
      <c r="L279" s="462"/>
      <c r="M279" s="341"/>
      <c r="N279" s="246"/>
      <c r="O279" s="311" t="s">
        <v>439</v>
      </c>
      <c r="P279" s="246"/>
      <c r="R279" s="246"/>
      <c r="S279" s="261"/>
      <c r="T279" s="341"/>
      <c r="U279" s="246"/>
      <c r="V279" s="519" t="s">
        <v>439</v>
      </c>
      <c r="W279" s="246"/>
      <c r="Y279" s="246"/>
      <c r="Z279" s="261"/>
      <c r="AA279" s="250"/>
      <c r="AB279" s="246"/>
      <c r="AC279" s="519" t="s">
        <v>439</v>
      </c>
      <c r="AD279" s="246"/>
      <c r="AF279" s="246"/>
      <c r="AG279" s="261"/>
      <c r="AH279" s="274" t="s">
        <v>443</v>
      </c>
      <c r="AI279" s="246"/>
      <c r="AJ279" s="334" t="s">
        <v>398</v>
      </c>
      <c r="AK279" s="246"/>
      <c r="AM279" s="246"/>
      <c r="AN279" s="261"/>
      <c r="AO279" s="341"/>
      <c r="AP279" s="246"/>
      <c r="AQ279" s="519" t="s">
        <v>406</v>
      </c>
      <c r="AR279" s="246"/>
      <c r="AT279" s="254" t="str">
        <f t="shared" si="53"/>
        <v/>
      </c>
      <c r="AU279" s="269"/>
    </row>
    <row r="280">
      <c r="A280" s="94"/>
      <c r="B280" s="328" t="s">
        <v>679</v>
      </c>
      <c r="C280" s="338" t="s">
        <v>1158</v>
      </c>
      <c r="D280" s="729"/>
      <c r="E280" s="380"/>
      <c r="F280" s="282"/>
      <c r="G280" s="246"/>
      <c r="H280" s="730"/>
      <c r="I280" s="246"/>
      <c r="J280" s="334" t="s">
        <v>398</v>
      </c>
      <c r="K280" s="246"/>
      <c r="L280" s="462"/>
      <c r="M280" s="341"/>
      <c r="N280" s="246"/>
      <c r="O280" s="311"/>
      <c r="P280" s="246"/>
      <c r="Q280" s="602" t="s">
        <v>466</v>
      </c>
      <c r="R280" s="246"/>
      <c r="S280" s="261"/>
      <c r="T280" s="341"/>
      <c r="U280" s="246"/>
      <c r="W280" s="246"/>
      <c r="X280" s="602" t="s">
        <v>466</v>
      </c>
      <c r="Y280" s="246"/>
      <c r="Z280" s="261"/>
      <c r="AA280" s="250"/>
      <c r="AB280" s="246"/>
      <c r="AD280" s="246"/>
      <c r="AE280" s="606" t="s">
        <v>455</v>
      </c>
      <c r="AF280" s="246"/>
      <c r="AG280" s="261"/>
      <c r="AH280" s="730"/>
      <c r="AI280" s="246"/>
      <c r="AJ280" s="282"/>
      <c r="AK280" s="246"/>
      <c r="AL280" s="688" t="s">
        <v>468</v>
      </c>
      <c r="AM280" s="246"/>
      <c r="AN280" s="261"/>
      <c r="AO280" s="341"/>
      <c r="AP280" s="246"/>
      <c r="AR280" s="246"/>
      <c r="AS280" s="606" t="s">
        <v>394</v>
      </c>
      <c r="AT280" s="254"/>
      <c r="AU280" s="269"/>
    </row>
    <row r="281">
      <c r="A281" s="94"/>
      <c r="B281" s="328"/>
      <c r="C281" s="329"/>
      <c r="D281" s="729"/>
      <c r="E281" s="380"/>
      <c r="F281" s="282"/>
      <c r="G281" s="246"/>
      <c r="H281" s="730"/>
      <c r="I281" s="246"/>
      <c r="J281" s="730"/>
      <c r="K281" s="246"/>
      <c r="L281" s="462"/>
      <c r="M281" s="341"/>
      <c r="N281" s="246"/>
      <c r="O281" s="311"/>
      <c r="P281" s="246"/>
      <c r="Q281" s="731"/>
      <c r="R281" s="246"/>
      <c r="S281" s="261"/>
      <c r="T281" s="341"/>
      <c r="U281" s="246"/>
      <c r="W281" s="246"/>
      <c r="X281" s="731"/>
      <c r="Y281" s="246"/>
      <c r="Z281" s="261"/>
      <c r="AA281" s="250"/>
      <c r="AB281" s="246"/>
      <c r="AD281" s="246"/>
      <c r="AE281" s="311"/>
      <c r="AF281" s="246"/>
      <c r="AG281" s="261"/>
      <c r="AH281" s="730"/>
      <c r="AI281" s="246"/>
      <c r="AJ281" s="282"/>
      <c r="AK281" s="246"/>
      <c r="AM281" s="246"/>
      <c r="AN281" s="261"/>
      <c r="AO281" s="341"/>
      <c r="AP281" s="246"/>
      <c r="AR281" s="246"/>
      <c r="AS281" s="282"/>
      <c r="AT281" s="254"/>
      <c r="AU281" s="269"/>
    </row>
    <row r="282">
      <c r="A282" s="94"/>
      <c r="B282" s="377" t="s">
        <v>684</v>
      </c>
      <c r="C282" s="378" t="s">
        <v>685</v>
      </c>
      <c r="D282" s="363"/>
      <c r="E282" s="259"/>
      <c r="F282" s="282"/>
      <c r="G282" s="246"/>
      <c r="I282" s="246"/>
      <c r="K282" s="246"/>
      <c r="L282" s="677"/>
      <c r="M282" s="341"/>
      <c r="N282" s="246"/>
      <c r="P282" s="246"/>
      <c r="R282" s="246"/>
      <c r="S282" s="381"/>
      <c r="T282" s="341"/>
      <c r="U282" s="246"/>
      <c r="W282" s="246"/>
      <c r="X282" s="311" t="s">
        <v>410</v>
      </c>
      <c r="Y282" s="246"/>
      <c r="Z282" s="381"/>
      <c r="AA282" s="250"/>
      <c r="AB282" s="246"/>
      <c r="AD282" s="246"/>
      <c r="AF282" s="246"/>
      <c r="AG282" s="381"/>
      <c r="AI282" s="246"/>
      <c r="AJ282" s="282"/>
      <c r="AK282" s="246"/>
      <c r="AM282" s="246"/>
      <c r="AN282" s="381"/>
      <c r="AO282" s="341"/>
      <c r="AP282" s="246"/>
      <c r="AR282" s="246"/>
      <c r="AS282" s="282"/>
      <c r="AT282" s="254" t="str">
        <f t="shared" ref="AT282:AT283" si="54">IF(COUNTIF($AO$79:$AT$81, #REF!) &gt; 0, "X", "")</f>
        <v/>
      </c>
      <c r="AU282" s="269"/>
    </row>
    <row r="283">
      <c r="A283" s="270"/>
      <c r="B283" s="382" t="s">
        <v>686</v>
      </c>
      <c r="C283" s="242" t="s">
        <v>652</v>
      </c>
      <c r="D283" s="330"/>
      <c r="E283" s="259"/>
      <c r="F283" s="311" t="s">
        <v>455</v>
      </c>
      <c r="G283" s="246"/>
      <c r="H283" s="251" t="s">
        <v>435</v>
      </c>
      <c r="I283" s="246"/>
      <c r="J283" s="660" t="s">
        <v>429</v>
      </c>
      <c r="K283" s="246"/>
      <c r="L283" s="462"/>
      <c r="M283" s="341"/>
      <c r="N283" s="246"/>
      <c r="O283" s="251" t="s">
        <v>435</v>
      </c>
      <c r="P283" s="246"/>
      <c r="Q283" s="376" t="s">
        <v>453</v>
      </c>
      <c r="R283" s="246"/>
      <c r="S283" s="261"/>
      <c r="T283" s="341"/>
      <c r="U283" s="246"/>
      <c r="V283" s="383" t="s">
        <v>428</v>
      </c>
      <c r="W283" s="246"/>
      <c r="X283" s="376" t="s">
        <v>453</v>
      </c>
      <c r="Y283" s="246"/>
      <c r="Z283" s="261"/>
      <c r="AA283" s="250"/>
      <c r="AB283" s="246"/>
      <c r="AC283" s="251" t="s">
        <v>435</v>
      </c>
      <c r="AD283" s="246"/>
      <c r="AE283" s="251" t="s">
        <v>429</v>
      </c>
      <c r="AF283" s="246"/>
      <c r="AG283" s="261"/>
      <c r="AH283" s="376" t="s">
        <v>466</v>
      </c>
      <c r="AI283" s="246"/>
      <c r="AJ283" s="385" t="s">
        <v>428</v>
      </c>
      <c r="AK283" s="246"/>
      <c r="AL283" s="251" t="s">
        <v>429</v>
      </c>
      <c r="AM283" s="246"/>
      <c r="AN283" s="261"/>
      <c r="AO283" s="341"/>
      <c r="AP283" s="246"/>
      <c r="AQ283" s="385" t="s">
        <v>428</v>
      </c>
      <c r="AR283" s="246"/>
      <c r="AS283" s="251" t="s">
        <v>429</v>
      </c>
      <c r="AT283" s="254" t="str">
        <f t="shared" si="54"/>
        <v/>
      </c>
      <c r="AU283" s="269"/>
    </row>
    <row r="284">
      <c r="A284" s="234"/>
      <c r="B284" s="337" t="s">
        <v>686</v>
      </c>
      <c r="C284" s="338" t="s">
        <v>687</v>
      </c>
      <c r="D284" s="330"/>
      <c r="E284" s="259"/>
      <c r="G284" s="246"/>
      <c r="H284" s="385" t="s">
        <v>428</v>
      </c>
      <c r="I284" s="246"/>
      <c r="J284" s="602" t="s">
        <v>453</v>
      </c>
      <c r="K284" s="246"/>
      <c r="L284" s="462"/>
      <c r="M284" s="250"/>
      <c r="N284" s="246"/>
      <c r="O284" s="385" t="s">
        <v>428</v>
      </c>
      <c r="P284" s="246"/>
      <c r="Q284" s="251" t="s">
        <v>429</v>
      </c>
      <c r="R284" s="246"/>
      <c r="S284" s="261"/>
      <c r="T284" s="250"/>
      <c r="U284" s="246"/>
      <c r="V284" s="311" t="s">
        <v>455</v>
      </c>
      <c r="W284" s="246"/>
      <c r="X284" s="660" t="s">
        <v>429</v>
      </c>
      <c r="Y284" s="246"/>
      <c r="Z284" s="261"/>
      <c r="AA284" s="250"/>
      <c r="AB284" s="246"/>
      <c r="AC284" s="602" t="s">
        <v>453</v>
      </c>
      <c r="AD284" s="246"/>
      <c r="AE284" s="376" t="s">
        <v>466</v>
      </c>
      <c r="AF284" s="246"/>
      <c r="AG284" s="261"/>
      <c r="AH284" s="282"/>
      <c r="AI284" s="246"/>
      <c r="AJ284" s="274" t="s">
        <v>435</v>
      </c>
      <c r="AK284" s="246"/>
      <c r="AL284" s="606" t="s">
        <v>455</v>
      </c>
      <c r="AM284" s="246"/>
      <c r="AN284" s="261"/>
      <c r="AO284" s="250"/>
      <c r="AP284" s="246"/>
      <c r="AQ284" s="251" t="s">
        <v>435</v>
      </c>
      <c r="AR284" s="246"/>
      <c r="AS284" s="376" t="s">
        <v>466</v>
      </c>
      <c r="AT284" s="254" t="str">
        <f>IF(COUNTIF($AO$79:$AT$81, AS283) &gt; 0, "X", "")</f>
        <v/>
      </c>
      <c r="AU284" s="269"/>
    </row>
    <row r="285">
      <c r="A285" s="94"/>
      <c r="B285" s="337" t="s">
        <v>688</v>
      </c>
      <c r="C285" s="285" t="s">
        <v>687</v>
      </c>
      <c r="D285" s="389"/>
      <c r="E285" s="259"/>
      <c r="F285" s="519" t="s">
        <v>437</v>
      </c>
      <c r="G285" s="246"/>
      <c r="H285" s="265"/>
      <c r="I285" s="246"/>
      <c r="J285" s="265"/>
      <c r="K285" s="246"/>
      <c r="L285" s="462"/>
      <c r="M285" s="262"/>
      <c r="N285" s="246"/>
      <c r="P285" s="246"/>
      <c r="R285" s="246"/>
      <c r="S285" s="261"/>
      <c r="T285" s="262"/>
      <c r="U285" s="246"/>
      <c r="V285" s="265"/>
      <c r="W285" s="246"/>
      <c r="X285" s="265"/>
      <c r="Y285" s="246"/>
      <c r="Z285" s="261"/>
      <c r="AA285" s="250"/>
      <c r="AB285" s="246"/>
      <c r="AC285" s="265"/>
      <c r="AD285" s="246"/>
      <c r="AE285" s="519" t="s">
        <v>437</v>
      </c>
      <c r="AF285" s="246"/>
      <c r="AG285" s="261"/>
      <c r="AH285" s="265"/>
      <c r="AI285" s="246"/>
      <c r="AJ285" s="265"/>
      <c r="AK285" s="246"/>
      <c r="AM285" s="246"/>
      <c r="AN285" s="261"/>
      <c r="AO285" s="262"/>
      <c r="AP285" s="246"/>
      <c r="AQ285" s="265"/>
      <c r="AR285" s="246"/>
      <c r="AS285" s="265"/>
      <c r="AT285" s="254" t="str">
        <f>IF(COUNTIF($AO$79:$AT$81, #REF!) &gt; 0, "X", "")</f>
        <v/>
      </c>
      <c r="AU285" s="269"/>
    </row>
    <row r="286">
      <c r="A286" s="94"/>
      <c r="B286" s="387" t="s">
        <v>690</v>
      </c>
      <c r="C286" s="388" t="s">
        <v>649</v>
      </c>
      <c r="D286" s="323"/>
      <c r="E286" s="259"/>
      <c r="F286" s="390"/>
      <c r="G286" s="246"/>
      <c r="H286" s="390"/>
      <c r="I286" s="246"/>
      <c r="J286" s="390"/>
      <c r="K286" s="246"/>
      <c r="L286" s="462"/>
      <c r="M286" s="250"/>
      <c r="N286" s="246"/>
      <c r="O286" s="357" t="s">
        <v>670</v>
      </c>
      <c r="P286" s="246"/>
      <c r="Q286" s="390"/>
      <c r="R286" s="246"/>
      <c r="S286" s="261"/>
      <c r="T286" s="250"/>
      <c r="U286" s="246"/>
      <c r="V286" s="357"/>
      <c r="W286" s="246"/>
      <c r="X286" s="355" t="s">
        <v>670</v>
      </c>
      <c r="Y286" s="246"/>
      <c r="Z286" s="261"/>
      <c r="AA286" s="250"/>
      <c r="AB286" s="246"/>
      <c r="AC286" s="355" t="s">
        <v>670</v>
      </c>
      <c r="AD286" s="246"/>
      <c r="AE286" s="390"/>
      <c r="AF286" s="246"/>
      <c r="AG286" s="261"/>
      <c r="AH286" s="390"/>
      <c r="AI286" s="246"/>
      <c r="AJ286" s="390"/>
      <c r="AK286" s="246"/>
      <c r="AL286" s="390"/>
      <c r="AM286" s="246"/>
      <c r="AN286" s="261"/>
      <c r="AO286" s="250"/>
      <c r="AP286" s="246"/>
      <c r="AQ286" s="390"/>
      <c r="AR286" s="246"/>
      <c r="AS286" s="390"/>
      <c r="AT286" s="254" t="str">
        <f t="shared" ref="AT286:AT293" si="55">IF(COUNTIF($AO$79:$AT$81, AS287) &gt; 0, "X", "")</f>
        <v/>
      </c>
      <c r="AU286" s="269"/>
    </row>
    <row r="287">
      <c r="A287" s="94"/>
      <c r="B287" s="296" t="s">
        <v>650</v>
      </c>
      <c r="C287" s="297" t="s">
        <v>649</v>
      </c>
      <c r="D287" s="323"/>
      <c r="E287" s="261"/>
      <c r="F287" s="300"/>
      <c r="G287" s="246"/>
      <c r="H287" s="319"/>
      <c r="I287" s="246"/>
      <c r="J287" s="300"/>
      <c r="K287" s="246"/>
      <c r="L287" s="462"/>
      <c r="M287" s="250"/>
      <c r="N287" s="246"/>
      <c r="O287" s="300"/>
      <c r="P287" s="246"/>
      <c r="Q287" s="300"/>
      <c r="R287" s="246"/>
      <c r="S287" s="261"/>
      <c r="T287" s="250"/>
      <c r="U287" s="246"/>
      <c r="V287" s="300"/>
      <c r="W287" s="246"/>
      <c r="X287" s="300"/>
      <c r="Y287" s="246"/>
      <c r="Z287" s="261"/>
      <c r="AA287" s="250"/>
      <c r="AB287" s="246"/>
      <c r="AC287" s="300"/>
      <c r="AD287" s="246"/>
      <c r="AE287" s="300"/>
      <c r="AF287" s="246"/>
      <c r="AG287" s="261"/>
      <c r="AH287" s="300"/>
      <c r="AI287" s="246"/>
      <c r="AJ287" s="300"/>
      <c r="AK287" s="246"/>
      <c r="AL287" s="300"/>
      <c r="AM287" s="246"/>
      <c r="AN287" s="261"/>
      <c r="AO287" s="250"/>
      <c r="AP287" s="246"/>
      <c r="AQ287" s="300"/>
      <c r="AR287" s="246"/>
      <c r="AS287" s="300"/>
      <c r="AT287" s="254" t="str">
        <f t="shared" si="55"/>
        <v/>
      </c>
      <c r="AU287" s="269"/>
    </row>
    <row r="288">
      <c r="A288" s="94"/>
      <c r="B288" s="301" t="s">
        <v>651</v>
      </c>
      <c r="C288" s="391" t="s">
        <v>652</v>
      </c>
      <c r="D288" s="323"/>
      <c r="E288" s="259"/>
      <c r="F288" s="304"/>
      <c r="G288" s="246"/>
      <c r="H288" s="304"/>
      <c r="I288" s="246"/>
      <c r="J288" s="304"/>
      <c r="K288" s="246"/>
      <c r="L288" s="462"/>
      <c r="M288" s="250"/>
      <c r="N288" s="246"/>
      <c r="O288" s="304"/>
      <c r="P288" s="246"/>
      <c r="Q288" s="304"/>
      <c r="R288" s="246"/>
      <c r="S288" s="261"/>
      <c r="T288" s="250"/>
      <c r="U288" s="246"/>
      <c r="V288" s="304"/>
      <c r="W288" s="246"/>
      <c r="X288" s="304"/>
      <c r="Y288" s="246"/>
      <c r="Z288" s="261"/>
      <c r="AA288" s="250"/>
      <c r="AB288" s="246"/>
      <c r="AC288" s="304"/>
      <c r="AD288" s="246"/>
      <c r="AE288" s="304"/>
      <c r="AF288" s="246"/>
      <c r="AG288" s="261"/>
      <c r="AH288" s="304"/>
      <c r="AI288" s="246"/>
      <c r="AJ288" s="304"/>
      <c r="AK288" s="246"/>
      <c r="AL288" s="304"/>
      <c r="AM288" s="246"/>
      <c r="AN288" s="261"/>
      <c r="AO288" s="250"/>
      <c r="AP288" s="246"/>
      <c r="AQ288" s="304"/>
      <c r="AR288" s="246"/>
      <c r="AS288" s="304"/>
      <c r="AT288" s="254" t="str">
        <f t="shared" si="55"/>
        <v/>
      </c>
      <c r="AU288" s="269"/>
    </row>
    <row r="289">
      <c r="A289" s="94"/>
      <c r="B289" s="392" t="s">
        <v>691</v>
      </c>
      <c r="C289" s="393" t="s">
        <v>652</v>
      </c>
      <c r="D289" s="330"/>
      <c r="E289" s="259"/>
      <c r="F289" s="307"/>
      <c r="G289" s="246"/>
      <c r="H289" s="307"/>
      <c r="I289" s="246"/>
      <c r="J289" s="307"/>
      <c r="K289" s="246"/>
      <c r="L289" s="462"/>
      <c r="M289" s="250"/>
      <c r="N289" s="246"/>
      <c r="O289" s="606" t="s">
        <v>438</v>
      </c>
      <c r="P289" s="246"/>
      <c r="Q289" s="307"/>
      <c r="R289" s="246"/>
      <c r="S289" s="261"/>
      <c r="T289" s="250"/>
      <c r="U289" s="246"/>
      <c r="V289" s="307"/>
      <c r="W289" s="246"/>
      <c r="X289" s="334" t="s">
        <v>398</v>
      </c>
      <c r="Y289" s="246"/>
      <c r="Z289" s="261"/>
      <c r="AA289" s="250"/>
      <c r="AB289" s="246"/>
      <c r="AC289" s="606" t="s">
        <v>438</v>
      </c>
      <c r="AD289" s="246"/>
      <c r="AE289" s="307"/>
      <c r="AF289" s="246"/>
      <c r="AG289" s="261"/>
      <c r="AH289" s="307"/>
      <c r="AI289" s="246"/>
      <c r="AJ289" s="307"/>
      <c r="AK289" s="246"/>
      <c r="AL289" s="307"/>
      <c r="AM289" s="246"/>
      <c r="AN289" s="261"/>
      <c r="AO289" s="250"/>
      <c r="AP289" s="246"/>
      <c r="AQ289" s="307"/>
      <c r="AR289" s="246"/>
      <c r="AS289" s="307"/>
      <c r="AT289" s="254" t="str">
        <f t="shared" si="55"/>
        <v/>
      </c>
      <c r="AU289" s="269"/>
    </row>
    <row r="290">
      <c r="A290" s="94"/>
      <c r="B290" s="328" t="s">
        <v>692</v>
      </c>
      <c r="C290" s="329" t="s">
        <v>652</v>
      </c>
      <c r="D290" s="369"/>
      <c r="E290" s="259"/>
      <c r="F290" s="371"/>
      <c r="G290" s="246"/>
      <c r="H290" s="399"/>
      <c r="I290" s="246"/>
      <c r="J290" s="282"/>
      <c r="K290" s="246"/>
      <c r="L290" s="462"/>
      <c r="M290" s="250"/>
      <c r="N290" s="246"/>
      <c r="O290" s="371"/>
      <c r="P290" s="246"/>
      <c r="R290" s="246"/>
      <c r="S290" s="261"/>
      <c r="T290" s="250"/>
      <c r="U290" s="246"/>
      <c r="W290" s="246"/>
      <c r="X290" s="371"/>
      <c r="Y290" s="246"/>
      <c r="Z290" s="261"/>
      <c r="AA290" s="250"/>
      <c r="AB290" s="246"/>
      <c r="AC290" s="371"/>
      <c r="AD290" s="246"/>
      <c r="AE290" s="371"/>
      <c r="AF290" s="246"/>
      <c r="AG290" s="261"/>
      <c r="AH290" s="371"/>
      <c r="AI290" s="246"/>
      <c r="AJ290" s="371"/>
      <c r="AK290" s="246"/>
      <c r="AL290" s="371"/>
      <c r="AM290" s="246"/>
      <c r="AN290" s="261"/>
      <c r="AO290" s="250"/>
      <c r="AP290" s="246"/>
      <c r="AQ290" s="371"/>
      <c r="AR290" s="246"/>
      <c r="AS290" s="282"/>
      <c r="AT290" s="254" t="str">
        <f t="shared" si="55"/>
        <v/>
      </c>
      <c r="AU290" s="269"/>
    </row>
    <row r="291">
      <c r="A291" s="94"/>
      <c r="B291" s="397" t="s">
        <v>692</v>
      </c>
      <c r="C291" s="398" t="s">
        <v>687</v>
      </c>
      <c r="D291" s="389"/>
      <c r="E291" s="259"/>
      <c r="F291" s="399"/>
      <c r="G291" s="246"/>
      <c r="H291" s="399"/>
      <c r="I291" s="246"/>
      <c r="J291" s="399"/>
      <c r="K291" s="246"/>
      <c r="L291" s="462"/>
      <c r="M291" s="250"/>
      <c r="N291" s="246"/>
      <c r="O291" s="282"/>
      <c r="P291" s="246"/>
      <c r="R291" s="246"/>
      <c r="S291" s="261"/>
      <c r="T291" s="250"/>
      <c r="U291" s="246"/>
      <c r="W291" s="246"/>
      <c r="X291" s="399"/>
      <c r="Y291" s="246"/>
      <c r="Z291" s="261"/>
      <c r="AA291" s="250"/>
      <c r="AB291" s="246"/>
      <c r="AC291" s="399"/>
      <c r="AD291" s="246"/>
      <c r="AE291" s="399"/>
      <c r="AF291" s="246"/>
      <c r="AG291" s="261"/>
      <c r="AH291" s="399"/>
      <c r="AI291" s="246"/>
      <c r="AJ291" s="399"/>
      <c r="AK291" s="246"/>
      <c r="AL291" s="399"/>
      <c r="AM291" s="246"/>
      <c r="AN291" s="261"/>
      <c r="AO291" s="250"/>
      <c r="AP291" s="246"/>
      <c r="AQ291" s="399"/>
      <c r="AR291" s="246"/>
      <c r="AS291" s="399"/>
      <c r="AT291" s="254" t="str">
        <f t="shared" si="55"/>
        <v/>
      </c>
      <c r="AU291" s="269"/>
    </row>
    <row r="292">
      <c r="A292" s="94"/>
      <c r="B292" s="387" t="s">
        <v>694</v>
      </c>
      <c r="C292" s="388" t="s">
        <v>649</v>
      </c>
      <c r="D292" s="323"/>
      <c r="E292" s="259"/>
      <c r="F292" s="390"/>
      <c r="G292" s="246"/>
      <c r="H292" s="390"/>
      <c r="I292" s="246"/>
      <c r="J292" s="390"/>
      <c r="K292" s="246"/>
      <c r="L292" s="462"/>
      <c r="M292" s="250"/>
      <c r="N292" s="246"/>
      <c r="O292" s="390"/>
      <c r="P292" s="246"/>
      <c r="Q292" s="357" t="s">
        <v>425</v>
      </c>
      <c r="R292" s="246"/>
      <c r="S292" s="261"/>
      <c r="T292" s="250"/>
      <c r="U292" s="246"/>
      <c r="V292" s="390"/>
      <c r="W292" s="246"/>
      <c r="X292" s="357" t="s">
        <v>425</v>
      </c>
      <c r="Y292" s="246"/>
      <c r="Z292" s="261"/>
      <c r="AA292" s="250"/>
      <c r="AB292" s="246"/>
      <c r="AC292" s="390"/>
      <c r="AD292" s="246"/>
      <c r="AE292" s="357" t="s">
        <v>425</v>
      </c>
      <c r="AF292" s="246"/>
      <c r="AG292" s="261"/>
      <c r="AH292" s="390"/>
      <c r="AI292" s="246"/>
      <c r="AJ292" s="390"/>
      <c r="AK292" s="246"/>
      <c r="AL292" s="357" t="s">
        <v>425</v>
      </c>
      <c r="AM292" s="246"/>
      <c r="AN292" s="261"/>
      <c r="AO292" s="250"/>
      <c r="AP292" s="246"/>
      <c r="AQ292" s="390"/>
      <c r="AR292" s="246"/>
      <c r="AS292" s="357" t="s">
        <v>425</v>
      </c>
      <c r="AT292" s="254" t="str">
        <f t="shared" si="55"/>
        <v/>
      </c>
      <c r="AU292" s="269"/>
    </row>
    <row r="293">
      <c r="A293" s="94"/>
      <c r="B293" s="296" t="s">
        <v>650</v>
      </c>
      <c r="C293" s="297" t="s">
        <v>649</v>
      </c>
      <c r="D293" s="323"/>
      <c r="E293" s="261"/>
      <c r="F293" s="300"/>
      <c r="G293" s="298"/>
      <c r="H293" s="300"/>
      <c r="I293" s="298"/>
      <c r="J293" s="300"/>
      <c r="K293" s="298"/>
      <c r="L293" s="462"/>
      <c r="M293" s="250"/>
      <c r="N293" s="298"/>
      <c r="O293" s="300"/>
      <c r="P293" s="298"/>
      <c r="Q293" s="319"/>
      <c r="R293" s="298"/>
      <c r="S293" s="261"/>
      <c r="T293" s="250"/>
      <c r="U293" s="298"/>
      <c r="V293" s="300"/>
      <c r="W293" s="298"/>
      <c r="X293" s="300"/>
      <c r="Y293" s="298"/>
      <c r="Z293" s="261"/>
      <c r="AA293" s="250"/>
      <c r="AB293" s="298"/>
      <c r="AC293" s="300"/>
      <c r="AD293" s="298"/>
      <c r="AE293" s="300"/>
      <c r="AF293" s="298"/>
      <c r="AG293" s="261"/>
      <c r="AH293" s="300"/>
      <c r="AI293" s="298"/>
      <c r="AJ293" s="300"/>
      <c r="AK293" s="298"/>
      <c r="AL293" s="300"/>
      <c r="AM293" s="298"/>
      <c r="AN293" s="261"/>
      <c r="AO293" s="250"/>
      <c r="AP293" s="298"/>
      <c r="AQ293" s="300"/>
      <c r="AR293" s="298"/>
      <c r="AS293" s="300"/>
      <c r="AT293" s="254" t="str">
        <f t="shared" si="55"/>
        <v/>
      </c>
      <c r="AU293" s="269"/>
    </row>
    <row r="294">
      <c r="A294" s="94"/>
      <c r="B294" s="301" t="s">
        <v>651</v>
      </c>
      <c r="C294" s="391" t="s">
        <v>652</v>
      </c>
      <c r="D294" s="323"/>
      <c r="E294" s="259"/>
      <c r="F294" s="304"/>
      <c r="G294" s="298"/>
      <c r="H294" s="304"/>
      <c r="I294" s="298"/>
      <c r="J294" s="304"/>
      <c r="K294" s="298"/>
      <c r="L294" s="462"/>
      <c r="M294" s="250"/>
      <c r="N294" s="298"/>
      <c r="O294" s="304"/>
      <c r="P294" s="298"/>
      <c r="Q294" s="304"/>
      <c r="R294" s="298"/>
      <c r="S294" s="261"/>
      <c r="T294" s="250"/>
      <c r="U294" s="298"/>
      <c r="V294" s="304"/>
      <c r="W294" s="298"/>
      <c r="X294" s="304"/>
      <c r="Y294" s="298"/>
      <c r="Z294" s="261"/>
      <c r="AA294" s="250"/>
      <c r="AB294" s="298"/>
      <c r="AC294" s="304"/>
      <c r="AD294" s="298"/>
      <c r="AE294" s="304"/>
      <c r="AF294" s="298"/>
      <c r="AG294" s="261"/>
      <c r="AH294" s="304"/>
      <c r="AI294" s="298"/>
      <c r="AJ294" s="304"/>
      <c r="AK294" s="298"/>
      <c r="AL294" s="304"/>
      <c r="AM294" s="298"/>
      <c r="AN294" s="261"/>
      <c r="AO294" s="250"/>
      <c r="AP294" s="298"/>
      <c r="AQ294" s="304"/>
      <c r="AR294" s="298"/>
      <c r="AS294" s="304"/>
      <c r="AT294" s="254" t="str">
        <f t="shared" ref="AT294:AT295" si="56">IF(COUNTIF($AO$79:$AT$81, #REF!) &gt; 0, "X", "")</f>
        <v/>
      </c>
      <c r="AU294" s="269"/>
    </row>
    <row r="295">
      <c r="A295" s="94"/>
      <c r="B295" s="392" t="s">
        <v>691</v>
      </c>
      <c r="C295" s="393" t="s">
        <v>652</v>
      </c>
      <c r="D295" s="330"/>
      <c r="E295" s="259"/>
      <c r="F295" s="307"/>
      <c r="G295" s="298"/>
      <c r="H295" s="307"/>
      <c r="I295" s="298"/>
      <c r="J295" s="307"/>
      <c r="K295" s="298"/>
      <c r="L295" s="462"/>
      <c r="M295" s="250"/>
      <c r="N295" s="298"/>
      <c r="O295" s="307"/>
      <c r="P295" s="298"/>
      <c r="Q295" s="802" t="s">
        <v>414</v>
      </c>
      <c r="R295" s="298"/>
      <c r="S295" s="261"/>
      <c r="T295" s="250"/>
      <c r="U295" s="298"/>
      <c r="V295" s="307"/>
      <c r="W295" s="298"/>
      <c r="X295" s="395" t="s">
        <v>430</v>
      </c>
      <c r="Y295" s="298"/>
      <c r="Z295" s="261"/>
      <c r="AA295" s="250"/>
      <c r="AB295" s="298"/>
      <c r="AC295" s="307"/>
      <c r="AD295" s="298"/>
      <c r="AE295" s="395" t="s">
        <v>430</v>
      </c>
      <c r="AF295" s="298"/>
      <c r="AG295" s="261"/>
      <c r="AH295" s="307"/>
      <c r="AI295" s="298"/>
      <c r="AJ295" s="307"/>
      <c r="AK295" s="298"/>
      <c r="AL295" s="308" t="s">
        <v>445</v>
      </c>
      <c r="AM295" s="298"/>
      <c r="AN295" s="261"/>
      <c r="AO295" s="250"/>
      <c r="AP295" s="298"/>
      <c r="AQ295" s="307"/>
      <c r="AR295" s="298"/>
      <c r="AS295" s="308" t="s">
        <v>445</v>
      </c>
      <c r="AT295" s="254" t="str">
        <f t="shared" si="56"/>
        <v/>
      </c>
      <c r="AU295" s="269"/>
    </row>
    <row r="296">
      <c r="A296" s="94"/>
      <c r="B296" s="328" t="s">
        <v>692</v>
      </c>
      <c r="C296" s="329" t="s">
        <v>652</v>
      </c>
      <c r="D296" s="369"/>
      <c r="E296" s="259"/>
      <c r="F296" s="371"/>
      <c r="G296" s="246"/>
      <c r="H296" s="371"/>
      <c r="I296" s="246"/>
      <c r="J296" s="371"/>
      <c r="K296" s="246"/>
      <c r="L296" s="462"/>
      <c r="M296" s="250"/>
      <c r="N296" s="246"/>
      <c r="O296" s="371"/>
      <c r="P296" s="246"/>
      <c r="Q296" s="371"/>
      <c r="R296" s="246"/>
      <c r="S296" s="261"/>
      <c r="T296" s="250"/>
      <c r="U296" s="246"/>
      <c r="V296" s="371"/>
      <c r="W296" s="246"/>
      <c r="X296" s="282"/>
      <c r="Y296" s="246"/>
      <c r="Z296" s="261"/>
      <c r="AA296" s="250"/>
      <c r="AB296" s="246"/>
      <c r="AC296" s="282"/>
      <c r="AD296" s="246"/>
      <c r="AE296" s="584"/>
      <c r="AF296" s="246"/>
      <c r="AG296" s="261"/>
      <c r="AH296" s="371"/>
      <c r="AI296" s="246"/>
      <c r="AJ296" s="371"/>
      <c r="AK296" s="246"/>
      <c r="AL296" s="282"/>
      <c r="AM296" s="246"/>
      <c r="AN296" s="261"/>
      <c r="AO296" s="250"/>
      <c r="AP296" s="246"/>
      <c r="AQ296" s="371"/>
      <c r="AR296" s="246"/>
      <c r="AS296" s="282"/>
      <c r="AT296" s="254" t="str">
        <f t="shared" ref="AT296:AT298" si="57">IF(COUNTIF($AO$79:$AT$81, AS297) &gt; 0, "X", "")</f>
        <v/>
      </c>
      <c r="AU296" s="269"/>
    </row>
    <row r="297">
      <c r="A297" s="94"/>
      <c r="B297" s="397" t="s">
        <v>692</v>
      </c>
      <c r="C297" s="398" t="s">
        <v>687</v>
      </c>
      <c r="D297" s="404"/>
      <c r="E297" s="259"/>
      <c r="F297" s="399"/>
      <c r="G297" s="246"/>
      <c r="H297" s="399"/>
      <c r="I297" s="246"/>
      <c r="J297" s="399"/>
      <c r="K297" s="246"/>
      <c r="L297" s="462"/>
      <c r="M297" s="250"/>
      <c r="N297" s="246"/>
      <c r="O297" s="399"/>
      <c r="P297" s="246"/>
      <c r="Q297" s="282"/>
      <c r="R297" s="246"/>
      <c r="S297" s="261"/>
      <c r="T297" s="250"/>
      <c r="U297" s="246"/>
      <c r="V297" s="399"/>
      <c r="W297" s="246"/>
      <c r="X297" s="399"/>
      <c r="Y297" s="246"/>
      <c r="Z297" s="261"/>
      <c r="AA297" s="250"/>
      <c r="AB297" s="246"/>
      <c r="AC297" s="282"/>
      <c r="AD297" s="246"/>
      <c r="AE297" s="399"/>
      <c r="AF297" s="246"/>
      <c r="AG297" s="261"/>
      <c r="AH297" s="399"/>
      <c r="AI297" s="246"/>
      <c r="AJ297" s="399"/>
      <c r="AK297" s="246"/>
      <c r="AL297" s="399"/>
      <c r="AM297" s="246"/>
      <c r="AN297" s="261"/>
      <c r="AO297" s="250"/>
      <c r="AP297" s="246"/>
      <c r="AQ297" s="399"/>
      <c r="AR297" s="246"/>
      <c r="AS297" s="399"/>
      <c r="AT297" s="254" t="str">
        <f t="shared" si="57"/>
        <v/>
      </c>
      <c r="AU297" s="269"/>
    </row>
    <row r="298">
      <c r="A298" s="270"/>
      <c r="B298" s="402" t="s">
        <v>699</v>
      </c>
      <c r="C298" s="403" t="s">
        <v>649</v>
      </c>
      <c r="D298" s="330"/>
      <c r="E298" s="259"/>
      <c r="F298" s="294"/>
      <c r="G298" s="246"/>
      <c r="H298" s="294"/>
      <c r="I298" s="246"/>
      <c r="J298" s="294"/>
      <c r="K298" s="246"/>
      <c r="L298" s="462"/>
      <c r="M298" s="250"/>
      <c r="N298" s="246"/>
      <c r="O298" s="294"/>
      <c r="P298" s="246"/>
      <c r="Q298" s="353" t="s">
        <v>422</v>
      </c>
      <c r="R298" s="246"/>
      <c r="S298" s="261"/>
      <c r="T298" s="250"/>
      <c r="U298" s="246"/>
      <c r="V298" s="294"/>
      <c r="W298" s="246"/>
      <c r="X298" s="294"/>
      <c r="Y298" s="246"/>
      <c r="Z298" s="261"/>
      <c r="AA298" s="250"/>
      <c r="AB298" s="246"/>
      <c r="AC298" s="294"/>
      <c r="AD298" s="246"/>
      <c r="AE298" s="294"/>
      <c r="AF298" s="246"/>
      <c r="AG298" s="261"/>
      <c r="AH298" s="294"/>
      <c r="AI298" s="246"/>
      <c r="AJ298" s="294"/>
      <c r="AK298" s="246"/>
      <c r="AL298" s="294"/>
      <c r="AM298" s="246"/>
      <c r="AN298" s="261"/>
      <c r="AO298" s="250"/>
      <c r="AP298" s="246"/>
      <c r="AQ298" s="294"/>
      <c r="AR298" s="246"/>
      <c r="AS298" s="294"/>
      <c r="AT298" s="254" t="str">
        <f t="shared" si="57"/>
        <v/>
      </c>
      <c r="AU298" s="269"/>
    </row>
    <row r="299">
      <c r="A299" s="94"/>
      <c r="B299" s="328" t="s">
        <v>700</v>
      </c>
      <c r="C299" s="329" t="s">
        <v>657</v>
      </c>
      <c r="D299" s="330"/>
      <c r="E299" s="259"/>
      <c r="F299" s="371"/>
      <c r="G299" s="246"/>
      <c r="I299" s="246"/>
      <c r="J299" s="371"/>
      <c r="K299" s="246"/>
      <c r="L299" s="462"/>
      <c r="M299" s="250"/>
      <c r="N299" s="246"/>
      <c r="O299" s="371"/>
      <c r="P299" s="246"/>
      <c r="Q299" s="606" t="s">
        <v>455</v>
      </c>
      <c r="R299" s="246"/>
      <c r="S299" s="261"/>
      <c r="T299" s="250"/>
      <c r="U299" s="246"/>
      <c r="V299" s="371"/>
      <c r="W299" s="246"/>
      <c r="X299" s="371"/>
      <c r="Y299" s="246"/>
      <c r="Z299" s="261"/>
      <c r="AA299" s="250"/>
      <c r="AB299" s="246"/>
      <c r="AC299" s="371"/>
      <c r="AD299" s="246"/>
      <c r="AF299" s="246"/>
      <c r="AG299" s="261"/>
      <c r="AH299" s="371"/>
      <c r="AI299" s="246"/>
      <c r="AJ299" s="371"/>
      <c r="AK299" s="246"/>
      <c r="AL299" s="371"/>
      <c r="AM299" s="246"/>
      <c r="AN299" s="261"/>
      <c r="AO299" s="250"/>
      <c r="AP299" s="246"/>
      <c r="AQ299" s="282"/>
      <c r="AR299" s="246"/>
      <c r="AS299" s="371"/>
      <c r="AT299" s="254" t="str">
        <f t="shared" ref="AT299:AT300" si="58">IF(COUNTIF($AO$79:$AT$81, #REF!) &gt; 0, "X", "")</f>
        <v/>
      </c>
      <c r="AU299" s="269"/>
    </row>
    <row r="300">
      <c r="A300" s="94"/>
      <c r="B300" s="328" t="s">
        <v>700</v>
      </c>
      <c r="C300" s="329" t="s">
        <v>657</v>
      </c>
      <c r="D300" s="330"/>
      <c r="E300" s="259"/>
      <c r="F300" s="264"/>
      <c r="G300" s="246"/>
      <c r="H300" s="265"/>
      <c r="I300" s="246"/>
      <c r="K300" s="246"/>
      <c r="L300" s="462"/>
      <c r="M300" s="262"/>
      <c r="N300" s="246"/>
      <c r="P300" s="246"/>
      <c r="Q300" s="405" t="s">
        <v>462</v>
      </c>
      <c r="R300" s="246"/>
      <c r="S300" s="261"/>
      <c r="T300" s="262"/>
      <c r="U300" s="246"/>
      <c r="W300" s="246"/>
      <c r="Y300" s="246"/>
      <c r="Z300" s="261"/>
      <c r="AA300" s="250"/>
      <c r="AB300" s="246"/>
      <c r="AC300" s="264"/>
      <c r="AD300" s="246"/>
      <c r="AF300" s="246"/>
      <c r="AG300" s="261"/>
      <c r="AH300" s="264"/>
      <c r="AI300" s="246"/>
      <c r="AJ300" s="264"/>
      <c r="AK300" s="246"/>
      <c r="AM300" s="246"/>
      <c r="AN300" s="261"/>
      <c r="AO300" s="262"/>
      <c r="AP300" s="246"/>
      <c r="AQ300" s="264"/>
      <c r="AR300" s="246"/>
      <c r="AT300" s="254" t="str">
        <f t="shared" si="58"/>
        <v/>
      </c>
      <c r="AU300" s="269"/>
    </row>
    <row r="301">
      <c r="A301" s="94"/>
      <c r="B301" s="328" t="s">
        <v>700</v>
      </c>
      <c r="C301" s="329" t="s">
        <v>657</v>
      </c>
      <c r="D301" s="351"/>
      <c r="E301" s="259"/>
      <c r="F301" s="282"/>
      <c r="G301" s="246"/>
      <c r="H301" s="282"/>
      <c r="I301" s="246"/>
      <c r="K301" s="246"/>
      <c r="L301" s="462"/>
      <c r="M301" s="250"/>
      <c r="N301" s="246"/>
      <c r="O301" s="282"/>
      <c r="P301" s="246"/>
      <c r="Q301" s="282"/>
      <c r="R301" s="246"/>
      <c r="S301" s="261"/>
      <c r="T301" s="250"/>
      <c r="U301" s="246"/>
      <c r="V301" s="311"/>
      <c r="W301" s="246"/>
      <c r="X301" s="311"/>
      <c r="Y301" s="246"/>
      <c r="Z301" s="261"/>
      <c r="AA301" s="250"/>
      <c r="AB301" s="246"/>
      <c r="AC301" s="282"/>
      <c r="AD301" s="246"/>
      <c r="AE301" s="282"/>
      <c r="AF301" s="246"/>
      <c r="AG301" s="261"/>
      <c r="AH301" s="371"/>
      <c r="AI301" s="246"/>
      <c r="AJ301" s="282"/>
      <c r="AK301" s="246"/>
      <c r="AM301" s="246"/>
      <c r="AN301" s="261"/>
      <c r="AO301" s="250"/>
      <c r="AP301" s="246"/>
      <c r="AQ301" s="371"/>
      <c r="AR301" s="246"/>
      <c r="AS301" s="282"/>
      <c r="AT301" s="254" t="str">
        <f>IF(COUNTIF($AO$79:$AT$81, AS302) &gt; 0, "X", "")</f>
        <v/>
      </c>
      <c r="AU301" s="269"/>
    </row>
    <row r="302">
      <c r="A302" s="94"/>
      <c r="B302" s="408" t="s">
        <v>702</v>
      </c>
      <c r="C302" s="409" t="s">
        <v>652</v>
      </c>
      <c r="D302" s="323"/>
      <c r="E302" s="259"/>
      <c r="F302" s="411"/>
      <c r="G302" s="246"/>
      <c r="H302" s="411"/>
      <c r="I302" s="246"/>
      <c r="J302" s="411"/>
      <c r="K302" s="246"/>
      <c r="L302" s="462"/>
      <c r="M302" s="262"/>
      <c r="N302" s="246"/>
      <c r="O302" s="411"/>
      <c r="P302" s="246"/>
      <c r="Q302" s="411"/>
      <c r="R302" s="246"/>
      <c r="S302" s="261"/>
      <c r="T302" s="262"/>
      <c r="U302" s="246"/>
      <c r="V302" s="411"/>
      <c r="W302" s="246"/>
      <c r="X302" s="411"/>
      <c r="Y302" s="246"/>
      <c r="Z302" s="261"/>
      <c r="AA302" s="250"/>
      <c r="AB302" s="246"/>
      <c r="AC302" s="411"/>
      <c r="AD302" s="246"/>
      <c r="AE302" s="411"/>
      <c r="AF302" s="246"/>
      <c r="AG302" s="261"/>
      <c r="AH302" s="411"/>
      <c r="AI302" s="246"/>
      <c r="AJ302" s="411"/>
      <c r="AK302" s="246"/>
      <c r="AL302" s="411"/>
      <c r="AM302" s="246"/>
      <c r="AN302" s="261"/>
      <c r="AO302" s="262"/>
      <c r="AP302" s="246"/>
      <c r="AQ302" s="411"/>
      <c r="AR302" s="246"/>
      <c r="AS302" s="411"/>
      <c r="AT302" s="254" t="str">
        <f t="shared" ref="AT302:AT305" si="59">IF(COUNTIF($AO$79:$AT$81, #REF!) &gt; 0, "X", "")</f>
        <v/>
      </c>
      <c r="AU302" s="269"/>
    </row>
    <row r="303">
      <c r="A303" s="234"/>
      <c r="B303" s="414" t="s">
        <v>705</v>
      </c>
      <c r="C303" s="415" t="s">
        <v>1159</v>
      </c>
      <c r="D303" s="330"/>
      <c r="E303" s="259"/>
      <c r="F303" s="311" t="s">
        <v>470</v>
      </c>
      <c r="G303" s="246"/>
      <c r="H303" s="660" t="s">
        <v>407</v>
      </c>
      <c r="I303" s="246"/>
      <c r="J303" s="606" t="s">
        <v>394</v>
      </c>
      <c r="K303" s="246"/>
      <c r="L303" s="462"/>
      <c r="M303" s="262"/>
      <c r="N303" s="246"/>
      <c r="O303" s="660" t="s">
        <v>407</v>
      </c>
      <c r="P303" s="246"/>
      <c r="Q303" s="311" t="s">
        <v>410</v>
      </c>
      <c r="R303" s="246"/>
      <c r="S303" s="261"/>
      <c r="T303" s="262"/>
      <c r="U303" s="246"/>
      <c r="V303" s="251" t="s">
        <v>407</v>
      </c>
      <c r="W303" s="246"/>
      <c r="X303" s="311" t="s">
        <v>467</v>
      </c>
      <c r="Y303" s="246"/>
      <c r="Z303" s="261"/>
      <c r="AA303" s="250"/>
      <c r="AB303" s="246"/>
      <c r="AC303" s="251" t="s">
        <v>407</v>
      </c>
      <c r="AD303" s="246"/>
      <c r="AE303" s="311" t="s">
        <v>467</v>
      </c>
      <c r="AF303" s="246"/>
      <c r="AG303" s="261"/>
      <c r="AH303" s="311" t="s">
        <v>467</v>
      </c>
      <c r="AI303" s="246"/>
      <c r="AJ303" s="311" t="s">
        <v>438</v>
      </c>
      <c r="AK303" s="246"/>
      <c r="AL303" s="606" t="s">
        <v>394</v>
      </c>
      <c r="AM303" s="246"/>
      <c r="AN303" s="261"/>
      <c r="AO303" s="262"/>
      <c r="AP303" s="246"/>
      <c r="AQ303" s="660" t="s">
        <v>407</v>
      </c>
      <c r="AR303" s="246"/>
      <c r="AS303" s="374" t="s">
        <v>410</v>
      </c>
      <c r="AT303" s="254" t="str">
        <f t="shared" si="59"/>
        <v/>
      </c>
      <c r="AU303" s="269"/>
    </row>
    <row r="304">
      <c r="A304" s="234"/>
      <c r="B304" s="328" t="s">
        <v>705</v>
      </c>
      <c r="C304" s="257" t="s">
        <v>657</v>
      </c>
      <c r="D304" s="330"/>
      <c r="E304" s="259"/>
      <c r="F304" s="311" t="s">
        <v>467</v>
      </c>
      <c r="G304" s="246"/>
      <c r="H304" s="311" t="s">
        <v>438</v>
      </c>
      <c r="I304" s="246"/>
      <c r="J304" s="311" t="s">
        <v>410</v>
      </c>
      <c r="K304" s="246"/>
      <c r="L304" s="462"/>
      <c r="M304" s="341"/>
      <c r="N304" s="246"/>
      <c r="O304" s="339" t="s">
        <v>472</v>
      </c>
      <c r="P304" s="246"/>
      <c r="Q304" s="688" t="s">
        <v>1033</v>
      </c>
      <c r="R304" s="246"/>
      <c r="S304" s="261"/>
      <c r="T304" s="341"/>
      <c r="U304" s="246"/>
      <c r="V304" s="339" t="s">
        <v>472</v>
      </c>
      <c r="W304" s="246"/>
      <c r="X304" s="688" t="s">
        <v>1033</v>
      </c>
      <c r="Y304" s="246"/>
      <c r="Z304" s="261"/>
      <c r="AA304" s="250"/>
      <c r="AB304" s="246"/>
      <c r="AC304" s="688" t="s">
        <v>472</v>
      </c>
      <c r="AD304" s="246"/>
      <c r="AE304" s="688" t="s">
        <v>1033</v>
      </c>
      <c r="AF304" s="246"/>
      <c r="AG304" s="261"/>
      <c r="AH304" s="311" t="s">
        <v>470</v>
      </c>
      <c r="AI304" s="246"/>
      <c r="AJ304" s="660" t="s">
        <v>440</v>
      </c>
      <c r="AK304" s="246"/>
      <c r="AL304" s="251" t="s">
        <v>410</v>
      </c>
      <c r="AM304" s="246"/>
      <c r="AN304" s="261"/>
      <c r="AO304" s="341"/>
      <c r="AP304" s="246"/>
      <c r="AQ304" s="606" t="s">
        <v>438</v>
      </c>
      <c r="AR304" s="246"/>
      <c r="AS304" s="586" t="s">
        <v>452</v>
      </c>
      <c r="AT304" s="254" t="str">
        <f t="shared" si="59"/>
        <v/>
      </c>
      <c r="AU304" s="269"/>
    </row>
    <row r="305">
      <c r="A305" s="94"/>
      <c r="B305" s="277" t="s">
        <v>705</v>
      </c>
      <c r="C305" s="329" t="s">
        <v>685</v>
      </c>
      <c r="D305" s="330"/>
      <c r="E305" s="259"/>
      <c r="G305" s="246"/>
      <c r="H305" s="339" t="s">
        <v>472</v>
      </c>
      <c r="I305" s="246"/>
      <c r="J305" s="688" t="s">
        <v>1033</v>
      </c>
      <c r="K305" s="246"/>
      <c r="L305" s="462"/>
      <c r="M305" s="341"/>
      <c r="N305" s="246"/>
      <c r="O305" s="519" t="s">
        <v>406</v>
      </c>
      <c r="P305" s="246"/>
      <c r="Q305" s="311" t="s">
        <v>470</v>
      </c>
      <c r="R305" s="246"/>
      <c r="S305" s="261"/>
      <c r="T305" s="341"/>
      <c r="U305" s="246"/>
      <c r="V305" s="519" t="s">
        <v>406</v>
      </c>
      <c r="W305" s="246"/>
      <c r="X305" s="586" t="s">
        <v>452</v>
      </c>
      <c r="Y305" s="246"/>
      <c r="Z305" s="261"/>
      <c r="AA305" s="250"/>
      <c r="AB305" s="246"/>
      <c r="AC305" s="519" t="s">
        <v>406</v>
      </c>
      <c r="AD305" s="246"/>
      <c r="AE305" s="311" t="s">
        <v>470</v>
      </c>
      <c r="AF305" s="246"/>
      <c r="AG305" s="261"/>
      <c r="AI305" s="246"/>
      <c r="AJ305" s="339" t="s">
        <v>472</v>
      </c>
      <c r="AK305" s="246"/>
      <c r="AL305" s="586" t="s">
        <v>452</v>
      </c>
      <c r="AM305" s="246"/>
      <c r="AN305" s="261"/>
      <c r="AO305" s="341"/>
      <c r="AP305" s="246"/>
      <c r="AQ305" s="339" t="s">
        <v>404</v>
      </c>
      <c r="AR305" s="246"/>
      <c r="AS305" s="311" t="s">
        <v>470</v>
      </c>
      <c r="AT305" s="254" t="str">
        <f t="shared" si="59"/>
        <v/>
      </c>
      <c r="AU305" s="269"/>
    </row>
    <row r="306">
      <c r="A306" s="94"/>
      <c r="B306" s="271" t="s">
        <v>705</v>
      </c>
      <c r="C306" s="272" t="s">
        <v>687</v>
      </c>
      <c r="D306" s="369"/>
      <c r="E306" s="259"/>
      <c r="G306" s="246"/>
      <c r="I306" s="246"/>
      <c r="K306" s="246"/>
      <c r="L306" s="462"/>
      <c r="M306" s="341"/>
      <c r="N306" s="246"/>
      <c r="P306" s="246"/>
      <c r="R306" s="246"/>
      <c r="S306" s="261"/>
      <c r="T306" s="341"/>
      <c r="U306" s="246"/>
      <c r="W306" s="246"/>
      <c r="Y306" s="246"/>
      <c r="Z306" s="261"/>
      <c r="AA306" s="341"/>
      <c r="AB306" s="246"/>
      <c r="AD306" s="246"/>
      <c r="AF306" s="246"/>
      <c r="AG306" s="261"/>
      <c r="AI306" s="246"/>
      <c r="AK306" s="246"/>
      <c r="AM306" s="246"/>
      <c r="AN306" s="261"/>
      <c r="AO306" s="341"/>
      <c r="AP306" s="246"/>
      <c r="AR306" s="246"/>
      <c r="AT306" s="254" t="str">
        <f>IF(COUNTIF($AO$79:$AT$81, AO306) &gt; 0, "X", "")</f>
        <v/>
      </c>
      <c r="AU306" s="269"/>
    </row>
    <row r="307">
      <c r="A307" s="94"/>
      <c r="D307" s="330"/>
      <c r="E307" s="259"/>
      <c r="F307" s="282"/>
      <c r="G307" s="246"/>
      <c r="I307" s="246"/>
      <c r="K307" s="246"/>
      <c r="L307" s="462"/>
      <c r="M307" s="341"/>
      <c r="N307" s="246"/>
      <c r="P307" s="246"/>
      <c r="R307" s="246"/>
      <c r="S307" s="261"/>
      <c r="T307" s="341"/>
      <c r="U307" s="246"/>
      <c r="W307" s="246"/>
      <c r="Y307" s="246"/>
      <c r="Z307" s="261"/>
      <c r="AA307" s="341"/>
      <c r="AB307" s="246"/>
      <c r="AC307" s="339"/>
      <c r="AD307" s="246"/>
      <c r="AF307" s="246"/>
      <c r="AG307" s="261"/>
      <c r="AH307" s="282"/>
      <c r="AI307" s="246"/>
      <c r="AK307" s="246"/>
      <c r="AL307" s="282"/>
      <c r="AM307" s="246"/>
      <c r="AN307" s="261"/>
      <c r="AO307" s="341"/>
      <c r="AP307" s="246"/>
      <c r="AQ307" s="282"/>
      <c r="AR307" s="246"/>
      <c r="AT307" s="254" t="str">
        <f t="shared" ref="AT307:AT308" si="60">IF(COUNTIF($AO$79:$AT$81, #REF!) &gt; 0, "X", "")</f>
        <v/>
      </c>
      <c r="AU307" s="269"/>
    </row>
    <row r="308">
      <c r="A308" s="270"/>
      <c r="B308" s="397" t="s">
        <v>708</v>
      </c>
      <c r="C308" s="398" t="s">
        <v>654</v>
      </c>
      <c r="D308" s="330"/>
      <c r="E308" s="259"/>
      <c r="F308" s="275"/>
      <c r="G308" s="246"/>
      <c r="H308" s="311" t="s">
        <v>441</v>
      </c>
      <c r="I308" s="246"/>
      <c r="K308" s="246"/>
      <c r="L308" s="462"/>
      <c r="M308" s="341"/>
      <c r="N308" s="246"/>
      <c r="O308" s="660" t="s">
        <v>469</v>
      </c>
      <c r="P308" s="246"/>
      <c r="Q308" s="311" t="s">
        <v>441</v>
      </c>
      <c r="R308" s="246"/>
      <c r="S308" s="261"/>
      <c r="T308" s="341"/>
      <c r="U308" s="246"/>
      <c r="V308" s="365" t="s">
        <v>469</v>
      </c>
      <c r="W308" s="246"/>
      <c r="X308" s="311" t="s">
        <v>441</v>
      </c>
      <c r="Y308" s="246"/>
      <c r="Z308" s="261"/>
      <c r="AA308" s="341"/>
      <c r="AB308" s="246"/>
      <c r="AC308" s="311" t="s">
        <v>441</v>
      </c>
      <c r="AD308" s="246"/>
      <c r="AE308" s="311"/>
      <c r="AF308" s="246"/>
      <c r="AG308" s="261"/>
      <c r="AH308" s="275"/>
      <c r="AI308" s="246"/>
      <c r="AJ308" s="365" t="s">
        <v>469</v>
      </c>
      <c r="AK308" s="246"/>
      <c r="AL308" s="311" t="s">
        <v>441</v>
      </c>
      <c r="AM308" s="246"/>
      <c r="AN308" s="261"/>
      <c r="AO308" s="341"/>
      <c r="AP308" s="246"/>
      <c r="AQ308" s="365" t="s">
        <v>469</v>
      </c>
      <c r="AR308" s="246"/>
      <c r="AS308" s="374"/>
      <c r="AT308" s="254" t="str">
        <f t="shared" si="60"/>
        <v/>
      </c>
      <c r="AU308" s="269"/>
    </row>
    <row r="309">
      <c r="A309" s="94"/>
      <c r="B309" s="796" t="s">
        <v>1116</v>
      </c>
      <c r="C309" s="278" t="s">
        <v>710</v>
      </c>
      <c r="D309" s="323"/>
      <c r="E309" s="259"/>
      <c r="F309" s="281"/>
      <c r="G309" s="246"/>
      <c r="H309" s="251" t="s">
        <v>440</v>
      </c>
      <c r="I309" s="246"/>
      <c r="J309" s="281"/>
      <c r="K309" s="246"/>
      <c r="L309" s="462"/>
      <c r="M309" s="286"/>
      <c r="N309" s="246"/>
      <c r="O309" s="251" t="s">
        <v>440</v>
      </c>
      <c r="P309" s="246"/>
      <c r="Q309" s="282"/>
      <c r="R309" s="246"/>
      <c r="S309" s="261"/>
      <c r="T309" s="286"/>
      <c r="U309" s="246"/>
      <c r="V309" s="251" t="s">
        <v>440</v>
      </c>
      <c r="W309" s="246"/>
      <c r="X309" s="282"/>
      <c r="Y309" s="246"/>
      <c r="Z309" s="261"/>
      <c r="AA309" s="286"/>
      <c r="AB309" s="246"/>
      <c r="AC309" s="251" t="s">
        <v>440</v>
      </c>
      <c r="AD309" s="246"/>
      <c r="AE309" s="282"/>
      <c r="AF309" s="246"/>
      <c r="AG309" s="261"/>
      <c r="AH309" s="281"/>
      <c r="AI309" s="246"/>
      <c r="AJ309" s="281"/>
      <c r="AK309" s="246"/>
      <c r="AL309" s="282"/>
      <c r="AM309" s="246"/>
      <c r="AN309" s="261"/>
      <c r="AO309" s="286"/>
      <c r="AP309" s="246"/>
      <c r="AQ309" s="281"/>
      <c r="AR309" s="246"/>
      <c r="AT309" s="254" t="str">
        <f>IF(COUNTIF($AO$79:$AT$81, AS310) &gt; 0, "X", "")</f>
        <v/>
      </c>
      <c r="AU309" s="269"/>
    </row>
    <row r="310">
      <c r="A310" s="94"/>
      <c r="B310" s="673" t="s">
        <v>944</v>
      </c>
      <c r="C310" s="272" t="s">
        <v>639</v>
      </c>
      <c r="D310" s="431"/>
      <c r="E310" s="259"/>
      <c r="F310" s="282"/>
      <c r="G310" s="246"/>
      <c r="H310" s="251" t="s">
        <v>432</v>
      </c>
      <c r="I310" s="246"/>
      <c r="J310" s="282"/>
      <c r="K310" s="246"/>
      <c r="L310" s="462"/>
      <c r="M310" s="341"/>
      <c r="N310" s="246"/>
      <c r="O310" s="290" t="s">
        <v>432</v>
      </c>
      <c r="P310" s="246"/>
      <c r="Q310" s="282"/>
      <c r="R310" s="246"/>
      <c r="S310" s="261"/>
      <c r="T310" s="341"/>
      <c r="U310" s="246"/>
      <c r="V310" s="290" t="s">
        <v>432</v>
      </c>
      <c r="W310" s="246"/>
      <c r="X310" s="282"/>
      <c r="Y310" s="246"/>
      <c r="Z310" s="261"/>
      <c r="AA310" s="341"/>
      <c r="AB310" s="246"/>
      <c r="AC310" s="660" t="s">
        <v>432</v>
      </c>
      <c r="AD310" s="246"/>
      <c r="AE310" s="282"/>
      <c r="AF310" s="246"/>
      <c r="AG310" s="261"/>
      <c r="AH310" s="282"/>
      <c r="AI310" s="246"/>
      <c r="AJ310" s="660" t="s">
        <v>432</v>
      </c>
      <c r="AK310" s="246"/>
      <c r="AL310" s="282"/>
      <c r="AM310" s="246"/>
      <c r="AN310" s="261"/>
      <c r="AO310" s="341"/>
      <c r="AP310" s="246"/>
      <c r="AQ310" s="282"/>
      <c r="AR310" s="246"/>
      <c r="AS310" s="282"/>
      <c r="AT310" s="430"/>
      <c r="AU310" s="269"/>
    </row>
    <row r="311">
      <c r="A311" s="94"/>
      <c r="B311" s="429" t="s">
        <v>714</v>
      </c>
      <c r="C311" s="430"/>
      <c r="D311" s="323"/>
      <c r="E311" s="259"/>
      <c r="F311" s="432"/>
      <c r="G311" s="432"/>
      <c r="H311" s="432"/>
      <c r="I311" s="432"/>
      <c r="J311" s="432"/>
      <c r="K311" s="432"/>
      <c r="L311" s="462"/>
      <c r="M311" s="432"/>
      <c r="N311" s="433"/>
      <c r="O311" s="432"/>
      <c r="P311" s="432"/>
      <c r="Q311" s="432"/>
      <c r="R311" s="432"/>
      <c r="S311" s="261"/>
      <c r="T311" s="432"/>
      <c r="U311" s="433"/>
      <c r="V311" s="432"/>
      <c r="W311" s="432"/>
      <c r="X311" s="432"/>
      <c r="Y311" s="432"/>
      <c r="Z311" s="261"/>
      <c r="AA311" s="432"/>
      <c r="AB311" s="433"/>
      <c r="AC311" s="432"/>
      <c r="AD311" s="432"/>
      <c r="AE311" s="432"/>
      <c r="AF311" s="432"/>
      <c r="AG311" s="261"/>
      <c r="AH311" s="432"/>
      <c r="AI311" s="433"/>
      <c r="AJ311" s="432"/>
      <c r="AK311" s="432"/>
      <c r="AL311" s="432"/>
      <c r="AM311" s="432"/>
      <c r="AN311" s="261"/>
      <c r="AO311" s="432"/>
      <c r="AP311" s="433"/>
      <c r="AQ311" s="432"/>
      <c r="AR311" s="432"/>
      <c r="AS311" s="432"/>
      <c r="AT311" s="254" t="str">
        <f t="shared" ref="AT311:AT316" si="61">IF(COUNTIF($AO$79:$AT$81, AS312) &gt; 0, "X", "")</f>
        <v/>
      </c>
      <c r="AU311" s="269"/>
    </row>
    <row r="312">
      <c r="A312" s="94"/>
      <c r="B312" s="401" t="s">
        <v>715</v>
      </c>
      <c r="C312" s="412" t="s">
        <v>716</v>
      </c>
      <c r="D312" s="323"/>
      <c r="E312" s="259"/>
      <c r="F312" s="434"/>
      <c r="G312" s="246"/>
      <c r="H312" s="434"/>
      <c r="I312" s="246"/>
      <c r="J312" s="434"/>
      <c r="K312" s="246"/>
      <c r="L312" s="462"/>
      <c r="M312" s="434"/>
      <c r="N312" s="246"/>
      <c r="O312" s="434" t="s">
        <v>403</v>
      </c>
      <c r="P312" s="246"/>
      <c r="Q312" s="434"/>
      <c r="R312" s="246"/>
      <c r="S312" s="261"/>
      <c r="T312" s="434"/>
      <c r="U312" s="246"/>
      <c r="V312" s="434" t="s">
        <v>403</v>
      </c>
      <c r="W312" s="246"/>
      <c r="X312" s="434"/>
      <c r="Y312" s="246"/>
      <c r="Z312" s="261"/>
      <c r="AA312" s="434"/>
      <c r="AB312" s="246"/>
      <c r="AC312" s="434" t="s">
        <v>403</v>
      </c>
      <c r="AD312" s="246"/>
      <c r="AE312" s="434"/>
      <c r="AF312" s="246"/>
      <c r="AG312" s="261"/>
      <c r="AH312" s="434"/>
      <c r="AI312" s="246"/>
      <c r="AJ312" s="434" t="s">
        <v>403</v>
      </c>
      <c r="AK312" s="246"/>
      <c r="AL312" s="434"/>
      <c r="AM312" s="246"/>
      <c r="AN312" s="261"/>
      <c r="AO312" s="434"/>
      <c r="AP312" s="246"/>
      <c r="AQ312" s="434"/>
      <c r="AR312" s="246"/>
      <c r="AS312" s="434"/>
      <c r="AT312" s="254" t="str">
        <f t="shared" si="61"/>
        <v/>
      </c>
      <c r="AU312" s="269"/>
    </row>
    <row r="313">
      <c r="A313" s="94"/>
      <c r="B313" s="435" t="s">
        <v>717</v>
      </c>
      <c r="C313" s="415" t="s">
        <v>718</v>
      </c>
      <c r="D313" s="363"/>
      <c r="E313" s="259"/>
      <c r="F313" s="434"/>
      <c r="G313" s="246"/>
      <c r="H313" s="406" t="s">
        <v>1066</v>
      </c>
      <c r="I313" s="246"/>
      <c r="J313" s="434"/>
      <c r="K313" s="246"/>
      <c r="L313" s="462"/>
      <c r="M313" s="434"/>
      <c r="N313" s="246"/>
      <c r="O313" s="578" t="s">
        <v>463</v>
      </c>
      <c r="P313" s="246"/>
      <c r="Q313" s="434"/>
      <c r="R313" s="246"/>
      <c r="S313" s="261"/>
      <c r="T313" s="434"/>
      <c r="U313" s="246"/>
      <c r="V313" s="578" t="s">
        <v>463</v>
      </c>
      <c r="W313" s="246"/>
      <c r="X313" s="434"/>
      <c r="Y313" s="246"/>
      <c r="Z313" s="261"/>
      <c r="AA313" s="434"/>
      <c r="AB313" s="246"/>
      <c r="AC313" s="578" t="s">
        <v>463</v>
      </c>
      <c r="AD313" s="246"/>
      <c r="AE313" s="434"/>
      <c r="AF313" s="246"/>
      <c r="AG313" s="261"/>
      <c r="AH313" s="434"/>
      <c r="AI313" s="246"/>
      <c r="AJ313" s="578" t="s">
        <v>463</v>
      </c>
      <c r="AK313" s="246"/>
      <c r="AL313" s="434"/>
      <c r="AM313" s="246"/>
      <c r="AN313" s="261"/>
      <c r="AO313" s="434"/>
      <c r="AP313" s="246"/>
      <c r="AQ313" s="578" t="s">
        <v>463</v>
      </c>
      <c r="AR313" s="246"/>
      <c r="AS313" s="434"/>
      <c r="AT313" s="254" t="str">
        <f t="shared" si="61"/>
        <v/>
      </c>
      <c r="AU313" s="269"/>
    </row>
    <row r="314">
      <c r="A314" s="94"/>
      <c r="B314" s="436" t="s">
        <v>719</v>
      </c>
      <c r="C314" s="437" t="s">
        <v>720</v>
      </c>
      <c r="D314" s="330"/>
      <c r="E314" s="259"/>
      <c r="F314" s="406"/>
      <c r="G314" s="246"/>
      <c r="H314" s="406"/>
      <c r="I314" s="246"/>
      <c r="J314" s="406"/>
      <c r="K314" s="246"/>
      <c r="L314" s="462"/>
      <c r="M314" s="406"/>
      <c r="N314" s="246"/>
      <c r="O314" s="206" t="s">
        <v>1066</v>
      </c>
      <c r="P314" s="246"/>
      <c r="Q314" s="406"/>
      <c r="R314" s="246"/>
      <c r="S314" s="261"/>
      <c r="T314" s="406"/>
      <c r="U314" s="246"/>
      <c r="V314" s="406" t="s">
        <v>970</v>
      </c>
      <c r="W314" s="246"/>
      <c r="X314" s="406"/>
      <c r="Y314" s="246"/>
      <c r="Z314" s="261"/>
      <c r="AA314" s="406"/>
      <c r="AB314" s="246"/>
      <c r="AC314" s="206" t="s">
        <v>946</v>
      </c>
      <c r="AD314" s="246"/>
      <c r="AE314" s="406"/>
      <c r="AF314" s="246"/>
      <c r="AG314" s="261"/>
      <c r="AH314" s="406"/>
      <c r="AI314" s="246"/>
      <c r="AJ314" s="206" t="s">
        <v>946</v>
      </c>
      <c r="AK314" s="246"/>
      <c r="AL314" s="406"/>
      <c r="AM314" s="246"/>
      <c r="AN314" s="261"/>
      <c r="AO314" s="406"/>
      <c r="AP314" s="246"/>
      <c r="AQ314" s="406"/>
      <c r="AR314" s="246"/>
      <c r="AS314" s="406"/>
      <c r="AT314" s="254" t="str">
        <f t="shared" si="61"/>
        <v/>
      </c>
      <c r="AU314" s="269"/>
    </row>
    <row r="315">
      <c r="A315" s="94"/>
      <c r="B315" s="439" t="s">
        <v>721</v>
      </c>
      <c r="C315" s="440" t="s">
        <v>722</v>
      </c>
      <c r="D315" s="330"/>
      <c r="E315" s="259"/>
      <c r="F315" s="406"/>
      <c r="G315" s="246"/>
      <c r="H315" s="406" t="s">
        <v>970</v>
      </c>
      <c r="I315" s="246"/>
      <c r="J315" s="406"/>
      <c r="K315" s="246"/>
      <c r="L315" s="462"/>
      <c r="M315" s="406"/>
      <c r="N315" s="246"/>
      <c r="O315" s="406" t="s">
        <v>454</v>
      </c>
      <c r="P315" s="246"/>
      <c r="Q315" s="406"/>
      <c r="R315" s="246"/>
      <c r="S315" s="261"/>
      <c r="T315" s="406"/>
      <c r="U315" s="246"/>
      <c r="V315" s="406" t="s">
        <v>454</v>
      </c>
      <c r="W315" s="246"/>
      <c r="X315" s="406"/>
      <c r="Y315" s="246"/>
      <c r="Z315" s="261"/>
      <c r="AA315" s="406"/>
      <c r="AB315" s="246"/>
      <c r="AC315" s="406" t="s">
        <v>454</v>
      </c>
      <c r="AD315" s="246"/>
      <c r="AE315" s="406"/>
      <c r="AF315" s="246"/>
      <c r="AG315" s="261"/>
      <c r="AH315" s="406"/>
      <c r="AI315" s="246"/>
      <c r="AJ315" s="406" t="s">
        <v>454</v>
      </c>
      <c r="AK315" s="246"/>
      <c r="AL315" s="406"/>
      <c r="AM315" s="246"/>
      <c r="AN315" s="261"/>
      <c r="AO315" s="406"/>
      <c r="AP315" s="246"/>
      <c r="AQ315" s="406"/>
      <c r="AR315" s="246"/>
      <c r="AS315" s="406"/>
      <c r="AT315" s="254" t="str">
        <f t="shared" si="61"/>
        <v/>
      </c>
      <c r="AU315" s="269"/>
    </row>
    <row r="316">
      <c r="A316" s="94"/>
      <c r="B316" s="439" t="s">
        <v>723</v>
      </c>
      <c r="C316" s="440" t="s">
        <v>724</v>
      </c>
      <c r="D316" s="330"/>
      <c r="E316" s="259"/>
      <c r="F316" s="406"/>
      <c r="G316" s="246"/>
      <c r="H316" s="206" t="s">
        <v>460</v>
      </c>
      <c r="I316" s="246"/>
      <c r="J316" s="406"/>
      <c r="K316" s="246"/>
      <c r="L316" s="462"/>
      <c r="M316" s="406"/>
      <c r="N316" s="246"/>
      <c r="O316" s="406" t="s">
        <v>456</v>
      </c>
      <c r="P316" s="246"/>
      <c r="Q316" s="406"/>
      <c r="R316" s="246"/>
      <c r="S316" s="261"/>
      <c r="T316" s="406"/>
      <c r="U316" s="246"/>
      <c r="V316" s="206" t="s">
        <v>1066</v>
      </c>
      <c r="W316" s="246"/>
      <c r="X316" s="406"/>
      <c r="Y316" s="246"/>
      <c r="Z316" s="261"/>
      <c r="AA316" s="406"/>
      <c r="AB316" s="246"/>
      <c r="AC316" s="406" t="s">
        <v>1066</v>
      </c>
      <c r="AD316" s="246"/>
      <c r="AE316" s="406"/>
      <c r="AF316" s="246"/>
      <c r="AG316" s="261"/>
      <c r="AH316" s="406"/>
      <c r="AI316" s="246"/>
      <c r="AJ316" s="206" t="s">
        <v>1066</v>
      </c>
      <c r="AK316" s="246"/>
      <c r="AL316" s="406"/>
      <c r="AM316" s="246"/>
      <c r="AN316" s="261"/>
      <c r="AO316" s="406"/>
      <c r="AP316" s="246"/>
      <c r="AQ316" s="406" t="s">
        <v>970</v>
      </c>
      <c r="AR316" s="246"/>
      <c r="AS316" s="406"/>
      <c r="AT316" s="254" t="str">
        <f t="shared" si="61"/>
        <v/>
      </c>
      <c r="AU316" s="269"/>
    </row>
    <row r="317">
      <c r="A317" s="94"/>
      <c r="B317" s="439" t="s">
        <v>725</v>
      </c>
      <c r="C317" s="442" t="s">
        <v>726</v>
      </c>
      <c r="D317" s="330"/>
      <c r="E317" s="259"/>
      <c r="F317" s="441"/>
      <c r="G317" s="246"/>
      <c r="H317" s="406" t="s">
        <v>456</v>
      </c>
      <c r="I317" s="246"/>
      <c r="J317" s="441"/>
      <c r="K317" s="246"/>
      <c r="L317" s="462"/>
      <c r="M317" s="441"/>
      <c r="N317" s="246"/>
      <c r="O317" s="406" t="s">
        <v>970</v>
      </c>
      <c r="P317" s="246"/>
      <c r="Q317" s="441"/>
      <c r="R317" s="246"/>
      <c r="S317" s="261"/>
      <c r="T317" s="441"/>
      <c r="U317" s="246"/>
      <c r="V317" s="406" t="s">
        <v>456</v>
      </c>
      <c r="W317" s="246"/>
      <c r="X317" s="441"/>
      <c r="Y317" s="246"/>
      <c r="Z317" s="261"/>
      <c r="AA317" s="441"/>
      <c r="AB317" s="246"/>
      <c r="AC317" s="406" t="s">
        <v>456</v>
      </c>
      <c r="AD317" s="246"/>
      <c r="AE317" s="441"/>
      <c r="AF317" s="246"/>
      <c r="AG317" s="261"/>
      <c r="AH317" s="441"/>
      <c r="AI317" s="246"/>
      <c r="AJ317" s="406" t="s">
        <v>970</v>
      </c>
      <c r="AK317" s="246"/>
      <c r="AL317" s="441"/>
      <c r="AM317" s="246"/>
      <c r="AN317" s="261"/>
      <c r="AO317" s="441"/>
      <c r="AP317" s="246"/>
      <c r="AQ317" s="406" t="s">
        <v>456</v>
      </c>
      <c r="AR317" s="246"/>
      <c r="AS317" s="441"/>
      <c r="AT317" s="254" t="str">
        <f>IF(COUNTIF($AO$79:$AT$81, #REF!) &gt; 0, "X", "")</f>
        <v/>
      </c>
      <c r="AU317" s="269"/>
    </row>
    <row r="318">
      <c r="A318" s="94"/>
      <c r="B318" s="447" t="s">
        <v>729</v>
      </c>
      <c r="C318" s="448" t="s">
        <v>730</v>
      </c>
      <c r="D318" s="330"/>
      <c r="E318" s="259"/>
      <c r="F318" s="441"/>
      <c r="G318" s="246"/>
      <c r="H318" s="406"/>
      <c r="I318" s="246"/>
      <c r="J318" s="441"/>
      <c r="K318" s="246"/>
      <c r="L318" s="462"/>
      <c r="M318" s="441"/>
      <c r="N318" s="246"/>
      <c r="O318" s="406"/>
      <c r="P318" s="246"/>
      <c r="Q318" s="441"/>
      <c r="R318" s="246"/>
      <c r="S318" s="261"/>
      <c r="T318" s="441"/>
      <c r="U318" s="246"/>
      <c r="V318" s="406"/>
      <c r="W318" s="246"/>
      <c r="X318" s="441"/>
      <c r="Y318" s="246"/>
      <c r="Z318" s="261"/>
      <c r="AA318" s="441"/>
      <c r="AB318" s="246"/>
      <c r="AC318" s="406"/>
      <c r="AD318" s="246"/>
      <c r="AE318" s="441"/>
      <c r="AF318" s="246"/>
      <c r="AG318" s="261"/>
      <c r="AH318" s="441"/>
      <c r="AI318" s="246"/>
      <c r="AJ318" s="406"/>
      <c r="AK318" s="246"/>
      <c r="AL318" s="441"/>
      <c r="AM318" s="246"/>
      <c r="AN318" s="261"/>
      <c r="AO318" s="441"/>
      <c r="AP318" s="246"/>
      <c r="AQ318" s="441"/>
      <c r="AR318" s="246"/>
      <c r="AS318" s="441"/>
      <c r="AT318" s="254" t="str">
        <f t="shared" ref="AT318:AT320" si="62">IF(COUNTIF($AO$79:$AT$81, AS318) &gt; 0, "X", "")</f>
        <v/>
      </c>
      <c r="AU318" s="269"/>
    </row>
    <row r="319">
      <c r="A319" s="94"/>
      <c r="B319" s="450" t="s">
        <v>731</v>
      </c>
      <c r="C319" s="451" t="s">
        <v>732</v>
      </c>
      <c r="D319" s="363"/>
      <c r="E319" s="259"/>
      <c r="F319" s="206"/>
      <c r="G319" s="246"/>
      <c r="H319" s="206" t="s">
        <v>946</v>
      </c>
      <c r="I319" s="246"/>
      <c r="J319" s="206"/>
      <c r="K319" s="246"/>
      <c r="L319" s="462"/>
      <c r="M319" s="206"/>
      <c r="N319" s="246"/>
      <c r="O319" s="206" t="s">
        <v>946</v>
      </c>
      <c r="P319" s="246"/>
      <c r="Q319" s="206"/>
      <c r="R319" s="246"/>
      <c r="S319" s="261"/>
      <c r="T319" s="206"/>
      <c r="U319" s="246"/>
      <c r="V319" s="206" t="s">
        <v>460</v>
      </c>
      <c r="W319" s="246"/>
      <c r="X319" s="206"/>
      <c r="Y319" s="246"/>
      <c r="Z319" s="261"/>
      <c r="AA319" s="206"/>
      <c r="AB319" s="246"/>
      <c r="AC319" s="206" t="s">
        <v>460</v>
      </c>
      <c r="AD319" s="246"/>
      <c r="AE319" s="206"/>
      <c r="AF319" s="246"/>
      <c r="AG319" s="261"/>
      <c r="AH319" s="206"/>
      <c r="AI319" s="246"/>
      <c r="AJ319" s="206" t="s">
        <v>460</v>
      </c>
      <c r="AK319" s="246"/>
      <c r="AL319" s="206"/>
      <c r="AM319" s="246"/>
      <c r="AN319" s="261"/>
      <c r="AO319" s="206"/>
      <c r="AP319" s="246"/>
      <c r="AQ319" s="206"/>
      <c r="AR319" s="246"/>
      <c r="AS319" s="206"/>
      <c r="AT319" s="254" t="str">
        <f t="shared" si="62"/>
        <v/>
      </c>
      <c r="AU319" s="269"/>
    </row>
    <row r="320">
      <c r="A320" s="94"/>
      <c r="B320" s="452" t="s">
        <v>733</v>
      </c>
      <c r="C320" s="453" t="s">
        <v>734</v>
      </c>
      <c r="D320" s="363"/>
      <c r="E320" s="259"/>
      <c r="F320" s="74"/>
      <c r="G320" s="246"/>
      <c r="H320" s="594" t="s">
        <v>395</v>
      </c>
      <c r="I320" s="246"/>
      <c r="J320" s="74"/>
      <c r="K320" s="246"/>
      <c r="L320" s="462"/>
      <c r="M320" s="74"/>
      <c r="N320" s="246"/>
      <c r="O320" s="594" t="s">
        <v>395</v>
      </c>
      <c r="P320" s="246"/>
      <c r="Q320" s="74"/>
      <c r="R320" s="246"/>
      <c r="S320" s="261"/>
      <c r="T320" s="74"/>
      <c r="U320" s="246"/>
      <c r="V320" s="594" t="s">
        <v>395</v>
      </c>
      <c r="W320" s="246"/>
      <c r="X320" s="74"/>
      <c r="Y320" s="246"/>
      <c r="Z320" s="261"/>
      <c r="AA320" s="74"/>
      <c r="AB320" s="246"/>
      <c r="AC320" s="594" t="s">
        <v>395</v>
      </c>
      <c r="AD320" s="246"/>
      <c r="AE320" s="74"/>
      <c r="AF320" s="246"/>
      <c r="AG320" s="261"/>
      <c r="AH320" s="74"/>
      <c r="AI320" s="246"/>
      <c r="AJ320" s="594" t="s">
        <v>395</v>
      </c>
      <c r="AK320" s="246"/>
      <c r="AL320" s="74"/>
      <c r="AM320" s="246"/>
      <c r="AN320" s="261"/>
      <c r="AO320" s="74"/>
      <c r="AP320" s="246"/>
      <c r="AQ320" s="206" t="s">
        <v>946</v>
      </c>
      <c r="AR320" s="246"/>
      <c r="AS320" s="74"/>
      <c r="AT320" s="254" t="str">
        <f t="shared" si="62"/>
        <v/>
      </c>
      <c r="AU320" s="269"/>
    </row>
    <row r="321">
      <c r="A321" s="94"/>
      <c r="B321" s="636"/>
      <c r="C321" s="637"/>
      <c r="D321" s="269"/>
      <c r="E321" s="638"/>
      <c r="F321" s="446"/>
      <c r="G321" s="246"/>
      <c r="H321" s="446"/>
      <c r="I321" s="246"/>
      <c r="J321" s="446"/>
      <c r="K321" s="246"/>
      <c r="L321" s="462"/>
      <c r="M321" s="446"/>
      <c r="N321" s="246"/>
      <c r="O321" s="446"/>
      <c r="P321" s="246"/>
      <c r="Q321" s="446"/>
      <c r="R321" s="246"/>
      <c r="S321" s="462"/>
      <c r="T321" s="446"/>
      <c r="U321" s="246"/>
      <c r="V321" s="446"/>
      <c r="W321" s="246"/>
      <c r="X321" s="446"/>
      <c r="Y321" s="246"/>
      <c r="Z321" s="462"/>
      <c r="AA321" s="446"/>
      <c r="AB321" s="246"/>
      <c r="AC321" s="446"/>
      <c r="AD321" s="246"/>
      <c r="AE321" s="446"/>
      <c r="AF321" s="246"/>
      <c r="AG321" s="462"/>
      <c r="AH321" s="446"/>
      <c r="AI321" s="246"/>
      <c r="AJ321" s="446"/>
      <c r="AK321" s="246"/>
      <c r="AL321" s="446"/>
      <c r="AM321" s="246"/>
      <c r="AN321" s="462"/>
      <c r="AO321" s="446"/>
      <c r="AP321" s="246"/>
      <c r="AQ321" s="446"/>
      <c r="AR321" s="246"/>
      <c r="AS321" s="446"/>
      <c r="AT321" s="254"/>
      <c r="AU321" s="269"/>
    </row>
    <row r="322">
      <c r="A322" s="94"/>
      <c r="B322" s="454" t="s">
        <v>735</v>
      </c>
      <c r="C322" s="455" t="s">
        <v>736</v>
      </c>
      <c r="D322" s="363"/>
      <c r="E322" s="259"/>
      <c r="F322" s="441"/>
      <c r="G322" s="246"/>
      <c r="H322" s="441"/>
      <c r="I322" s="246"/>
      <c r="J322" s="405" t="s">
        <v>462</v>
      </c>
      <c r="K322" s="246"/>
      <c r="L322" s="462"/>
      <c r="M322" s="441"/>
      <c r="N322" s="246"/>
      <c r="O322" s="441"/>
      <c r="P322" s="246"/>
      <c r="Q322" s="441"/>
      <c r="R322" s="246"/>
      <c r="S322" s="261"/>
      <c r="T322" s="441"/>
      <c r="U322" s="246"/>
      <c r="V322" s="441"/>
      <c r="W322" s="246"/>
      <c r="X322" s="405" t="s">
        <v>462</v>
      </c>
      <c r="Y322" s="246"/>
      <c r="Z322" s="261"/>
      <c r="AA322" s="441"/>
      <c r="AB322" s="246"/>
      <c r="AC322" s="441"/>
      <c r="AD322" s="246"/>
      <c r="AE322" s="405" t="s">
        <v>462</v>
      </c>
      <c r="AF322" s="246"/>
      <c r="AG322" s="261"/>
      <c r="AH322" s="441"/>
      <c r="AI322" s="246"/>
      <c r="AJ322" s="441"/>
      <c r="AK322" s="246"/>
      <c r="AL322" s="405" t="s">
        <v>462</v>
      </c>
      <c r="AM322" s="246"/>
      <c r="AN322" s="261"/>
      <c r="AO322" s="441"/>
      <c r="AP322" s="246"/>
      <c r="AQ322" s="441"/>
      <c r="AR322" s="246"/>
      <c r="AS322" s="441"/>
      <c r="AT322" s="254" t="str">
        <f t="shared" ref="AT322:AT324" si="63">IF(COUNTIF($AO$79:$AT$81, AS322) &gt; 0, "X", "")</f>
        <v/>
      </c>
      <c r="AU322" s="269"/>
    </row>
    <row r="323">
      <c r="A323" s="94"/>
      <c r="B323" s="454" t="s">
        <v>735</v>
      </c>
      <c r="C323" s="442" t="s">
        <v>736</v>
      </c>
      <c r="D323" s="363"/>
      <c r="E323" s="259"/>
      <c r="F323" s="456"/>
      <c r="G323" s="246"/>
      <c r="H323" s="456"/>
      <c r="I323" s="246"/>
      <c r="J323" s="456"/>
      <c r="K323" s="246"/>
      <c r="L323" s="462"/>
      <c r="M323" s="456"/>
      <c r="N323" s="246"/>
      <c r="O323" s="456"/>
      <c r="P323" s="246"/>
      <c r="Q323" s="456"/>
      <c r="R323" s="246"/>
      <c r="S323" s="261"/>
      <c r="T323" s="456"/>
      <c r="U323" s="246"/>
      <c r="V323" s="456"/>
      <c r="W323" s="246"/>
      <c r="X323" s="456"/>
      <c r="Y323" s="246"/>
      <c r="Z323" s="261"/>
      <c r="AA323" s="456"/>
      <c r="AB323" s="246"/>
      <c r="AC323" s="456"/>
      <c r="AD323" s="246"/>
      <c r="AE323" s="456"/>
      <c r="AF323" s="246"/>
      <c r="AG323" s="261"/>
      <c r="AH323" s="456"/>
      <c r="AI323" s="246"/>
      <c r="AJ323" s="456"/>
      <c r="AK323" s="246"/>
      <c r="AL323" s="456"/>
      <c r="AM323" s="246"/>
      <c r="AN323" s="261"/>
      <c r="AO323" s="456"/>
      <c r="AP323" s="246"/>
      <c r="AQ323" s="456"/>
      <c r="AR323" s="246"/>
      <c r="AS323" s="456"/>
      <c r="AT323" s="254" t="str">
        <f t="shared" si="63"/>
        <v/>
      </c>
      <c r="AU323" s="269"/>
    </row>
    <row r="324">
      <c r="A324" s="94"/>
      <c r="B324" s="457" t="s">
        <v>735</v>
      </c>
      <c r="C324" s="458" t="s">
        <v>737</v>
      </c>
      <c r="D324" s="363"/>
      <c r="E324" s="259"/>
      <c r="F324" s="406"/>
      <c r="G324" s="246"/>
      <c r="H324" s="406"/>
      <c r="I324" s="246"/>
      <c r="J324" s="406"/>
      <c r="K324" s="246"/>
      <c r="L324" s="462"/>
      <c r="M324" s="406"/>
      <c r="N324" s="246"/>
      <c r="O324" s="406"/>
      <c r="P324" s="246"/>
      <c r="Q324" s="406"/>
      <c r="R324" s="246"/>
      <c r="S324" s="261"/>
      <c r="T324" s="406"/>
      <c r="U324" s="246"/>
      <c r="V324" s="406"/>
      <c r="W324" s="246"/>
      <c r="X324" s="406"/>
      <c r="Y324" s="246"/>
      <c r="Z324" s="261"/>
      <c r="AA324" s="406"/>
      <c r="AB324" s="246"/>
      <c r="AC324" s="406"/>
      <c r="AD324" s="246"/>
      <c r="AE324" s="406"/>
      <c r="AF324" s="246"/>
      <c r="AG324" s="261"/>
      <c r="AH324" s="406"/>
      <c r="AI324" s="246"/>
      <c r="AJ324" s="406"/>
      <c r="AK324" s="246"/>
      <c r="AL324" s="406"/>
      <c r="AM324" s="246"/>
      <c r="AN324" s="261"/>
      <c r="AO324" s="406"/>
      <c r="AP324" s="246"/>
      <c r="AQ324" s="406"/>
      <c r="AR324" s="246"/>
      <c r="AS324" s="406"/>
      <c r="AT324" s="254" t="str">
        <f t="shared" si="63"/>
        <v/>
      </c>
      <c r="AU324" s="269"/>
    </row>
    <row r="325">
      <c r="A325" s="94"/>
      <c r="B325" s="459"/>
      <c r="C325" s="460" t="s">
        <v>738</v>
      </c>
      <c r="D325" s="363"/>
      <c r="E325" s="259"/>
      <c r="F325" s="461" t="s">
        <v>1160</v>
      </c>
      <c r="G325" s="246"/>
      <c r="H325" s="132"/>
      <c r="I325" s="246"/>
      <c r="J325" s="132"/>
      <c r="K325" s="246"/>
      <c r="L325" s="462"/>
      <c r="M325" s="461" t="s">
        <v>1161</v>
      </c>
      <c r="N325" s="246"/>
      <c r="O325" s="132"/>
      <c r="P325" s="246"/>
      <c r="Q325" s="132"/>
      <c r="R325" s="246"/>
      <c r="S325" s="462"/>
      <c r="T325" s="461" t="s">
        <v>1162</v>
      </c>
      <c r="U325" s="246"/>
      <c r="V325" s="132"/>
      <c r="W325" s="246"/>
      <c r="X325" s="132"/>
      <c r="Y325" s="246"/>
      <c r="Z325" s="462"/>
      <c r="AA325" s="461" t="s">
        <v>1163</v>
      </c>
      <c r="AB325" s="246"/>
      <c r="AC325" s="132"/>
      <c r="AD325" s="246"/>
      <c r="AE325" s="132"/>
      <c r="AF325" s="246"/>
      <c r="AG325" s="462"/>
      <c r="AH325" s="461" t="s">
        <v>1164</v>
      </c>
      <c r="AI325" s="246"/>
      <c r="AJ325" s="132"/>
      <c r="AK325" s="246"/>
      <c r="AL325" s="132"/>
      <c r="AM325" s="246"/>
      <c r="AN325" s="462"/>
      <c r="AO325" s="461" t="s">
        <v>1165</v>
      </c>
      <c r="AP325" s="246"/>
      <c r="AQ325" s="132"/>
      <c r="AR325" s="246"/>
      <c r="AS325" s="132"/>
      <c r="AT325" s="460"/>
      <c r="AU325" s="269"/>
    </row>
    <row r="326">
      <c r="A326" s="270"/>
      <c r="B326" s="459"/>
      <c r="C326" s="460" t="s">
        <v>738</v>
      </c>
      <c r="D326" s="363"/>
      <c r="E326" s="259"/>
      <c r="F326" s="461" t="s">
        <v>446</v>
      </c>
      <c r="G326" s="246"/>
      <c r="H326" s="132"/>
      <c r="I326" s="246"/>
      <c r="J326" s="132"/>
      <c r="K326" s="246"/>
      <c r="L326" s="462"/>
      <c r="M326" s="461" t="s">
        <v>446</v>
      </c>
      <c r="N326" s="246"/>
      <c r="O326" s="132"/>
      <c r="P326" s="246"/>
      <c r="Q326" s="132"/>
      <c r="R326" s="246"/>
      <c r="S326" s="462"/>
      <c r="T326" s="461" t="s">
        <v>446</v>
      </c>
      <c r="U326" s="246"/>
      <c r="V326" s="132"/>
      <c r="W326" s="246"/>
      <c r="X326" s="132"/>
      <c r="Y326" s="246"/>
      <c r="Z326" s="462"/>
      <c r="AA326" s="461" t="s">
        <v>446</v>
      </c>
      <c r="AB326" s="246"/>
      <c r="AC326" s="132"/>
      <c r="AD326" s="246"/>
      <c r="AE326" s="132"/>
      <c r="AF326" s="246"/>
      <c r="AG326" s="462"/>
      <c r="AH326" s="461" t="s">
        <v>446</v>
      </c>
      <c r="AI326" s="246"/>
      <c r="AJ326" s="132"/>
      <c r="AK326" s="246"/>
      <c r="AL326" s="132"/>
      <c r="AM326" s="246"/>
      <c r="AN326" s="462"/>
      <c r="AO326" s="461" t="s">
        <v>446</v>
      </c>
      <c r="AP326" s="246"/>
      <c r="AQ326" s="132"/>
      <c r="AR326" s="246"/>
      <c r="AS326" s="132"/>
      <c r="AT326" s="460"/>
      <c r="AU326" s="236"/>
    </row>
    <row r="327">
      <c r="A327" s="236"/>
      <c r="B327" s="459"/>
      <c r="C327" s="460" t="s">
        <v>738</v>
      </c>
      <c r="D327" s="363"/>
      <c r="E327" s="259"/>
      <c r="F327" s="461" t="s">
        <v>1146</v>
      </c>
      <c r="G327" s="246"/>
      <c r="H327" s="132"/>
      <c r="I327" s="246"/>
      <c r="J327" s="132"/>
      <c r="K327" s="246"/>
      <c r="L327" s="462"/>
      <c r="M327" s="132"/>
      <c r="N327" s="246"/>
      <c r="O327" s="132"/>
      <c r="P327" s="246"/>
      <c r="Q327" s="132"/>
      <c r="R327" s="246"/>
      <c r="S327" s="462"/>
      <c r="T327" s="461"/>
      <c r="U327" s="246"/>
      <c r="V327" s="132"/>
      <c r="W327" s="246"/>
      <c r="X327" s="132"/>
      <c r="Y327" s="246"/>
      <c r="Z327" s="462"/>
      <c r="AA327" s="461"/>
      <c r="AB327" s="246"/>
      <c r="AC327" s="132"/>
      <c r="AD327" s="246"/>
      <c r="AE327" s="132"/>
      <c r="AF327" s="246"/>
      <c r="AG327" s="462"/>
      <c r="AH327" s="461"/>
      <c r="AI327" s="246"/>
      <c r="AJ327" s="132"/>
      <c r="AK327" s="246"/>
      <c r="AL327" s="132"/>
      <c r="AM327" s="246"/>
      <c r="AN327" s="462"/>
      <c r="AO327" s="461"/>
      <c r="AP327" s="246"/>
      <c r="AQ327" s="132"/>
      <c r="AR327" s="246"/>
      <c r="AS327" s="132"/>
      <c r="AT327" s="460"/>
      <c r="AU327" s="236"/>
    </row>
    <row r="328">
      <c r="A328" s="182"/>
      <c r="B328" s="183" t="s">
        <v>808</v>
      </c>
      <c r="C328" s="184" t="s">
        <v>809</v>
      </c>
      <c r="D328" s="185" t="s">
        <v>486</v>
      </c>
      <c r="E328" s="186"/>
      <c r="F328" s="185" t="s">
        <v>487</v>
      </c>
      <c r="M328" s="185" t="s">
        <v>488</v>
      </c>
      <c r="T328" s="185" t="s">
        <v>489</v>
      </c>
      <c r="AA328" s="185" t="s">
        <v>490</v>
      </c>
      <c r="AH328" s="185" t="s">
        <v>491</v>
      </c>
      <c r="AO328" s="185" t="s">
        <v>492</v>
      </c>
      <c r="AU328" s="182"/>
    </row>
    <row r="329">
      <c r="A329" s="182"/>
      <c r="B329" s="187"/>
      <c r="C329" s="187"/>
      <c r="D329" s="188"/>
      <c r="E329" s="189"/>
      <c r="F329" s="188"/>
      <c r="M329" s="188"/>
      <c r="T329" s="188"/>
      <c r="AA329" s="188"/>
      <c r="AH329" s="188"/>
      <c r="AO329" s="188"/>
      <c r="AU329" s="182"/>
    </row>
    <row r="330">
      <c r="A330" s="182"/>
      <c r="B330" s="193" t="s">
        <v>608</v>
      </c>
      <c r="C330" s="193" t="s">
        <v>609</v>
      </c>
      <c r="D330" s="187"/>
      <c r="E330" s="189"/>
      <c r="F330" s="194" t="s">
        <v>610</v>
      </c>
      <c r="G330" s="195"/>
      <c r="H330" s="193" t="s">
        <v>611</v>
      </c>
      <c r="J330" s="194" t="s">
        <v>612</v>
      </c>
      <c r="M330" s="194" t="s">
        <v>610</v>
      </c>
      <c r="N330" s="195"/>
      <c r="O330" s="193" t="s">
        <v>611</v>
      </c>
      <c r="P330" s="195"/>
      <c r="Q330" s="194" t="s">
        <v>612</v>
      </c>
      <c r="S330" s="193"/>
      <c r="T330" s="194" t="s">
        <v>610</v>
      </c>
      <c r="U330" s="195"/>
      <c r="V330" s="193" t="s">
        <v>611</v>
      </c>
      <c r="W330" s="195"/>
      <c r="X330" s="194" t="s">
        <v>612</v>
      </c>
      <c r="Z330" s="193"/>
      <c r="AA330" s="194" t="s">
        <v>610</v>
      </c>
      <c r="AB330" s="195"/>
      <c r="AC330" s="193" t="s">
        <v>611</v>
      </c>
      <c r="AD330" s="195"/>
      <c r="AE330" s="194" t="s">
        <v>612</v>
      </c>
      <c r="AG330" s="193"/>
      <c r="AH330" s="194" t="s">
        <v>610</v>
      </c>
      <c r="AI330" s="195"/>
      <c r="AJ330" s="193" t="s">
        <v>611</v>
      </c>
      <c r="AK330" s="195"/>
      <c r="AL330" s="194" t="s">
        <v>612</v>
      </c>
      <c r="AN330" s="193"/>
      <c r="AO330" s="194" t="s">
        <v>610</v>
      </c>
      <c r="AP330" s="195"/>
      <c r="AQ330" s="193" t="s">
        <v>611</v>
      </c>
      <c r="AR330" s="195"/>
      <c r="AS330" s="194" t="s">
        <v>612</v>
      </c>
      <c r="AU330" s="182"/>
    </row>
    <row r="331">
      <c r="A331" s="199"/>
      <c r="B331" s="200" t="s">
        <v>620</v>
      </c>
      <c r="C331" s="201"/>
      <c r="D331" s="201"/>
      <c r="E331" s="202"/>
      <c r="F331" s="203"/>
      <c r="G331" s="204"/>
      <c r="H331" s="203"/>
      <c r="I331" s="204"/>
      <c r="J331" s="203"/>
      <c r="K331" s="204"/>
      <c r="L331" s="221"/>
      <c r="M331" s="203"/>
      <c r="N331" s="204"/>
      <c r="O331" s="203"/>
      <c r="P331" s="204"/>
      <c r="Q331" s="203"/>
      <c r="R331" s="204"/>
      <c r="S331" s="205"/>
      <c r="T331" s="203"/>
      <c r="U331" s="204"/>
      <c r="V331" s="203"/>
      <c r="W331" s="204"/>
      <c r="X331" s="203"/>
      <c r="Y331" s="204"/>
      <c r="Z331" s="205"/>
      <c r="AA331" s="203"/>
      <c r="AB331" s="204"/>
      <c r="AC331" s="203"/>
      <c r="AD331" s="204"/>
      <c r="AE331" s="203"/>
      <c r="AF331" s="204"/>
      <c r="AG331" s="205"/>
      <c r="AH331" s="203"/>
      <c r="AI331" s="204"/>
      <c r="AJ331" s="203"/>
      <c r="AK331" s="204"/>
      <c r="AL331" s="203"/>
      <c r="AM331" s="204"/>
      <c r="AN331" s="205"/>
      <c r="AO331" s="203"/>
      <c r="AP331" s="204"/>
      <c r="AQ331" s="203"/>
      <c r="AR331" s="204"/>
      <c r="AS331" s="203"/>
      <c r="AT331" s="204"/>
      <c r="AU331" s="199"/>
    </row>
    <row r="332">
      <c r="A332" s="199"/>
      <c r="B332" s="213" t="s">
        <v>623</v>
      </c>
      <c r="C332" s="214"/>
      <c r="D332" s="215"/>
      <c r="E332" s="216"/>
      <c r="F332" s="561"/>
      <c r="G332" s="218"/>
      <c r="H332" s="227"/>
      <c r="I332" s="220"/>
      <c r="J332" s="215"/>
      <c r="K332" s="221"/>
      <c r="L332" s="216"/>
      <c r="M332" s="217"/>
      <c r="N332" s="218"/>
      <c r="O332" s="215"/>
      <c r="P332" s="220"/>
      <c r="Q332" s="217"/>
      <c r="R332" s="221"/>
      <c r="S332" s="216"/>
      <c r="T332" s="217"/>
      <c r="U332" s="218"/>
      <c r="V332" s="215"/>
      <c r="W332" s="220"/>
      <c r="X332" s="217"/>
      <c r="Y332" s="221"/>
      <c r="Z332" s="216"/>
      <c r="AA332" s="217"/>
      <c r="AB332" s="218"/>
      <c r="AC332" s="215"/>
      <c r="AD332" s="220"/>
      <c r="AE332" s="217"/>
      <c r="AF332" s="221"/>
      <c r="AG332" s="216"/>
      <c r="AH332" s="217"/>
      <c r="AI332" s="218"/>
      <c r="AJ332" s="215"/>
      <c r="AK332" s="220"/>
      <c r="AL332" s="217"/>
      <c r="AM332" s="221"/>
      <c r="AN332" s="216"/>
      <c r="AO332" s="217"/>
      <c r="AP332" s="218"/>
      <c r="AQ332" s="227"/>
      <c r="AR332" s="220"/>
      <c r="AS332" s="217"/>
      <c r="AT332" s="221"/>
      <c r="AU332" s="225">
        <f>counta(F332:AT332)*20</f>
        <v>0</v>
      </c>
    </row>
    <row r="333">
      <c r="A333" s="199"/>
      <c r="B333" s="226" t="s">
        <v>629</v>
      </c>
      <c r="C333" s="214"/>
      <c r="D333" s="215"/>
      <c r="E333" s="216"/>
      <c r="F333" s="227"/>
      <c r="G333" s="218"/>
      <c r="H333" s="227"/>
      <c r="I333" s="220"/>
      <c r="J333" s="215"/>
      <c r="K333" s="221"/>
      <c r="L333" s="216"/>
      <c r="M333" s="227"/>
      <c r="N333" s="218"/>
      <c r="O333" s="215"/>
      <c r="P333" s="220"/>
      <c r="Q333" s="227"/>
      <c r="R333" s="221"/>
      <c r="S333" s="216"/>
      <c r="T333" s="227"/>
      <c r="U333" s="218"/>
      <c r="V333" s="215"/>
      <c r="W333" s="220"/>
      <c r="X333" s="227"/>
      <c r="Y333" s="221"/>
      <c r="Z333" s="216"/>
      <c r="AA333" s="227"/>
      <c r="AB333" s="218"/>
      <c r="AC333" s="215"/>
      <c r="AD333" s="220"/>
      <c r="AE333" s="227"/>
      <c r="AF333" s="221"/>
      <c r="AG333" s="216"/>
      <c r="AH333" s="227"/>
      <c r="AI333" s="218"/>
      <c r="AJ333" s="215"/>
      <c r="AK333" s="220"/>
      <c r="AL333" s="227"/>
      <c r="AM333" s="221"/>
      <c r="AN333" s="216"/>
      <c r="AO333" s="227"/>
      <c r="AP333" s="218"/>
      <c r="AQ333" s="227"/>
      <c r="AR333" s="220"/>
      <c r="AS333" s="227"/>
      <c r="AT333" s="221"/>
      <c r="AU333" s="225">
        <f>sum(F333:AK333)</f>
        <v>0</v>
      </c>
    </row>
    <row r="334">
      <c r="A334" s="199"/>
      <c r="B334" s="213" t="s">
        <v>630</v>
      </c>
      <c r="C334" s="214"/>
      <c r="D334" s="215"/>
      <c r="E334" s="216"/>
      <c r="F334" s="215"/>
      <c r="G334" s="218"/>
      <c r="H334" s="215"/>
      <c r="I334" s="220"/>
      <c r="J334" s="215"/>
      <c r="K334" s="221"/>
      <c r="L334" s="216"/>
      <c r="M334" s="215"/>
      <c r="N334" s="218"/>
      <c r="O334" s="215"/>
      <c r="P334" s="220"/>
      <c r="Q334" s="215"/>
      <c r="R334" s="221"/>
      <c r="S334" s="216"/>
      <c r="T334" s="215"/>
      <c r="U334" s="218"/>
      <c r="V334" s="215"/>
      <c r="W334" s="220"/>
      <c r="X334" s="215"/>
      <c r="Y334" s="221"/>
      <c r="Z334" s="216"/>
      <c r="AA334" s="215"/>
      <c r="AB334" s="218"/>
      <c r="AC334" s="215"/>
      <c r="AD334" s="220"/>
      <c r="AE334" s="215"/>
      <c r="AF334" s="221"/>
      <c r="AG334" s="216"/>
      <c r="AH334" s="215"/>
      <c r="AI334" s="218"/>
      <c r="AJ334" s="215"/>
      <c r="AK334" s="220"/>
      <c r="AL334" s="215"/>
      <c r="AM334" s="221"/>
      <c r="AN334" s="216"/>
      <c r="AO334" s="215"/>
      <c r="AP334" s="218"/>
      <c r="AQ334" s="215"/>
      <c r="AR334" s="220"/>
      <c r="AS334" s="215"/>
      <c r="AT334" s="221"/>
      <c r="AU334" s="225">
        <f>countA(F334:AJ334)*5</f>
        <v>0</v>
      </c>
    </row>
    <row r="335">
      <c r="A335" s="199"/>
      <c r="B335" s="229" t="s">
        <v>632</v>
      </c>
      <c r="C335" s="214"/>
      <c r="D335" s="215"/>
      <c r="E335" s="216"/>
      <c r="F335" s="215"/>
      <c r="G335" s="221"/>
      <c r="H335" s="215"/>
      <c r="I335" s="220"/>
      <c r="J335" s="215"/>
      <c r="K335" s="221"/>
      <c r="L335" s="216"/>
      <c r="M335" s="215"/>
      <c r="N335" s="221"/>
      <c r="O335" s="215"/>
      <c r="P335" s="220"/>
      <c r="Q335" s="215"/>
      <c r="R335" s="221"/>
      <c r="S335" s="216"/>
      <c r="T335" s="215"/>
      <c r="U335" s="221"/>
      <c r="V335" s="215"/>
      <c r="W335" s="220"/>
      <c r="X335" s="215"/>
      <c r="Y335" s="221"/>
      <c r="Z335" s="216"/>
      <c r="AA335" s="215"/>
      <c r="AB335" s="221"/>
      <c r="AC335" s="215"/>
      <c r="AD335" s="220"/>
      <c r="AE335" s="215"/>
      <c r="AF335" s="221"/>
      <c r="AG335" s="216"/>
      <c r="AH335" s="215"/>
      <c r="AI335" s="221"/>
      <c r="AJ335" s="215"/>
      <c r="AK335" s="220"/>
      <c r="AL335" s="215"/>
      <c r="AM335" s="221"/>
      <c r="AN335" s="216"/>
      <c r="AO335" s="215"/>
      <c r="AP335" s="221"/>
      <c r="AQ335" s="215"/>
      <c r="AR335" s="220"/>
      <c r="AS335" s="215"/>
      <c r="AT335" s="221"/>
      <c r="AU335" s="225">
        <f>countA(F335:AK335)*12</f>
        <v>0</v>
      </c>
    </row>
    <row r="336">
      <c r="A336" s="199"/>
      <c r="B336" s="213" t="s">
        <v>633</v>
      </c>
      <c r="C336" s="214"/>
      <c r="D336" s="215"/>
      <c r="E336" s="216"/>
      <c r="F336" s="215"/>
      <c r="G336" s="230"/>
      <c r="H336" s="215"/>
      <c r="I336" s="231"/>
      <c r="J336" s="215"/>
      <c r="K336" s="216"/>
      <c r="L336" s="216"/>
      <c r="M336" s="215"/>
      <c r="N336" s="230"/>
      <c r="O336" s="215"/>
      <c r="P336" s="231"/>
      <c r="Q336" s="215"/>
      <c r="R336" s="216"/>
      <c r="S336" s="216"/>
      <c r="T336" s="215"/>
      <c r="U336" s="230"/>
      <c r="V336" s="215"/>
      <c r="W336" s="231"/>
      <c r="X336" s="215"/>
      <c r="Y336" s="216"/>
      <c r="Z336" s="216"/>
      <c r="AA336" s="215"/>
      <c r="AB336" s="230"/>
      <c r="AC336" s="215"/>
      <c r="AD336" s="231"/>
      <c r="AE336" s="215"/>
      <c r="AF336" s="216"/>
      <c r="AG336" s="216"/>
      <c r="AH336" s="215"/>
      <c r="AI336" s="230"/>
      <c r="AJ336" s="215"/>
      <c r="AK336" s="231"/>
      <c r="AL336" s="215"/>
      <c r="AM336" s="216"/>
      <c r="AN336" s="216"/>
      <c r="AO336" s="215"/>
      <c r="AP336" s="230"/>
      <c r="AQ336" s="215"/>
      <c r="AR336" s="231"/>
      <c r="AS336" s="215"/>
      <c r="AT336" s="216"/>
      <c r="AU336" s="225">
        <f>counta(F336:AT336)*4</f>
        <v>0</v>
      </c>
    </row>
    <row r="337">
      <c r="A337" s="199"/>
      <c r="B337" s="213" t="s">
        <v>637</v>
      </c>
      <c r="C337" s="214"/>
      <c r="D337" s="215"/>
      <c r="E337" s="216"/>
      <c r="F337" s="215"/>
      <c r="G337" s="230"/>
      <c r="H337" s="215"/>
      <c r="I337" s="231"/>
      <c r="J337" s="215"/>
      <c r="K337" s="216"/>
      <c r="L337" s="216"/>
      <c r="M337" s="215"/>
      <c r="N337" s="230"/>
      <c r="O337" s="215"/>
      <c r="P337" s="231"/>
      <c r="Q337" s="215"/>
      <c r="R337" s="216"/>
      <c r="S337" s="216"/>
      <c r="T337" s="215"/>
      <c r="U337" s="230"/>
      <c r="V337" s="215"/>
      <c r="W337" s="231"/>
      <c r="X337" s="215"/>
      <c r="Y337" s="216"/>
      <c r="Z337" s="216"/>
      <c r="AA337" s="215"/>
      <c r="AB337" s="230"/>
      <c r="AC337" s="215"/>
      <c r="AD337" s="231"/>
      <c r="AE337" s="215"/>
      <c r="AF337" s="216"/>
      <c r="AG337" s="216"/>
      <c r="AH337" s="215"/>
      <c r="AI337" s="230"/>
      <c r="AJ337" s="215"/>
      <c r="AK337" s="231"/>
      <c r="AL337" s="215"/>
      <c r="AM337" s="216"/>
      <c r="AN337" s="216"/>
      <c r="AO337" s="215"/>
      <c r="AP337" s="230"/>
      <c r="AQ337" s="215"/>
      <c r="AR337" s="231"/>
      <c r="AS337" s="215"/>
      <c r="AT337" s="216"/>
      <c r="AU337" s="225">
        <f>sum(F337:AT337)</f>
        <v>0</v>
      </c>
    </row>
    <row r="338">
      <c r="A338" s="234"/>
      <c r="B338" s="235" t="s">
        <v>608</v>
      </c>
      <c r="C338" s="195" t="s">
        <v>609</v>
      </c>
      <c r="D338" s="236"/>
      <c r="E338" s="237"/>
      <c r="F338" s="238"/>
      <c r="G338" s="182"/>
      <c r="H338" s="238"/>
      <c r="I338" s="239"/>
      <c r="J338" s="238"/>
      <c r="K338" s="239"/>
      <c r="L338" s="94"/>
      <c r="M338" s="238"/>
      <c r="N338" s="182"/>
      <c r="O338" s="238"/>
      <c r="P338" s="239"/>
      <c r="Q338" s="238"/>
      <c r="R338" s="239"/>
      <c r="S338" s="237"/>
      <c r="T338" s="238"/>
      <c r="U338" s="182"/>
      <c r="V338" s="238"/>
      <c r="W338" s="239"/>
      <c r="X338" s="238"/>
      <c r="Y338" s="239"/>
      <c r="Z338" s="237"/>
      <c r="AA338" s="238"/>
      <c r="AB338" s="182"/>
      <c r="AC338" s="238"/>
      <c r="AD338" s="239"/>
      <c r="AE338" s="238"/>
      <c r="AF338" s="239"/>
      <c r="AG338" s="237"/>
      <c r="AH338" s="238"/>
      <c r="AI338" s="182"/>
      <c r="AJ338" s="238"/>
      <c r="AK338" s="239"/>
      <c r="AL338" s="238"/>
      <c r="AM338" s="239"/>
      <c r="AN338" s="237"/>
      <c r="AO338" s="238"/>
      <c r="AP338" s="182"/>
      <c r="AQ338" s="238"/>
      <c r="AR338" s="239"/>
      <c r="AS338" s="238"/>
      <c r="AT338" s="239"/>
      <c r="AU338" s="236"/>
    </row>
    <row r="339">
      <c r="A339" s="240"/>
      <c r="B339" s="241" t="s">
        <v>638</v>
      </c>
      <c r="C339" s="242" t="s">
        <v>639</v>
      </c>
      <c r="D339" s="243"/>
      <c r="E339" s="244"/>
      <c r="F339" s="741"/>
      <c r="G339" s="246"/>
      <c r="H339" s="741"/>
      <c r="I339" s="246"/>
      <c r="J339" s="741"/>
      <c r="K339" s="246"/>
      <c r="L339" s="676"/>
      <c r="M339" s="741"/>
      <c r="N339" s="246"/>
      <c r="O339" s="741"/>
      <c r="P339" s="246"/>
      <c r="Q339" s="741"/>
      <c r="R339" s="246"/>
      <c r="S339" s="249"/>
      <c r="T339" s="741"/>
      <c r="U339" s="246"/>
      <c r="V339" s="741"/>
      <c r="W339" s="246"/>
      <c r="X339" s="741"/>
      <c r="Y339" s="246"/>
      <c r="Z339" s="249"/>
      <c r="AA339" s="741"/>
      <c r="AB339" s="246"/>
      <c r="AC339" s="741"/>
      <c r="AD339" s="246"/>
      <c r="AE339" s="741"/>
      <c r="AF339" s="246"/>
      <c r="AG339" s="249"/>
      <c r="AH339" s="741"/>
      <c r="AI339" s="246"/>
      <c r="AJ339" s="741"/>
      <c r="AK339" s="246"/>
      <c r="AL339" s="741"/>
      <c r="AM339" s="246"/>
      <c r="AN339" s="249"/>
      <c r="AO339" s="741"/>
      <c r="AP339" s="246"/>
      <c r="AQ339" s="741"/>
      <c r="AR339" s="246"/>
      <c r="AS339" s="741"/>
      <c r="AT339" s="254" t="str">
        <f>IF(COUNTIF($AO$79:$AT$81, #REF!) &gt; 0, "X", "")</f>
        <v/>
      </c>
      <c r="AU339" s="255"/>
    </row>
    <row r="340">
      <c r="A340" s="94"/>
      <c r="B340" s="256" t="s">
        <v>638</v>
      </c>
      <c r="C340" s="257" t="s">
        <v>639</v>
      </c>
      <c r="D340" s="243"/>
      <c r="E340" s="259"/>
      <c r="F340" s="741"/>
      <c r="G340" s="246"/>
      <c r="H340" s="741"/>
      <c r="I340" s="246"/>
      <c r="J340" s="741"/>
      <c r="K340" s="246"/>
      <c r="L340" s="676"/>
      <c r="M340" s="741"/>
      <c r="N340" s="246"/>
      <c r="O340" s="741"/>
      <c r="P340" s="246"/>
      <c r="Q340" s="741"/>
      <c r="R340" s="246"/>
      <c r="S340" s="249"/>
      <c r="T340" s="741"/>
      <c r="U340" s="246"/>
      <c r="V340" s="741"/>
      <c r="W340" s="246"/>
      <c r="X340" s="741"/>
      <c r="Y340" s="246"/>
      <c r="Z340" s="249"/>
      <c r="AA340" s="741"/>
      <c r="AB340" s="246"/>
      <c r="AC340" s="741"/>
      <c r="AD340" s="246"/>
      <c r="AE340" s="741"/>
      <c r="AF340" s="246"/>
      <c r="AG340" s="249"/>
      <c r="AH340" s="741"/>
      <c r="AI340" s="246"/>
      <c r="AJ340" s="741"/>
      <c r="AK340" s="246"/>
      <c r="AL340" s="741"/>
      <c r="AM340" s="246"/>
      <c r="AN340" s="249"/>
      <c r="AO340" s="741"/>
      <c r="AP340" s="246"/>
      <c r="AQ340" s="741"/>
      <c r="AR340" s="246"/>
      <c r="AS340" s="741"/>
      <c r="AT340" s="254" t="str">
        <f>IF(COUNTIF($AO$79:$AT$81, AS346) &gt; 0, "X", "")</f>
        <v/>
      </c>
      <c r="AU340" s="269"/>
    </row>
    <row r="341">
      <c r="A341" s="270"/>
      <c r="B341" s="271" t="s">
        <v>642</v>
      </c>
      <c r="C341" s="272" t="s">
        <v>639</v>
      </c>
      <c r="D341" s="243"/>
      <c r="E341" s="259"/>
      <c r="F341" s="589"/>
      <c r="G341" s="246"/>
      <c r="H341" s="589"/>
      <c r="I341" s="246"/>
      <c r="J341" s="589"/>
      <c r="K341" s="246"/>
      <c r="L341" s="462"/>
      <c r="M341" s="589"/>
      <c r="N341" s="246"/>
      <c r="O341" s="589"/>
      <c r="P341" s="246"/>
      <c r="Q341" s="589"/>
      <c r="R341" s="246"/>
      <c r="S341" s="261"/>
      <c r="T341" s="589"/>
      <c r="U341" s="246"/>
      <c r="V341" s="589"/>
      <c r="W341" s="246"/>
      <c r="X341" s="589"/>
      <c r="Y341" s="246"/>
      <c r="Z341" s="261"/>
      <c r="AA341" s="589"/>
      <c r="AB341" s="246"/>
      <c r="AC341" s="589"/>
      <c r="AD341" s="246"/>
      <c r="AE341" s="744"/>
      <c r="AF341" s="246"/>
      <c r="AG341" s="261"/>
      <c r="AH341" s="589"/>
      <c r="AI341" s="246"/>
      <c r="AJ341" s="744"/>
      <c r="AK341" s="246"/>
      <c r="AL341" s="589"/>
      <c r="AM341" s="246"/>
      <c r="AN341" s="261"/>
      <c r="AO341" s="589"/>
      <c r="AP341" s="246"/>
      <c r="AQ341" s="589"/>
      <c r="AR341" s="246"/>
      <c r="AS341" s="589"/>
      <c r="AT341" s="254" t="str">
        <f>IF(COUNTIF($AO$79:$AT$81, #REF!) &gt; 0, "X", "")</f>
        <v/>
      </c>
      <c r="AU341" s="269"/>
    </row>
    <row r="342">
      <c r="A342" s="234"/>
      <c r="B342" s="277" t="s">
        <v>644</v>
      </c>
      <c r="C342" s="278" t="s">
        <v>645</v>
      </c>
      <c r="D342" s="243"/>
      <c r="E342" s="259"/>
      <c r="F342" s="741"/>
      <c r="G342" s="246"/>
      <c r="H342" s="741"/>
      <c r="I342" s="246"/>
      <c r="J342" s="741"/>
      <c r="K342" s="246"/>
      <c r="L342" s="462"/>
      <c r="M342" s="741"/>
      <c r="N342" s="246"/>
      <c r="O342" s="741"/>
      <c r="P342" s="246"/>
      <c r="Q342" s="741"/>
      <c r="R342" s="246"/>
      <c r="S342" s="261"/>
      <c r="T342" s="741"/>
      <c r="U342" s="246"/>
      <c r="V342" s="741"/>
      <c r="W342" s="246"/>
      <c r="X342" s="741"/>
      <c r="Y342" s="246"/>
      <c r="Z342" s="261"/>
      <c r="AA342" s="741"/>
      <c r="AB342" s="246"/>
      <c r="AC342" s="741"/>
      <c r="AD342" s="246"/>
      <c r="AE342" s="741"/>
      <c r="AF342" s="246"/>
      <c r="AG342" s="261"/>
      <c r="AH342" s="741"/>
      <c r="AI342" s="246"/>
      <c r="AJ342" s="741"/>
      <c r="AK342" s="246"/>
      <c r="AL342" s="741"/>
      <c r="AM342" s="246"/>
      <c r="AN342" s="261"/>
      <c r="AO342" s="741"/>
      <c r="AP342" s="246"/>
      <c r="AQ342" s="741"/>
      <c r="AR342" s="246"/>
      <c r="AS342" s="741"/>
      <c r="AT342" s="254" t="str">
        <f t="shared" ref="AT342:AT344" si="64">IF(COUNTIF($AO$79:$AT$81, AS343) &gt; 0, "X", "")</f>
        <v/>
      </c>
      <c r="AU342" s="269"/>
    </row>
    <row r="343">
      <c r="A343" s="94"/>
      <c r="B343" s="256" t="s">
        <v>757</v>
      </c>
      <c r="C343" s="257" t="s">
        <v>645</v>
      </c>
      <c r="D343" s="243"/>
      <c r="E343" s="259"/>
      <c r="F343" s="741"/>
      <c r="G343" s="246"/>
      <c r="H343" s="741"/>
      <c r="I343" s="246"/>
      <c r="J343" s="741"/>
      <c r="K343" s="246"/>
      <c r="L343" s="462"/>
      <c r="M343" s="741"/>
      <c r="N343" s="246"/>
      <c r="O343" s="741"/>
      <c r="P343" s="246"/>
      <c r="Q343" s="741"/>
      <c r="R343" s="246"/>
      <c r="S343" s="261"/>
      <c r="T343" s="741"/>
      <c r="U343" s="246"/>
      <c r="V343" s="741"/>
      <c r="W343" s="246"/>
      <c r="X343" s="741"/>
      <c r="Y343" s="246"/>
      <c r="Z343" s="261"/>
      <c r="AA343" s="741"/>
      <c r="AB343" s="246"/>
      <c r="AC343" s="741"/>
      <c r="AD343" s="246"/>
      <c r="AE343" s="741"/>
      <c r="AF343" s="246"/>
      <c r="AG343" s="261"/>
      <c r="AH343" s="741"/>
      <c r="AI343" s="246"/>
      <c r="AJ343" s="741"/>
      <c r="AK343" s="246"/>
      <c r="AL343" s="741"/>
      <c r="AM343" s="246"/>
      <c r="AN343" s="261"/>
      <c r="AO343" s="741"/>
      <c r="AP343" s="246"/>
      <c r="AQ343" s="741"/>
      <c r="AR343" s="246"/>
      <c r="AS343" s="741"/>
      <c r="AT343" s="254" t="str">
        <f t="shared" si="64"/>
        <v/>
      </c>
      <c r="AU343" s="269"/>
    </row>
    <row r="344">
      <c r="A344" s="94"/>
      <c r="B344" s="284" t="s">
        <v>646</v>
      </c>
      <c r="C344" s="285" t="s">
        <v>647</v>
      </c>
      <c r="D344" s="243"/>
      <c r="E344" s="259"/>
      <c r="F344" s="743"/>
      <c r="G344" s="246"/>
      <c r="H344" s="743"/>
      <c r="I344" s="246"/>
      <c r="J344" s="743"/>
      <c r="K344" s="246"/>
      <c r="L344" s="462"/>
      <c r="M344" s="743"/>
      <c r="N344" s="246"/>
      <c r="O344" s="744"/>
      <c r="P344" s="246"/>
      <c r="Q344" s="744"/>
      <c r="R344" s="246"/>
      <c r="S344" s="261"/>
      <c r="T344" s="744"/>
      <c r="U344" s="246"/>
      <c r="V344" s="744"/>
      <c r="W344" s="246"/>
      <c r="X344" s="744"/>
      <c r="Y344" s="246"/>
      <c r="Z344" s="261"/>
      <c r="AA344" s="744"/>
      <c r="AB344" s="246"/>
      <c r="AC344" s="744"/>
      <c r="AD344" s="246"/>
      <c r="AE344" s="744"/>
      <c r="AF344" s="246"/>
      <c r="AG344" s="261"/>
      <c r="AH344" s="744"/>
      <c r="AI344" s="246"/>
      <c r="AJ344" s="744"/>
      <c r="AK344" s="246"/>
      <c r="AL344" s="744"/>
      <c r="AM344" s="246"/>
      <c r="AN344" s="261"/>
      <c r="AO344" s="744"/>
      <c r="AP344" s="246"/>
      <c r="AQ344" s="744"/>
      <c r="AR344" s="246"/>
      <c r="AS344" s="744"/>
      <c r="AT344" s="254" t="str">
        <f t="shared" si="64"/>
        <v/>
      </c>
      <c r="AU344" s="269"/>
    </row>
    <row r="345">
      <c r="A345" s="270"/>
      <c r="B345" s="291" t="s">
        <v>648</v>
      </c>
      <c r="C345" s="292" t="s">
        <v>649</v>
      </c>
      <c r="D345" s="243"/>
      <c r="E345" s="259"/>
      <c r="F345" s="298"/>
      <c r="G345" s="246"/>
      <c r="H345" s="298"/>
      <c r="I345" s="246"/>
      <c r="J345" s="298"/>
      <c r="K345" s="246"/>
      <c r="L345" s="462"/>
      <c r="M345" s="298"/>
      <c r="N345" s="246"/>
      <c r="O345" s="298"/>
      <c r="P345" s="246"/>
      <c r="Q345" s="298"/>
      <c r="R345" s="246"/>
      <c r="S345" s="261"/>
      <c r="T345" s="298"/>
      <c r="U345" s="246"/>
      <c r="V345" s="298"/>
      <c r="W345" s="246"/>
      <c r="X345" s="298"/>
      <c r="Y345" s="246"/>
      <c r="Z345" s="261"/>
      <c r="AA345" s="298"/>
      <c r="AB345" s="246"/>
      <c r="AC345" s="298"/>
      <c r="AD345" s="246"/>
      <c r="AE345" s="298"/>
      <c r="AF345" s="246"/>
      <c r="AG345" s="261"/>
      <c r="AH345" s="298"/>
      <c r="AI345" s="246"/>
      <c r="AJ345" s="298"/>
      <c r="AK345" s="246"/>
      <c r="AL345" s="298"/>
      <c r="AM345" s="246"/>
      <c r="AN345" s="261"/>
      <c r="AO345" s="298"/>
      <c r="AP345" s="246"/>
      <c r="AQ345" s="298"/>
      <c r="AR345" s="246"/>
      <c r="AS345" s="298"/>
      <c r="AT345" s="254" t="str">
        <f t="shared" ref="AT345:AT346" si="65">IF(COUNTIF($AO$79:$AT$81, #REF!) &gt; 0, "X", "")</f>
        <v/>
      </c>
      <c r="AU345" s="269"/>
    </row>
    <row r="346">
      <c r="A346" s="94"/>
      <c r="B346" s="296" t="s">
        <v>650</v>
      </c>
      <c r="C346" s="297" t="s">
        <v>649</v>
      </c>
      <c r="D346" s="243"/>
      <c r="E346" s="259"/>
      <c r="F346" s="745"/>
      <c r="G346" s="298"/>
      <c r="H346" s="745"/>
      <c r="I346" s="298"/>
      <c r="J346" s="745"/>
      <c r="K346" s="298"/>
      <c r="L346" s="462"/>
      <c r="M346" s="745"/>
      <c r="N346" s="298"/>
      <c r="O346" s="745"/>
      <c r="P346" s="298"/>
      <c r="Q346" s="745"/>
      <c r="R346" s="298"/>
      <c r="S346" s="261"/>
      <c r="T346" s="745"/>
      <c r="U346" s="298"/>
      <c r="V346" s="745"/>
      <c r="W346" s="298"/>
      <c r="X346" s="745"/>
      <c r="Y346" s="298"/>
      <c r="Z346" s="261"/>
      <c r="AA346" s="745"/>
      <c r="AB346" s="298"/>
      <c r="AC346" s="745"/>
      <c r="AD346" s="298"/>
      <c r="AE346" s="745"/>
      <c r="AF346" s="298"/>
      <c r="AG346" s="261"/>
      <c r="AH346" s="745"/>
      <c r="AI346" s="298"/>
      <c r="AJ346" s="745"/>
      <c r="AK346" s="298"/>
      <c r="AL346" s="745"/>
      <c r="AM346" s="298"/>
      <c r="AN346" s="261"/>
      <c r="AO346" s="745"/>
      <c r="AP346" s="298"/>
      <c r="AQ346" s="745"/>
      <c r="AR346" s="298"/>
      <c r="AS346" s="745"/>
      <c r="AT346" s="254" t="str">
        <f t="shared" si="65"/>
        <v/>
      </c>
      <c r="AU346" s="269"/>
    </row>
    <row r="347">
      <c r="A347" s="94"/>
      <c r="B347" s="301" t="s">
        <v>651</v>
      </c>
      <c r="C347" s="302" t="s">
        <v>652</v>
      </c>
      <c r="D347" s="243"/>
      <c r="E347" s="259"/>
      <c r="F347" s="741"/>
      <c r="G347" s="298"/>
      <c r="H347" s="741"/>
      <c r="I347" s="298"/>
      <c r="J347" s="741"/>
      <c r="K347" s="298"/>
      <c r="L347" s="462"/>
      <c r="M347" s="741"/>
      <c r="N347" s="298"/>
      <c r="O347" s="741"/>
      <c r="P347" s="298"/>
      <c r="Q347" s="741"/>
      <c r="R347" s="298"/>
      <c r="S347" s="261"/>
      <c r="T347" s="741"/>
      <c r="U347" s="298"/>
      <c r="V347" s="741"/>
      <c r="W347" s="298"/>
      <c r="X347" s="741"/>
      <c r="Y347" s="298"/>
      <c r="Z347" s="261"/>
      <c r="AA347" s="741"/>
      <c r="AB347" s="298"/>
      <c r="AC347" s="741"/>
      <c r="AD347" s="298"/>
      <c r="AE347" s="741"/>
      <c r="AF347" s="298"/>
      <c r="AG347" s="261"/>
      <c r="AH347" s="741"/>
      <c r="AI347" s="298"/>
      <c r="AJ347" s="741"/>
      <c r="AK347" s="298"/>
      <c r="AL347" s="741"/>
      <c r="AM347" s="298"/>
      <c r="AN347" s="261"/>
      <c r="AO347" s="741"/>
      <c r="AP347" s="298"/>
      <c r="AQ347" s="741"/>
      <c r="AR347" s="298"/>
      <c r="AS347" s="741"/>
      <c r="AT347" s="254" t="str">
        <f t="shared" ref="AT347:AT348" si="66">IF(COUNTIF($AO$79:$AT$81, AS348) &gt; 0, "X", "")</f>
        <v/>
      </c>
      <c r="AU347" s="269"/>
    </row>
    <row r="348">
      <c r="A348" s="94"/>
      <c r="B348" s="305" t="s">
        <v>653</v>
      </c>
      <c r="C348" s="306" t="s">
        <v>654</v>
      </c>
      <c r="D348" s="243"/>
      <c r="E348" s="259"/>
      <c r="F348" s="298"/>
      <c r="G348" s="298"/>
      <c r="H348" s="298"/>
      <c r="I348" s="298"/>
      <c r="J348" s="298"/>
      <c r="K348" s="298"/>
      <c r="L348" s="462"/>
      <c r="M348" s="298"/>
      <c r="N348" s="298"/>
      <c r="O348" s="298"/>
      <c r="P348" s="298"/>
      <c r="Q348" s="298"/>
      <c r="R348" s="298"/>
      <c r="S348" s="261"/>
      <c r="T348" s="298"/>
      <c r="U348" s="298"/>
      <c r="V348" s="298"/>
      <c r="W348" s="298"/>
      <c r="X348" s="298"/>
      <c r="Y348" s="298"/>
      <c r="Z348" s="261"/>
      <c r="AA348" s="298"/>
      <c r="AB348" s="298"/>
      <c r="AC348" s="298"/>
      <c r="AD348" s="298"/>
      <c r="AE348" s="298"/>
      <c r="AF348" s="298"/>
      <c r="AG348" s="261"/>
      <c r="AH348" s="298"/>
      <c r="AI348" s="298"/>
      <c r="AJ348" s="298"/>
      <c r="AK348" s="298"/>
      <c r="AL348" s="298"/>
      <c r="AM348" s="298"/>
      <c r="AN348" s="261"/>
      <c r="AO348" s="298"/>
      <c r="AP348" s="298"/>
      <c r="AQ348" s="298"/>
      <c r="AR348" s="298"/>
      <c r="AS348" s="298"/>
      <c r="AT348" s="254" t="str">
        <f t="shared" si="66"/>
        <v/>
      </c>
      <c r="AU348" s="269"/>
    </row>
    <row r="349">
      <c r="A349" s="94"/>
      <c r="B349" s="310" t="s">
        <v>656</v>
      </c>
      <c r="C349" s="278" t="s">
        <v>657</v>
      </c>
      <c r="D349" s="243"/>
      <c r="E349" s="259"/>
      <c r="F349" s="741"/>
      <c r="G349" s="246"/>
      <c r="H349" s="741"/>
      <c r="I349" s="246"/>
      <c r="J349" s="741"/>
      <c r="K349" s="246"/>
      <c r="L349" s="462"/>
      <c r="M349" s="741"/>
      <c r="N349" s="246"/>
      <c r="O349" s="741"/>
      <c r="P349" s="246"/>
      <c r="Q349" s="741"/>
      <c r="R349" s="246"/>
      <c r="S349" s="261"/>
      <c r="T349" s="741"/>
      <c r="U349" s="246"/>
      <c r="V349" s="741"/>
      <c r="W349" s="246"/>
      <c r="X349" s="741"/>
      <c r="Y349" s="246"/>
      <c r="Z349" s="261"/>
      <c r="AA349" s="741"/>
      <c r="AB349" s="246"/>
      <c r="AC349" s="741"/>
      <c r="AD349" s="246"/>
      <c r="AE349" s="741"/>
      <c r="AF349" s="246"/>
      <c r="AG349" s="261"/>
      <c r="AH349" s="741"/>
      <c r="AI349" s="246"/>
      <c r="AJ349" s="741"/>
      <c r="AK349" s="246"/>
      <c r="AL349" s="741"/>
      <c r="AM349" s="246"/>
      <c r="AN349" s="261"/>
      <c r="AO349" s="741"/>
      <c r="AP349" s="246"/>
      <c r="AQ349" s="741"/>
      <c r="AR349" s="246"/>
      <c r="AS349" s="741"/>
      <c r="AT349" s="254" t="str">
        <f t="shared" ref="AT349:AT351" si="67">IF(COUNTIF($AO$79:$AT$81, #REF!) &gt; 0, "X", "")</f>
        <v/>
      </c>
      <c r="AU349" s="269"/>
    </row>
    <row r="350">
      <c r="A350" s="94"/>
      <c r="B350" s="277" t="s">
        <v>658</v>
      </c>
      <c r="C350" s="278" t="s">
        <v>657</v>
      </c>
      <c r="D350" s="243"/>
      <c r="E350" s="259"/>
      <c r="F350" s="590"/>
      <c r="G350" s="246"/>
      <c r="H350" s="590"/>
      <c r="I350" s="246"/>
      <c r="J350" s="590"/>
      <c r="K350" s="246"/>
      <c r="L350" s="462"/>
      <c r="M350" s="590"/>
      <c r="N350" s="246"/>
      <c r="O350" s="5"/>
      <c r="P350" s="246"/>
      <c r="Q350" s="590"/>
      <c r="R350" s="246"/>
      <c r="S350" s="261"/>
      <c r="T350" s="590"/>
      <c r="U350" s="246"/>
      <c r="V350" s="590"/>
      <c r="W350" s="246"/>
      <c r="X350" s="590"/>
      <c r="Y350" s="246"/>
      <c r="Z350" s="261"/>
      <c r="AA350" s="590"/>
      <c r="AB350" s="246"/>
      <c r="AC350" s="590"/>
      <c r="AD350" s="246"/>
      <c r="AE350" s="590"/>
      <c r="AF350" s="246"/>
      <c r="AG350" s="261"/>
      <c r="AH350" s="590"/>
      <c r="AI350" s="246"/>
      <c r="AJ350" s="590"/>
      <c r="AK350" s="246"/>
      <c r="AL350" s="590"/>
      <c r="AM350" s="246"/>
      <c r="AN350" s="261"/>
      <c r="AO350" s="590"/>
      <c r="AP350" s="246"/>
      <c r="AQ350" s="590"/>
      <c r="AR350" s="246"/>
      <c r="AS350" s="590"/>
      <c r="AT350" s="254" t="str">
        <f t="shared" si="67"/>
        <v/>
      </c>
      <c r="AU350" s="269"/>
    </row>
    <row r="351">
      <c r="A351" s="94"/>
      <c r="B351" s="314" t="s">
        <v>660</v>
      </c>
      <c r="C351" s="315" t="s">
        <v>649</v>
      </c>
      <c r="D351" s="243"/>
      <c r="E351" s="259"/>
      <c r="F351" s="746"/>
      <c r="G351" s="246"/>
      <c r="H351" s="746"/>
      <c r="I351" s="246"/>
      <c r="J351" s="746"/>
      <c r="K351" s="246"/>
      <c r="L351" s="462"/>
      <c r="M351" s="746"/>
      <c r="N351" s="246"/>
      <c r="O351" s="590"/>
      <c r="P351" s="246"/>
      <c r="Q351" s="590"/>
      <c r="R351" s="246"/>
      <c r="S351" s="261"/>
      <c r="T351" s="590"/>
      <c r="U351" s="246"/>
      <c r="V351" s="590"/>
      <c r="W351" s="246"/>
      <c r="X351" s="590"/>
      <c r="Y351" s="246"/>
      <c r="Z351" s="261"/>
      <c r="AA351" s="590"/>
      <c r="AB351" s="246"/>
      <c r="AC351" s="590"/>
      <c r="AD351" s="246"/>
      <c r="AE351" s="590"/>
      <c r="AF351" s="246"/>
      <c r="AG351" s="261"/>
      <c r="AH351" s="590"/>
      <c r="AI351" s="246"/>
      <c r="AJ351" s="590"/>
      <c r="AK351" s="246"/>
      <c r="AL351" s="5"/>
      <c r="AM351" s="246"/>
      <c r="AN351" s="261"/>
      <c r="AO351" s="590"/>
      <c r="AP351" s="246"/>
      <c r="AQ351" s="5"/>
      <c r="AR351" s="246"/>
      <c r="AS351" s="590"/>
      <c r="AT351" s="254" t="str">
        <f t="shared" si="67"/>
        <v/>
      </c>
      <c r="AU351" s="269"/>
    </row>
    <row r="352">
      <c r="A352" s="94"/>
      <c r="B352" s="296" t="s">
        <v>650</v>
      </c>
      <c r="C352" s="297" t="s">
        <v>649</v>
      </c>
      <c r="D352" s="243"/>
      <c r="E352" s="259"/>
      <c r="F352" s="298"/>
      <c r="G352" s="298"/>
      <c r="H352" s="298"/>
      <c r="I352" s="298"/>
      <c r="J352" s="298"/>
      <c r="K352" s="298"/>
      <c r="L352" s="462"/>
      <c r="M352" s="298"/>
      <c r="N352" s="298"/>
      <c r="O352" s="298"/>
      <c r="P352" s="298"/>
      <c r="Q352" s="298"/>
      <c r="R352" s="298"/>
      <c r="S352" s="261"/>
      <c r="T352" s="298"/>
      <c r="U352" s="298"/>
      <c r="V352" s="298"/>
      <c r="W352" s="298"/>
      <c r="X352" s="298"/>
      <c r="Y352" s="298"/>
      <c r="Z352" s="261"/>
      <c r="AA352" s="298"/>
      <c r="AB352" s="298"/>
      <c r="AC352" s="298"/>
      <c r="AD352" s="298"/>
      <c r="AE352" s="298"/>
      <c r="AF352" s="298"/>
      <c r="AG352" s="261"/>
      <c r="AH352" s="298"/>
      <c r="AI352" s="298"/>
      <c r="AJ352" s="298"/>
      <c r="AK352" s="298"/>
      <c r="AL352" s="298"/>
      <c r="AM352" s="298"/>
      <c r="AN352" s="261"/>
      <c r="AO352" s="298"/>
      <c r="AP352" s="298"/>
      <c r="AQ352" s="298"/>
      <c r="AR352" s="298"/>
      <c r="AS352" s="298"/>
      <c r="AT352" s="254" t="str">
        <f>IF(COUNTIF($AO$79:$AT$81, AS353) &gt; 0, "X", "")</f>
        <v/>
      </c>
      <c r="AU352" s="269"/>
    </row>
    <row r="353">
      <c r="A353" s="94"/>
      <c r="B353" s="301" t="s">
        <v>651</v>
      </c>
      <c r="C353" s="302" t="s">
        <v>652</v>
      </c>
      <c r="D353" s="243"/>
      <c r="E353" s="259"/>
      <c r="F353" s="741"/>
      <c r="G353" s="298"/>
      <c r="H353" s="741"/>
      <c r="I353" s="298"/>
      <c r="J353" s="741"/>
      <c r="K353" s="298"/>
      <c r="L353" s="462"/>
      <c r="M353" s="741"/>
      <c r="N353" s="298"/>
      <c r="O353" s="741"/>
      <c r="P353" s="298"/>
      <c r="Q353" s="741"/>
      <c r="R353" s="298"/>
      <c r="S353" s="261"/>
      <c r="T353" s="741"/>
      <c r="U353" s="298"/>
      <c r="V353" s="741"/>
      <c r="W353" s="298"/>
      <c r="X353" s="741"/>
      <c r="Y353" s="298"/>
      <c r="Z353" s="261"/>
      <c r="AA353" s="741"/>
      <c r="AB353" s="298"/>
      <c r="AC353" s="741"/>
      <c r="AD353" s="298"/>
      <c r="AE353" s="741"/>
      <c r="AF353" s="298"/>
      <c r="AG353" s="261"/>
      <c r="AH353" s="741"/>
      <c r="AI353" s="298"/>
      <c r="AJ353" s="741"/>
      <c r="AK353" s="298"/>
      <c r="AL353" s="741"/>
      <c r="AM353" s="298"/>
      <c r="AN353" s="261"/>
      <c r="AO353" s="741"/>
      <c r="AP353" s="298"/>
      <c r="AQ353" s="741"/>
      <c r="AR353" s="298"/>
      <c r="AS353" s="741"/>
      <c r="AT353" s="254" t="str">
        <f t="shared" ref="AT353:AT354" si="68">IF(COUNTIF($AO$79:$AT$81, #REF!) &gt; 0, "X", "")</f>
        <v/>
      </c>
      <c r="AU353" s="269"/>
    </row>
    <row r="354">
      <c r="A354" s="94"/>
      <c r="B354" s="322" t="s">
        <v>662</v>
      </c>
      <c r="C354" s="306" t="s">
        <v>663</v>
      </c>
      <c r="D354" s="243"/>
      <c r="E354" s="259"/>
      <c r="F354" s="298"/>
      <c r="G354" s="298"/>
      <c r="H354" s="298"/>
      <c r="I354" s="298"/>
      <c r="J354" s="298"/>
      <c r="K354" s="298"/>
      <c r="L354" s="462"/>
      <c r="M354" s="298"/>
      <c r="N354" s="298"/>
      <c r="O354" s="298"/>
      <c r="P354" s="298"/>
      <c r="Q354" s="298"/>
      <c r="R354" s="298"/>
      <c r="S354" s="261"/>
      <c r="T354" s="298"/>
      <c r="U354" s="298"/>
      <c r="V354" s="298"/>
      <c r="W354" s="298"/>
      <c r="X354" s="298"/>
      <c r="Y354" s="298"/>
      <c r="Z354" s="261"/>
      <c r="AA354" s="298"/>
      <c r="AB354" s="298"/>
      <c r="AC354" s="298"/>
      <c r="AD354" s="298"/>
      <c r="AE354" s="298"/>
      <c r="AF354" s="298"/>
      <c r="AG354" s="261"/>
      <c r="AH354" s="298"/>
      <c r="AI354" s="298"/>
      <c r="AJ354" s="298"/>
      <c r="AK354" s="298"/>
      <c r="AL354" s="298"/>
      <c r="AM354" s="298"/>
      <c r="AN354" s="261"/>
      <c r="AO354" s="298"/>
      <c r="AP354" s="298"/>
      <c r="AQ354" s="298"/>
      <c r="AR354" s="298"/>
      <c r="AS354" s="298"/>
      <c r="AT354" s="254" t="str">
        <f t="shared" si="68"/>
        <v/>
      </c>
      <c r="AU354" s="269"/>
    </row>
    <row r="355">
      <c r="A355" s="94"/>
      <c r="B355" s="328" t="s">
        <v>665</v>
      </c>
      <c r="C355" s="329" t="s">
        <v>654</v>
      </c>
      <c r="D355" s="243"/>
      <c r="E355" s="259"/>
      <c r="F355" s="742"/>
      <c r="G355" s="246"/>
      <c r="H355" s="742"/>
      <c r="I355" s="246"/>
      <c r="J355" s="742"/>
      <c r="K355" s="246"/>
      <c r="L355" s="462"/>
      <c r="M355" s="742"/>
      <c r="N355" s="246"/>
      <c r="O355" s="741"/>
      <c r="P355" s="246"/>
      <c r="Q355" s="741"/>
      <c r="R355" s="246"/>
      <c r="S355" s="261"/>
      <c r="T355" s="741"/>
      <c r="U355" s="246"/>
      <c r="V355" s="741"/>
      <c r="W355" s="246"/>
      <c r="X355" s="741"/>
      <c r="Y355" s="246"/>
      <c r="Z355" s="261"/>
      <c r="AA355" s="741"/>
      <c r="AB355" s="246"/>
      <c r="AC355" s="741"/>
      <c r="AD355" s="246"/>
      <c r="AE355" s="591"/>
      <c r="AF355" s="246"/>
      <c r="AG355" s="261"/>
      <c r="AH355" s="741"/>
      <c r="AI355" s="246"/>
      <c r="AJ355" s="741"/>
      <c r="AK355" s="246"/>
      <c r="AL355" s="741"/>
      <c r="AM355" s="246"/>
      <c r="AN355" s="261"/>
      <c r="AO355" s="741"/>
      <c r="AP355" s="246"/>
      <c r="AQ355" s="741"/>
      <c r="AR355" s="246"/>
      <c r="AS355" s="741"/>
      <c r="AT355" s="254" t="str">
        <f>IF(COUNTIF($AO$79:$AT$81, AL367) &gt; 0, "X", "")</f>
        <v/>
      </c>
      <c r="AU355" s="269"/>
    </row>
    <row r="356">
      <c r="A356" s="94"/>
      <c r="B356" s="337" t="s">
        <v>665</v>
      </c>
      <c r="C356" s="338" t="s">
        <v>657</v>
      </c>
      <c r="D356" s="243"/>
      <c r="E356" s="259"/>
      <c r="F356" s="747"/>
      <c r="G356" s="246"/>
      <c r="H356" s="747"/>
      <c r="I356" s="246"/>
      <c r="J356" s="747"/>
      <c r="K356" s="246"/>
      <c r="L356" s="462"/>
      <c r="M356" s="747"/>
      <c r="N356" s="246"/>
      <c r="O356" s="590"/>
      <c r="P356" s="246"/>
      <c r="Q356" s="590"/>
      <c r="R356" s="246"/>
      <c r="S356" s="261"/>
      <c r="T356" s="590"/>
      <c r="U356" s="246"/>
      <c r="V356" s="590"/>
      <c r="W356" s="246"/>
      <c r="X356" s="5"/>
      <c r="Y356" s="246"/>
      <c r="Z356" s="261"/>
      <c r="AA356" s="590"/>
      <c r="AB356" s="246"/>
      <c r="AC356" s="590"/>
      <c r="AD356" s="246"/>
      <c r="AE356" s="5"/>
      <c r="AF356" s="246"/>
      <c r="AG356" s="261"/>
      <c r="AH356" s="590"/>
      <c r="AI356" s="246"/>
      <c r="AJ356" s="590"/>
      <c r="AK356" s="246"/>
      <c r="AL356" s="5"/>
      <c r="AM356" s="246"/>
      <c r="AN356" s="261"/>
      <c r="AO356" s="590"/>
      <c r="AP356" s="246"/>
      <c r="AQ356" s="590"/>
      <c r="AR356" s="246"/>
      <c r="AS356" s="590"/>
      <c r="AT356" s="254" t="str">
        <f t="shared" ref="AT356:AT360" si="69">IF(COUNTIF($AO$79:$AT$81, #REF!) &gt; 0, "X", "")</f>
        <v/>
      </c>
      <c r="AU356" s="269"/>
    </row>
    <row r="357">
      <c r="A357" s="94"/>
      <c r="B357" s="256" t="s">
        <v>665</v>
      </c>
      <c r="C357" s="257" t="s">
        <v>663</v>
      </c>
      <c r="D357" s="243"/>
      <c r="E357" s="259"/>
      <c r="F357" s="607"/>
      <c r="G357" s="246"/>
      <c r="H357" s="607"/>
      <c r="I357" s="246"/>
      <c r="J357" s="607"/>
      <c r="K357" s="246"/>
      <c r="L357" s="462"/>
      <c r="M357" s="607"/>
      <c r="N357" s="246"/>
      <c r="O357" s="590"/>
      <c r="P357" s="246"/>
      <c r="Q357" s="590"/>
      <c r="R357" s="246"/>
      <c r="S357" s="261"/>
      <c r="T357" s="590"/>
      <c r="U357" s="246"/>
      <c r="V357" s="590"/>
      <c r="W357" s="246"/>
      <c r="X357" s="590"/>
      <c r="Y357" s="246"/>
      <c r="Z357" s="261"/>
      <c r="AA357" s="590"/>
      <c r="AB357" s="246"/>
      <c r="AC357" s="590"/>
      <c r="AD357" s="246"/>
      <c r="AE357" s="590"/>
      <c r="AF357" s="246"/>
      <c r="AG357" s="261"/>
      <c r="AH357" s="590"/>
      <c r="AI357" s="246"/>
      <c r="AJ357" s="590"/>
      <c r="AK357" s="246"/>
      <c r="AL357" s="590"/>
      <c r="AM357" s="246"/>
      <c r="AN357" s="261"/>
      <c r="AO357" s="590"/>
      <c r="AP357" s="246"/>
      <c r="AQ357" s="590"/>
      <c r="AR357" s="246"/>
      <c r="AS357" s="590"/>
      <c r="AT357" s="254" t="str">
        <f t="shared" si="69"/>
        <v/>
      </c>
      <c r="AU357" s="269"/>
    </row>
    <row r="358">
      <c r="A358" s="94"/>
      <c r="B358" s="328" t="s">
        <v>665</v>
      </c>
      <c r="C358" s="329" t="s">
        <v>645</v>
      </c>
      <c r="D358" s="243"/>
      <c r="E358" s="261"/>
      <c r="F358" s="742"/>
      <c r="G358" s="246"/>
      <c r="H358" s="742"/>
      <c r="I358" s="246"/>
      <c r="J358" s="742"/>
      <c r="K358" s="246"/>
      <c r="L358" s="462"/>
      <c r="M358" s="742"/>
      <c r="N358" s="246"/>
      <c r="O358" s="741"/>
      <c r="P358" s="246"/>
      <c r="Q358" s="741"/>
      <c r="R358" s="246"/>
      <c r="S358" s="261"/>
      <c r="T358" s="741"/>
      <c r="U358" s="246"/>
      <c r="V358" s="741"/>
      <c r="W358" s="246"/>
      <c r="X358" s="591"/>
      <c r="Y358" s="246"/>
      <c r="Z358" s="261"/>
      <c r="AA358" s="741"/>
      <c r="AB358" s="246"/>
      <c r="AC358" s="741"/>
      <c r="AD358" s="246"/>
      <c r="AE358" s="741"/>
      <c r="AF358" s="246"/>
      <c r="AG358" s="261"/>
      <c r="AH358" s="741"/>
      <c r="AI358" s="246"/>
      <c r="AJ358" s="741"/>
      <c r="AK358" s="246"/>
      <c r="AL358" s="591"/>
      <c r="AM358" s="246"/>
      <c r="AN358" s="261"/>
      <c r="AO358" s="741"/>
      <c r="AP358" s="246"/>
      <c r="AQ358" s="741"/>
      <c r="AR358" s="246"/>
      <c r="AS358" s="591"/>
      <c r="AT358" s="254" t="str">
        <f t="shared" si="69"/>
        <v/>
      </c>
      <c r="AU358" s="269"/>
    </row>
    <row r="359">
      <c r="A359" s="94"/>
      <c r="B359" s="342" t="s">
        <v>667</v>
      </c>
      <c r="C359" s="343" t="s">
        <v>657</v>
      </c>
      <c r="D359" s="243"/>
      <c r="E359" s="259"/>
      <c r="F359" s="749"/>
      <c r="G359" s="246"/>
      <c r="H359" s="749"/>
      <c r="I359" s="246"/>
      <c r="J359" s="749"/>
      <c r="K359" s="246"/>
      <c r="L359" s="462"/>
      <c r="M359" s="749"/>
      <c r="N359" s="246"/>
      <c r="O359" s="745"/>
      <c r="P359" s="246"/>
      <c r="Q359" s="745"/>
      <c r="R359" s="246"/>
      <c r="S359" s="261"/>
      <c r="T359" s="745"/>
      <c r="U359" s="246"/>
      <c r="V359" s="745"/>
      <c r="W359" s="246"/>
      <c r="X359" s="745"/>
      <c r="Y359" s="246"/>
      <c r="Z359" s="261"/>
      <c r="AA359" s="745"/>
      <c r="AB359" s="246"/>
      <c r="AC359" s="745"/>
      <c r="AD359" s="246"/>
      <c r="AE359" s="745"/>
      <c r="AF359" s="246"/>
      <c r="AG359" s="261"/>
      <c r="AH359" s="745"/>
      <c r="AI359" s="246"/>
      <c r="AJ359" s="745"/>
      <c r="AK359" s="246"/>
      <c r="AL359" s="745"/>
      <c r="AM359" s="246"/>
      <c r="AN359" s="261"/>
      <c r="AO359" s="745"/>
      <c r="AP359" s="246"/>
      <c r="AQ359" s="745"/>
      <c r="AR359" s="246"/>
      <c r="AS359" s="745"/>
      <c r="AT359" s="254" t="str">
        <f t="shared" si="69"/>
        <v/>
      </c>
      <c r="AU359" s="269"/>
    </row>
    <row r="360">
      <c r="A360" s="94"/>
      <c r="B360" s="349" t="s">
        <v>669</v>
      </c>
      <c r="C360" s="350" t="s">
        <v>649</v>
      </c>
      <c r="D360" s="243"/>
      <c r="E360" s="259"/>
      <c r="F360" s="750"/>
      <c r="G360" s="246"/>
      <c r="H360" s="750"/>
      <c r="I360" s="246"/>
      <c r="J360" s="750"/>
      <c r="K360" s="246"/>
      <c r="L360" s="462"/>
      <c r="M360" s="750"/>
      <c r="N360" s="246"/>
      <c r="O360" s="540"/>
      <c r="P360" s="246"/>
      <c r="Q360" s="540"/>
      <c r="R360" s="246"/>
      <c r="S360" s="261"/>
      <c r="T360" s="540"/>
      <c r="U360" s="246"/>
      <c r="V360" s="540"/>
      <c r="W360" s="246"/>
      <c r="X360" s="540"/>
      <c r="Y360" s="246"/>
      <c r="Z360" s="261"/>
      <c r="AA360" s="540"/>
      <c r="AB360" s="246"/>
      <c r="AC360" s="540"/>
      <c r="AD360" s="246"/>
      <c r="AE360" s="540"/>
      <c r="AF360" s="246"/>
      <c r="AG360" s="261"/>
      <c r="AH360" s="540"/>
      <c r="AI360" s="246"/>
      <c r="AJ360" s="298"/>
      <c r="AK360" s="246"/>
      <c r="AL360" s="540"/>
      <c r="AM360" s="246"/>
      <c r="AN360" s="261"/>
      <c r="AO360" s="540"/>
      <c r="AP360" s="246"/>
      <c r="AQ360" s="540"/>
      <c r="AR360" s="246"/>
      <c r="AS360" s="540"/>
      <c r="AT360" s="254" t="str">
        <f t="shared" si="69"/>
        <v/>
      </c>
      <c r="AU360" s="269"/>
    </row>
    <row r="361">
      <c r="A361" s="234"/>
      <c r="B361" s="296" t="s">
        <v>650</v>
      </c>
      <c r="C361" s="297" t="s">
        <v>649</v>
      </c>
      <c r="D361" s="243"/>
      <c r="E361" s="259"/>
      <c r="F361" s="745"/>
      <c r="G361" s="298"/>
      <c r="H361" s="745"/>
      <c r="I361" s="298"/>
      <c r="J361" s="745"/>
      <c r="K361" s="298"/>
      <c r="L361" s="462"/>
      <c r="M361" s="745"/>
      <c r="N361" s="298"/>
      <c r="O361" s="745"/>
      <c r="P361" s="298"/>
      <c r="Q361" s="745"/>
      <c r="R361" s="298"/>
      <c r="S361" s="261"/>
      <c r="T361" s="745"/>
      <c r="U361" s="298"/>
      <c r="V361" s="745"/>
      <c r="W361" s="298"/>
      <c r="X361" s="745"/>
      <c r="Y361" s="298"/>
      <c r="Z361" s="261"/>
      <c r="AA361" s="745"/>
      <c r="AB361" s="298"/>
      <c r="AC361" s="745"/>
      <c r="AD361" s="298"/>
      <c r="AE361" s="745"/>
      <c r="AF361" s="298"/>
      <c r="AG361" s="261"/>
      <c r="AH361" s="745"/>
      <c r="AI361" s="298"/>
      <c r="AJ361" s="745"/>
      <c r="AK361" s="298"/>
      <c r="AL361" s="745"/>
      <c r="AM361" s="298"/>
      <c r="AN361" s="261"/>
      <c r="AO361" s="745"/>
      <c r="AP361" s="298"/>
      <c r="AQ361" s="745"/>
      <c r="AR361" s="298"/>
      <c r="AS361" s="745"/>
      <c r="AT361" s="254" t="str">
        <f>IF(COUNTIF($AO$79:$AT$81, AS362) &gt; 0, "X", "")</f>
        <v/>
      </c>
      <c r="AU361" s="269"/>
    </row>
    <row r="362">
      <c r="A362" s="94"/>
      <c r="B362" s="301" t="s">
        <v>651</v>
      </c>
      <c r="C362" s="302" t="s">
        <v>652</v>
      </c>
      <c r="D362" s="243"/>
      <c r="E362" s="259"/>
      <c r="F362" s="741"/>
      <c r="G362" s="298"/>
      <c r="H362" s="741"/>
      <c r="I362" s="298"/>
      <c r="J362" s="741"/>
      <c r="K362" s="298"/>
      <c r="L362" s="462"/>
      <c r="M362" s="741"/>
      <c r="N362" s="298"/>
      <c r="O362" s="741"/>
      <c r="P362" s="298"/>
      <c r="Q362" s="741"/>
      <c r="R362" s="298"/>
      <c r="S362" s="261"/>
      <c r="T362" s="741"/>
      <c r="U362" s="298"/>
      <c r="V362" s="741"/>
      <c r="W362" s="298"/>
      <c r="X362" s="741"/>
      <c r="Y362" s="298"/>
      <c r="Z362" s="261"/>
      <c r="AA362" s="741"/>
      <c r="AB362" s="298"/>
      <c r="AC362" s="741"/>
      <c r="AD362" s="298"/>
      <c r="AE362" s="741"/>
      <c r="AF362" s="298"/>
      <c r="AG362" s="261"/>
      <c r="AH362" s="741"/>
      <c r="AI362" s="298"/>
      <c r="AJ362" s="741"/>
      <c r="AK362" s="298"/>
      <c r="AL362" s="741"/>
      <c r="AM362" s="298"/>
      <c r="AN362" s="261"/>
      <c r="AO362" s="741"/>
      <c r="AP362" s="298"/>
      <c r="AQ362" s="741"/>
      <c r="AR362" s="298"/>
      <c r="AS362" s="741"/>
      <c r="AT362" s="254" t="str">
        <f t="shared" ref="AT362:AT363" si="70">IF(COUNTIF($AO$79:$AT$81, #REF!) &gt; 0, "X", "")</f>
        <v/>
      </c>
      <c r="AU362" s="269"/>
    </row>
    <row r="363">
      <c r="A363" s="94"/>
      <c r="B363" s="361" t="s">
        <v>673</v>
      </c>
      <c r="C363" s="362" t="s">
        <v>674</v>
      </c>
      <c r="D363" s="243"/>
      <c r="E363" s="259"/>
      <c r="F363" s="743"/>
      <c r="G363" s="298"/>
      <c r="H363" s="743"/>
      <c r="I363" s="298"/>
      <c r="J363" s="743"/>
      <c r="K363" s="298"/>
      <c r="L363" s="462"/>
      <c r="M363" s="743"/>
      <c r="N363" s="298"/>
      <c r="O363" s="744"/>
      <c r="P363" s="298"/>
      <c r="Q363" s="744"/>
      <c r="R363" s="298"/>
      <c r="S363" s="261"/>
      <c r="T363" s="744"/>
      <c r="U363" s="298"/>
      <c r="V363" s="744"/>
      <c r="W363" s="298"/>
      <c r="X363" s="744"/>
      <c r="Y363" s="298"/>
      <c r="Z363" s="261"/>
      <c r="AA363" s="744"/>
      <c r="AB363" s="298"/>
      <c r="AC363" s="744"/>
      <c r="AD363" s="298"/>
      <c r="AE363" s="744"/>
      <c r="AF363" s="298"/>
      <c r="AG363" s="261"/>
      <c r="AH363" s="744"/>
      <c r="AI363" s="298"/>
      <c r="AJ363" s="744"/>
      <c r="AK363" s="298"/>
      <c r="AL363" s="744"/>
      <c r="AM363" s="298"/>
      <c r="AN363" s="261"/>
      <c r="AO363" s="744"/>
      <c r="AP363" s="298"/>
      <c r="AQ363" s="744"/>
      <c r="AR363" s="298"/>
      <c r="AS363" s="744"/>
      <c r="AT363" s="254" t="str">
        <f t="shared" si="70"/>
        <v/>
      </c>
      <c r="AU363" s="269"/>
    </row>
    <row r="364">
      <c r="A364" s="94"/>
      <c r="B364" s="367" t="s">
        <v>677</v>
      </c>
      <c r="C364" s="368" t="s">
        <v>674</v>
      </c>
      <c r="D364" s="243"/>
      <c r="E364" s="259"/>
      <c r="F364" s="590"/>
      <c r="G364" s="246"/>
      <c r="H364" s="590"/>
      <c r="I364" s="246"/>
      <c r="J364" s="590"/>
      <c r="K364" s="246"/>
      <c r="L364" s="462"/>
      <c r="M364" s="590"/>
      <c r="N364" s="246"/>
      <c r="O364" s="590"/>
      <c r="P364" s="246"/>
      <c r="Q364" s="590"/>
      <c r="R364" s="246"/>
      <c r="S364" s="261"/>
      <c r="T364" s="590"/>
      <c r="U364" s="246"/>
      <c r="V364" s="590"/>
      <c r="W364" s="246"/>
      <c r="X364" s="590"/>
      <c r="Y364" s="246"/>
      <c r="Z364" s="261"/>
      <c r="AA364" s="590"/>
      <c r="AB364" s="246"/>
      <c r="AC364" s="590"/>
      <c r="AD364" s="246"/>
      <c r="AE364" s="590"/>
      <c r="AF364" s="246"/>
      <c r="AG364" s="261"/>
      <c r="AH364" s="590"/>
      <c r="AI364" s="246"/>
      <c r="AJ364" s="590"/>
      <c r="AK364" s="246"/>
      <c r="AL364" s="590"/>
      <c r="AM364" s="246"/>
      <c r="AN364" s="261"/>
      <c r="AO364" s="590"/>
      <c r="AP364" s="246"/>
      <c r="AQ364" s="590"/>
      <c r="AR364" s="246"/>
      <c r="AS364" s="590"/>
      <c r="AT364" s="254" t="str">
        <f>IF(COUNTIF($AO$79:$AT$81, AS364) &gt; 0, "X", "")</f>
        <v/>
      </c>
      <c r="AU364" s="269"/>
    </row>
    <row r="365">
      <c r="A365" s="94"/>
      <c r="B365" s="256" t="s">
        <v>679</v>
      </c>
      <c r="C365" s="257" t="s">
        <v>680</v>
      </c>
      <c r="D365" s="243"/>
      <c r="E365" s="259"/>
      <c r="F365" s="747"/>
      <c r="G365" s="246"/>
      <c r="H365" s="747"/>
      <c r="I365" s="246"/>
      <c r="J365" s="747"/>
      <c r="K365" s="246"/>
      <c r="L365" s="462"/>
      <c r="M365" s="747"/>
      <c r="N365" s="246"/>
      <c r="O365" s="590"/>
      <c r="P365" s="246"/>
      <c r="Q365" s="590"/>
      <c r="R365" s="246"/>
      <c r="S365" s="261"/>
      <c r="T365" s="590"/>
      <c r="U365" s="246"/>
      <c r="V365" s="590"/>
      <c r="W365" s="246"/>
      <c r="X365" s="590"/>
      <c r="Y365" s="246"/>
      <c r="Z365" s="261"/>
      <c r="AA365" s="590"/>
      <c r="AB365" s="246"/>
      <c r="AC365" s="590"/>
      <c r="AD365" s="246"/>
      <c r="AE365" s="590"/>
      <c r="AF365" s="246"/>
      <c r="AG365" s="261"/>
      <c r="AH365" s="590"/>
      <c r="AI365" s="246"/>
      <c r="AJ365" s="5"/>
      <c r="AK365" s="246"/>
      <c r="AL365" s="590"/>
      <c r="AM365" s="246"/>
      <c r="AN365" s="261"/>
      <c r="AO365" s="590"/>
      <c r="AP365" s="246"/>
      <c r="AQ365" s="590"/>
      <c r="AR365" s="246"/>
      <c r="AS365" s="590"/>
      <c r="AT365" s="254" t="str">
        <f t="shared" ref="AT365:AT369" si="71">IF(COUNTIF($AO$79:$AT$81, #REF!) &gt; 0, "X", "")</f>
        <v/>
      </c>
      <c r="AU365" s="269"/>
    </row>
    <row r="366">
      <c r="A366" s="372"/>
      <c r="B366" s="328" t="s">
        <v>679</v>
      </c>
      <c r="C366" s="329" t="s">
        <v>652</v>
      </c>
      <c r="D366" s="243"/>
      <c r="E366" s="259"/>
      <c r="F366" s="590"/>
      <c r="G366" s="246"/>
      <c r="H366" s="590"/>
      <c r="I366" s="246"/>
      <c r="J366" s="590"/>
      <c r="K366" s="246"/>
      <c r="L366" s="462"/>
      <c r="M366" s="590"/>
      <c r="N366" s="246"/>
      <c r="O366" s="590"/>
      <c r="P366" s="246"/>
      <c r="Q366" s="590"/>
      <c r="R366" s="246"/>
      <c r="S366" s="261"/>
      <c r="T366" s="590"/>
      <c r="U366" s="246"/>
      <c r="V366" s="590"/>
      <c r="W366" s="246"/>
      <c r="X366" s="590"/>
      <c r="Y366" s="246"/>
      <c r="Z366" s="261"/>
      <c r="AA366" s="590"/>
      <c r="AB366" s="246"/>
      <c r="AC366" s="590"/>
      <c r="AD366" s="246"/>
      <c r="AE366" s="590"/>
      <c r="AF366" s="246"/>
      <c r="AG366" s="261"/>
      <c r="AH366" s="590"/>
      <c r="AI366" s="246"/>
      <c r="AJ366" s="590"/>
      <c r="AK366" s="246"/>
      <c r="AL366" s="590"/>
      <c r="AM366" s="246"/>
      <c r="AN366" s="261"/>
      <c r="AO366" s="590"/>
      <c r="AP366" s="246"/>
      <c r="AQ366" s="590"/>
      <c r="AR366" s="246"/>
      <c r="AS366" s="590"/>
      <c r="AT366" s="254" t="str">
        <f t="shared" si="71"/>
        <v/>
      </c>
      <c r="AU366" s="269"/>
    </row>
    <row r="367">
      <c r="A367" s="94"/>
      <c r="B367" s="328" t="s">
        <v>679</v>
      </c>
      <c r="C367" s="329" t="s">
        <v>683</v>
      </c>
      <c r="D367" s="379"/>
      <c r="E367" s="380"/>
      <c r="F367" s="754"/>
      <c r="G367" s="246"/>
      <c r="H367" s="754"/>
      <c r="I367" s="246"/>
      <c r="J367" s="754"/>
      <c r="K367" s="246"/>
      <c r="L367" s="462"/>
      <c r="M367" s="754"/>
      <c r="N367" s="246"/>
      <c r="O367" s="741"/>
      <c r="P367" s="246"/>
      <c r="Q367" s="741"/>
      <c r="R367" s="246"/>
      <c r="S367" s="261"/>
      <c r="T367" s="741"/>
      <c r="U367" s="246"/>
      <c r="V367" s="741"/>
      <c r="W367" s="246"/>
      <c r="X367" s="741"/>
      <c r="Y367" s="246"/>
      <c r="Z367" s="261"/>
      <c r="AA367" s="741"/>
      <c r="AB367" s="246"/>
      <c r="AC367" s="741"/>
      <c r="AD367" s="246"/>
      <c r="AE367" s="741"/>
      <c r="AF367" s="246"/>
      <c r="AG367" s="261"/>
      <c r="AH367" s="741"/>
      <c r="AI367" s="246"/>
      <c r="AJ367" s="741"/>
      <c r="AK367" s="246"/>
      <c r="AL367" s="741"/>
      <c r="AM367" s="246"/>
      <c r="AN367" s="261"/>
      <c r="AO367" s="741"/>
      <c r="AP367" s="246"/>
      <c r="AQ367" s="741"/>
      <c r="AR367" s="246"/>
      <c r="AS367" s="741"/>
      <c r="AT367" s="254" t="str">
        <f t="shared" si="71"/>
        <v/>
      </c>
      <c r="AU367" s="269"/>
    </row>
    <row r="368">
      <c r="A368" s="94"/>
      <c r="B368" s="377" t="s">
        <v>684</v>
      </c>
      <c r="C368" s="378" t="s">
        <v>685</v>
      </c>
      <c r="D368" s="363"/>
      <c r="E368" s="259"/>
      <c r="F368" s="743"/>
      <c r="G368" s="246"/>
      <c r="H368" s="743"/>
      <c r="I368" s="246"/>
      <c r="J368" s="743"/>
      <c r="K368" s="246"/>
      <c r="L368" s="677"/>
      <c r="M368" s="743"/>
      <c r="N368" s="246"/>
      <c r="O368" s="744"/>
      <c r="P368" s="246"/>
      <c r="Q368" s="744"/>
      <c r="R368" s="246"/>
      <c r="S368" s="381"/>
      <c r="T368" s="744"/>
      <c r="U368" s="246"/>
      <c r="V368" s="744"/>
      <c r="W368" s="246"/>
      <c r="X368" s="744"/>
      <c r="Y368" s="246"/>
      <c r="Z368" s="381"/>
      <c r="AA368" s="744"/>
      <c r="AB368" s="246"/>
      <c r="AC368" s="744"/>
      <c r="AD368" s="246"/>
      <c r="AE368" s="744"/>
      <c r="AF368" s="246"/>
      <c r="AG368" s="381"/>
      <c r="AH368" s="744"/>
      <c r="AI368" s="246"/>
      <c r="AJ368" s="744"/>
      <c r="AK368" s="246"/>
      <c r="AL368" s="744"/>
      <c r="AM368" s="246"/>
      <c r="AN368" s="381"/>
      <c r="AO368" s="744"/>
      <c r="AP368" s="246"/>
      <c r="AQ368" s="744"/>
      <c r="AR368" s="246"/>
      <c r="AS368" s="744"/>
      <c r="AT368" s="254" t="str">
        <f t="shared" si="71"/>
        <v/>
      </c>
      <c r="AU368" s="269"/>
    </row>
    <row r="369">
      <c r="A369" s="270"/>
      <c r="B369" s="382" t="s">
        <v>686</v>
      </c>
      <c r="C369" s="242" t="s">
        <v>652</v>
      </c>
      <c r="D369" s="330"/>
      <c r="E369" s="259"/>
      <c r="F369" s="743"/>
      <c r="G369" s="246"/>
      <c r="H369" s="743"/>
      <c r="I369" s="246"/>
      <c r="J369" s="743"/>
      <c r="K369" s="246"/>
      <c r="L369" s="462"/>
      <c r="M369" s="743"/>
      <c r="N369" s="246"/>
      <c r="O369" s="744"/>
      <c r="P369" s="246"/>
      <c r="Q369" s="744"/>
      <c r="R369" s="246"/>
      <c r="S369" s="261"/>
      <c r="T369" s="744"/>
      <c r="U369" s="246"/>
      <c r="V369" s="744"/>
      <c r="W369" s="246"/>
      <c r="X369" s="744"/>
      <c r="Y369" s="246"/>
      <c r="Z369" s="261"/>
      <c r="AA369" s="744"/>
      <c r="AB369" s="246"/>
      <c r="AC369" s="744"/>
      <c r="AD369" s="246"/>
      <c r="AE369" s="744"/>
      <c r="AF369" s="246"/>
      <c r="AG369" s="261"/>
      <c r="AH369" s="744"/>
      <c r="AI369" s="246"/>
      <c r="AJ369" s="744"/>
      <c r="AK369" s="246"/>
      <c r="AL369" s="744"/>
      <c r="AM369" s="246"/>
      <c r="AN369" s="261"/>
      <c r="AO369" s="744"/>
      <c r="AP369" s="246"/>
      <c r="AQ369" s="744"/>
      <c r="AR369" s="246"/>
      <c r="AS369" s="744"/>
      <c r="AT369" s="254" t="str">
        <f t="shared" si="71"/>
        <v/>
      </c>
      <c r="AU369" s="269"/>
    </row>
    <row r="370">
      <c r="A370" s="234"/>
      <c r="B370" s="337" t="s">
        <v>686</v>
      </c>
      <c r="C370" s="338" t="s">
        <v>687</v>
      </c>
      <c r="D370" s="330"/>
      <c r="E370" s="259"/>
      <c r="F370" s="607"/>
      <c r="G370" s="246"/>
      <c r="H370" s="607"/>
      <c r="I370" s="246"/>
      <c r="J370" s="607"/>
      <c r="K370" s="246"/>
      <c r="L370" s="462"/>
      <c r="M370" s="607"/>
      <c r="N370" s="246"/>
      <c r="O370" s="590"/>
      <c r="P370" s="246"/>
      <c r="Q370" s="590"/>
      <c r="R370" s="246"/>
      <c r="S370" s="261"/>
      <c r="T370" s="590"/>
      <c r="U370" s="246"/>
      <c r="V370" s="590"/>
      <c r="W370" s="246"/>
      <c r="X370" s="590"/>
      <c r="Y370" s="246"/>
      <c r="Z370" s="261"/>
      <c r="AA370" s="590"/>
      <c r="AB370" s="246"/>
      <c r="AC370" s="590"/>
      <c r="AD370" s="246"/>
      <c r="AE370" s="590"/>
      <c r="AF370" s="246"/>
      <c r="AG370" s="261"/>
      <c r="AH370" s="590"/>
      <c r="AI370" s="246"/>
      <c r="AJ370" s="590"/>
      <c r="AK370" s="246"/>
      <c r="AL370" s="590"/>
      <c r="AM370" s="246"/>
      <c r="AN370" s="261"/>
      <c r="AO370" s="590"/>
      <c r="AP370" s="246"/>
      <c r="AQ370" s="590"/>
      <c r="AR370" s="246"/>
      <c r="AS370" s="590"/>
      <c r="AT370" s="254" t="str">
        <f>IF(COUNTIF($AO$79:$AT$81, AS369) &gt; 0, "X", "")</f>
        <v/>
      </c>
      <c r="AU370" s="269"/>
    </row>
    <row r="371">
      <c r="A371" s="94"/>
      <c r="B371" s="337" t="s">
        <v>688</v>
      </c>
      <c r="C371" s="285" t="s">
        <v>687</v>
      </c>
      <c r="D371" s="389"/>
      <c r="E371" s="259"/>
      <c r="F371" s="5"/>
      <c r="G371" s="246"/>
      <c r="H371" s="5"/>
      <c r="I371" s="246"/>
      <c r="J371" s="5"/>
      <c r="K371" s="246"/>
      <c r="L371" s="462"/>
      <c r="M371" s="5"/>
      <c r="N371" s="246"/>
      <c r="O371" s="590"/>
      <c r="P371" s="246"/>
      <c r="Q371" s="5"/>
      <c r="R371" s="246"/>
      <c r="S371" s="261"/>
      <c r="T371" s="5"/>
      <c r="U371" s="246"/>
      <c r="V371" s="5"/>
      <c r="W371" s="246"/>
      <c r="X371" s="5"/>
      <c r="Y371" s="246"/>
      <c r="Z371" s="261"/>
      <c r="AA371" s="5"/>
      <c r="AB371" s="246"/>
      <c r="AC371" s="5"/>
      <c r="AD371" s="246"/>
      <c r="AE371" s="5"/>
      <c r="AF371" s="246"/>
      <c r="AG371" s="261"/>
      <c r="AH371" s="5"/>
      <c r="AI371" s="246"/>
      <c r="AJ371" s="5"/>
      <c r="AK371" s="246"/>
      <c r="AL371" s="5"/>
      <c r="AM371" s="246"/>
      <c r="AN371" s="261"/>
      <c r="AO371" s="5"/>
      <c r="AP371" s="246"/>
      <c r="AQ371" s="5"/>
      <c r="AR371" s="246"/>
      <c r="AS371" s="5"/>
      <c r="AT371" s="254" t="str">
        <f>IF(COUNTIF($AO$79:$AT$81, #REF!) &gt; 0, "X", "")</f>
        <v/>
      </c>
      <c r="AU371" s="269"/>
    </row>
    <row r="372">
      <c r="A372" s="94"/>
      <c r="B372" s="387" t="s">
        <v>690</v>
      </c>
      <c r="C372" s="388" t="s">
        <v>649</v>
      </c>
      <c r="D372" s="323"/>
      <c r="E372" s="259"/>
      <c r="F372" s="741"/>
      <c r="G372" s="246"/>
      <c r="H372" s="741"/>
      <c r="I372" s="246"/>
      <c r="J372" s="741"/>
      <c r="K372" s="246"/>
      <c r="L372" s="462"/>
      <c r="M372" s="741"/>
      <c r="N372" s="246"/>
      <c r="O372" s="741"/>
      <c r="P372" s="246"/>
      <c r="Q372" s="741"/>
      <c r="R372" s="246"/>
      <c r="S372" s="261"/>
      <c r="T372" s="741"/>
      <c r="U372" s="246"/>
      <c r="V372" s="741"/>
      <c r="W372" s="246"/>
      <c r="X372" s="741"/>
      <c r="Y372" s="246"/>
      <c r="Z372" s="261"/>
      <c r="AA372" s="741"/>
      <c r="AB372" s="246"/>
      <c r="AC372" s="591"/>
      <c r="AD372" s="246"/>
      <c r="AE372" s="741"/>
      <c r="AF372" s="246"/>
      <c r="AG372" s="261"/>
      <c r="AH372" s="741"/>
      <c r="AI372" s="246"/>
      <c r="AJ372" s="741"/>
      <c r="AK372" s="246"/>
      <c r="AL372" s="741"/>
      <c r="AM372" s="246"/>
      <c r="AN372" s="261"/>
      <c r="AO372" s="741"/>
      <c r="AP372" s="246"/>
      <c r="AQ372" s="741"/>
      <c r="AR372" s="246"/>
      <c r="AS372" s="741"/>
      <c r="AT372" s="254" t="str">
        <f t="shared" ref="AT372:AT379" si="72">IF(COUNTIF($AO$79:$AT$81, AS373) &gt; 0, "X", "")</f>
        <v/>
      </c>
      <c r="AU372" s="269"/>
    </row>
    <row r="373">
      <c r="A373" s="94"/>
      <c r="B373" s="296" t="s">
        <v>650</v>
      </c>
      <c r="C373" s="297" t="s">
        <v>649</v>
      </c>
      <c r="D373" s="323"/>
      <c r="E373" s="261"/>
      <c r="F373" s="298"/>
      <c r="G373" s="246"/>
      <c r="H373" s="298"/>
      <c r="I373" s="246"/>
      <c r="J373" s="298"/>
      <c r="K373" s="246"/>
      <c r="L373" s="462"/>
      <c r="M373" s="298"/>
      <c r="N373" s="246"/>
      <c r="O373" s="298"/>
      <c r="P373" s="246"/>
      <c r="Q373" s="298"/>
      <c r="R373" s="246"/>
      <c r="S373" s="261"/>
      <c r="T373" s="298"/>
      <c r="U373" s="246"/>
      <c r="V373" s="298"/>
      <c r="W373" s="246"/>
      <c r="X373" s="298"/>
      <c r="Y373" s="246"/>
      <c r="Z373" s="261"/>
      <c r="AA373" s="298"/>
      <c r="AB373" s="246"/>
      <c r="AC373" s="298"/>
      <c r="AD373" s="246"/>
      <c r="AE373" s="298"/>
      <c r="AF373" s="246"/>
      <c r="AG373" s="261"/>
      <c r="AH373" s="298"/>
      <c r="AI373" s="246"/>
      <c r="AJ373" s="298"/>
      <c r="AK373" s="246"/>
      <c r="AL373" s="298"/>
      <c r="AM373" s="246"/>
      <c r="AN373" s="261"/>
      <c r="AO373" s="298"/>
      <c r="AP373" s="246"/>
      <c r="AQ373" s="298"/>
      <c r="AR373" s="246"/>
      <c r="AS373" s="298"/>
      <c r="AT373" s="254" t="str">
        <f t="shared" si="72"/>
        <v/>
      </c>
      <c r="AU373" s="269"/>
    </row>
    <row r="374">
      <c r="A374" s="94"/>
      <c r="B374" s="301" t="s">
        <v>651</v>
      </c>
      <c r="C374" s="391" t="s">
        <v>652</v>
      </c>
      <c r="D374" s="323"/>
      <c r="E374" s="259"/>
      <c r="F374" s="298"/>
      <c r="G374" s="246"/>
      <c r="H374" s="298"/>
      <c r="I374" s="246"/>
      <c r="J374" s="298"/>
      <c r="K374" s="246"/>
      <c r="L374" s="462"/>
      <c r="M374" s="298"/>
      <c r="N374" s="246"/>
      <c r="O374" s="298"/>
      <c r="P374" s="246"/>
      <c r="Q374" s="298"/>
      <c r="R374" s="246"/>
      <c r="S374" s="261"/>
      <c r="T374" s="298"/>
      <c r="U374" s="246"/>
      <c r="V374" s="298"/>
      <c r="W374" s="246"/>
      <c r="X374" s="298"/>
      <c r="Y374" s="246"/>
      <c r="Z374" s="261"/>
      <c r="AA374" s="298"/>
      <c r="AB374" s="246"/>
      <c r="AC374" s="298"/>
      <c r="AD374" s="246"/>
      <c r="AE374" s="298"/>
      <c r="AF374" s="246"/>
      <c r="AG374" s="261"/>
      <c r="AH374" s="298"/>
      <c r="AI374" s="246"/>
      <c r="AJ374" s="298"/>
      <c r="AK374" s="246"/>
      <c r="AL374" s="298"/>
      <c r="AM374" s="246"/>
      <c r="AN374" s="261"/>
      <c r="AO374" s="298"/>
      <c r="AP374" s="246"/>
      <c r="AQ374" s="298"/>
      <c r="AR374" s="246"/>
      <c r="AS374" s="298"/>
      <c r="AT374" s="254" t="str">
        <f t="shared" si="72"/>
        <v/>
      </c>
      <c r="AU374" s="269"/>
    </row>
    <row r="375">
      <c r="A375" s="94"/>
      <c r="B375" s="392" t="s">
        <v>691</v>
      </c>
      <c r="C375" s="393" t="s">
        <v>652</v>
      </c>
      <c r="D375" s="330"/>
      <c r="E375" s="259"/>
      <c r="F375" s="298"/>
      <c r="G375" s="246"/>
      <c r="H375" s="298"/>
      <c r="I375" s="246"/>
      <c r="J375" s="298"/>
      <c r="K375" s="246"/>
      <c r="L375" s="462"/>
      <c r="M375" s="298"/>
      <c r="N375" s="246"/>
      <c r="O375" s="298"/>
      <c r="P375" s="246"/>
      <c r="Q375" s="298"/>
      <c r="R375" s="246"/>
      <c r="S375" s="261"/>
      <c r="T375" s="298"/>
      <c r="U375" s="246"/>
      <c r="V375" s="298"/>
      <c r="W375" s="246"/>
      <c r="X375" s="298"/>
      <c r="Y375" s="246"/>
      <c r="Z375" s="261"/>
      <c r="AA375" s="298"/>
      <c r="AB375" s="246"/>
      <c r="AC375" s="298"/>
      <c r="AD375" s="246"/>
      <c r="AE375" s="298"/>
      <c r="AF375" s="246"/>
      <c r="AG375" s="261"/>
      <c r="AH375" s="298"/>
      <c r="AI375" s="246"/>
      <c r="AJ375" s="298"/>
      <c r="AK375" s="246"/>
      <c r="AL375" s="298"/>
      <c r="AM375" s="246"/>
      <c r="AN375" s="261"/>
      <c r="AO375" s="298"/>
      <c r="AP375" s="246"/>
      <c r="AQ375" s="298"/>
      <c r="AR375" s="246"/>
      <c r="AS375" s="298"/>
      <c r="AT375" s="254" t="str">
        <f t="shared" si="72"/>
        <v/>
      </c>
      <c r="AU375" s="269"/>
    </row>
    <row r="376">
      <c r="A376" s="94"/>
      <c r="B376" s="328" t="s">
        <v>692</v>
      </c>
      <c r="C376" s="329" t="s">
        <v>652</v>
      </c>
      <c r="D376" s="369"/>
      <c r="E376" s="259"/>
      <c r="F376" s="741"/>
      <c r="G376" s="246"/>
      <c r="H376" s="741"/>
      <c r="I376" s="246"/>
      <c r="J376" s="741"/>
      <c r="K376" s="246"/>
      <c r="L376" s="462"/>
      <c r="M376" s="741"/>
      <c r="N376" s="246"/>
      <c r="O376" s="741"/>
      <c r="P376" s="246"/>
      <c r="Q376" s="741"/>
      <c r="R376" s="246"/>
      <c r="S376" s="261"/>
      <c r="T376" s="741"/>
      <c r="U376" s="246"/>
      <c r="V376" s="741"/>
      <c r="W376" s="246"/>
      <c r="X376" s="741"/>
      <c r="Y376" s="246"/>
      <c r="Z376" s="261"/>
      <c r="AA376" s="741"/>
      <c r="AB376" s="246"/>
      <c r="AC376" s="741"/>
      <c r="AD376" s="246"/>
      <c r="AE376" s="741"/>
      <c r="AF376" s="246"/>
      <c r="AG376" s="261"/>
      <c r="AH376" s="741"/>
      <c r="AI376" s="246"/>
      <c r="AJ376" s="741"/>
      <c r="AK376" s="246"/>
      <c r="AL376" s="741"/>
      <c r="AM376" s="246"/>
      <c r="AN376" s="261"/>
      <c r="AO376" s="741"/>
      <c r="AP376" s="246"/>
      <c r="AQ376" s="741"/>
      <c r="AR376" s="246"/>
      <c r="AS376" s="741"/>
      <c r="AT376" s="254" t="str">
        <f t="shared" si="72"/>
        <v/>
      </c>
      <c r="AU376" s="269"/>
    </row>
    <row r="377">
      <c r="A377" s="94"/>
      <c r="B377" s="397" t="s">
        <v>692</v>
      </c>
      <c r="C377" s="398" t="s">
        <v>687</v>
      </c>
      <c r="D377" s="389"/>
      <c r="E377" s="259"/>
      <c r="F377" s="744"/>
      <c r="G377" s="246"/>
      <c r="H377" s="744"/>
      <c r="I377" s="246"/>
      <c r="J377" s="744"/>
      <c r="K377" s="246"/>
      <c r="L377" s="462"/>
      <c r="M377" s="744"/>
      <c r="N377" s="246"/>
      <c r="O377" s="744"/>
      <c r="P377" s="246"/>
      <c r="Q377" s="744"/>
      <c r="R377" s="246"/>
      <c r="S377" s="261"/>
      <c r="T377" s="744"/>
      <c r="U377" s="246"/>
      <c r="V377" s="744"/>
      <c r="W377" s="246"/>
      <c r="X377" s="744"/>
      <c r="Y377" s="246"/>
      <c r="Z377" s="261"/>
      <c r="AA377" s="744"/>
      <c r="AB377" s="246"/>
      <c r="AC377" s="744"/>
      <c r="AD377" s="246"/>
      <c r="AE377" s="744"/>
      <c r="AF377" s="246"/>
      <c r="AG377" s="261"/>
      <c r="AH377" s="744"/>
      <c r="AI377" s="246"/>
      <c r="AJ377" s="744"/>
      <c r="AK377" s="246"/>
      <c r="AL377" s="744"/>
      <c r="AM377" s="246"/>
      <c r="AN377" s="261"/>
      <c r="AO377" s="744"/>
      <c r="AP377" s="246"/>
      <c r="AQ377" s="744"/>
      <c r="AR377" s="246"/>
      <c r="AS377" s="744"/>
      <c r="AT377" s="254" t="str">
        <f t="shared" si="72"/>
        <v/>
      </c>
      <c r="AU377" s="269"/>
    </row>
    <row r="378">
      <c r="A378" s="94"/>
      <c r="B378" s="387" t="s">
        <v>694</v>
      </c>
      <c r="C378" s="388" t="s">
        <v>649</v>
      </c>
      <c r="D378" s="323"/>
      <c r="E378" s="259"/>
      <c r="F378" s="741"/>
      <c r="G378" s="246"/>
      <c r="H378" s="741"/>
      <c r="I378" s="246"/>
      <c r="J378" s="741"/>
      <c r="K378" s="246"/>
      <c r="L378" s="462"/>
      <c r="M378" s="741"/>
      <c r="N378" s="246"/>
      <c r="O378" s="741"/>
      <c r="P378" s="246"/>
      <c r="Q378" s="741"/>
      <c r="R378" s="246"/>
      <c r="S378" s="261"/>
      <c r="T378" s="741"/>
      <c r="U378" s="246"/>
      <c r="V378" s="741"/>
      <c r="W378" s="246"/>
      <c r="X378" s="741"/>
      <c r="Y378" s="246"/>
      <c r="Z378" s="261"/>
      <c r="AA378" s="741"/>
      <c r="AB378" s="246"/>
      <c r="AC378" s="741"/>
      <c r="AD378" s="246"/>
      <c r="AE378" s="741"/>
      <c r="AF378" s="246"/>
      <c r="AG378" s="261"/>
      <c r="AH378" s="741"/>
      <c r="AI378" s="246"/>
      <c r="AJ378" s="741"/>
      <c r="AK378" s="246"/>
      <c r="AL378" s="741"/>
      <c r="AM378" s="246"/>
      <c r="AN378" s="261"/>
      <c r="AO378" s="741"/>
      <c r="AP378" s="246"/>
      <c r="AQ378" s="741"/>
      <c r="AR378" s="246"/>
      <c r="AS378" s="741"/>
      <c r="AT378" s="254" t="str">
        <f t="shared" si="72"/>
        <v/>
      </c>
      <c r="AU378" s="269"/>
    </row>
    <row r="379">
      <c r="A379" s="94"/>
      <c r="B379" s="296" t="s">
        <v>650</v>
      </c>
      <c r="C379" s="297" t="s">
        <v>649</v>
      </c>
      <c r="D379" s="323"/>
      <c r="E379" s="261"/>
      <c r="F379" s="298"/>
      <c r="G379" s="298"/>
      <c r="H379" s="298"/>
      <c r="I379" s="298"/>
      <c r="J379" s="298"/>
      <c r="K379" s="298"/>
      <c r="L379" s="462"/>
      <c r="M379" s="298"/>
      <c r="N379" s="298"/>
      <c r="O379" s="298"/>
      <c r="P379" s="298"/>
      <c r="Q379" s="298"/>
      <c r="R379" s="298"/>
      <c r="S379" s="261"/>
      <c r="T379" s="298"/>
      <c r="U379" s="298"/>
      <c r="V379" s="298"/>
      <c r="W379" s="298"/>
      <c r="X379" s="298"/>
      <c r="Y379" s="298"/>
      <c r="Z379" s="261"/>
      <c r="AA379" s="298"/>
      <c r="AB379" s="298"/>
      <c r="AC379" s="298"/>
      <c r="AD379" s="298"/>
      <c r="AE379" s="298"/>
      <c r="AF379" s="298"/>
      <c r="AG379" s="261"/>
      <c r="AH379" s="298"/>
      <c r="AI379" s="298"/>
      <c r="AJ379" s="298"/>
      <c r="AK379" s="298"/>
      <c r="AL379" s="298"/>
      <c r="AM379" s="298"/>
      <c r="AN379" s="261"/>
      <c r="AO379" s="298"/>
      <c r="AP379" s="298"/>
      <c r="AQ379" s="298"/>
      <c r="AR379" s="298"/>
      <c r="AS379" s="298"/>
      <c r="AT379" s="254" t="str">
        <f t="shared" si="72"/>
        <v/>
      </c>
      <c r="AU379" s="269"/>
    </row>
    <row r="380">
      <c r="A380" s="94"/>
      <c r="B380" s="301" t="s">
        <v>651</v>
      </c>
      <c r="C380" s="391" t="s">
        <v>652</v>
      </c>
      <c r="D380" s="323"/>
      <c r="E380" s="259"/>
      <c r="F380" s="298"/>
      <c r="G380" s="298"/>
      <c r="H380" s="298"/>
      <c r="I380" s="298"/>
      <c r="J380" s="298"/>
      <c r="K380" s="298"/>
      <c r="L380" s="462"/>
      <c r="M380" s="298"/>
      <c r="N380" s="298"/>
      <c r="O380" s="298"/>
      <c r="P380" s="298"/>
      <c r="Q380" s="298"/>
      <c r="R380" s="298"/>
      <c r="S380" s="261"/>
      <c r="T380" s="298"/>
      <c r="U380" s="298"/>
      <c r="V380" s="298"/>
      <c r="W380" s="298"/>
      <c r="X380" s="298"/>
      <c r="Y380" s="298"/>
      <c r="Z380" s="261"/>
      <c r="AA380" s="298"/>
      <c r="AB380" s="298"/>
      <c r="AC380" s="298"/>
      <c r="AD380" s="298"/>
      <c r="AE380" s="298"/>
      <c r="AF380" s="298"/>
      <c r="AG380" s="261"/>
      <c r="AH380" s="298"/>
      <c r="AI380" s="298"/>
      <c r="AJ380" s="298"/>
      <c r="AK380" s="298"/>
      <c r="AL380" s="298"/>
      <c r="AM380" s="298"/>
      <c r="AN380" s="261"/>
      <c r="AO380" s="298"/>
      <c r="AP380" s="298"/>
      <c r="AQ380" s="298"/>
      <c r="AR380" s="298"/>
      <c r="AS380" s="298"/>
      <c r="AT380" s="254" t="str">
        <f t="shared" ref="AT380:AT381" si="73">IF(COUNTIF($AO$79:$AT$81, #REF!) &gt; 0, "X", "")</f>
        <v/>
      </c>
      <c r="AU380" s="269"/>
    </row>
    <row r="381">
      <c r="A381" s="94"/>
      <c r="B381" s="392" t="s">
        <v>691</v>
      </c>
      <c r="C381" s="393" t="s">
        <v>652</v>
      </c>
      <c r="D381" s="330"/>
      <c r="E381" s="259"/>
      <c r="F381" s="298"/>
      <c r="G381" s="298"/>
      <c r="H381" s="298"/>
      <c r="I381" s="298"/>
      <c r="J381" s="298"/>
      <c r="K381" s="298"/>
      <c r="L381" s="462"/>
      <c r="M381" s="298"/>
      <c r="N381" s="298"/>
      <c r="O381" s="298"/>
      <c r="P381" s="298"/>
      <c r="Q381" s="298"/>
      <c r="R381" s="298"/>
      <c r="S381" s="261"/>
      <c r="T381" s="298"/>
      <c r="U381" s="298"/>
      <c r="V381" s="298"/>
      <c r="W381" s="298"/>
      <c r="X381" s="298"/>
      <c r="Y381" s="298"/>
      <c r="Z381" s="261"/>
      <c r="AA381" s="298"/>
      <c r="AB381" s="298"/>
      <c r="AC381" s="298"/>
      <c r="AD381" s="298"/>
      <c r="AE381" s="298"/>
      <c r="AF381" s="298"/>
      <c r="AG381" s="261"/>
      <c r="AH381" s="298"/>
      <c r="AI381" s="298"/>
      <c r="AJ381" s="298"/>
      <c r="AK381" s="298"/>
      <c r="AL381" s="298"/>
      <c r="AM381" s="298"/>
      <c r="AN381" s="261"/>
      <c r="AO381" s="298"/>
      <c r="AP381" s="298"/>
      <c r="AQ381" s="298"/>
      <c r="AR381" s="298"/>
      <c r="AS381" s="298"/>
      <c r="AT381" s="254" t="str">
        <f t="shared" si="73"/>
        <v/>
      </c>
      <c r="AU381" s="269"/>
    </row>
    <row r="382">
      <c r="A382" s="94"/>
      <c r="B382" s="328" t="s">
        <v>692</v>
      </c>
      <c r="C382" s="329" t="s">
        <v>652</v>
      </c>
      <c r="D382" s="369"/>
      <c r="E382" s="259"/>
      <c r="F382" s="741"/>
      <c r="G382" s="246"/>
      <c r="H382" s="741"/>
      <c r="I382" s="246"/>
      <c r="J382" s="741"/>
      <c r="K382" s="246"/>
      <c r="L382" s="462"/>
      <c r="M382" s="741"/>
      <c r="N382" s="246"/>
      <c r="O382" s="741"/>
      <c r="P382" s="246"/>
      <c r="Q382" s="741"/>
      <c r="R382" s="246"/>
      <c r="S382" s="261"/>
      <c r="T382" s="741"/>
      <c r="U382" s="246"/>
      <c r="V382" s="741"/>
      <c r="W382" s="246"/>
      <c r="X382" s="741"/>
      <c r="Y382" s="246"/>
      <c r="Z382" s="261"/>
      <c r="AA382" s="741"/>
      <c r="AB382" s="246"/>
      <c r="AC382" s="741"/>
      <c r="AD382" s="246"/>
      <c r="AE382" s="741"/>
      <c r="AF382" s="246"/>
      <c r="AG382" s="261"/>
      <c r="AH382" s="741"/>
      <c r="AI382" s="246"/>
      <c r="AJ382" s="741"/>
      <c r="AK382" s="246"/>
      <c r="AL382" s="741"/>
      <c r="AM382" s="246"/>
      <c r="AN382" s="261"/>
      <c r="AO382" s="741"/>
      <c r="AP382" s="246"/>
      <c r="AQ382" s="741"/>
      <c r="AR382" s="246"/>
      <c r="AS382" s="741"/>
      <c r="AT382" s="254" t="str">
        <f t="shared" ref="AT382:AT385" si="74">IF(COUNTIF($AO$79:$AT$81, AS383) &gt; 0, "X", "")</f>
        <v/>
      </c>
      <c r="AU382" s="269"/>
    </row>
    <row r="383">
      <c r="A383" s="94"/>
      <c r="B383" s="397" t="s">
        <v>692</v>
      </c>
      <c r="C383" s="398" t="s">
        <v>687</v>
      </c>
      <c r="D383" s="404"/>
      <c r="E383" s="259"/>
      <c r="F383" s="744"/>
      <c r="G383" s="246"/>
      <c r="H383" s="744"/>
      <c r="I383" s="246"/>
      <c r="J383" s="744"/>
      <c r="K383" s="246"/>
      <c r="L383" s="462"/>
      <c r="M383" s="744"/>
      <c r="N383" s="246"/>
      <c r="O383" s="744"/>
      <c r="P383" s="246"/>
      <c r="Q383" s="744"/>
      <c r="R383" s="246"/>
      <c r="S383" s="261"/>
      <c r="T383" s="744"/>
      <c r="U383" s="246"/>
      <c r="V383" s="744"/>
      <c r="W383" s="246"/>
      <c r="X383" s="744"/>
      <c r="Y383" s="246"/>
      <c r="Z383" s="261"/>
      <c r="AA383" s="744"/>
      <c r="AB383" s="246"/>
      <c r="AC383" s="744"/>
      <c r="AD383" s="246"/>
      <c r="AE383" s="744"/>
      <c r="AF383" s="246"/>
      <c r="AG383" s="261"/>
      <c r="AH383" s="744"/>
      <c r="AI383" s="246"/>
      <c r="AJ383" s="744"/>
      <c r="AK383" s="246"/>
      <c r="AL383" s="744"/>
      <c r="AM383" s="246"/>
      <c r="AN383" s="261"/>
      <c r="AO383" s="744"/>
      <c r="AP383" s="246"/>
      <c r="AQ383" s="744"/>
      <c r="AR383" s="246"/>
      <c r="AS383" s="744"/>
      <c r="AT383" s="254" t="str">
        <f t="shared" si="74"/>
        <v/>
      </c>
      <c r="AU383" s="269"/>
    </row>
    <row r="384">
      <c r="A384" s="270"/>
      <c r="B384" s="402" t="s">
        <v>699</v>
      </c>
      <c r="C384" s="403" t="s">
        <v>649</v>
      </c>
      <c r="D384" s="330"/>
      <c r="E384" s="259"/>
      <c r="F384" s="298"/>
      <c r="G384" s="246"/>
      <c r="H384" s="298"/>
      <c r="I384" s="246"/>
      <c r="J384" s="298"/>
      <c r="K384" s="246"/>
      <c r="L384" s="462"/>
      <c r="M384" s="298"/>
      <c r="N384" s="246"/>
      <c r="O384" s="298"/>
      <c r="P384" s="246"/>
      <c r="Q384" s="298"/>
      <c r="R384" s="246"/>
      <c r="S384" s="261"/>
      <c r="T384" s="298"/>
      <c r="U384" s="246"/>
      <c r="V384" s="298"/>
      <c r="W384" s="246"/>
      <c r="X384" s="298"/>
      <c r="Y384" s="246"/>
      <c r="Z384" s="261"/>
      <c r="AA384" s="298"/>
      <c r="AB384" s="246"/>
      <c r="AC384" s="298"/>
      <c r="AD384" s="246"/>
      <c r="AE384" s="298"/>
      <c r="AF384" s="246"/>
      <c r="AG384" s="261"/>
      <c r="AH384" s="298"/>
      <c r="AI384" s="246"/>
      <c r="AJ384" s="298"/>
      <c r="AK384" s="246"/>
      <c r="AL384" s="298"/>
      <c r="AM384" s="246"/>
      <c r="AN384" s="261"/>
      <c r="AO384" s="298"/>
      <c r="AP384" s="246"/>
      <c r="AQ384" s="298"/>
      <c r="AR384" s="246"/>
      <c r="AS384" s="298"/>
      <c r="AT384" s="254" t="str">
        <f t="shared" si="74"/>
        <v/>
      </c>
      <c r="AU384" s="269"/>
    </row>
    <row r="385">
      <c r="A385" s="94"/>
      <c r="B385" s="328" t="s">
        <v>700</v>
      </c>
      <c r="C385" s="329" t="s">
        <v>657</v>
      </c>
      <c r="D385" s="330"/>
      <c r="E385" s="259"/>
      <c r="F385" s="741"/>
      <c r="G385" s="246"/>
      <c r="H385" s="741"/>
      <c r="I385" s="246"/>
      <c r="J385" s="741"/>
      <c r="K385" s="246"/>
      <c r="L385" s="462"/>
      <c r="M385" s="741"/>
      <c r="N385" s="246"/>
      <c r="O385" s="741"/>
      <c r="P385" s="246"/>
      <c r="Q385" s="741"/>
      <c r="R385" s="246"/>
      <c r="S385" s="261"/>
      <c r="T385" s="741"/>
      <c r="U385" s="246"/>
      <c r="V385" s="741"/>
      <c r="W385" s="246"/>
      <c r="X385" s="741"/>
      <c r="Y385" s="246"/>
      <c r="Z385" s="261"/>
      <c r="AA385" s="741"/>
      <c r="AB385" s="246"/>
      <c r="AC385" s="741"/>
      <c r="AD385" s="246"/>
      <c r="AE385" s="741"/>
      <c r="AF385" s="246"/>
      <c r="AG385" s="261"/>
      <c r="AH385" s="741"/>
      <c r="AI385" s="246"/>
      <c r="AJ385" s="741"/>
      <c r="AK385" s="246"/>
      <c r="AL385" s="741"/>
      <c r="AM385" s="246"/>
      <c r="AN385" s="261"/>
      <c r="AO385" s="741"/>
      <c r="AP385" s="246"/>
      <c r="AQ385" s="741"/>
      <c r="AR385" s="246"/>
      <c r="AS385" s="741"/>
      <c r="AT385" s="254" t="str">
        <f t="shared" si="74"/>
        <v/>
      </c>
      <c r="AU385" s="269"/>
    </row>
    <row r="386">
      <c r="A386" s="94"/>
      <c r="B386" s="328" t="s">
        <v>700</v>
      </c>
      <c r="C386" s="329" t="s">
        <v>657</v>
      </c>
      <c r="D386" s="330"/>
      <c r="E386" s="259"/>
      <c r="F386" s="591"/>
      <c r="G386" s="246"/>
      <c r="H386" s="591"/>
      <c r="I386" s="246"/>
      <c r="J386" s="591"/>
      <c r="K386" s="246"/>
      <c r="L386" s="462"/>
      <c r="M386" s="591"/>
      <c r="N386" s="246"/>
      <c r="O386" s="591"/>
      <c r="P386" s="246"/>
      <c r="Q386" s="591"/>
      <c r="R386" s="246"/>
      <c r="S386" s="261"/>
      <c r="T386" s="591"/>
      <c r="U386" s="246"/>
      <c r="V386" s="591"/>
      <c r="W386" s="246"/>
      <c r="X386" s="591"/>
      <c r="Y386" s="246"/>
      <c r="Z386" s="261"/>
      <c r="AA386" s="591"/>
      <c r="AB386" s="246"/>
      <c r="AC386" s="591"/>
      <c r="AD386" s="246"/>
      <c r="AE386" s="591"/>
      <c r="AF386" s="246"/>
      <c r="AG386" s="261"/>
      <c r="AH386" s="591"/>
      <c r="AI386" s="246"/>
      <c r="AJ386" s="591"/>
      <c r="AK386" s="246"/>
      <c r="AL386" s="591"/>
      <c r="AM386" s="246"/>
      <c r="AN386" s="261"/>
      <c r="AO386" s="591"/>
      <c r="AP386" s="246"/>
      <c r="AQ386" s="741"/>
      <c r="AR386" s="246"/>
      <c r="AS386" s="591"/>
      <c r="AT386" s="254" t="str">
        <f>IF(COUNTIF($AO$79:$AT$81, #REF!) &gt; 0, "X", "")</f>
        <v/>
      </c>
      <c r="AU386" s="269"/>
    </row>
    <row r="387">
      <c r="A387" s="94"/>
      <c r="B387" s="328" t="s">
        <v>700</v>
      </c>
      <c r="C387" s="329" t="s">
        <v>657</v>
      </c>
      <c r="D387" s="351"/>
      <c r="E387" s="259"/>
      <c r="F387" s="590"/>
      <c r="G387" s="246"/>
      <c r="H387" s="590"/>
      <c r="I387" s="246"/>
      <c r="J387" s="590"/>
      <c r="K387" s="246"/>
      <c r="L387" s="462"/>
      <c r="M387" s="590"/>
      <c r="N387" s="246"/>
      <c r="O387" s="590"/>
      <c r="P387" s="246"/>
      <c r="Q387" s="590"/>
      <c r="R387" s="246"/>
      <c r="S387" s="261"/>
      <c r="T387" s="590"/>
      <c r="U387" s="246"/>
      <c r="V387" s="590"/>
      <c r="W387" s="246"/>
      <c r="X387" s="590"/>
      <c r="Y387" s="246"/>
      <c r="Z387" s="261"/>
      <c r="AA387" s="590"/>
      <c r="AB387" s="246"/>
      <c r="AC387" s="590"/>
      <c r="AD387" s="246"/>
      <c r="AE387" s="590"/>
      <c r="AF387" s="246"/>
      <c r="AG387" s="261"/>
      <c r="AH387" s="590"/>
      <c r="AI387" s="246"/>
      <c r="AJ387" s="590"/>
      <c r="AK387" s="246"/>
      <c r="AL387" s="590"/>
      <c r="AM387" s="246"/>
      <c r="AN387" s="261"/>
      <c r="AO387" s="590"/>
      <c r="AP387" s="246"/>
      <c r="AQ387" s="590"/>
      <c r="AR387" s="246"/>
      <c r="AS387" s="590"/>
      <c r="AT387" s="254" t="str">
        <f t="shared" ref="AT387:AT388" si="75">IF(COUNTIF($AO$79:$AT$81, AS388) &gt; 0, "X", "")</f>
        <v/>
      </c>
      <c r="AU387" s="269"/>
    </row>
    <row r="388">
      <c r="A388" s="94"/>
      <c r="B388" s="408" t="s">
        <v>702</v>
      </c>
      <c r="C388" s="409" t="s">
        <v>652</v>
      </c>
      <c r="D388" s="323"/>
      <c r="E388" s="259"/>
      <c r="F388" s="756"/>
      <c r="G388" s="246"/>
      <c r="H388" s="756"/>
      <c r="I388" s="246"/>
      <c r="J388" s="756"/>
      <c r="K388" s="246"/>
      <c r="L388" s="462"/>
      <c r="M388" s="756"/>
      <c r="N388" s="246"/>
      <c r="O388" s="756"/>
      <c r="P388" s="246"/>
      <c r="Q388" s="756"/>
      <c r="R388" s="246"/>
      <c r="S388" s="261"/>
      <c r="T388" s="756"/>
      <c r="U388" s="246"/>
      <c r="V388" s="756"/>
      <c r="W388" s="246"/>
      <c r="X388" s="756"/>
      <c r="Y388" s="246"/>
      <c r="Z388" s="261"/>
      <c r="AA388" s="756"/>
      <c r="AB388" s="246"/>
      <c r="AC388" s="756"/>
      <c r="AD388" s="246"/>
      <c r="AE388" s="756"/>
      <c r="AF388" s="246"/>
      <c r="AG388" s="261"/>
      <c r="AH388" s="756"/>
      <c r="AI388" s="246"/>
      <c r="AJ388" s="756"/>
      <c r="AK388" s="246"/>
      <c r="AL388" s="756"/>
      <c r="AM388" s="246"/>
      <c r="AN388" s="261"/>
      <c r="AO388" s="756"/>
      <c r="AP388" s="246"/>
      <c r="AQ388" s="756"/>
      <c r="AR388" s="246"/>
      <c r="AS388" s="756"/>
      <c r="AT388" s="254" t="str">
        <f t="shared" si="75"/>
        <v/>
      </c>
      <c r="AU388" s="269"/>
    </row>
    <row r="389">
      <c r="A389" s="234"/>
      <c r="B389" s="401" t="s">
        <v>703</v>
      </c>
      <c r="C389" s="412" t="s">
        <v>704</v>
      </c>
      <c r="D389" s="330"/>
      <c r="E389" s="259"/>
      <c r="F389" s="540"/>
      <c r="G389" s="246"/>
      <c r="H389" s="540"/>
      <c r="I389" s="246"/>
      <c r="J389" s="540"/>
      <c r="K389" s="246"/>
      <c r="L389" s="462"/>
      <c r="M389" s="540"/>
      <c r="N389" s="246"/>
      <c r="O389" s="540"/>
      <c r="P389" s="246"/>
      <c r="Q389" s="540"/>
      <c r="R389" s="246"/>
      <c r="S389" s="261"/>
      <c r="T389" s="540"/>
      <c r="U389" s="246"/>
      <c r="V389" s="540"/>
      <c r="W389" s="246"/>
      <c r="X389" s="540"/>
      <c r="Y389" s="246"/>
      <c r="Z389" s="261"/>
      <c r="AA389" s="540"/>
      <c r="AB389" s="246"/>
      <c r="AC389" s="540"/>
      <c r="AD389" s="246"/>
      <c r="AE389" s="540"/>
      <c r="AF389" s="246"/>
      <c r="AG389" s="261"/>
      <c r="AH389" s="540"/>
      <c r="AI389" s="246"/>
      <c r="AJ389" s="540"/>
      <c r="AK389" s="246"/>
      <c r="AL389" s="540"/>
      <c r="AM389" s="246"/>
      <c r="AN389" s="261"/>
      <c r="AO389" s="540"/>
      <c r="AP389" s="246"/>
      <c r="AQ389" s="540"/>
      <c r="AR389" s="246"/>
      <c r="AS389" s="540"/>
      <c r="AT389" s="254" t="str">
        <f t="shared" ref="AT389:AT391" si="76">IF(COUNTIF($AO$79:$AT$81, #REF!) &gt; 0, "X", "")</f>
        <v/>
      </c>
      <c r="AU389" s="269"/>
    </row>
    <row r="390">
      <c r="A390" s="234"/>
      <c r="B390" s="414" t="s">
        <v>705</v>
      </c>
      <c r="C390" s="415" t="s">
        <v>704</v>
      </c>
      <c r="D390" s="330"/>
      <c r="E390" s="259"/>
      <c r="F390" s="747"/>
      <c r="G390" s="246"/>
      <c r="H390" s="747"/>
      <c r="I390" s="246"/>
      <c r="J390" s="747"/>
      <c r="K390" s="246"/>
      <c r="L390" s="462"/>
      <c r="M390" s="747"/>
      <c r="N390" s="246"/>
      <c r="O390" s="590"/>
      <c r="P390" s="246"/>
      <c r="Q390" s="590"/>
      <c r="R390" s="246"/>
      <c r="S390" s="261"/>
      <c r="T390" s="590"/>
      <c r="U390" s="246"/>
      <c r="V390" s="590"/>
      <c r="W390" s="246"/>
      <c r="X390" s="590"/>
      <c r="Y390" s="246"/>
      <c r="Z390" s="261"/>
      <c r="AA390" s="590"/>
      <c r="AB390" s="246"/>
      <c r="AC390" s="590"/>
      <c r="AD390" s="246"/>
      <c r="AE390" s="590"/>
      <c r="AF390" s="246"/>
      <c r="AG390" s="261"/>
      <c r="AH390" s="590"/>
      <c r="AI390" s="246"/>
      <c r="AJ390" s="590"/>
      <c r="AK390" s="246"/>
      <c r="AL390" s="590"/>
      <c r="AM390" s="246"/>
      <c r="AN390" s="261"/>
      <c r="AO390" s="590"/>
      <c r="AP390" s="246"/>
      <c r="AQ390" s="590"/>
      <c r="AR390" s="246"/>
      <c r="AS390" s="590"/>
      <c r="AT390" s="254" t="str">
        <f t="shared" si="76"/>
        <v/>
      </c>
      <c r="AU390" s="269"/>
    </row>
    <row r="391">
      <c r="A391" s="94"/>
      <c r="B391" s="328" t="s">
        <v>705</v>
      </c>
      <c r="C391" s="257" t="s">
        <v>657</v>
      </c>
      <c r="D391" s="330"/>
      <c r="E391" s="259"/>
      <c r="F391" s="757"/>
      <c r="G391" s="246"/>
      <c r="H391" s="757"/>
      <c r="I391" s="246"/>
      <c r="J391" s="757"/>
      <c r="K391" s="246"/>
      <c r="L391" s="462"/>
      <c r="M391" s="757"/>
      <c r="N391" s="246"/>
      <c r="O391" s="741"/>
      <c r="P391" s="246"/>
      <c r="Q391" s="741"/>
      <c r="R391" s="246"/>
      <c r="S391" s="261"/>
      <c r="T391" s="741"/>
      <c r="U391" s="246"/>
      <c r="V391" s="741"/>
      <c r="W391" s="246"/>
      <c r="X391" s="741"/>
      <c r="Y391" s="246"/>
      <c r="Z391" s="261"/>
      <c r="AA391" s="741"/>
      <c r="AB391" s="246"/>
      <c r="AC391" s="591"/>
      <c r="AD391" s="246"/>
      <c r="AE391" s="741"/>
      <c r="AF391" s="246"/>
      <c r="AG391" s="261"/>
      <c r="AH391" s="741"/>
      <c r="AI391" s="246"/>
      <c r="AJ391" s="741"/>
      <c r="AK391" s="246"/>
      <c r="AL391" s="591"/>
      <c r="AM391" s="246"/>
      <c r="AN391" s="261"/>
      <c r="AO391" s="741"/>
      <c r="AP391" s="246"/>
      <c r="AQ391" s="591"/>
      <c r="AR391" s="246"/>
      <c r="AS391" s="591"/>
      <c r="AT391" s="254" t="str">
        <f t="shared" si="76"/>
        <v/>
      </c>
      <c r="AU391" s="269"/>
    </row>
    <row r="392">
      <c r="A392" s="94"/>
      <c r="B392" s="277" t="s">
        <v>705</v>
      </c>
      <c r="C392" s="329" t="s">
        <v>685</v>
      </c>
      <c r="D392" s="369"/>
      <c r="E392" s="259"/>
      <c r="F392" s="747"/>
      <c r="G392" s="246"/>
      <c r="H392" s="747"/>
      <c r="I392" s="246"/>
      <c r="J392" s="747"/>
      <c r="K392" s="246"/>
      <c r="L392" s="462"/>
      <c r="M392" s="747"/>
      <c r="N392" s="246"/>
      <c r="O392" s="5"/>
      <c r="P392" s="246"/>
      <c r="Q392" s="590"/>
      <c r="R392" s="246"/>
      <c r="S392" s="261"/>
      <c r="T392" s="590"/>
      <c r="U392" s="246"/>
      <c r="V392" s="590"/>
      <c r="W392" s="246"/>
      <c r="X392" s="590"/>
      <c r="Y392" s="246"/>
      <c r="Z392" s="261"/>
      <c r="AA392" s="590"/>
      <c r="AB392" s="246"/>
      <c r="AC392" s="590"/>
      <c r="AD392" s="246"/>
      <c r="AE392" s="5"/>
      <c r="AF392" s="246"/>
      <c r="AG392" s="261"/>
      <c r="AH392" s="590"/>
      <c r="AI392" s="246"/>
      <c r="AJ392" s="590"/>
      <c r="AK392" s="246"/>
      <c r="AL392" s="5"/>
      <c r="AM392" s="246"/>
      <c r="AN392" s="261"/>
      <c r="AO392" s="590"/>
      <c r="AP392" s="246"/>
      <c r="AQ392" s="590"/>
      <c r="AR392" s="246"/>
      <c r="AS392" s="590"/>
      <c r="AT392" s="254" t="str">
        <f>IF(COUNTIF($AO$79:$AT$81, AO392) &gt; 0, "X", "")</f>
        <v/>
      </c>
      <c r="AU392" s="269"/>
    </row>
    <row r="393">
      <c r="A393" s="94"/>
      <c r="B393" s="271" t="s">
        <v>705</v>
      </c>
      <c r="C393" s="272" t="s">
        <v>687</v>
      </c>
      <c r="D393" s="330"/>
      <c r="E393" s="259"/>
      <c r="F393" s="607"/>
      <c r="G393" s="246"/>
      <c r="H393" s="607"/>
      <c r="I393" s="246"/>
      <c r="J393" s="607"/>
      <c r="K393" s="246"/>
      <c r="L393" s="462"/>
      <c r="M393" s="607"/>
      <c r="N393" s="246"/>
      <c r="O393" s="590"/>
      <c r="P393" s="246"/>
      <c r="Q393" s="5"/>
      <c r="R393" s="246"/>
      <c r="S393" s="261"/>
      <c r="T393" s="590"/>
      <c r="U393" s="246"/>
      <c r="V393" s="590"/>
      <c r="W393" s="246"/>
      <c r="X393" s="5"/>
      <c r="Y393" s="246"/>
      <c r="Z393" s="261"/>
      <c r="AA393" s="590"/>
      <c r="AB393" s="246"/>
      <c r="AC393" s="590"/>
      <c r="AD393" s="246"/>
      <c r="AE393" s="5"/>
      <c r="AF393" s="246"/>
      <c r="AG393" s="261"/>
      <c r="AH393" s="590"/>
      <c r="AI393" s="246"/>
      <c r="AJ393" s="590"/>
      <c r="AK393" s="246"/>
      <c r="AL393" s="590"/>
      <c r="AM393" s="246"/>
      <c r="AN393" s="261"/>
      <c r="AO393" s="590"/>
      <c r="AP393" s="246"/>
      <c r="AQ393" s="590"/>
      <c r="AR393" s="246"/>
      <c r="AS393" s="590"/>
      <c r="AT393" s="254" t="str">
        <f>IF(COUNTIF($AO$79:$AT$81, #REF!) &gt; 0, "X", "")</f>
        <v/>
      </c>
      <c r="AU393" s="269"/>
    </row>
    <row r="394">
      <c r="A394" s="270"/>
      <c r="B394" s="397" t="s">
        <v>708</v>
      </c>
      <c r="C394" s="398" t="s">
        <v>654</v>
      </c>
      <c r="D394" s="330"/>
      <c r="E394" s="259"/>
      <c r="F394" s="744"/>
      <c r="G394" s="246"/>
      <c r="H394" s="744"/>
      <c r="I394" s="246"/>
      <c r="J394" s="744"/>
      <c r="K394" s="246"/>
      <c r="L394" s="462"/>
      <c r="M394" s="744"/>
      <c r="N394" s="246"/>
      <c r="O394" s="744"/>
      <c r="P394" s="246"/>
      <c r="Q394" s="744"/>
      <c r="R394" s="246"/>
      <c r="S394" s="261"/>
      <c r="T394" s="744"/>
      <c r="U394" s="246"/>
      <c r="V394" s="744"/>
      <c r="W394" s="246"/>
      <c r="X394" s="744"/>
      <c r="Y394" s="246"/>
      <c r="Z394" s="261"/>
      <c r="AA394" s="744"/>
      <c r="AB394" s="246"/>
      <c r="AC394" s="744"/>
      <c r="AD394" s="246"/>
      <c r="AE394" s="744"/>
      <c r="AF394" s="246"/>
      <c r="AG394" s="261"/>
      <c r="AH394" s="744"/>
      <c r="AI394" s="246"/>
      <c r="AJ394" s="744"/>
      <c r="AK394" s="246"/>
      <c r="AL394" s="744"/>
      <c r="AM394" s="246"/>
      <c r="AN394" s="261"/>
      <c r="AO394" s="744"/>
      <c r="AP394" s="246"/>
      <c r="AQ394" s="744"/>
      <c r="AR394" s="246"/>
      <c r="AS394" s="744"/>
      <c r="AT394" s="254" t="str">
        <f t="shared" ref="AT394:AT395" si="77">IF(COUNTIF($AO$79:$AT$81, AS395) &gt; 0, "X", "")</f>
        <v/>
      </c>
      <c r="AU394" s="269"/>
    </row>
    <row r="395">
      <c r="A395" s="94"/>
      <c r="B395" s="277" t="s">
        <v>709</v>
      </c>
      <c r="C395" s="278" t="s">
        <v>710</v>
      </c>
      <c r="D395" s="323"/>
      <c r="E395" s="259"/>
      <c r="F395" s="741"/>
      <c r="G395" s="246"/>
      <c r="H395" s="741"/>
      <c r="I395" s="246"/>
      <c r="J395" s="741"/>
      <c r="K395" s="246"/>
      <c r="L395" s="462"/>
      <c r="M395" s="741"/>
      <c r="N395" s="246"/>
      <c r="O395" s="741"/>
      <c r="P395" s="246"/>
      <c r="Q395" s="741"/>
      <c r="R395" s="246"/>
      <c r="S395" s="261"/>
      <c r="T395" s="741"/>
      <c r="U395" s="246"/>
      <c r="V395" s="741"/>
      <c r="W395" s="246"/>
      <c r="X395" s="741"/>
      <c r="Y395" s="246"/>
      <c r="Z395" s="261"/>
      <c r="AA395" s="741"/>
      <c r="AB395" s="246"/>
      <c r="AC395" s="741"/>
      <c r="AD395" s="246"/>
      <c r="AE395" s="741"/>
      <c r="AF395" s="246"/>
      <c r="AG395" s="261"/>
      <c r="AH395" s="741"/>
      <c r="AI395" s="246"/>
      <c r="AJ395" s="741"/>
      <c r="AK395" s="246"/>
      <c r="AL395" s="741"/>
      <c r="AM395" s="246"/>
      <c r="AN395" s="261"/>
      <c r="AO395" s="741"/>
      <c r="AP395" s="246"/>
      <c r="AQ395" s="741"/>
      <c r="AR395" s="246"/>
      <c r="AS395" s="741"/>
      <c r="AT395" s="254" t="str">
        <f t="shared" si="77"/>
        <v/>
      </c>
      <c r="AU395" s="269"/>
    </row>
    <row r="396">
      <c r="A396" s="94"/>
      <c r="B396" s="673" t="s">
        <v>944</v>
      </c>
      <c r="C396" s="272" t="s">
        <v>639</v>
      </c>
      <c r="D396" s="431"/>
      <c r="E396" s="259"/>
      <c r="F396" s="590"/>
      <c r="G396" s="246"/>
      <c r="H396" s="590"/>
      <c r="I396" s="246"/>
      <c r="J396" s="590"/>
      <c r="K396" s="246"/>
      <c r="L396" s="462"/>
      <c r="M396" s="590"/>
      <c r="N396" s="246"/>
      <c r="O396" s="590"/>
      <c r="P396" s="246"/>
      <c r="Q396" s="590"/>
      <c r="R396" s="246"/>
      <c r="S396" s="261"/>
      <c r="T396" s="590"/>
      <c r="U396" s="246"/>
      <c r="V396" s="590"/>
      <c r="W396" s="246"/>
      <c r="X396" s="590"/>
      <c r="Y396" s="246"/>
      <c r="Z396" s="261"/>
      <c r="AA396" s="590"/>
      <c r="AB396" s="246"/>
      <c r="AC396" s="590"/>
      <c r="AD396" s="246"/>
      <c r="AE396" s="590"/>
      <c r="AF396" s="246"/>
      <c r="AG396" s="261"/>
      <c r="AH396" s="590"/>
      <c r="AI396" s="246"/>
      <c r="AJ396" s="590"/>
      <c r="AK396" s="246"/>
      <c r="AL396" s="590"/>
      <c r="AM396" s="246"/>
      <c r="AN396" s="261"/>
      <c r="AO396" s="590"/>
      <c r="AP396" s="246"/>
      <c r="AQ396" s="590"/>
      <c r="AR396" s="246"/>
      <c r="AS396" s="590"/>
      <c r="AT396" s="430"/>
      <c r="AU396" s="269"/>
    </row>
    <row r="397">
      <c r="A397" s="94"/>
      <c r="B397" s="698" t="s">
        <v>714</v>
      </c>
      <c r="C397" s="699"/>
      <c r="D397" s="323"/>
      <c r="E397" s="259"/>
      <c r="F397" s="432"/>
      <c r="G397" s="432"/>
      <c r="H397" s="432"/>
      <c r="I397" s="432"/>
      <c r="J397" s="432"/>
      <c r="K397" s="432"/>
      <c r="L397" s="462"/>
      <c r="M397" s="432"/>
      <c r="N397" s="433"/>
      <c r="O397" s="814"/>
      <c r="P397" s="432"/>
      <c r="Q397" s="814"/>
      <c r="R397" s="432"/>
      <c r="S397" s="261"/>
      <c r="T397" s="814"/>
      <c r="U397" s="433"/>
      <c r="V397" s="814"/>
      <c r="W397" s="432"/>
      <c r="X397" s="814"/>
      <c r="Y397" s="432"/>
      <c r="Z397" s="261"/>
      <c r="AA397" s="814"/>
      <c r="AB397" s="433"/>
      <c r="AC397" s="814"/>
      <c r="AD397" s="432"/>
      <c r="AE397" s="814"/>
      <c r="AF397" s="432"/>
      <c r="AG397" s="261"/>
      <c r="AH397" s="814"/>
      <c r="AI397" s="433"/>
      <c r="AJ397" s="814"/>
      <c r="AK397" s="432"/>
      <c r="AL397" s="814"/>
      <c r="AM397" s="432"/>
      <c r="AN397" s="261"/>
      <c r="AO397" s="814"/>
      <c r="AP397" s="433"/>
      <c r="AQ397" s="814"/>
      <c r="AR397" s="432"/>
      <c r="AS397" s="814"/>
      <c r="AT397" s="254" t="str">
        <f t="shared" ref="AT397:AT402" si="78">IF(COUNTIF($AO$79:$AT$81, AS398) &gt; 0, "X", "")</f>
        <v/>
      </c>
      <c r="AU397" s="269"/>
    </row>
    <row r="398">
      <c r="A398" s="94"/>
      <c r="B398" s="700" t="s">
        <v>715</v>
      </c>
      <c r="C398" s="701" t="s">
        <v>716</v>
      </c>
      <c r="D398" s="323"/>
      <c r="E398" s="259"/>
      <c r="F398" s="132"/>
      <c r="G398" s="246"/>
      <c r="H398" s="132"/>
      <c r="I398" s="246"/>
      <c r="J398" s="132"/>
      <c r="K398" s="246"/>
      <c r="L398" s="462"/>
      <c r="M398" s="132"/>
      <c r="N398" s="246"/>
      <c r="O398" s="814"/>
      <c r="P398" s="246"/>
      <c r="Q398" s="814"/>
      <c r="R398" s="246"/>
      <c r="S398" s="261"/>
      <c r="T398" s="814"/>
      <c r="U398" s="246"/>
      <c r="V398" s="814"/>
      <c r="W398" s="246"/>
      <c r="X398" s="814"/>
      <c r="Y398" s="246"/>
      <c r="Z398" s="261"/>
      <c r="AA398" s="814"/>
      <c r="AB398" s="246"/>
      <c r="AC398" s="814"/>
      <c r="AD398" s="246"/>
      <c r="AE398" s="814"/>
      <c r="AF398" s="246"/>
      <c r="AG398" s="261"/>
      <c r="AH398" s="814"/>
      <c r="AI398" s="246"/>
      <c r="AJ398" s="814"/>
      <c r="AK398" s="246"/>
      <c r="AL398" s="814"/>
      <c r="AM398" s="246"/>
      <c r="AN398" s="261"/>
      <c r="AO398" s="814"/>
      <c r="AP398" s="246"/>
      <c r="AQ398" s="814"/>
      <c r="AR398" s="246"/>
      <c r="AS398" s="814"/>
      <c r="AT398" s="254" t="str">
        <f t="shared" si="78"/>
        <v/>
      </c>
      <c r="AU398" s="269"/>
    </row>
    <row r="399">
      <c r="A399" s="94"/>
      <c r="B399" s="702" t="s">
        <v>717</v>
      </c>
      <c r="C399" s="703" t="s">
        <v>718</v>
      </c>
      <c r="D399" s="363"/>
      <c r="E399" s="259"/>
      <c r="F399" s="132"/>
      <c r="G399" s="246"/>
      <c r="H399" s="132"/>
      <c r="I399" s="246"/>
      <c r="J399" s="132"/>
      <c r="K399" s="246"/>
      <c r="L399" s="462"/>
      <c r="M399" s="132"/>
      <c r="N399" s="246"/>
      <c r="O399" s="814"/>
      <c r="P399" s="246"/>
      <c r="Q399" s="814"/>
      <c r="R399" s="246"/>
      <c r="S399" s="261"/>
      <c r="T399" s="814"/>
      <c r="U399" s="246"/>
      <c r="V399" s="814"/>
      <c r="W399" s="246"/>
      <c r="X399" s="814"/>
      <c r="Y399" s="246"/>
      <c r="Z399" s="261"/>
      <c r="AA399" s="814"/>
      <c r="AB399" s="246"/>
      <c r="AC399" s="814"/>
      <c r="AD399" s="246"/>
      <c r="AE399" s="814"/>
      <c r="AF399" s="246"/>
      <c r="AG399" s="261"/>
      <c r="AH399" s="814"/>
      <c r="AI399" s="246"/>
      <c r="AJ399" s="814"/>
      <c r="AK399" s="246"/>
      <c r="AL399" s="814"/>
      <c r="AM399" s="246"/>
      <c r="AN399" s="261"/>
      <c r="AO399" s="814"/>
      <c r="AP399" s="246"/>
      <c r="AQ399" s="814"/>
      <c r="AR399" s="246"/>
      <c r="AS399" s="814"/>
      <c r="AT399" s="254" t="str">
        <f t="shared" si="78"/>
        <v/>
      </c>
      <c r="AU399" s="269"/>
    </row>
    <row r="400">
      <c r="A400" s="94"/>
      <c r="B400" s="704" t="s">
        <v>719</v>
      </c>
      <c r="C400" s="705" t="s">
        <v>720</v>
      </c>
      <c r="D400" s="330"/>
      <c r="E400" s="259"/>
      <c r="F400" s="132"/>
      <c r="G400" s="246"/>
      <c r="H400" s="132"/>
      <c r="I400" s="246"/>
      <c r="J400" s="132"/>
      <c r="K400" s="246"/>
      <c r="L400" s="462"/>
      <c r="M400" s="132"/>
      <c r="N400" s="246"/>
      <c r="O400" s="814"/>
      <c r="P400" s="246"/>
      <c r="Q400" s="814"/>
      <c r="R400" s="246"/>
      <c r="S400" s="261"/>
      <c r="T400" s="814"/>
      <c r="U400" s="246"/>
      <c r="V400" s="814"/>
      <c r="W400" s="246"/>
      <c r="X400" s="814"/>
      <c r="Y400" s="246"/>
      <c r="Z400" s="261"/>
      <c r="AA400" s="814"/>
      <c r="AB400" s="246"/>
      <c r="AC400" s="814"/>
      <c r="AD400" s="246"/>
      <c r="AE400" s="814"/>
      <c r="AF400" s="246"/>
      <c r="AG400" s="261"/>
      <c r="AH400" s="814"/>
      <c r="AI400" s="246"/>
      <c r="AJ400" s="814"/>
      <c r="AK400" s="246"/>
      <c r="AL400" s="814"/>
      <c r="AM400" s="246"/>
      <c r="AN400" s="261"/>
      <c r="AO400" s="814"/>
      <c r="AP400" s="246"/>
      <c r="AQ400" s="814"/>
      <c r="AR400" s="246"/>
      <c r="AS400" s="814"/>
      <c r="AT400" s="254" t="str">
        <f t="shared" si="78"/>
        <v/>
      </c>
      <c r="AU400" s="269"/>
    </row>
    <row r="401">
      <c r="A401" s="94"/>
      <c r="B401" s="706" t="s">
        <v>721</v>
      </c>
      <c r="C401" s="707" t="s">
        <v>722</v>
      </c>
      <c r="D401" s="330"/>
      <c r="E401" s="259"/>
      <c r="F401" s="132"/>
      <c r="G401" s="246"/>
      <c r="H401" s="132"/>
      <c r="I401" s="246"/>
      <c r="J401" s="132"/>
      <c r="K401" s="246"/>
      <c r="L401" s="462"/>
      <c r="M401" s="132"/>
      <c r="N401" s="246"/>
      <c r="O401" s="814"/>
      <c r="P401" s="246"/>
      <c r="Q401" s="814"/>
      <c r="R401" s="246"/>
      <c r="S401" s="261"/>
      <c r="T401" s="814"/>
      <c r="U401" s="246"/>
      <c r="V401" s="814"/>
      <c r="W401" s="246"/>
      <c r="X401" s="814"/>
      <c r="Y401" s="246"/>
      <c r="Z401" s="261"/>
      <c r="AA401" s="814"/>
      <c r="AB401" s="246"/>
      <c r="AC401" s="814"/>
      <c r="AD401" s="246"/>
      <c r="AE401" s="814"/>
      <c r="AF401" s="246"/>
      <c r="AG401" s="261"/>
      <c r="AH401" s="814"/>
      <c r="AI401" s="246"/>
      <c r="AJ401" s="814"/>
      <c r="AK401" s="246"/>
      <c r="AL401" s="814"/>
      <c r="AM401" s="246"/>
      <c r="AN401" s="261"/>
      <c r="AO401" s="814"/>
      <c r="AP401" s="246"/>
      <c r="AQ401" s="814"/>
      <c r="AR401" s="246"/>
      <c r="AS401" s="814"/>
      <c r="AT401" s="254" t="str">
        <f t="shared" si="78"/>
        <v/>
      </c>
      <c r="AU401" s="269"/>
    </row>
    <row r="402">
      <c r="A402" s="94"/>
      <c r="B402" s="706" t="s">
        <v>723</v>
      </c>
      <c r="C402" s="708" t="s">
        <v>724</v>
      </c>
      <c r="D402" s="330"/>
      <c r="E402" s="259"/>
      <c r="F402" s="132"/>
      <c r="G402" s="246"/>
      <c r="H402" s="132"/>
      <c r="I402" s="246"/>
      <c r="J402" s="132"/>
      <c r="K402" s="246"/>
      <c r="L402" s="462"/>
      <c r="M402" s="132"/>
      <c r="N402" s="246"/>
      <c r="O402" s="814"/>
      <c r="P402" s="246"/>
      <c r="Q402" s="814"/>
      <c r="R402" s="246"/>
      <c r="S402" s="261"/>
      <c r="T402" s="814"/>
      <c r="U402" s="246"/>
      <c r="V402" s="814"/>
      <c r="W402" s="246"/>
      <c r="X402" s="814"/>
      <c r="Y402" s="246"/>
      <c r="Z402" s="261"/>
      <c r="AA402" s="814"/>
      <c r="AB402" s="246"/>
      <c r="AC402" s="814"/>
      <c r="AD402" s="246"/>
      <c r="AE402" s="814"/>
      <c r="AF402" s="246"/>
      <c r="AG402" s="261"/>
      <c r="AH402" s="814"/>
      <c r="AI402" s="246"/>
      <c r="AJ402" s="814"/>
      <c r="AK402" s="246"/>
      <c r="AL402" s="814"/>
      <c r="AM402" s="246"/>
      <c r="AN402" s="261"/>
      <c r="AO402" s="814"/>
      <c r="AP402" s="246"/>
      <c r="AQ402" s="814"/>
      <c r="AR402" s="246"/>
      <c r="AS402" s="814"/>
      <c r="AT402" s="254" t="str">
        <f t="shared" si="78"/>
        <v/>
      </c>
      <c r="AU402" s="269"/>
    </row>
    <row r="403">
      <c r="A403" s="94"/>
      <c r="B403" s="709" t="s">
        <v>725</v>
      </c>
      <c r="C403" s="707" t="s">
        <v>726</v>
      </c>
      <c r="D403" s="330"/>
      <c r="E403" s="259"/>
      <c r="F403" s="446"/>
      <c r="G403" s="246"/>
      <c r="H403" s="446"/>
      <c r="I403" s="246"/>
      <c r="J403" s="446"/>
      <c r="K403" s="246"/>
      <c r="L403" s="462"/>
      <c r="M403" s="446"/>
      <c r="N403" s="246"/>
      <c r="O403" s="814"/>
      <c r="P403" s="246"/>
      <c r="Q403" s="815"/>
      <c r="R403" s="246"/>
      <c r="S403" s="261"/>
      <c r="T403" s="815"/>
      <c r="U403" s="246"/>
      <c r="V403" s="814"/>
      <c r="W403" s="246"/>
      <c r="X403" s="815"/>
      <c r="Y403" s="246"/>
      <c r="Z403" s="261"/>
      <c r="AA403" s="815"/>
      <c r="AB403" s="246"/>
      <c r="AC403" s="814"/>
      <c r="AD403" s="246"/>
      <c r="AE403" s="815"/>
      <c r="AF403" s="246"/>
      <c r="AG403" s="261"/>
      <c r="AH403" s="815"/>
      <c r="AI403" s="246"/>
      <c r="AJ403" s="814"/>
      <c r="AK403" s="246"/>
      <c r="AL403" s="815"/>
      <c r="AM403" s="246"/>
      <c r="AN403" s="261"/>
      <c r="AO403" s="815"/>
      <c r="AP403" s="246"/>
      <c r="AQ403" s="814"/>
      <c r="AR403" s="246"/>
      <c r="AS403" s="815"/>
      <c r="AT403" s="254" t="str">
        <f>IF(COUNTIF($AO$79:$AT$81, #REF!) &gt; 0, "X", "")</f>
        <v/>
      </c>
      <c r="AU403" s="269"/>
    </row>
    <row r="404">
      <c r="A404" s="94"/>
      <c r="B404" s="710" t="s">
        <v>729</v>
      </c>
      <c r="C404" s="711" t="s">
        <v>730</v>
      </c>
      <c r="D404" s="330"/>
      <c r="E404" s="259"/>
      <c r="F404" s="446"/>
      <c r="G404" s="246"/>
      <c r="H404" s="446"/>
      <c r="I404" s="246"/>
      <c r="J404" s="446"/>
      <c r="K404" s="246"/>
      <c r="L404" s="462"/>
      <c r="M404" s="446"/>
      <c r="N404" s="246"/>
      <c r="O404" s="815"/>
      <c r="P404" s="246"/>
      <c r="Q404" s="815"/>
      <c r="R404" s="246"/>
      <c r="S404" s="261"/>
      <c r="T404" s="815"/>
      <c r="U404" s="246"/>
      <c r="V404" s="815"/>
      <c r="W404" s="246"/>
      <c r="X404" s="815"/>
      <c r="Y404" s="246"/>
      <c r="Z404" s="261"/>
      <c r="AA404" s="815"/>
      <c r="AB404" s="246"/>
      <c r="AC404" s="815"/>
      <c r="AD404" s="246"/>
      <c r="AE404" s="815"/>
      <c r="AF404" s="246"/>
      <c r="AG404" s="261"/>
      <c r="AH404" s="815"/>
      <c r="AI404" s="246"/>
      <c r="AJ404" s="815"/>
      <c r="AK404" s="246"/>
      <c r="AL404" s="815"/>
      <c r="AM404" s="246"/>
      <c r="AN404" s="261"/>
      <c r="AO404" s="815"/>
      <c r="AP404" s="246"/>
      <c r="AQ404" s="815"/>
      <c r="AR404" s="246"/>
      <c r="AS404" s="815"/>
      <c r="AT404" s="254" t="str">
        <f t="shared" ref="AT404:AT406" si="79">IF(COUNTIF($AO$79:$AT$81, AS404) &gt; 0, "X", "")</f>
        <v/>
      </c>
      <c r="AU404" s="269"/>
    </row>
    <row r="405">
      <c r="A405" s="94"/>
      <c r="B405" s="712" t="s">
        <v>731</v>
      </c>
      <c r="C405" s="713" t="s">
        <v>732</v>
      </c>
      <c r="D405" s="363"/>
      <c r="E405" s="259"/>
      <c r="F405" s="556"/>
      <c r="G405" s="246"/>
      <c r="H405" s="556"/>
      <c r="I405" s="246"/>
      <c r="J405" s="556"/>
      <c r="K405" s="246"/>
      <c r="L405" s="462"/>
      <c r="M405" s="556"/>
      <c r="N405" s="246"/>
      <c r="O405" s="814"/>
      <c r="P405" s="246"/>
      <c r="Q405" s="814"/>
      <c r="R405" s="246"/>
      <c r="S405" s="261"/>
      <c r="T405" s="814"/>
      <c r="U405" s="246"/>
      <c r="V405" s="814"/>
      <c r="W405" s="246"/>
      <c r="X405" s="814"/>
      <c r="Y405" s="246"/>
      <c r="Z405" s="261"/>
      <c r="AA405" s="814"/>
      <c r="AB405" s="246"/>
      <c r="AC405" s="814"/>
      <c r="AD405" s="246"/>
      <c r="AE405" s="814"/>
      <c r="AF405" s="246"/>
      <c r="AG405" s="261"/>
      <c r="AH405" s="814"/>
      <c r="AI405" s="246"/>
      <c r="AJ405" s="814"/>
      <c r="AK405" s="246"/>
      <c r="AL405" s="814"/>
      <c r="AM405" s="246"/>
      <c r="AN405" s="261"/>
      <c r="AO405" s="814"/>
      <c r="AP405" s="246"/>
      <c r="AQ405" s="814"/>
      <c r="AR405" s="246"/>
      <c r="AS405" s="814"/>
      <c r="AT405" s="254" t="str">
        <f t="shared" si="79"/>
        <v/>
      </c>
      <c r="AU405" s="269"/>
    </row>
    <row r="406">
      <c r="A406" s="94"/>
      <c r="B406" s="714" t="s">
        <v>733</v>
      </c>
      <c r="C406" s="715" t="s">
        <v>734</v>
      </c>
      <c r="D406" s="363"/>
      <c r="E406" s="259"/>
      <c r="F406" s="545"/>
      <c r="G406" s="246"/>
      <c r="H406" s="545"/>
      <c r="I406" s="246"/>
      <c r="J406" s="545"/>
      <c r="K406" s="246"/>
      <c r="L406" s="462"/>
      <c r="M406" s="545"/>
      <c r="N406" s="246"/>
      <c r="O406" s="540"/>
      <c r="P406" s="246"/>
      <c r="Q406" s="298"/>
      <c r="R406" s="246"/>
      <c r="S406" s="261"/>
      <c r="T406" s="298"/>
      <c r="U406" s="246"/>
      <c r="V406" s="540"/>
      <c r="W406" s="246"/>
      <c r="X406" s="298"/>
      <c r="Y406" s="246"/>
      <c r="Z406" s="261"/>
      <c r="AA406" s="298"/>
      <c r="AB406" s="246"/>
      <c r="AC406" s="540"/>
      <c r="AD406" s="246"/>
      <c r="AE406" s="298"/>
      <c r="AF406" s="246"/>
      <c r="AG406" s="261"/>
      <c r="AH406" s="298"/>
      <c r="AI406" s="246"/>
      <c r="AJ406" s="540"/>
      <c r="AK406" s="246"/>
      <c r="AL406" s="298"/>
      <c r="AM406" s="246"/>
      <c r="AN406" s="261"/>
      <c r="AO406" s="298"/>
      <c r="AP406" s="246"/>
      <c r="AQ406" s="540"/>
      <c r="AR406" s="246"/>
      <c r="AS406" s="298"/>
      <c r="AT406" s="254" t="str">
        <f t="shared" si="79"/>
        <v/>
      </c>
      <c r="AU406" s="269"/>
    </row>
    <row r="407">
      <c r="A407" s="94"/>
      <c r="B407" s="716"/>
      <c r="C407" s="717"/>
      <c r="D407" s="363"/>
      <c r="E407" s="259"/>
      <c r="F407" s="446"/>
      <c r="G407" s="246"/>
      <c r="H407" s="446"/>
      <c r="I407" s="246"/>
      <c r="J407" s="446"/>
      <c r="K407" s="246"/>
      <c r="L407" s="462"/>
      <c r="M407" s="446"/>
      <c r="N407" s="246"/>
      <c r="O407" s="815"/>
      <c r="P407" s="246"/>
      <c r="Q407" s="815"/>
      <c r="R407" s="246"/>
      <c r="S407" s="462"/>
      <c r="T407" s="815"/>
      <c r="U407" s="246"/>
      <c r="V407" s="815"/>
      <c r="W407" s="246"/>
      <c r="X407" s="815"/>
      <c r="Y407" s="246"/>
      <c r="Z407" s="462"/>
      <c r="AA407" s="815"/>
      <c r="AB407" s="246"/>
      <c r="AC407" s="815"/>
      <c r="AD407" s="246"/>
      <c r="AE407" s="815"/>
      <c r="AF407" s="246"/>
      <c r="AG407" s="462"/>
      <c r="AH407" s="815"/>
      <c r="AI407" s="246"/>
      <c r="AJ407" s="815"/>
      <c r="AK407" s="246"/>
      <c r="AL407" s="815"/>
      <c r="AM407" s="246"/>
      <c r="AN407" s="462"/>
      <c r="AO407" s="815"/>
      <c r="AP407" s="246"/>
      <c r="AQ407" s="815"/>
      <c r="AR407" s="246"/>
      <c r="AS407" s="815"/>
      <c r="AT407" s="254"/>
      <c r="AU407" s="269"/>
    </row>
    <row r="408">
      <c r="A408" s="94"/>
      <c r="B408" s="710" t="s">
        <v>735</v>
      </c>
      <c r="C408" s="718" t="s">
        <v>736</v>
      </c>
      <c r="D408" s="363"/>
      <c r="E408" s="259"/>
      <c r="F408" s="446"/>
      <c r="G408" s="246"/>
      <c r="H408" s="446"/>
      <c r="I408" s="246"/>
      <c r="J408" s="446"/>
      <c r="K408" s="246"/>
      <c r="L408" s="462"/>
      <c r="M408" s="446"/>
      <c r="N408" s="246"/>
      <c r="O408" s="815"/>
      <c r="P408" s="246"/>
      <c r="Q408" s="815"/>
      <c r="R408" s="246"/>
      <c r="S408" s="261"/>
      <c r="T408" s="815"/>
      <c r="U408" s="246"/>
      <c r="V408" s="815"/>
      <c r="W408" s="246"/>
      <c r="X408" s="814"/>
      <c r="Y408" s="246"/>
      <c r="Z408" s="261"/>
      <c r="AA408" s="815"/>
      <c r="AB408" s="246"/>
      <c r="AC408" s="815"/>
      <c r="AD408" s="246"/>
      <c r="AE408" s="815"/>
      <c r="AF408" s="246"/>
      <c r="AG408" s="261"/>
      <c r="AH408" s="815"/>
      <c r="AI408" s="246"/>
      <c r="AJ408" s="815"/>
      <c r="AK408" s="246"/>
      <c r="AL408" s="814"/>
      <c r="AM408" s="246"/>
      <c r="AN408" s="261"/>
      <c r="AO408" s="815"/>
      <c r="AP408" s="246"/>
      <c r="AQ408" s="815"/>
      <c r="AR408" s="246"/>
      <c r="AS408" s="815"/>
      <c r="AT408" s="254" t="str">
        <f t="shared" ref="AT408:AT410" si="80">IF(COUNTIF($AO$79:$AT$81, AS408) &gt; 0, "X", "")</f>
        <v/>
      </c>
      <c r="AU408" s="269"/>
    </row>
    <row r="409">
      <c r="A409" s="94"/>
      <c r="B409" s="710" t="s">
        <v>735</v>
      </c>
      <c r="C409" s="707" t="s">
        <v>736</v>
      </c>
      <c r="D409" s="363"/>
      <c r="E409" s="259"/>
      <c r="F409" s="446"/>
      <c r="G409" s="246"/>
      <c r="H409" s="446"/>
      <c r="I409" s="246"/>
      <c r="J409" s="446"/>
      <c r="K409" s="246"/>
      <c r="L409" s="462"/>
      <c r="M409" s="446"/>
      <c r="N409" s="246"/>
      <c r="O409" s="815"/>
      <c r="P409" s="246"/>
      <c r="Q409" s="815"/>
      <c r="R409" s="246"/>
      <c r="S409" s="261"/>
      <c r="T409" s="815"/>
      <c r="U409" s="246"/>
      <c r="V409" s="815"/>
      <c r="W409" s="246"/>
      <c r="X409" s="815"/>
      <c r="Y409" s="246"/>
      <c r="Z409" s="261"/>
      <c r="AA409" s="815"/>
      <c r="AB409" s="246"/>
      <c r="AC409" s="815"/>
      <c r="AD409" s="246"/>
      <c r="AE409" s="815"/>
      <c r="AF409" s="246"/>
      <c r="AG409" s="261"/>
      <c r="AH409" s="815"/>
      <c r="AI409" s="246"/>
      <c r="AJ409" s="815"/>
      <c r="AK409" s="246"/>
      <c r="AL409" s="815"/>
      <c r="AM409" s="246"/>
      <c r="AN409" s="261"/>
      <c r="AO409" s="815"/>
      <c r="AP409" s="246"/>
      <c r="AQ409" s="815"/>
      <c r="AR409" s="246"/>
      <c r="AS409" s="815"/>
      <c r="AT409" s="254" t="str">
        <f t="shared" si="80"/>
        <v/>
      </c>
      <c r="AU409" s="269"/>
    </row>
    <row r="410">
      <c r="A410" s="94"/>
      <c r="B410" s="719" t="s">
        <v>735</v>
      </c>
      <c r="C410" s="711" t="s">
        <v>737</v>
      </c>
      <c r="D410" s="363"/>
      <c r="E410" s="259"/>
      <c r="F410" s="132"/>
      <c r="G410" s="246"/>
      <c r="H410" s="132"/>
      <c r="I410" s="246"/>
      <c r="J410" s="132"/>
      <c r="K410" s="246"/>
      <c r="L410" s="462"/>
      <c r="M410" s="132"/>
      <c r="N410" s="246"/>
      <c r="O410" s="814"/>
      <c r="P410" s="246"/>
      <c r="Q410" s="814"/>
      <c r="R410" s="246"/>
      <c r="S410" s="261"/>
      <c r="T410" s="814"/>
      <c r="U410" s="246"/>
      <c r="V410" s="814"/>
      <c r="W410" s="246"/>
      <c r="X410" s="814"/>
      <c r="Y410" s="246"/>
      <c r="Z410" s="261"/>
      <c r="AA410" s="814"/>
      <c r="AB410" s="246"/>
      <c r="AC410" s="814"/>
      <c r="AD410" s="246"/>
      <c r="AE410" s="814"/>
      <c r="AF410" s="246"/>
      <c r="AG410" s="261"/>
      <c r="AH410" s="814"/>
      <c r="AI410" s="246"/>
      <c r="AJ410" s="814"/>
      <c r="AK410" s="246"/>
      <c r="AL410" s="814"/>
      <c r="AM410" s="246"/>
      <c r="AN410" s="261"/>
      <c r="AO410" s="814"/>
      <c r="AP410" s="246"/>
      <c r="AQ410" s="814"/>
      <c r="AR410" s="246"/>
      <c r="AS410" s="814"/>
      <c r="AT410" s="254" t="str">
        <f t="shared" si="80"/>
        <v/>
      </c>
      <c r="AU410" s="269"/>
    </row>
    <row r="411">
      <c r="A411" s="94"/>
      <c r="B411" s="459"/>
      <c r="C411" s="460" t="s">
        <v>738</v>
      </c>
      <c r="D411" s="363"/>
      <c r="E411" s="259"/>
      <c r="F411" s="461"/>
      <c r="G411" s="246"/>
      <c r="H411" s="132"/>
      <c r="I411" s="246"/>
      <c r="J411" s="132"/>
      <c r="K411" s="246"/>
      <c r="L411" s="462"/>
      <c r="M411" s="461"/>
      <c r="N411" s="246"/>
      <c r="O411" s="132"/>
      <c r="P411" s="246"/>
      <c r="Q411" s="132"/>
      <c r="R411" s="246"/>
      <c r="S411" s="261"/>
      <c r="T411" s="461"/>
      <c r="U411" s="246"/>
      <c r="V411" s="132"/>
      <c r="W411" s="246"/>
      <c r="X411" s="132"/>
      <c r="Y411" s="246"/>
      <c r="Z411" s="261"/>
      <c r="AA411" s="461"/>
      <c r="AB411" s="246"/>
      <c r="AC411" s="132"/>
      <c r="AD411" s="246"/>
      <c r="AE411" s="132"/>
      <c r="AF411" s="246"/>
      <c r="AG411" s="261"/>
      <c r="AH411" s="461"/>
      <c r="AI411" s="246"/>
      <c r="AJ411" s="132"/>
      <c r="AK411" s="246"/>
      <c r="AL411" s="132"/>
      <c r="AM411" s="246"/>
      <c r="AN411" s="261"/>
      <c r="AO411" s="461"/>
      <c r="AP411" s="246"/>
      <c r="AQ411" s="132"/>
      <c r="AR411" s="246"/>
      <c r="AS411" s="132"/>
      <c r="AT411" s="460"/>
      <c r="AU411" s="269"/>
    </row>
    <row r="412">
      <c r="A412" s="270"/>
      <c r="B412" s="459"/>
      <c r="C412" s="460" t="s">
        <v>738</v>
      </c>
      <c r="D412" s="363"/>
      <c r="E412" s="259"/>
      <c r="F412" s="132"/>
      <c r="G412" s="246"/>
      <c r="H412" s="132"/>
      <c r="I412" s="246"/>
      <c r="J412" s="132"/>
      <c r="K412" s="246"/>
      <c r="L412" s="462"/>
      <c r="M412" s="132"/>
      <c r="N412" s="246"/>
      <c r="O412" s="132"/>
      <c r="P412" s="246"/>
      <c r="Q412" s="132"/>
      <c r="R412" s="246"/>
      <c r="S412" s="261"/>
      <c r="T412" s="132"/>
      <c r="U412" s="246"/>
      <c r="V412" s="132"/>
      <c r="W412" s="246"/>
      <c r="X412" s="132"/>
      <c r="Y412" s="246"/>
      <c r="Z412" s="261"/>
      <c r="AA412" s="132"/>
      <c r="AB412" s="246"/>
      <c r="AC412" s="132"/>
      <c r="AD412" s="246"/>
      <c r="AE412" s="132"/>
      <c r="AF412" s="246"/>
      <c r="AG412" s="261"/>
      <c r="AH412" s="132"/>
      <c r="AI412" s="246"/>
      <c r="AJ412" s="132"/>
      <c r="AK412" s="246"/>
      <c r="AL412" s="132"/>
      <c r="AM412" s="246"/>
      <c r="AN412" s="261"/>
      <c r="AO412" s="132"/>
      <c r="AP412" s="246"/>
      <c r="AQ412" s="132"/>
      <c r="AR412" s="246"/>
      <c r="AS412" s="132"/>
      <c r="AT412" s="460"/>
      <c r="AU412" s="236"/>
    </row>
    <row r="413">
      <c r="A413" s="236"/>
      <c r="B413" s="459"/>
      <c r="C413" s="460" t="s">
        <v>738</v>
      </c>
      <c r="D413" s="363"/>
      <c r="E413" s="259"/>
      <c r="F413" s="132"/>
      <c r="G413" s="246"/>
      <c r="H413" s="132"/>
      <c r="I413" s="246"/>
      <c r="J413" s="132"/>
      <c r="K413" s="246"/>
      <c r="L413" s="462"/>
      <c r="M413" s="132"/>
      <c r="N413" s="246"/>
      <c r="O413" s="132"/>
      <c r="P413" s="246"/>
      <c r="Q413" s="132"/>
      <c r="R413" s="246"/>
      <c r="S413" s="261"/>
      <c r="T413" s="132"/>
      <c r="U413" s="246"/>
      <c r="V413" s="132"/>
      <c r="W413" s="246"/>
      <c r="X413" s="132"/>
      <c r="Y413" s="246"/>
      <c r="Z413" s="261"/>
      <c r="AA413" s="132"/>
      <c r="AB413" s="246"/>
      <c r="AC413" s="132"/>
      <c r="AD413" s="246"/>
      <c r="AE413" s="132"/>
      <c r="AF413" s="246"/>
      <c r="AG413" s="261"/>
      <c r="AH413" s="132"/>
      <c r="AI413" s="246"/>
      <c r="AJ413" s="132"/>
      <c r="AK413" s="246"/>
      <c r="AL413" s="132"/>
      <c r="AM413" s="246"/>
      <c r="AN413" s="261"/>
      <c r="AO413" s="132"/>
      <c r="AP413" s="246"/>
      <c r="AQ413" s="132"/>
      <c r="AR413" s="246"/>
      <c r="AS413" s="132"/>
      <c r="AT413" s="460"/>
      <c r="AU413" s="236"/>
    </row>
    <row r="414">
      <c r="A414" s="236"/>
      <c r="B414" s="459"/>
      <c r="C414" s="460"/>
      <c r="D414" s="460"/>
      <c r="E414" s="559"/>
      <c r="F414" s="460"/>
      <c r="G414" s="460"/>
      <c r="H414" s="460"/>
      <c r="I414" s="460"/>
      <c r="J414" s="460"/>
      <c r="K414" s="460"/>
      <c r="L414" s="460"/>
      <c r="M414" s="460"/>
      <c r="N414" s="460"/>
      <c r="O414" s="460"/>
      <c r="P414" s="460"/>
      <c r="Q414" s="460"/>
      <c r="R414" s="460"/>
      <c r="S414" s="460"/>
      <c r="T414" s="460"/>
      <c r="U414" s="460"/>
      <c r="V414" s="460"/>
      <c r="W414" s="460"/>
      <c r="X414" s="460"/>
      <c r="Y414" s="460"/>
      <c r="Z414" s="460"/>
      <c r="AA414" s="460"/>
      <c r="AB414" s="460"/>
      <c r="AC414" s="460"/>
      <c r="AD414" s="460"/>
      <c r="AE414" s="460"/>
      <c r="AF414" s="460"/>
      <c r="AG414" s="460"/>
      <c r="AH414" s="460"/>
      <c r="AI414" s="460"/>
      <c r="AJ414" s="460"/>
      <c r="AK414" s="460"/>
      <c r="AL414" s="460"/>
      <c r="AM414" s="460"/>
      <c r="AN414" s="460"/>
      <c r="AO414" s="460"/>
      <c r="AP414" s="460"/>
      <c r="AQ414" s="460"/>
      <c r="AR414" s="460"/>
      <c r="AS414" s="460"/>
      <c r="AT414" s="460"/>
      <c r="AU414" s="236"/>
    </row>
  </sheetData>
  <mergeCells count="96">
    <mergeCell ref="M1:V1"/>
    <mergeCell ref="F2:J2"/>
    <mergeCell ref="M2:S2"/>
    <mergeCell ref="T2:Z2"/>
    <mergeCell ref="AA2:AG2"/>
    <mergeCell ref="AH2:AN2"/>
    <mergeCell ref="AO2:AT2"/>
    <mergeCell ref="X4:Y4"/>
    <mergeCell ref="AE4:AF4"/>
    <mergeCell ref="AO3:AT3"/>
    <mergeCell ref="AS4:AT4"/>
    <mergeCell ref="AO82:AT82"/>
    <mergeCell ref="F3:L3"/>
    <mergeCell ref="M3:S3"/>
    <mergeCell ref="T3:Z3"/>
    <mergeCell ref="AA3:AG3"/>
    <mergeCell ref="AH3:AN3"/>
    <mergeCell ref="H4:I4"/>
    <mergeCell ref="AL4:AM4"/>
    <mergeCell ref="J4:L4"/>
    <mergeCell ref="Q4:R4"/>
    <mergeCell ref="F82:L82"/>
    <mergeCell ref="M82:S82"/>
    <mergeCell ref="T82:Z82"/>
    <mergeCell ref="AA82:AG82"/>
    <mergeCell ref="AH82:AN82"/>
    <mergeCell ref="J84:L84"/>
    <mergeCell ref="Q84:R84"/>
    <mergeCell ref="AO83:AT83"/>
    <mergeCell ref="AS84:AT84"/>
    <mergeCell ref="M329:S329"/>
    <mergeCell ref="T329:Z329"/>
    <mergeCell ref="H330:I330"/>
    <mergeCell ref="J330:L330"/>
    <mergeCell ref="Q330:R330"/>
    <mergeCell ref="X330:Y330"/>
    <mergeCell ref="AE330:AF330"/>
    <mergeCell ref="AA329:AG329"/>
    <mergeCell ref="AH329:AN329"/>
    <mergeCell ref="AL330:AM330"/>
    <mergeCell ref="AS330:AT330"/>
    <mergeCell ref="F328:L328"/>
    <mergeCell ref="M328:S328"/>
    <mergeCell ref="T328:Z328"/>
    <mergeCell ref="AA328:AG328"/>
    <mergeCell ref="AH328:AN328"/>
    <mergeCell ref="AO328:AT328"/>
    <mergeCell ref="F329:L329"/>
    <mergeCell ref="AO329:AT329"/>
    <mergeCell ref="F83:L83"/>
    <mergeCell ref="M83:S83"/>
    <mergeCell ref="T83:Z83"/>
    <mergeCell ref="AA83:AG83"/>
    <mergeCell ref="AH83:AN83"/>
    <mergeCell ref="H84:I84"/>
    <mergeCell ref="AL84:AM84"/>
    <mergeCell ref="X84:Y84"/>
    <mergeCell ref="AE84:AF84"/>
    <mergeCell ref="M162:S162"/>
    <mergeCell ref="T162:Z162"/>
    <mergeCell ref="AA162:AG162"/>
    <mergeCell ref="AH162:AN162"/>
    <mergeCell ref="AO162:AT162"/>
    <mergeCell ref="F162:L162"/>
    <mergeCell ref="F163:L163"/>
    <mergeCell ref="M163:S163"/>
    <mergeCell ref="T163:Z163"/>
    <mergeCell ref="AA163:AG163"/>
    <mergeCell ref="AH163:AN163"/>
    <mergeCell ref="AO163:AT163"/>
    <mergeCell ref="H164:I164"/>
    <mergeCell ref="J164:L164"/>
    <mergeCell ref="Q164:R164"/>
    <mergeCell ref="X164:Y164"/>
    <mergeCell ref="AE164:AF164"/>
    <mergeCell ref="AL164:AM164"/>
    <mergeCell ref="AS164:AT164"/>
    <mergeCell ref="AA243:AG243"/>
    <mergeCell ref="AH243:AN243"/>
    <mergeCell ref="AL244:AM244"/>
    <mergeCell ref="AS244:AT244"/>
    <mergeCell ref="F242:L242"/>
    <mergeCell ref="M242:S242"/>
    <mergeCell ref="T242:Z242"/>
    <mergeCell ref="AA242:AG242"/>
    <mergeCell ref="AH242:AN242"/>
    <mergeCell ref="AO242:AT242"/>
    <mergeCell ref="F243:L243"/>
    <mergeCell ref="AO243:AT243"/>
    <mergeCell ref="M243:S243"/>
    <mergeCell ref="T243:Z243"/>
    <mergeCell ref="H244:I244"/>
    <mergeCell ref="J244:L244"/>
    <mergeCell ref="Q244:R244"/>
    <mergeCell ref="X244:Y244"/>
    <mergeCell ref="AE244:AF244"/>
  </mergeCells>
  <dataValidations>
    <dataValidation type="list" allowBlank="1" showErrorMessage="1" sqref="C2 C82 C162 C242 C328">
      <formula1>"RTC,RG,PUB,Working on it"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.5"/>
    <col customWidth="1" min="2" max="2" width="18.0"/>
    <col customWidth="1" min="3" max="3" width="10.88"/>
    <col customWidth="1" min="4" max="4" width="8.0"/>
    <col customWidth="1" min="5" max="5" width="1.75"/>
    <col customWidth="1" min="6" max="6" width="14.75"/>
    <col customWidth="1" min="7" max="7" width="0.88"/>
    <col customWidth="1" min="8" max="8" width="15.13"/>
    <col customWidth="1" min="9" max="9" width="0.88"/>
    <col customWidth="1" min="10" max="10" width="14.75"/>
    <col customWidth="1" min="11" max="11" width="0.88"/>
    <col customWidth="1" min="12" max="12" width="1.75"/>
    <col customWidth="1" min="13" max="13" width="15.63"/>
    <col customWidth="1" min="14" max="14" width="0.88"/>
    <col customWidth="1" min="15" max="15" width="15.63"/>
    <col customWidth="1" min="16" max="16" width="0.88"/>
    <col customWidth="1" min="17" max="17" width="14.75"/>
    <col customWidth="1" min="18" max="18" width="0.88"/>
    <col customWidth="1" min="19" max="19" width="1.75"/>
    <col customWidth="1" min="20" max="20" width="16.38"/>
    <col customWidth="1" min="21" max="21" width="0.88"/>
    <col customWidth="1" min="22" max="22" width="14.25"/>
    <col customWidth="1" min="23" max="23" width="0.88"/>
    <col customWidth="1" min="24" max="24" width="14.75"/>
    <col customWidth="1" min="25" max="25" width="0.88"/>
    <col customWidth="1" min="26" max="26" width="1.75"/>
    <col customWidth="1" min="27" max="27" width="16.38"/>
    <col customWidth="1" min="28" max="28" width="0.88"/>
    <col customWidth="1" min="29" max="29" width="16.38"/>
    <col customWidth="1" min="30" max="30" width="0.88"/>
    <col customWidth="1" min="31" max="31" width="14.75"/>
    <col customWidth="1" min="32" max="32" width="0.88"/>
    <col customWidth="1" min="33" max="33" width="1.75"/>
    <col customWidth="1" min="34" max="34" width="16.38"/>
    <col customWidth="1" min="35" max="35" width="0.88"/>
    <col customWidth="1" min="36" max="36" width="16.38"/>
    <col customWidth="1" min="37" max="37" width="0.88"/>
    <col customWidth="1" min="38" max="38" width="14.75"/>
    <col customWidth="1" min="39" max="39" width="0.88"/>
    <col customWidth="1" min="40" max="40" width="1.75"/>
    <col customWidth="1" min="41" max="41" width="16.38"/>
    <col customWidth="1" min="42" max="42" width="0.88"/>
    <col customWidth="1" min="43" max="43" width="16.38"/>
    <col customWidth="1" min="44" max="44" width="0.88"/>
    <col customWidth="1" min="45" max="45" width="14.75"/>
    <col customWidth="1" min="46" max="46" width="0.88"/>
    <col customWidth="1" min="47" max="47" width="1.5"/>
    <col customWidth="1" min="48" max="48" width="2.75"/>
  </cols>
  <sheetData>
    <row r="1" ht="9.75" customHeight="1">
      <c r="A1" s="172" t="s">
        <v>602</v>
      </c>
      <c r="B1" s="173" t="s">
        <v>603</v>
      </c>
      <c r="C1" s="174"/>
      <c r="D1" s="174"/>
      <c r="E1" s="175"/>
      <c r="F1" s="176"/>
      <c r="G1" s="176"/>
      <c r="H1" s="176"/>
      <c r="I1" s="177"/>
      <c r="J1" s="177"/>
      <c r="K1" s="177"/>
      <c r="L1" s="177"/>
      <c r="M1" s="178" t="s">
        <v>481</v>
      </c>
      <c r="W1" s="179"/>
      <c r="AU1" s="176"/>
      <c r="AV1" s="176"/>
    </row>
    <row r="2" ht="9.75" customHeight="1">
      <c r="A2" s="176"/>
      <c r="B2" s="176"/>
      <c r="C2" s="176"/>
      <c r="D2" s="176"/>
      <c r="E2" s="180"/>
      <c r="F2" s="176"/>
      <c r="G2" s="176"/>
      <c r="H2" s="176"/>
      <c r="I2" s="181"/>
      <c r="J2" s="181"/>
      <c r="K2" s="181"/>
      <c r="L2" s="181"/>
      <c r="AU2" s="176"/>
      <c r="AV2" s="176"/>
    </row>
    <row r="3">
      <c r="A3" s="182"/>
      <c r="B3" s="183" t="s">
        <v>604</v>
      </c>
      <c r="C3" s="184" t="s">
        <v>1148</v>
      </c>
      <c r="D3" s="185" t="s">
        <v>486</v>
      </c>
      <c r="E3" s="186"/>
      <c r="F3" s="185" t="s">
        <v>487</v>
      </c>
      <c r="M3" s="185" t="s">
        <v>488</v>
      </c>
      <c r="T3" s="185" t="s">
        <v>489</v>
      </c>
      <c r="AA3" s="185" t="s">
        <v>490</v>
      </c>
      <c r="AH3" s="185" t="s">
        <v>491</v>
      </c>
      <c r="AO3" s="185" t="s">
        <v>492</v>
      </c>
      <c r="AU3" s="182"/>
      <c r="AV3" s="182"/>
    </row>
    <row r="4">
      <c r="A4" s="182"/>
      <c r="B4" s="187"/>
      <c r="C4" s="187"/>
      <c r="D4" s="188">
        <v>2.0</v>
      </c>
      <c r="E4" s="189"/>
      <c r="F4" s="188">
        <v>3.0</v>
      </c>
      <c r="M4" s="188">
        <v>4.0</v>
      </c>
      <c r="T4" s="188">
        <v>5.0</v>
      </c>
      <c r="AA4" s="188">
        <v>6.0</v>
      </c>
      <c r="AH4" s="188">
        <v>7.0</v>
      </c>
      <c r="AO4" s="188">
        <v>8.0</v>
      </c>
      <c r="AU4" s="182"/>
      <c r="AV4" s="182"/>
    </row>
    <row r="5">
      <c r="A5" s="182"/>
      <c r="B5" s="193" t="s">
        <v>608</v>
      </c>
      <c r="C5" s="193" t="s">
        <v>609</v>
      </c>
      <c r="D5" s="187"/>
      <c r="E5" s="189"/>
      <c r="F5" s="194" t="s">
        <v>610</v>
      </c>
      <c r="G5" s="195"/>
      <c r="H5" s="193" t="s">
        <v>611</v>
      </c>
      <c r="J5" s="194" t="s">
        <v>612</v>
      </c>
      <c r="M5" s="194" t="s">
        <v>610</v>
      </c>
      <c r="N5" s="195"/>
      <c r="O5" s="193" t="s">
        <v>611</v>
      </c>
      <c r="P5" s="195"/>
      <c r="Q5" s="194" t="s">
        <v>612</v>
      </c>
      <c r="S5" s="193"/>
      <c r="T5" s="194" t="s">
        <v>610</v>
      </c>
      <c r="U5" s="195"/>
      <c r="V5" s="193" t="s">
        <v>611</v>
      </c>
      <c r="W5" s="195"/>
      <c r="X5" s="194" t="s">
        <v>612</v>
      </c>
      <c r="Z5" s="193"/>
      <c r="AA5" s="194" t="s">
        <v>610</v>
      </c>
      <c r="AB5" s="195"/>
      <c r="AC5" s="193" t="s">
        <v>611</v>
      </c>
      <c r="AD5" s="195"/>
      <c r="AE5" s="194" t="s">
        <v>612</v>
      </c>
      <c r="AG5" s="193"/>
      <c r="AH5" s="194" t="s">
        <v>610</v>
      </c>
      <c r="AI5" s="195"/>
      <c r="AJ5" s="193" t="s">
        <v>611</v>
      </c>
      <c r="AK5" s="195"/>
      <c r="AL5" s="194" t="s">
        <v>612</v>
      </c>
      <c r="AN5" s="193"/>
      <c r="AO5" s="194" t="s">
        <v>610</v>
      </c>
      <c r="AP5" s="195"/>
      <c r="AQ5" s="193" t="s">
        <v>611</v>
      </c>
      <c r="AR5" s="195"/>
      <c r="AS5" s="194" t="s">
        <v>612</v>
      </c>
      <c r="AU5" s="182"/>
      <c r="AV5" s="182"/>
    </row>
    <row r="6" ht="15.0" customHeight="1">
      <c r="A6" s="199"/>
      <c r="B6" s="200" t="s">
        <v>620</v>
      </c>
      <c r="C6" s="201"/>
      <c r="D6" s="201"/>
      <c r="E6" s="202"/>
      <c r="F6" s="203"/>
      <c r="G6" s="204"/>
      <c r="H6" s="203"/>
      <c r="I6" s="204"/>
      <c r="J6" s="203"/>
      <c r="K6" s="204"/>
      <c r="L6" s="205"/>
      <c r="M6" s="203"/>
      <c r="N6" s="204"/>
      <c r="O6" s="203"/>
      <c r="P6" s="204"/>
      <c r="Q6" s="203"/>
      <c r="R6" s="204"/>
      <c r="S6" s="205"/>
      <c r="T6" s="203"/>
      <c r="U6" s="204"/>
      <c r="V6" s="203"/>
      <c r="W6" s="204"/>
      <c r="X6" s="682" t="s">
        <v>1166</v>
      </c>
      <c r="Y6" s="204"/>
      <c r="Z6" s="205"/>
      <c r="AA6" s="203"/>
      <c r="AB6" s="204"/>
      <c r="AC6" s="682" t="s">
        <v>1167</v>
      </c>
      <c r="AD6" s="204"/>
      <c r="AE6" s="203"/>
      <c r="AF6" s="204"/>
      <c r="AG6" s="205"/>
      <c r="AH6" s="203"/>
      <c r="AI6" s="204"/>
      <c r="AJ6" s="682" t="s">
        <v>827</v>
      </c>
      <c r="AK6" s="204"/>
      <c r="AL6" s="203"/>
      <c r="AM6" s="204"/>
      <c r="AN6" s="205"/>
      <c r="AO6" s="203"/>
      <c r="AP6" s="204"/>
      <c r="AQ6" s="203"/>
      <c r="AR6" s="204"/>
      <c r="AS6" s="203"/>
      <c r="AT6" s="204"/>
      <c r="AU6" s="199"/>
      <c r="AV6" s="199"/>
    </row>
    <row r="7">
      <c r="A7" s="234"/>
      <c r="B7" s="235" t="s">
        <v>608</v>
      </c>
      <c r="C7" s="195" t="s">
        <v>609</v>
      </c>
      <c r="D7" s="236"/>
      <c r="E7" s="237"/>
      <c r="F7" s="238"/>
      <c r="G7" s="182"/>
      <c r="H7" s="238"/>
      <c r="I7" s="239"/>
      <c r="J7" s="238"/>
      <c r="K7" s="239"/>
      <c r="L7" s="237"/>
      <c r="M7" s="238"/>
      <c r="N7" s="182"/>
      <c r="O7" s="238"/>
      <c r="P7" s="239"/>
      <c r="Q7" s="238"/>
      <c r="R7" s="239"/>
      <c r="S7" s="237"/>
      <c r="T7" s="238"/>
      <c r="U7" s="182"/>
      <c r="V7" s="238"/>
      <c r="W7" s="239"/>
      <c r="X7" s="238"/>
      <c r="Y7" s="239"/>
      <c r="Z7" s="237"/>
      <c r="AA7" s="238"/>
      <c r="AB7" s="182"/>
      <c r="AC7" s="238"/>
      <c r="AD7" s="239"/>
      <c r="AE7" s="238"/>
      <c r="AF7" s="239"/>
      <c r="AG7" s="237"/>
      <c r="AH7" s="238"/>
      <c r="AI7" s="182"/>
      <c r="AJ7" s="238"/>
      <c r="AK7" s="239"/>
      <c r="AL7" s="238"/>
      <c r="AM7" s="239"/>
      <c r="AN7" s="237"/>
      <c r="AO7" s="238"/>
      <c r="AP7" s="182"/>
      <c r="AQ7" s="238"/>
      <c r="AR7" s="239"/>
      <c r="AS7" s="238"/>
      <c r="AT7" s="239"/>
      <c r="AU7" s="236"/>
      <c r="AV7" s="236"/>
    </row>
    <row r="8" ht="14.25" customHeight="1">
      <c r="A8" s="240"/>
      <c r="B8" s="241" t="s">
        <v>638</v>
      </c>
      <c r="C8" s="242" t="s">
        <v>639</v>
      </c>
      <c r="D8" s="243"/>
      <c r="E8" s="244"/>
      <c r="F8" s="247"/>
      <c r="G8" s="246"/>
      <c r="I8" s="246"/>
      <c r="K8" s="246"/>
      <c r="L8" s="249"/>
      <c r="M8" s="250"/>
      <c r="N8" s="246"/>
      <c r="O8" s="282"/>
      <c r="P8" s="246"/>
      <c r="Q8" s="282"/>
      <c r="R8" s="246"/>
      <c r="S8" s="249"/>
      <c r="T8" s="250"/>
      <c r="U8" s="246"/>
      <c r="V8" s="281"/>
      <c r="W8" s="246"/>
      <c r="X8" s="251" t="s">
        <v>405</v>
      </c>
      <c r="Y8" s="246"/>
      <c r="Z8" s="249"/>
      <c r="AA8" s="250"/>
      <c r="AB8" s="246"/>
      <c r="AD8" s="246"/>
      <c r="AE8" s="660" t="s">
        <v>405</v>
      </c>
      <c r="AF8" s="246"/>
      <c r="AG8" s="249"/>
      <c r="AH8" s="250"/>
      <c r="AI8" s="246"/>
      <c r="AK8" s="246"/>
      <c r="AM8" s="246"/>
      <c r="AN8" s="249"/>
      <c r="AO8" s="250"/>
      <c r="AP8" s="246"/>
      <c r="AQ8" s="276"/>
      <c r="AR8" s="246"/>
      <c r="AS8" s="252"/>
      <c r="AT8" s="254" t="str">
        <f>IF(COUNTIF($AO$89:$AT$91, #REF!) &gt; 0, "X", "")</f>
        <v/>
      </c>
      <c r="AU8" s="255"/>
      <c r="AV8" s="255"/>
    </row>
    <row r="9" ht="13.5" customHeight="1">
      <c r="A9" s="94"/>
      <c r="B9" s="256" t="s">
        <v>638</v>
      </c>
      <c r="C9" s="257" t="s">
        <v>639</v>
      </c>
      <c r="D9" s="258"/>
      <c r="E9" s="259"/>
      <c r="F9" s="264"/>
      <c r="G9" s="246"/>
      <c r="H9" s="426"/>
      <c r="I9" s="246"/>
      <c r="K9" s="246"/>
      <c r="L9" s="261"/>
      <c r="M9" s="262"/>
      <c r="N9" s="246"/>
      <c r="P9" s="246"/>
      <c r="Q9" s="660" t="s">
        <v>405</v>
      </c>
      <c r="R9" s="246"/>
      <c r="S9" s="261"/>
      <c r="T9" s="262"/>
      <c r="U9" s="246"/>
      <c r="V9" s="281"/>
      <c r="W9" s="246"/>
      <c r="X9" s="519" t="s">
        <v>414</v>
      </c>
      <c r="Y9" s="246"/>
      <c r="Z9" s="261"/>
      <c r="AA9" s="262"/>
      <c r="AB9" s="246"/>
      <c r="AD9" s="246"/>
      <c r="AE9" s="519" t="s">
        <v>414</v>
      </c>
      <c r="AF9" s="246"/>
      <c r="AG9" s="261"/>
      <c r="AH9" s="262"/>
      <c r="AI9" s="246"/>
      <c r="AK9" s="246"/>
      <c r="AL9" s="660" t="s">
        <v>405</v>
      </c>
      <c r="AM9" s="246"/>
      <c r="AN9" s="261"/>
      <c r="AO9" s="262"/>
      <c r="AP9" s="246"/>
      <c r="AQ9" s="598"/>
      <c r="AR9" s="246"/>
      <c r="AS9" s="266"/>
      <c r="AT9" s="254" t="str">
        <f>IF(COUNTIF($AO$89:$AT$91, AS14) &gt; 0, "X", "")</f>
        <v/>
      </c>
      <c r="AU9" s="269"/>
      <c r="AV9" s="269"/>
    </row>
    <row r="10" ht="13.5" customHeight="1">
      <c r="A10" s="270"/>
      <c r="B10" s="271" t="s">
        <v>642</v>
      </c>
      <c r="C10" s="272" t="s">
        <v>639</v>
      </c>
      <c r="D10" s="258"/>
      <c r="E10" s="259"/>
      <c r="F10" s="275"/>
      <c r="G10" s="246"/>
      <c r="H10" s="280" t="s">
        <v>400</v>
      </c>
      <c r="I10" s="246"/>
      <c r="J10" s="477"/>
      <c r="K10" s="246"/>
      <c r="L10" s="261"/>
      <c r="M10" s="250"/>
      <c r="N10" s="246"/>
      <c r="O10" s="281"/>
      <c r="P10" s="246"/>
      <c r="Q10" s="282"/>
      <c r="R10" s="246"/>
      <c r="S10" s="261"/>
      <c r="T10" s="250"/>
      <c r="U10" s="246"/>
      <c r="V10" s="281"/>
      <c r="W10" s="246"/>
      <c r="X10" s="280" t="s">
        <v>400</v>
      </c>
      <c r="Y10" s="246"/>
      <c r="Z10" s="261"/>
      <c r="AA10" s="250"/>
      <c r="AB10" s="246"/>
      <c r="AD10" s="246"/>
      <c r="AF10" s="246"/>
      <c r="AG10" s="261"/>
      <c r="AH10" s="250"/>
      <c r="AI10" s="246"/>
      <c r="AK10" s="246"/>
      <c r="AL10" s="281"/>
      <c r="AM10" s="246"/>
      <c r="AN10" s="261"/>
      <c r="AO10" s="250"/>
      <c r="AP10" s="246"/>
      <c r="AQ10" s="276"/>
      <c r="AR10" s="246"/>
      <c r="AS10" s="252"/>
      <c r="AT10" s="254" t="str">
        <f>IF(COUNTIF($AO$89:$AT$91, #REF!) &gt; 0, "X", "")</f>
        <v/>
      </c>
      <c r="AU10" s="269"/>
      <c r="AV10" s="269"/>
    </row>
    <row r="11">
      <c r="A11" s="94"/>
      <c r="B11" s="277" t="s">
        <v>644</v>
      </c>
      <c r="C11" s="278" t="s">
        <v>645</v>
      </c>
      <c r="D11" s="243"/>
      <c r="E11" s="259"/>
      <c r="F11" s="371"/>
      <c r="G11" s="246"/>
      <c r="H11" s="371"/>
      <c r="I11" s="246"/>
      <c r="J11" s="371"/>
      <c r="K11" s="246"/>
      <c r="L11" s="261"/>
      <c r="M11" s="250"/>
      <c r="N11" s="246"/>
      <c r="O11" s="281"/>
      <c r="P11" s="246"/>
      <c r="Q11" s="280" t="s">
        <v>400</v>
      </c>
      <c r="R11" s="246"/>
      <c r="S11" s="261"/>
      <c r="T11" s="250"/>
      <c r="U11" s="246"/>
      <c r="V11" s="371"/>
      <c r="W11" s="246"/>
      <c r="X11" s="371"/>
      <c r="Y11" s="246"/>
      <c r="Z11" s="261"/>
      <c r="AA11" s="250"/>
      <c r="AB11" s="246"/>
      <c r="AC11" s="280" t="s">
        <v>400</v>
      </c>
      <c r="AD11" s="246"/>
      <c r="AF11" s="246"/>
      <c r="AG11" s="261"/>
      <c r="AH11" s="250"/>
      <c r="AI11" s="246"/>
      <c r="AJ11" s="280" t="s">
        <v>400</v>
      </c>
      <c r="AK11" s="246"/>
      <c r="AM11" s="246"/>
      <c r="AN11" s="261"/>
      <c r="AO11" s="250"/>
      <c r="AP11" s="246"/>
      <c r="AQ11" s="252"/>
      <c r="AR11" s="246"/>
      <c r="AS11" s="252"/>
      <c r="AT11" s="254" t="str">
        <f t="shared" ref="AT11:AT13" si="1">IF(COUNTIF($AO$89:$AT$91, AS11) &gt; 0, "X", "")</f>
        <v/>
      </c>
      <c r="AU11" s="269"/>
      <c r="AV11" s="269"/>
    </row>
    <row r="12">
      <c r="A12" s="270"/>
      <c r="B12" s="284" t="s">
        <v>646</v>
      </c>
      <c r="C12" s="285" t="s">
        <v>647</v>
      </c>
      <c r="D12" s="243"/>
      <c r="E12" s="259"/>
      <c r="F12" s="251" t="s">
        <v>427</v>
      </c>
      <c r="G12" s="246"/>
      <c r="H12" s="399"/>
      <c r="I12" s="246"/>
      <c r="J12" s="399"/>
      <c r="K12" s="246"/>
      <c r="L12" s="261"/>
      <c r="M12" s="324"/>
      <c r="N12" s="246"/>
      <c r="O12" s="399"/>
      <c r="P12" s="246"/>
      <c r="Q12" s="251" t="s">
        <v>427</v>
      </c>
      <c r="R12" s="246"/>
      <c r="S12" s="261"/>
      <c r="T12" s="324"/>
      <c r="U12" s="246"/>
      <c r="V12" s="251" t="s">
        <v>602</v>
      </c>
      <c r="W12" s="246"/>
      <c r="X12" s="251" t="s">
        <v>427</v>
      </c>
      <c r="Y12" s="246"/>
      <c r="Z12" s="261"/>
      <c r="AA12" s="324"/>
      <c r="AB12" s="246"/>
      <c r="AC12" s="282"/>
      <c r="AD12" s="246"/>
      <c r="AE12" s="251" t="s">
        <v>427</v>
      </c>
      <c r="AF12" s="246"/>
      <c r="AG12" s="261"/>
      <c r="AH12" s="324"/>
      <c r="AI12" s="246"/>
      <c r="AJ12" s="282"/>
      <c r="AK12" s="246"/>
      <c r="AL12" s="251" t="s">
        <v>427</v>
      </c>
      <c r="AM12" s="246"/>
      <c r="AN12" s="261"/>
      <c r="AO12" s="250"/>
      <c r="AP12" s="246"/>
      <c r="AQ12" s="252"/>
      <c r="AR12" s="246"/>
      <c r="AS12" s="252"/>
      <c r="AT12" s="254" t="str">
        <f t="shared" si="1"/>
        <v/>
      </c>
      <c r="AU12" s="269"/>
      <c r="AV12" s="269"/>
    </row>
    <row r="13">
      <c r="A13" s="94"/>
      <c r="B13" s="291" t="s">
        <v>648</v>
      </c>
      <c r="C13" s="292" t="s">
        <v>649</v>
      </c>
      <c r="D13" s="243"/>
      <c r="E13" s="259"/>
      <c r="F13" s="294"/>
      <c r="G13" s="246"/>
      <c r="H13" s="293" t="s">
        <v>418</v>
      </c>
      <c r="I13" s="246"/>
      <c r="J13" s="294"/>
      <c r="K13" s="246"/>
      <c r="L13" s="261"/>
      <c r="M13" s="250"/>
      <c r="N13" s="246"/>
      <c r="O13" s="293" t="s">
        <v>418</v>
      </c>
      <c r="P13" s="246"/>
      <c r="Q13" s="294"/>
      <c r="R13" s="246"/>
      <c r="S13" s="261"/>
      <c r="T13" s="250"/>
      <c r="U13" s="246"/>
      <c r="V13" s="294"/>
      <c r="W13" s="246"/>
      <c r="X13" s="293" t="s">
        <v>418</v>
      </c>
      <c r="Y13" s="246"/>
      <c r="Z13" s="261"/>
      <c r="AA13" s="250"/>
      <c r="AB13" s="246"/>
      <c r="AC13" s="294"/>
      <c r="AD13" s="246"/>
      <c r="AE13" s="293" t="s">
        <v>418</v>
      </c>
      <c r="AF13" s="246"/>
      <c r="AG13" s="261"/>
      <c r="AH13" s="250"/>
      <c r="AI13" s="246"/>
      <c r="AJ13" s="293" t="s">
        <v>418</v>
      </c>
      <c r="AK13" s="246"/>
      <c r="AL13" s="294"/>
      <c r="AM13" s="246"/>
      <c r="AN13" s="261"/>
      <c r="AO13" s="250"/>
      <c r="AP13" s="246"/>
      <c r="AQ13" s="294"/>
      <c r="AR13" s="246"/>
      <c r="AS13" s="294"/>
      <c r="AT13" s="254" t="str">
        <f t="shared" si="1"/>
        <v/>
      </c>
      <c r="AU13" s="269"/>
      <c r="AV13" s="269"/>
    </row>
    <row r="14">
      <c r="A14" s="94"/>
      <c r="B14" s="296" t="s">
        <v>650</v>
      </c>
      <c r="C14" s="297" t="s">
        <v>649</v>
      </c>
      <c r="D14" s="243"/>
      <c r="E14" s="259"/>
      <c r="F14" s="299"/>
      <c r="G14" s="298"/>
      <c r="H14" s="253" t="s">
        <v>417</v>
      </c>
      <c r="I14" s="298"/>
      <c r="J14" s="299"/>
      <c r="K14" s="298"/>
      <c r="L14" s="261"/>
      <c r="M14" s="250"/>
      <c r="N14" s="298"/>
      <c r="O14" s="253" t="s">
        <v>417</v>
      </c>
      <c r="P14" s="298"/>
      <c r="Q14" s="299"/>
      <c r="R14" s="298"/>
      <c r="S14" s="261"/>
      <c r="T14" s="250"/>
      <c r="U14" s="298"/>
      <c r="V14" s="299"/>
      <c r="W14" s="298"/>
      <c r="X14" s="632" t="s">
        <v>423</v>
      </c>
      <c r="Y14" s="298"/>
      <c r="Z14" s="261"/>
      <c r="AA14" s="250"/>
      <c r="AB14" s="298"/>
      <c r="AC14" s="299"/>
      <c r="AD14" s="298"/>
      <c r="AE14" s="299"/>
      <c r="AF14" s="298"/>
      <c r="AG14" s="261"/>
      <c r="AH14" s="250"/>
      <c r="AI14" s="298"/>
      <c r="AJ14" s="299"/>
      <c r="AK14" s="298"/>
      <c r="AL14" s="299"/>
      <c r="AM14" s="298"/>
      <c r="AN14" s="261"/>
      <c r="AO14" s="250"/>
      <c r="AP14" s="298"/>
      <c r="AQ14" s="300"/>
      <c r="AR14" s="298"/>
      <c r="AS14" s="300"/>
      <c r="AT14" s="254" t="str">
        <f t="shared" ref="AT14:AT15" si="2">IF(COUNTIF($AO$89:$AT$91, #REF!) &gt; 0, "X", "")</f>
        <v/>
      </c>
      <c r="AU14" s="269"/>
      <c r="AV14" s="269"/>
    </row>
    <row r="15">
      <c r="A15" s="94"/>
      <c r="B15" s="301" t="s">
        <v>651</v>
      </c>
      <c r="C15" s="302" t="s">
        <v>652</v>
      </c>
      <c r="D15" s="243"/>
      <c r="E15" s="259"/>
      <c r="F15" s="303"/>
      <c r="G15" s="298"/>
      <c r="H15" s="303"/>
      <c r="I15" s="298"/>
      <c r="J15" s="303"/>
      <c r="K15" s="298"/>
      <c r="L15" s="261"/>
      <c r="M15" s="250"/>
      <c r="N15" s="298"/>
      <c r="O15" s="303"/>
      <c r="P15" s="298"/>
      <c r="Q15" s="303"/>
      <c r="R15" s="298"/>
      <c r="S15" s="261"/>
      <c r="T15" s="250"/>
      <c r="U15" s="298"/>
      <c r="V15" s="303"/>
      <c r="W15" s="298"/>
      <c r="X15" s="303"/>
      <c r="Y15" s="298"/>
      <c r="Z15" s="261"/>
      <c r="AA15" s="250"/>
      <c r="AB15" s="298"/>
      <c r="AC15" s="303"/>
      <c r="AD15" s="298"/>
      <c r="AE15" s="303"/>
      <c r="AF15" s="298"/>
      <c r="AG15" s="261"/>
      <c r="AH15" s="250"/>
      <c r="AI15" s="298"/>
      <c r="AJ15" s="303"/>
      <c r="AK15" s="298"/>
      <c r="AL15" s="303"/>
      <c r="AM15" s="298"/>
      <c r="AN15" s="261"/>
      <c r="AO15" s="250"/>
      <c r="AP15" s="298"/>
      <c r="AQ15" s="304"/>
      <c r="AR15" s="298"/>
      <c r="AS15" s="304"/>
      <c r="AT15" s="254" t="str">
        <f t="shared" si="2"/>
        <v/>
      </c>
      <c r="AU15" s="269"/>
      <c r="AV15" s="269"/>
    </row>
    <row r="16">
      <c r="A16" s="94"/>
      <c r="B16" s="305" t="s">
        <v>653</v>
      </c>
      <c r="C16" s="306" t="s">
        <v>654</v>
      </c>
      <c r="D16" s="243"/>
      <c r="E16" s="259"/>
      <c r="F16" s="307"/>
      <c r="G16" s="298"/>
      <c r="H16" s="307"/>
      <c r="I16" s="298"/>
      <c r="J16" s="307"/>
      <c r="K16" s="298"/>
      <c r="L16" s="261"/>
      <c r="M16" s="250"/>
      <c r="N16" s="298"/>
      <c r="O16" s="307"/>
      <c r="P16" s="298"/>
      <c r="Q16" s="307"/>
      <c r="R16" s="298"/>
      <c r="S16" s="261"/>
      <c r="T16" s="250"/>
      <c r="U16" s="298"/>
      <c r="V16" s="307"/>
      <c r="W16" s="298"/>
      <c r="X16" s="307"/>
      <c r="Y16" s="298"/>
      <c r="Z16" s="261"/>
      <c r="AA16" s="250"/>
      <c r="AB16" s="298"/>
      <c r="AC16" s="307"/>
      <c r="AD16" s="298"/>
      <c r="AE16" s="307"/>
      <c r="AF16" s="298"/>
      <c r="AG16" s="261"/>
      <c r="AH16" s="250"/>
      <c r="AI16" s="298"/>
      <c r="AJ16" s="307"/>
      <c r="AK16" s="298"/>
      <c r="AL16" s="307"/>
      <c r="AM16" s="298"/>
      <c r="AN16" s="261"/>
      <c r="AO16" s="250"/>
      <c r="AP16" s="298"/>
      <c r="AQ16" s="307"/>
      <c r="AR16" s="298"/>
      <c r="AS16" s="307"/>
      <c r="AT16" s="254" t="str">
        <f t="shared" ref="AT16:AT17" si="3">IF(COUNTIF($AO$89:$AT$91, AS16) &gt; 0, "X", "")</f>
        <v/>
      </c>
      <c r="AU16" s="269"/>
      <c r="AV16" s="269"/>
    </row>
    <row r="17">
      <c r="A17" s="94"/>
      <c r="B17" s="310" t="s">
        <v>656</v>
      </c>
      <c r="C17" s="278" t="s">
        <v>657</v>
      </c>
      <c r="D17" s="243"/>
      <c r="E17" s="259"/>
      <c r="F17" s="281"/>
      <c r="G17" s="246"/>
      <c r="H17" s="336" t="s">
        <v>398</v>
      </c>
      <c r="I17" s="246"/>
      <c r="J17" s="282"/>
      <c r="K17" s="246"/>
      <c r="L17" s="261"/>
      <c r="M17" s="250"/>
      <c r="N17" s="246"/>
      <c r="O17" s="274" t="s">
        <v>458</v>
      </c>
      <c r="P17" s="246"/>
      <c r="R17" s="246"/>
      <c r="S17" s="261"/>
      <c r="T17" s="250"/>
      <c r="U17" s="246"/>
      <c r="V17" s="282"/>
      <c r="W17" s="246"/>
      <c r="X17" s="606" t="s">
        <v>434</v>
      </c>
      <c r="Y17" s="246"/>
      <c r="Z17" s="261"/>
      <c r="AA17" s="250"/>
      <c r="AB17" s="246"/>
      <c r="AC17" s="282"/>
      <c r="AD17" s="246"/>
      <c r="AE17" s="311" t="s">
        <v>434</v>
      </c>
      <c r="AF17" s="246"/>
      <c r="AG17" s="261"/>
      <c r="AH17" s="250"/>
      <c r="AI17" s="246"/>
      <c r="AJ17" s="282"/>
      <c r="AK17" s="246"/>
      <c r="AL17" s="282"/>
      <c r="AM17" s="246"/>
      <c r="AN17" s="261"/>
      <c r="AO17" s="286"/>
      <c r="AP17" s="246"/>
      <c r="AR17" s="246"/>
      <c r="AS17" s="252"/>
      <c r="AT17" s="254" t="str">
        <f t="shared" si="3"/>
        <v/>
      </c>
      <c r="AU17" s="269"/>
      <c r="AV17" s="269"/>
    </row>
    <row r="18">
      <c r="A18" s="94"/>
      <c r="B18" s="277" t="s">
        <v>658</v>
      </c>
      <c r="C18" s="278" t="s">
        <v>657</v>
      </c>
      <c r="D18" s="243"/>
      <c r="E18" s="259"/>
      <c r="G18" s="246"/>
      <c r="H18" s="519" t="s">
        <v>458</v>
      </c>
      <c r="I18" s="246"/>
      <c r="K18" s="246"/>
      <c r="L18" s="261"/>
      <c r="M18" s="250"/>
      <c r="N18" s="246"/>
      <c r="O18" s="334" t="s">
        <v>398</v>
      </c>
      <c r="P18" s="246"/>
      <c r="R18" s="246"/>
      <c r="S18" s="261"/>
      <c r="T18" s="250"/>
      <c r="U18" s="246"/>
      <c r="W18" s="246"/>
      <c r="X18" s="334" t="s">
        <v>398</v>
      </c>
      <c r="Y18" s="246"/>
      <c r="Z18" s="261"/>
      <c r="AA18" s="250"/>
      <c r="AB18" s="246"/>
      <c r="AD18" s="246"/>
      <c r="AE18" s="334" t="s">
        <v>398</v>
      </c>
      <c r="AF18" s="246"/>
      <c r="AG18" s="261"/>
      <c r="AH18" s="250"/>
      <c r="AI18" s="246"/>
      <c r="AJ18" s="282"/>
      <c r="AK18" s="246"/>
      <c r="AM18" s="246"/>
      <c r="AN18" s="261"/>
      <c r="AO18" s="250"/>
      <c r="AP18" s="246"/>
      <c r="AQ18" s="276"/>
      <c r="AR18" s="246"/>
      <c r="AS18" s="252"/>
      <c r="AT18" s="254" t="str">
        <f t="shared" ref="AT18:AT21" si="4">IF(COUNTIF($AO$89:$AT$91, #REF!) &gt; 0, "X", "")</f>
        <v/>
      </c>
      <c r="AU18" s="269"/>
      <c r="AV18" s="269"/>
    </row>
    <row r="19">
      <c r="A19" s="94"/>
      <c r="B19" s="314" t="s">
        <v>660</v>
      </c>
      <c r="C19" s="315" t="s">
        <v>649</v>
      </c>
      <c r="D19" s="243"/>
      <c r="E19" s="259"/>
      <c r="F19" s="479"/>
      <c r="G19" s="246"/>
      <c r="H19" s="293" t="s">
        <v>416</v>
      </c>
      <c r="I19" s="246"/>
      <c r="J19" s="293" t="s">
        <v>421</v>
      </c>
      <c r="K19" s="246"/>
      <c r="L19" s="261"/>
      <c r="M19" s="316"/>
      <c r="N19" s="246"/>
      <c r="O19" s="293" t="s">
        <v>416</v>
      </c>
      <c r="P19" s="246"/>
      <c r="Q19" s="293" t="s">
        <v>421</v>
      </c>
      <c r="R19" s="246"/>
      <c r="S19" s="261"/>
      <c r="T19" s="316"/>
      <c r="U19" s="246"/>
      <c r="V19" s="293" t="s">
        <v>416</v>
      </c>
      <c r="W19" s="246"/>
      <c r="X19" s="293" t="s">
        <v>421</v>
      </c>
      <c r="Y19" s="246"/>
      <c r="Z19" s="261"/>
      <c r="AA19" s="316"/>
      <c r="AB19" s="246"/>
      <c r="AC19" s="293" t="s">
        <v>416</v>
      </c>
      <c r="AD19" s="246"/>
      <c r="AE19" s="356" t="s">
        <v>423</v>
      </c>
      <c r="AF19" s="246"/>
      <c r="AG19" s="261"/>
      <c r="AH19" s="316"/>
      <c r="AI19" s="246"/>
      <c r="AJ19" s="293" t="s">
        <v>416</v>
      </c>
      <c r="AK19" s="246"/>
      <c r="AL19" s="632" t="s">
        <v>423</v>
      </c>
      <c r="AM19" s="246"/>
      <c r="AN19" s="261"/>
      <c r="AO19" s="286"/>
      <c r="AP19" s="246"/>
      <c r="AQ19" s="293" t="s">
        <v>426</v>
      </c>
      <c r="AR19" s="246"/>
      <c r="AS19" s="632" t="s">
        <v>423</v>
      </c>
      <c r="AT19" s="254" t="str">
        <f t="shared" si="4"/>
        <v/>
      </c>
      <c r="AU19" s="269"/>
      <c r="AV19" s="269"/>
    </row>
    <row r="20">
      <c r="A20" s="94"/>
      <c r="B20" s="807" t="s">
        <v>1149</v>
      </c>
      <c r="C20" s="808" t="s">
        <v>649</v>
      </c>
      <c r="D20" s="243"/>
      <c r="E20" s="259"/>
      <c r="F20" s="479"/>
      <c r="G20" s="246"/>
      <c r="H20" s="816"/>
      <c r="I20" s="246"/>
      <c r="J20" s="632" t="s">
        <v>423</v>
      </c>
      <c r="K20" s="246"/>
      <c r="L20" s="261"/>
      <c r="M20" s="316"/>
      <c r="N20" s="246"/>
      <c r="O20" s="816"/>
      <c r="P20" s="246"/>
      <c r="Q20" s="816"/>
      <c r="R20" s="246"/>
      <c r="S20" s="261"/>
      <c r="T20" s="316"/>
      <c r="U20" s="246"/>
      <c r="V20" s="816"/>
      <c r="W20" s="246"/>
      <c r="X20" s="253" t="s">
        <v>417</v>
      </c>
      <c r="Y20" s="246"/>
      <c r="Z20" s="261"/>
      <c r="AA20" s="316"/>
      <c r="AB20" s="246"/>
      <c r="AC20" s="816"/>
      <c r="AD20" s="246"/>
      <c r="AE20" s="253" t="s">
        <v>417</v>
      </c>
      <c r="AF20" s="246"/>
      <c r="AG20" s="261"/>
      <c r="AH20" s="316"/>
      <c r="AI20" s="246"/>
      <c r="AJ20" s="816"/>
      <c r="AK20" s="246"/>
      <c r="AL20" s="293" t="s">
        <v>426</v>
      </c>
      <c r="AM20" s="246"/>
      <c r="AN20" s="261"/>
      <c r="AO20" s="286"/>
      <c r="AP20" s="246"/>
      <c r="AQ20" s="816"/>
      <c r="AR20" s="246"/>
      <c r="AS20" s="816"/>
      <c r="AT20" s="254" t="str">
        <f t="shared" si="4"/>
        <v/>
      </c>
      <c r="AU20" s="269"/>
      <c r="AV20" s="269"/>
    </row>
    <row r="21">
      <c r="A21" s="94"/>
      <c r="B21" s="296" t="s">
        <v>650</v>
      </c>
      <c r="C21" s="297" t="s">
        <v>649</v>
      </c>
      <c r="D21" s="243"/>
      <c r="E21" s="259"/>
      <c r="F21" s="317"/>
      <c r="G21" s="298"/>
      <c r="H21" s="300"/>
      <c r="I21" s="298"/>
      <c r="J21" s="300"/>
      <c r="K21" s="298"/>
      <c r="L21" s="261"/>
      <c r="M21" s="250"/>
      <c r="N21" s="298"/>
      <c r="O21" s="300"/>
      <c r="P21" s="298"/>
      <c r="Q21" s="300"/>
      <c r="R21" s="298"/>
      <c r="S21" s="261"/>
      <c r="T21" s="250"/>
      <c r="U21" s="298"/>
      <c r="V21" s="319"/>
      <c r="W21" s="298"/>
      <c r="X21" s="319"/>
      <c r="Y21" s="298"/>
      <c r="Z21" s="261"/>
      <c r="AA21" s="250"/>
      <c r="AB21" s="298"/>
      <c r="AC21" s="319"/>
      <c r="AD21" s="298"/>
      <c r="AE21" s="319"/>
      <c r="AF21" s="298"/>
      <c r="AG21" s="261"/>
      <c r="AH21" s="250"/>
      <c r="AI21" s="298"/>
      <c r="AJ21" s="300"/>
      <c r="AK21" s="298"/>
      <c r="AL21" s="300"/>
      <c r="AM21" s="298"/>
      <c r="AN21" s="261"/>
      <c r="AO21" s="286"/>
      <c r="AP21" s="298"/>
      <c r="AQ21" s="300"/>
      <c r="AR21" s="298"/>
      <c r="AS21" s="299"/>
      <c r="AT21" s="254" t="str">
        <f t="shared" si="4"/>
        <v/>
      </c>
      <c r="AU21" s="269"/>
      <c r="AV21" s="269"/>
    </row>
    <row r="22">
      <c r="A22" s="94"/>
      <c r="B22" s="301" t="s">
        <v>651</v>
      </c>
      <c r="C22" s="302" t="s">
        <v>652</v>
      </c>
      <c r="D22" s="243"/>
      <c r="E22" s="259"/>
      <c r="F22" s="320"/>
      <c r="G22" s="298"/>
      <c r="H22" s="303"/>
      <c r="I22" s="298"/>
      <c r="J22" s="483"/>
      <c r="K22" s="298"/>
      <c r="L22" s="261"/>
      <c r="M22" s="250"/>
      <c r="N22" s="298"/>
      <c r="O22" s="303"/>
      <c r="P22" s="298"/>
      <c r="Q22" s="484"/>
      <c r="R22" s="298"/>
      <c r="S22" s="261"/>
      <c r="T22" s="250"/>
      <c r="U22" s="298"/>
      <c r="V22" s="303"/>
      <c r="W22" s="298"/>
      <c r="X22" s="484"/>
      <c r="Y22" s="298"/>
      <c r="Z22" s="261"/>
      <c r="AA22" s="250"/>
      <c r="AB22" s="298"/>
      <c r="AC22" s="303"/>
      <c r="AD22" s="298"/>
      <c r="AE22" s="303"/>
      <c r="AF22" s="298"/>
      <c r="AG22" s="261"/>
      <c r="AH22" s="250"/>
      <c r="AI22" s="298"/>
      <c r="AJ22" s="303"/>
      <c r="AK22" s="298"/>
      <c r="AL22" s="303"/>
      <c r="AM22" s="298"/>
      <c r="AN22" s="261"/>
      <c r="AO22" s="286"/>
      <c r="AP22" s="298"/>
      <c r="AQ22" s="303"/>
      <c r="AR22" s="298"/>
      <c r="AS22" s="303"/>
      <c r="AT22" s="254" t="str">
        <f>IF(COUNTIF($AO$89:$AT$91, AS22) &gt; 0, "X", "")</f>
        <v/>
      </c>
      <c r="AU22" s="269"/>
      <c r="AV22" s="269"/>
    </row>
    <row r="23">
      <c r="A23" s="94"/>
      <c r="B23" s="322" t="s">
        <v>662</v>
      </c>
      <c r="C23" s="306" t="s">
        <v>663</v>
      </c>
      <c r="D23" s="323"/>
      <c r="E23" s="259"/>
      <c r="F23" s="317"/>
      <c r="G23" s="298"/>
      <c r="H23" s="519" t="s">
        <v>415</v>
      </c>
      <c r="I23" s="298"/>
      <c r="J23" s="519" t="s">
        <v>414</v>
      </c>
      <c r="K23" s="298"/>
      <c r="L23" s="261"/>
      <c r="M23" s="324"/>
      <c r="N23" s="298"/>
      <c r="O23" s="307"/>
      <c r="P23" s="298"/>
      <c r="Q23" s="519" t="s">
        <v>409</v>
      </c>
      <c r="R23" s="298"/>
      <c r="S23" s="261"/>
      <c r="T23" s="324"/>
      <c r="U23" s="298"/>
      <c r="V23" s="307"/>
      <c r="W23" s="298"/>
      <c r="X23" s="519" t="s">
        <v>409</v>
      </c>
      <c r="Y23" s="298"/>
      <c r="Z23" s="261"/>
      <c r="AA23" s="324"/>
      <c r="AB23" s="298"/>
      <c r="AC23" s="307"/>
      <c r="AD23" s="298"/>
      <c r="AE23" s="519" t="s">
        <v>415</v>
      </c>
      <c r="AF23" s="298"/>
      <c r="AG23" s="261"/>
      <c r="AH23" s="324"/>
      <c r="AI23" s="298"/>
      <c r="AJ23" s="519" t="s">
        <v>409</v>
      </c>
      <c r="AK23" s="298"/>
      <c r="AL23" s="519" t="s">
        <v>415</v>
      </c>
      <c r="AM23" s="298"/>
      <c r="AN23" s="261"/>
      <c r="AO23" s="286"/>
      <c r="AP23" s="298"/>
      <c r="AQ23" s="519" t="s">
        <v>415</v>
      </c>
      <c r="AR23" s="298"/>
      <c r="AS23" s="519" t="s">
        <v>409</v>
      </c>
      <c r="AT23" s="254" t="str">
        <f t="shared" ref="AT23:AT24" si="5">IF(COUNTIF($AO$89:$AT$91, #REF!) &gt; 0, "X", "")</f>
        <v/>
      </c>
      <c r="AU23" s="269"/>
      <c r="AV23" s="269"/>
    </row>
    <row r="24">
      <c r="A24" s="94"/>
      <c r="B24" s="328" t="s">
        <v>665</v>
      </c>
      <c r="C24" s="338" t="s">
        <v>1150</v>
      </c>
      <c r="D24" s="330"/>
      <c r="E24" s="259"/>
      <c r="F24" s="515"/>
      <c r="G24" s="246"/>
      <c r="I24" s="246"/>
      <c r="J24" s="274" t="s">
        <v>449</v>
      </c>
      <c r="K24" s="246"/>
      <c r="L24" s="261"/>
      <c r="M24" s="333"/>
      <c r="N24" s="246"/>
      <c r="O24" s="311" t="s">
        <v>1115</v>
      </c>
      <c r="P24" s="246"/>
      <c r="Q24" s="274" t="s">
        <v>449</v>
      </c>
      <c r="R24" s="246"/>
      <c r="S24" s="261"/>
      <c r="T24" s="333"/>
      <c r="U24" s="246"/>
      <c r="V24" s="606" t="s">
        <v>1115</v>
      </c>
      <c r="W24" s="246"/>
      <c r="X24" s="274" t="s">
        <v>449</v>
      </c>
      <c r="Y24" s="246"/>
      <c r="Z24" s="261"/>
      <c r="AA24" s="333"/>
      <c r="AB24" s="246"/>
      <c r="AC24" s="606" t="s">
        <v>1115</v>
      </c>
      <c r="AD24" s="246"/>
      <c r="AE24" s="519" t="s">
        <v>449</v>
      </c>
      <c r="AF24" s="246"/>
      <c r="AG24" s="261"/>
      <c r="AH24" s="333"/>
      <c r="AI24" s="246"/>
      <c r="AJ24" s="274" t="s">
        <v>439</v>
      </c>
      <c r="AK24" s="246"/>
      <c r="AL24" s="311" t="s">
        <v>434</v>
      </c>
      <c r="AM24" s="246"/>
      <c r="AN24" s="261"/>
      <c r="AO24" s="286"/>
      <c r="AP24" s="246"/>
      <c r="AR24" s="246"/>
      <c r="AT24" s="254" t="str">
        <f t="shared" si="5"/>
        <v/>
      </c>
      <c r="AU24" s="269"/>
      <c r="AV24" s="269"/>
    </row>
    <row r="25">
      <c r="A25" s="94"/>
      <c r="B25" s="337" t="s">
        <v>665</v>
      </c>
      <c r="C25" s="338" t="s">
        <v>1151</v>
      </c>
      <c r="D25" s="330"/>
      <c r="E25" s="259"/>
      <c r="F25" s="479"/>
      <c r="G25" s="246"/>
      <c r="H25" s="606" t="s">
        <v>1115</v>
      </c>
      <c r="I25" s="246"/>
      <c r="J25" s="311" t="s">
        <v>434</v>
      </c>
      <c r="K25" s="246"/>
      <c r="L25" s="261"/>
      <c r="M25" s="333"/>
      <c r="N25" s="246"/>
      <c r="O25" s="606" t="s">
        <v>1087</v>
      </c>
      <c r="P25" s="246"/>
      <c r="Q25" s="688" t="s">
        <v>447</v>
      </c>
      <c r="R25" s="246"/>
      <c r="S25" s="261"/>
      <c r="T25" s="324"/>
      <c r="U25" s="246"/>
      <c r="V25" s="274" t="s">
        <v>439</v>
      </c>
      <c r="W25" s="246"/>
      <c r="X25" s="688" t="s">
        <v>447</v>
      </c>
      <c r="Y25" s="246"/>
      <c r="Z25" s="261"/>
      <c r="AA25" s="324"/>
      <c r="AB25" s="246"/>
      <c r="AC25" s="519" t="s">
        <v>458</v>
      </c>
      <c r="AD25" s="246"/>
      <c r="AE25" s="274" t="s">
        <v>443</v>
      </c>
      <c r="AF25" s="246"/>
      <c r="AG25" s="261"/>
      <c r="AH25" s="324"/>
      <c r="AI25" s="246"/>
      <c r="AJ25" s="311" t="s">
        <v>1115</v>
      </c>
      <c r="AK25" s="246"/>
      <c r="AL25" s="339" t="s">
        <v>447</v>
      </c>
      <c r="AM25" s="246"/>
      <c r="AN25" s="261"/>
      <c r="AO25" s="286"/>
      <c r="AP25" s="246"/>
      <c r="AQ25" s="274" t="s">
        <v>458</v>
      </c>
      <c r="AR25" s="246"/>
      <c r="AS25" s="274" t="s">
        <v>449</v>
      </c>
      <c r="AT25" s="254" t="str">
        <f>IF(COUNTIF($AO$89:$AT$91, AL26) &gt; 0, "X", "")</f>
        <v/>
      </c>
      <c r="AU25" s="269"/>
      <c r="AV25" s="269"/>
    </row>
    <row r="26">
      <c r="A26" s="94"/>
      <c r="B26" s="256" t="s">
        <v>665</v>
      </c>
      <c r="C26" s="338" t="s">
        <v>1152</v>
      </c>
      <c r="D26" s="330"/>
      <c r="E26" s="259"/>
      <c r="F26" s="479"/>
      <c r="G26" s="246"/>
      <c r="H26" s="606" t="s">
        <v>1087</v>
      </c>
      <c r="I26" s="246"/>
      <c r="J26" s="339" t="s">
        <v>447</v>
      </c>
      <c r="K26" s="246"/>
      <c r="L26" s="261"/>
      <c r="M26" s="333"/>
      <c r="N26" s="246"/>
      <c r="O26" s="311" t="s">
        <v>459</v>
      </c>
      <c r="P26" s="246"/>
      <c r="Q26" s="519" t="s">
        <v>443</v>
      </c>
      <c r="R26" s="246"/>
      <c r="S26" s="261"/>
      <c r="T26" s="341"/>
      <c r="U26" s="246"/>
      <c r="V26" s="519" t="s">
        <v>458</v>
      </c>
      <c r="W26" s="246"/>
      <c r="X26" s="274" t="s">
        <v>443</v>
      </c>
      <c r="Y26" s="246"/>
      <c r="Z26" s="261"/>
      <c r="AA26" s="341"/>
      <c r="AB26" s="246"/>
      <c r="AC26" s="311" t="s">
        <v>459</v>
      </c>
      <c r="AD26" s="246"/>
      <c r="AE26" s="606" t="s">
        <v>1087</v>
      </c>
      <c r="AF26" s="246"/>
      <c r="AG26" s="261"/>
      <c r="AH26" s="341"/>
      <c r="AI26" s="246"/>
      <c r="AJ26" s="311" t="s">
        <v>459</v>
      </c>
      <c r="AK26" s="246"/>
      <c r="AL26" s="274" t="s">
        <v>443</v>
      </c>
      <c r="AM26" s="246"/>
      <c r="AN26" s="261"/>
      <c r="AO26" s="286"/>
      <c r="AP26" s="246"/>
      <c r="AQ26" s="606" t="s">
        <v>459</v>
      </c>
      <c r="AR26" s="246"/>
      <c r="AS26" s="606" t="s">
        <v>434</v>
      </c>
      <c r="AT26" s="254" t="str">
        <f t="shared" ref="AT26:AT31" si="6">IF(COUNTIF($AO$89:$AT$91, #REF!) &gt; 0, "X", "")</f>
        <v/>
      </c>
      <c r="AU26" s="269"/>
      <c r="AV26" s="269"/>
    </row>
    <row r="27">
      <c r="A27" s="94"/>
      <c r="B27" s="328" t="s">
        <v>665</v>
      </c>
      <c r="C27" s="338" t="s">
        <v>1153</v>
      </c>
      <c r="D27" s="330"/>
      <c r="E27" s="259"/>
      <c r="G27" s="246"/>
      <c r="I27" s="246"/>
      <c r="J27" s="274" t="s">
        <v>448</v>
      </c>
      <c r="K27" s="246"/>
      <c r="L27" s="261"/>
      <c r="M27" s="333"/>
      <c r="N27" s="246"/>
      <c r="O27" s="606" t="s">
        <v>439</v>
      </c>
      <c r="P27" s="246"/>
      <c r="R27" s="246"/>
      <c r="S27" s="261"/>
      <c r="T27" s="341"/>
      <c r="U27" s="246"/>
      <c r="W27" s="246"/>
      <c r="X27" s="606" t="s">
        <v>1087</v>
      </c>
      <c r="Y27" s="246"/>
      <c r="Z27" s="261"/>
      <c r="AA27" s="341"/>
      <c r="AB27" s="246"/>
      <c r="AD27" s="246"/>
      <c r="AE27" s="688" t="s">
        <v>468</v>
      </c>
      <c r="AF27" s="246"/>
      <c r="AG27" s="261"/>
      <c r="AH27" s="341"/>
      <c r="AI27" s="246"/>
      <c r="AJ27" s="336" t="s">
        <v>450</v>
      </c>
      <c r="AK27" s="246"/>
      <c r="AL27" s="688" t="s">
        <v>468</v>
      </c>
      <c r="AM27" s="246"/>
      <c r="AN27" s="261"/>
      <c r="AO27" s="286"/>
      <c r="AP27" s="246"/>
      <c r="AR27" s="246"/>
      <c r="AT27" s="254" t="str">
        <f t="shared" si="6"/>
        <v/>
      </c>
      <c r="AU27" s="269"/>
      <c r="AV27" s="269"/>
    </row>
    <row r="28">
      <c r="A28" s="270"/>
      <c r="B28" s="328" t="s">
        <v>665</v>
      </c>
      <c r="C28" s="811" t="s">
        <v>1154</v>
      </c>
      <c r="D28" s="379"/>
      <c r="E28" s="380"/>
      <c r="G28" s="246"/>
      <c r="H28" s="606" t="s">
        <v>459</v>
      </c>
      <c r="I28" s="246"/>
      <c r="J28" s="519" t="s">
        <v>409</v>
      </c>
      <c r="K28" s="246"/>
      <c r="L28" s="381"/>
      <c r="M28" s="333"/>
      <c r="N28" s="246"/>
      <c r="O28" s="519" t="s">
        <v>415</v>
      </c>
      <c r="P28" s="246"/>
      <c r="Q28" s="519" t="s">
        <v>448</v>
      </c>
      <c r="R28" s="246"/>
      <c r="S28" s="381"/>
      <c r="T28" s="341"/>
      <c r="U28" s="246"/>
      <c r="V28" s="334" t="s">
        <v>450</v>
      </c>
      <c r="W28" s="246"/>
      <c r="X28" s="519" t="s">
        <v>448</v>
      </c>
      <c r="Y28" s="246"/>
      <c r="Z28" s="381"/>
      <c r="AA28" s="341"/>
      <c r="AB28" s="246"/>
      <c r="AC28" s="334" t="s">
        <v>450</v>
      </c>
      <c r="AD28" s="246"/>
      <c r="AE28" s="519" t="s">
        <v>448</v>
      </c>
      <c r="AF28" s="246"/>
      <c r="AG28" s="381"/>
      <c r="AH28" s="341"/>
      <c r="AI28" s="246"/>
      <c r="AJ28" s="334" t="s">
        <v>398</v>
      </c>
      <c r="AK28" s="246"/>
      <c r="AL28" s="606" t="s">
        <v>1087</v>
      </c>
      <c r="AM28" s="246"/>
      <c r="AN28" s="381"/>
      <c r="AO28" s="286"/>
      <c r="AP28" s="246"/>
      <c r="AQ28" s="334" t="s">
        <v>450</v>
      </c>
      <c r="AR28" s="246"/>
      <c r="AS28" s="688" t="s">
        <v>447</v>
      </c>
      <c r="AT28" s="254" t="str">
        <f t="shared" si="6"/>
        <v/>
      </c>
      <c r="AU28" s="269"/>
      <c r="AV28" s="269"/>
    </row>
    <row r="29">
      <c r="A29" s="234"/>
      <c r="B29" s="328" t="s">
        <v>665</v>
      </c>
      <c r="C29" s="338" t="s">
        <v>1155</v>
      </c>
      <c r="D29" s="363"/>
      <c r="E29" s="259"/>
      <c r="G29" s="246"/>
      <c r="I29" s="246"/>
      <c r="K29" s="246"/>
      <c r="L29" s="261"/>
      <c r="M29" s="341"/>
      <c r="N29" s="246"/>
      <c r="P29" s="246"/>
      <c r="R29" s="246"/>
      <c r="S29" s="261"/>
      <c r="T29" s="341"/>
      <c r="U29" s="246"/>
      <c r="W29" s="246"/>
      <c r="X29" s="339" t="s">
        <v>468</v>
      </c>
      <c r="Y29" s="246"/>
      <c r="Z29" s="261"/>
      <c r="AA29" s="341"/>
      <c r="AB29" s="246"/>
      <c r="AD29" s="246"/>
      <c r="AF29" s="246"/>
      <c r="AG29" s="261"/>
      <c r="AH29" s="341"/>
      <c r="AI29" s="246"/>
      <c r="AK29" s="246"/>
      <c r="AL29" s="519" t="s">
        <v>448</v>
      </c>
      <c r="AM29" s="246"/>
      <c r="AN29" s="261"/>
      <c r="AO29" s="817"/>
      <c r="AP29" s="246"/>
      <c r="AR29" s="246"/>
      <c r="AS29" s="252"/>
      <c r="AT29" s="254" t="str">
        <f t="shared" si="6"/>
        <v/>
      </c>
      <c r="AU29" s="269"/>
      <c r="AV29" s="269"/>
    </row>
    <row r="30">
      <c r="A30" s="94"/>
      <c r="B30" s="342" t="s">
        <v>667</v>
      </c>
      <c r="C30" s="343" t="s">
        <v>657</v>
      </c>
      <c r="D30" s="323"/>
      <c r="E30" s="261"/>
      <c r="F30" s="572" t="s">
        <v>401</v>
      </c>
      <c r="G30" s="246"/>
      <c r="I30" s="246"/>
      <c r="K30" s="246"/>
      <c r="L30" s="261"/>
      <c r="M30" s="346"/>
      <c r="N30" s="246"/>
      <c r="O30" s="345" t="s">
        <v>401</v>
      </c>
      <c r="P30" s="246"/>
      <c r="R30" s="246"/>
      <c r="S30" s="261"/>
      <c r="T30" s="345" t="s">
        <v>401</v>
      </c>
      <c r="U30" s="246"/>
      <c r="W30" s="246"/>
      <c r="Y30" s="246"/>
      <c r="Z30" s="261"/>
      <c r="AA30" s="346"/>
      <c r="AB30" s="246"/>
      <c r="AC30" s="347" t="s">
        <v>401</v>
      </c>
      <c r="AD30" s="246"/>
      <c r="AF30" s="246"/>
      <c r="AG30" s="261"/>
      <c r="AH30" s="346"/>
      <c r="AI30" s="246"/>
      <c r="AJ30" s="345" t="s">
        <v>401</v>
      </c>
      <c r="AK30" s="246"/>
      <c r="AM30" s="246"/>
      <c r="AN30" s="261"/>
      <c r="AO30" s="286"/>
      <c r="AP30" s="246"/>
      <c r="AQ30" s="345" t="s">
        <v>401</v>
      </c>
      <c r="AR30" s="246"/>
      <c r="AS30" s="252"/>
      <c r="AT30" s="254" t="str">
        <f t="shared" si="6"/>
        <v/>
      </c>
      <c r="AU30" s="269"/>
      <c r="AV30" s="269"/>
    </row>
    <row r="31">
      <c r="A31" s="234"/>
      <c r="B31" s="349" t="s">
        <v>669</v>
      </c>
      <c r="C31" s="350" t="s">
        <v>649</v>
      </c>
      <c r="D31" s="351"/>
      <c r="E31" s="259"/>
      <c r="F31" s="293" t="s">
        <v>422</v>
      </c>
      <c r="G31" s="246"/>
      <c r="H31" s="355" t="s">
        <v>420</v>
      </c>
      <c r="I31" s="246"/>
      <c r="J31" s="293" t="s">
        <v>426</v>
      </c>
      <c r="K31" s="246"/>
      <c r="L31" s="261"/>
      <c r="M31" s="354"/>
      <c r="N31" s="246"/>
      <c r="O31" s="355" t="s">
        <v>420</v>
      </c>
      <c r="P31" s="246"/>
      <c r="Q31" s="293" t="s">
        <v>422</v>
      </c>
      <c r="R31" s="246"/>
      <c r="S31" s="261"/>
      <c r="T31" s="354"/>
      <c r="U31" s="246"/>
      <c r="V31" s="355" t="s">
        <v>420</v>
      </c>
      <c r="W31" s="246"/>
      <c r="X31" s="293" t="s">
        <v>426</v>
      </c>
      <c r="Y31" s="246"/>
      <c r="Z31" s="261"/>
      <c r="AA31" s="354"/>
      <c r="AB31" s="246"/>
      <c r="AC31" s="355" t="s">
        <v>670</v>
      </c>
      <c r="AD31" s="246"/>
      <c r="AE31" s="353" t="s">
        <v>421</v>
      </c>
      <c r="AF31" s="246"/>
      <c r="AG31" s="261"/>
      <c r="AH31" s="354"/>
      <c r="AI31" s="246"/>
      <c r="AJ31" s="355" t="s">
        <v>420</v>
      </c>
      <c r="AK31" s="246"/>
      <c r="AL31" s="293" t="s">
        <v>422</v>
      </c>
      <c r="AM31" s="246"/>
      <c r="AN31" s="261"/>
      <c r="AO31" s="286"/>
      <c r="AP31" s="246"/>
      <c r="AQ31" s="253" t="s">
        <v>417</v>
      </c>
      <c r="AR31" s="246"/>
      <c r="AS31" s="293" t="s">
        <v>422</v>
      </c>
      <c r="AT31" s="254" t="str">
        <f t="shared" si="6"/>
        <v/>
      </c>
      <c r="AU31" s="269"/>
      <c r="AV31" s="269"/>
    </row>
    <row r="32">
      <c r="A32" s="94"/>
      <c r="B32" s="807" t="s">
        <v>1156</v>
      </c>
      <c r="C32" s="808" t="s">
        <v>649</v>
      </c>
      <c r="D32" s="351"/>
      <c r="E32" s="259"/>
      <c r="F32" s="818"/>
      <c r="G32" s="246"/>
      <c r="H32" s="813" t="s">
        <v>1157</v>
      </c>
      <c r="I32" s="246"/>
      <c r="J32" s="818"/>
      <c r="K32" s="246"/>
      <c r="L32" s="261"/>
      <c r="M32" s="354"/>
      <c r="N32" s="246"/>
      <c r="O32" s="813" t="s">
        <v>1157</v>
      </c>
      <c r="P32" s="246"/>
      <c r="Q32" s="818"/>
      <c r="R32" s="246"/>
      <c r="S32" s="261"/>
      <c r="T32" s="354"/>
      <c r="U32" s="246"/>
      <c r="V32" s="813" t="s">
        <v>1157</v>
      </c>
      <c r="W32" s="246"/>
      <c r="X32" s="818"/>
      <c r="Y32" s="246"/>
      <c r="Z32" s="261"/>
      <c r="AA32" s="354"/>
      <c r="AB32" s="246"/>
      <c r="AC32" s="813" t="s">
        <v>1157</v>
      </c>
      <c r="AD32" s="246"/>
      <c r="AE32" s="818"/>
      <c r="AF32" s="246"/>
      <c r="AG32" s="261"/>
      <c r="AH32" s="354"/>
      <c r="AI32" s="246"/>
      <c r="AJ32" s="813" t="s">
        <v>1157</v>
      </c>
      <c r="AK32" s="246"/>
      <c r="AL32" s="816"/>
      <c r="AM32" s="246"/>
      <c r="AN32" s="261"/>
      <c r="AO32" s="286"/>
      <c r="AP32" s="246"/>
      <c r="AQ32" s="816"/>
      <c r="AR32" s="246"/>
      <c r="AS32" s="816"/>
      <c r="AT32" s="254"/>
      <c r="AU32" s="269"/>
      <c r="AV32" s="269"/>
    </row>
    <row r="33">
      <c r="A33" s="94"/>
      <c r="B33" s="296" t="s">
        <v>650</v>
      </c>
      <c r="C33" s="297" t="s">
        <v>649</v>
      </c>
      <c r="D33" s="323"/>
      <c r="E33" s="259"/>
      <c r="F33" s="300"/>
      <c r="G33" s="298"/>
      <c r="H33" s="358" t="s">
        <v>397</v>
      </c>
      <c r="I33" s="298"/>
      <c r="J33" s="300"/>
      <c r="K33" s="298"/>
      <c r="L33" s="261"/>
      <c r="M33" s="324"/>
      <c r="N33" s="298"/>
      <c r="O33" s="358" t="s">
        <v>397</v>
      </c>
      <c r="P33" s="298"/>
      <c r="Q33" s="300"/>
      <c r="R33" s="298"/>
      <c r="S33" s="261"/>
      <c r="T33" s="324"/>
      <c r="U33" s="298"/>
      <c r="V33" s="358" t="s">
        <v>397</v>
      </c>
      <c r="W33" s="298"/>
      <c r="X33" s="319"/>
      <c r="Y33" s="298"/>
      <c r="Z33" s="261"/>
      <c r="AA33" s="324"/>
      <c r="AB33" s="298"/>
      <c r="AC33" s="358" t="s">
        <v>397</v>
      </c>
      <c r="AD33" s="298"/>
      <c r="AE33" s="319"/>
      <c r="AF33" s="298"/>
      <c r="AG33" s="261"/>
      <c r="AH33" s="324"/>
      <c r="AI33" s="298"/>
      <c r="AJ33" s="358" t="s">
        <v>397</v>
      </c>
      <c r="AK33" s="298"/>
      <c r="AL33" s="319"/>
      <c r="AM33" s="298"/>
      <c r="AN33" s="261"/>
      <c r="AO33" s="286"/>
      <c r="AP33" s="298"/>
      <c r="AQ33" s="358"/>
      <c r="AR33" s="298"/>
      <c r="AS33" s="359"/>
      <c r="AT33" s="254" t="str">
        <f>IF(COUNTIF($AO$89:$AT$91, #REF!) &gt; 0, "X", "")</f>
        <v/>
      </c>
      <c r="AU33" s="269"/>
      <c r="AV33" s="269"/>
    </row>
    <row r="34">
      <c r="A34" s="94"/>
      <c r="B34" s="301" t="s">
        <v>651</v>
      </c>
      <c r="C34" s="302" t="s">
        <v>652</v>
      </c>
      <c r="D34" s="330"/>
      <c r="E34" s="259"/>
      <c r="F34" s="303"/>
      <c r="G34" s="298"/>
      <c r="H34" s="304"/>
      <c r="I34" s="298"/>
      <c r="J34" s="483"/>
      <c r="K34" s="298"/>
      <c r="L34" s="261"/>
      <c r="M34" s="250"/>
      <c r="N34" s="298"/>
      <c r="O34" s="303"/>
      <c r="P34" s="298"/>
      <c r="Q34" s="303"/>
      <c r="R34" s="298"/>
      <c r="S34" s="261"/>
      <c r="T34" s="250"/>
      <c r="U34" s="298"/>
      <c r="V34" s="303"/>
      <c r="W34" s="298"/>
      <c r="X34" s="483"/>
      <c r="Y34" s="298"/>
      <c r="Z34" s="261"/>
      <c r="AA34" s="250"/>
      <c r="AB34" s="298"/>
      <c r="AC34" s="304"/>
      <c r="AD34" s="298"/>
      <c r="AE34" s="303"/>
      <c r="AF34" s="298"/>
      <c r="AG34" s="261"/>
      <c r="AH34" s="250"/>
      <c r="AI34" s="298"/>
      <c r="AJ34" s="304"/>
      <c r="AK34" s="298"/>
      <c r="AL34" s="483"/>
      <c r="AM34" s="298"/>
      <c r="AN34" s="261"/>
      <c r="AO34" s="286"/>
      <c r="AP34" s="298"/>
      <c r="AQ34" s="303"/>
      <c r="AR34" s="298"/>
      <c r="AS34" s="303"/>
      <c r="AT34" s="254" t="str">
        <f>IF(COUNTIF($AO$89:$AT$91, AS34) &gt; 0, "X", "")</f>
        <v/>
      </c>
      <c r="AU34" s="269"/>
      <c r="AV34" s="269"/>
    </row>
    <row r="35">
      <c r="A35" s="94"/>
      <c r="B35" s="361" t="s">
        <v>673</v>
      </c>
      <c r="C35" s="362" t="s">
        <v>674</v>
      </c>
      <c r="D35" s="363"/>
      <c r="E35" s="259"/>
      <c r="F35" s="660" t="s">
        <v>433</v>
      </c>
      <c r="G35" s="298"/>
      <c r="H35" s="336" t="s">
        <v>412</v>
      </c>
      <c r="I35" s="298"/>
      <c r="J35" s="606" t="s">
        <v>394</v>
      </c>
      <c r="K35" s="298"/>
      <c r="L35" s="261"/>
      <c r="M35" s="324"/>
      <c r="N35" s="298"/>
      <c r="O35" s="336" t="s">
        <v>412</v>
      </c>
      <c r="P35" s="298"/>
      <c r="Q35" s="606" t="s">
        <v>394</v>
      </c>
      <c r="R35" s="298"/>
      <c r="S35" s="261"/>
      <c r="T35" s="324"/>
      <c r="U35" s="298"/>
      <c r="V35" s="336" t="s">
        <v>412</v>
      </c>
      <c r="W35" s="298"/>
      <c r="X35" s="251" t="s">
        <v>457</v>
      </c>
      <c r="Y35" s="298"/>
      <c r="Z35" s="261"/>
      <c r="AA35" s="324"/>
      <c r="AB35" s="298"/>
      <c r="AC35" s="336" t="s">
        <v>412</v>
      </c>
      <c r="AD35" s="298"/>
      <c r="AE35" s="251" t="s">
        <v>457</v>
      </c>
      <c r="AF35" s="298"/>
      <c r="AG35" s="261"/>
      <c r="AH35" s="324"/>
      <c r="AI35" s="298"/>
      <c r="AJ35" s="336" t="s">
        <v>412</v>
      </c>
      <c r="AK35" s="298"/>
      <c r="AL35" s="660" t="s">
        <v>457</v>
      </c>
      <c r="AM35" s="298"/>
      <c r="AN35" s="261"/>
      <c r="AO35" s="286"/>
      <c r="AP35" s="298"/>
      <c r="AQ35" s="251" t="s">
        <v>457</v>
      </c>
      <c r="AR35" s="298"/>
      <c r="AS35" s="251" t="s">
        <v>433</v>
      </c>
      <c r="AT35" s="254" t="str">
        <f t="shared" ref="AT35:AT40" si="7">IF(COUNTIF($AO$89:$AT$91, #REF!) &gt; 0, "X", "")</f>
        <v/>
      </c>
      <c r="AU35" s="269"/>
      <c r="AV35" s="269"/>
    </row>
    <row r="36">
      <c r="A36" s="94"/>
      <c r="B36" s="367" t="s">
        <v>677</v>
      </c>
      <c r="C36" s="368" t="s">
        <v>674</v>
      </c>
      <c r="D36" s="369"/>
      <c r="E36" s="259"/>
      <c r="F36" s="282"/>
      <c r="G36" s="246"/>
      <c r="I36" s="246"/>
      <c r="J36" s="339" t="s">
        <v>931</v>
      </c>
      <c r="K36" s="246"/>
      <c r="L36" s="261"/>
      <c r="M36" s="250"/>
      <c r="N36" s="246"/>
      <c r="P36" s="246"/>
      <c r="R36" s="246"/>
      <c r="S36" s="261"/>
      <c r="T36" s="250"/>
      <c r="U36" s="246"/>
      <c r="W36" s="246"/>
      <c r="X36" s="339" t="s">
        <v>931</v>
      </c>
      <c r="Y36" s="246"/>
      <c r="Z36" s="261"/>
      <c r="AA36" s="250"/>
      <c r="AB36" s="246"/>
      <c r="AD36" s="246"/>
      <c r="AF36" s="246"/>
      <c r="AG36" s="261"/>
      <c r="AH36" s="250"/>
      <c r="AI36" s="246"/>
      <c r="AK36" s="246"/>
      <c r="AL36" s="339" t="s">
        <v>931</v>
      </c>
      <c r="AM36" s="246"/>
      <c r="AN36" s="261"/>
      <c r="AO36" s="286"/>
      <c r="AP36" s="246"/>
      <c r="AR36" s="246"/>
      <c r="AT36" s="254" t="str">
        <f t="shared" si="7"/>
        <v/>
      </c>
      <c r="AU36" s="269"/>
      <c r="AV36" s="269"/>
    </row>
    <row r="37">
      <c r="A37" s="372"/>
      <c r="B37" s="256" t="s">
        <v>679</v>
      </c>
      <c r="C37" s="257" t="s">
        <v>680</v>
      </c>
      <c r="D37" s="330"/>
      <c r="E37" s="259"/>
      <c r="F37" s="311" t="s">
        <v>393</v>
      </c>
      <c r="G37" s="246"/>
      <c r="H37" s="374" t="s">
        <v>436</v>
      </c>
      <c r="I37" s="246"/>
      <c r="J37" s="376" t="s">
        <v>453</v>
      </c>
      <c r="K37" s="246"/>
      <c r="L37" s="261"/>
      <c r="M37" s="333"/>
      <c r="N37" s="246"/>
      <c r="O37" s="374" t="s">
        <v>436</v>
      </c>
      <c r="P37" s="246"/>
      <c r="Q37" s="688" t="s">
        <v>468</v>
      </c>
      <c r="R37" s="246"/>
      <c r="S37" s="261"/>
      <c r="T37" s="333"/>
      <c r="U37" s="246"/>
      <c r="V37" s="311" t="s">
        <v>436</v>
      </c>
      <c r="W37" s="246"/>
      <c r="X37" s="251" t="s">
        <v>433</v>
      </c>
      <c r="Y37" s="246"/>
      <c r="Z37" s="261"/>
      <c r="AA37" s="333"/>
      <c r="AB37" s="246"/>
      <c r="AC37" s="519" t="s">
        <v>406</v>
      </c>
      <c r="AD37" s="246"/>
      <c r="AE37" s="251" t="s">
        <v>433</v>
      </c>
      <c r="AF37" s="246"/>
      <c r="AG37" s="261"/>
      <c r="AH37" s="333"/>
      <c r="AI37" s="246"/>
      <c r="AJ37" s="340" t="s">
        <v>406</v>
      </c>
      <c r="AK37" s="246"/>
      <c r="AL37" s="660" t="s">
        <v>433</v>
      </c>
      <c r="AM37" s="246"/>
      <c r="AN37" s="261"/>
      <c r="AO37" s="286"/>
      <c r="AP37" s="246"/>
      <c r="AQ37" s="311" t="s">
        <v>436</v>
      </c>
      <c r="AR37" s="246"/>
      <c r="AS37" s="274" t="s">
        <v>443</v>
      </c>
      <c r="AT37" s="254" t="str">
        <f t="shared" si="7"/>
        <v/>
      </c>
      <c r="AU37" s="269"/>
      <c r="AV37" s="269"/>
    </row>
    <row r="38">
      <c r="A38" s="94"/>
      <c r="B38" s="328" t="s">
        <v>679</v>
      </c>
      <c r="C38" s="329" t="s">
        <v>652</v>
      </c>
      <c r="D38" s="330"/>
      <c r="E38" s="259"/>
      <c r="G38" s="246"/>
      <c r="I38" s="246"/>
      <c r="K38" s="246"/>
      <c r="L38" s="261"/>
      <c r="M38" s="346"/>
      <c r="N38" s="246"/>
      <c r="P38" s="246"/>
      <c r="Q38" s="688" t="s">
        <v>931</v>
      </c>
      <c r="R38" s="246"/>
      <c r="S38" s="261"/>
      <c r="T38" s="346"/>
      <c r="U38" s="246"/>
      <c r="W38" s="246"/>
      <c r="Y38" s="246"/>
      <c r="Z38" s="261"/>
      <c r="AA38" s="346"/>
      <c r="AB38" s="246"/>
      <c r="AD38" s="246"/>
      <c r="AE38" s="688" t="s">
        <v>931</v>
      </c>
      <c r="AF38" s="246"/>
      <c r="AG38" s="261"/>
      <c r="AH38" s="346"/>
      <c r="AI38" s="246"/>
      <c r="AK38" s="246"/>
      <c r="AM38" s="246"/>
      <c r="AN38" s="261"/>
      <c r="AO38" s="286"/>
      <c r="AP38" s="246"/>
      <c r="AR38" s="246"/>
      <c r="AT38" s="254" t="str">
        <f t="shared" si="7"/>
        <v/>
      </c>
      <c r="AU38" s="269"/>
      <c r="AV38" s="269"/>
    </row>
    <row r="39">
      <c r="A39" s="94"/>
      <c r="B39" s="328" t="s">
        <v>679</v>
      </c>
      <c r="C39" s="329" t="s">
        <v>683</v>
      </c>
      <c r="D39" s="330"/>
      <c r="E39" s="259"/>
      <c r="F39" s="819" t="s">
        <v>437</v>
      </c>
      <c r="G39" s="246"/>
      <c r="H39" s="606" t="s">
        <v>439</v>
      </c>
      <c r="I39" s="246"/>
      <c r="K39" s="246"/>
      <c r="L39" s="261"/>
      <c r="M39" s="341"/>
      <c r="N39" s="246"/>
      <c r="O39" s="274" t="s">
        <v>406</v>
      </c>
      <c r="P39" s="246"/>
      <c r="R39" s="246"/>
      <c r="S39" s="261"/>
      <c r="T39" s="341"/>
      <c r="U39" s="246"/>
      <c r="V39" s="274" t="s">
        <v>406</v>
      </c>
      <c r="W39" s="246"/>
      <c r="Y39" s="246"/>
      <c r="Z39" s="261"/>
      <c r="AA39" s="341"/>
      <c r="AB39" s="246"/>
      <c r="AC39" s="519" t="s">
        <v>439</v>
      </c>
      <c r="AD39" s="246"/>
      <c r="AF39" s="246"/>
      <c r="AG39" s="261"/>
      <c r="AH39" s="341"/>
      <c r="AI39" s="246"/>
      <c r="AJ39" s="311" t="s">
        <v>436</v>
      </c>
      <c r="AK39" s="246"/>
      <c r="AM39" s="246"/>
      <c r="AN39" s="261"/>
      <c r="AO39" s="286"/>
      <c r="AP39" s="246"/>
      <c r="AQ39" s="820" t="s">
        <v>406</v>
      </c>
      <c r="AR39" s="246"/>
      <c r="AT39" s="254" t="str">
        <f t="shared" si="7"/>
        <v/>
      </c>
      <c r="AU39" s="269"/>
      <c r="AV39" s="269"/>
    </row>
    <row r="40">
      <c r="A40" s="94"/>
      <c r="B40" s="328" t="s">
        <v>679</v>
      </c>
      <c r="C40" s="338" t="s">
        <v>1158</v>
      </c>
      <c r="D40" s="330"/>
      <c r="E40" s="259"/>
      <c r="G40" s="246"/>
      <c r="I40" s="246"/>
      <c r="J40" s="688" t="s">
        <v>468</v>
      </c>
      <c r="K40" s="246"/>
      <c r="L40" s="261"/>
      <c r="M40" s="250"/>
      <c r="N40" s="246"/>
      <c r="P40" s="246"/>
      <c r="Q40" s="606" t="s">
        <v>455</v>
      </c>
      <c r="R40" s="246"/>
      <c r="S40" s="261"/>
      <c r="T40" s="250"/>
      <c r="U40" s="246"/>
      <c r="W40" s="246"/>
      <c r="X40" s="602" t="s">
        <v>466</v>
      </c>
      <c r="Y40" s="246"/>
      <c r="Z40" s="261"/>
      <c r="AA40" s="250"/>
      <c r="AB40" s="246"/>
      <c r="AD40" s="246"/>
      <c r="AE40" s="311" t="s">
        <v>455</v>
      </c>
      <c r="AF40" s="246"/>
      <c r="AG40" s="261"/>
      <c r="AH40" s="250"/>
      <c r="AI40" s="246"/>
      <c r="AK40" s="246"/>
      <c r="AL40" s="606" t="s">
        <v>394</v>
      </c>
      <c r="AM40" s="246"/>
      <c r="AN40" s="261"/>
      <c r="AO40" s="286"/>
      <c r="AP40" s="246"/>
      <c r="AR40" s="246"/>
      <c r="AS40" s="311" t="s">
        <v>394</v>
      </c>
      <c r="AT40" s="254" t="str">
        <f t="shared" si="7"/>
        <v/>
      </c>
      <c r="AU40" s="269"/>
      <c r="AV40" s="269"/>
    </row>
    <row r="41">
      <c r="A41" s="94"/>
      <c r="D41" s="330"/>
      <c r="E41" s="259"/>
      <c r="G41" s="246"/>
      <c r="H41" s="385"/>
      <c r="I41" s="246"/>
      <c r="K41" s="246"/>
      <c r="L41" s="261"/>
      <c r="M41" s="250"/>
      <c r="N41" s="246"/>
      <c r="O41" s="385"/>
      <c r="P41" s="246"/>
      <c r="Q41" s="731"/>
      <c r="R41" s="246"/>
      <c r="S41" s="261"/>
      <c r="T41" s="250"/>
      <c r="U41" s="246"/>
      <c r="V41" s="730"/>
      <c r="W41" s="246"/>
      <c r="Y41" s="246"/>
      <c r="Z41" s="261"/>
      <c r="AA41" s="250"/>
      <c r="AB41" s="246"/>
      <c r="AD41" s="246"/>
      <c r="AE41" s="731"/>
      <c r="AF41" s="246"/>
      <c r="AG41" s="261"/>
      <c r="AH41" s="250"/>
      <c r="AI41" s="246"/>
      <c r="AJ41" s="730"/>
      <c r="AK41" s="246"/>
      <c r="AM41" s="246"/>
      <c r="AN41" s="261"/>
      <c r="AO41" s="286"/>
      <c r="AP41" s="246"/>
      <c r="AQ41" s="731"/>
      <c r="AR41" s="246"/>
      <c r="AT41" s="254"/>
      <c r="AU41" s="269"/>
      <c r="AV41" s="269"/>
    </row>
    <row r="42">
      <c r="A42" s="94"/>
      <c r="B42" s="377" t="s">
        <v>684</v>
      </c>
      <c r="C42" s="378" t="s">
        <v>685</v>
      </c>
      <c r="D42" s="330"/>
      <c r="E42" s="259"/>
      <c r="G42" s="246"/>
      <c r="H42" s="660" t="s">
        <v>405</v>
      </c>
      <c r="I42" s="246"/>
      <c r="J42" s="606" t="s">
        <v>455</v>
      </c>
      <c r="K42" s="246"/>
      <c r="L42" s="261"/>
      <c r="M42" s="262"/>
      <c r="N42" s="246"/>
      <c r="P42" s="246"/>
      <c r="R42" s="246"/>
      <c r="S42" s="261"/>
      <c r="T42" s="262"/>
      <c r="U42" s="246"/>
      <c r="W42" s="246"/>
      <c r="X42" s="660" t="s">
        <v>410</v>
      </c>
      <c r="Y42" s="246"/>
      <c r="Z42" s="261"/>
      <c r="AA42" s="262"/>
      <c r="AB42" s="246"/>
      <c r="AC42" s="347"/>
      <c r="AD42" s="246"/>
      <c r="AF42" s="246"/>
      <c r="AG42" s="261"/>
      <c r="AH42" s="262"/>
      <c r="AI42" s="246"/>
      <c r="AJ42" s="265"/>
      <c r="AK42" s="246"/>
      <c r="AL42" s="311" t="s">
        <v>455</v>
      </c>
      <c r="AM42" s="246"/>
      <c r="AN42" s="261"/>
      <c r="AO42" s="286"/>
      <c r="AP42" s="246"/>
      <c r="AQ42" s="265"/>
      <c r="AR42" s="246"/>
      <c r="AT42" s="254" t="str">
        <f>IF(COUNTIF($AO$89:$AT$91, AO29) &gt; 0, "X", "")</f>
        <v/>
      </c>
      <c r="AU42" s="269"/>
      <c r="AV42" s="269"/>
    </row>
    <row r="43">
      <c r="A43" s="94"/>
      <c r="B43" s="382" t="s">
        <v>686</v>
      </c>
      <c r="C43" s="242" t="s">
        <v>652</v>
      </c>
      <c r="D43" s="330"/>
      <c r="E43" s="259"/>
      <c r="F43" s="602" t="s">
        <v>466</v>
      </c>
      <c r="G43" s="246"/>
      <c r="H43" s="274" t="s">
        <v>435</v>
      </c>
      <c r="I43" s="246"/>
      <c r="J43" s="821" t="s">
        <v>429</v>
      </c>
      <c r="K43" s="246"/>
      <c r="L43" s="261"/>
      <c r="M43" s="250"/>
      <c r="N43" s="246"/>
      <c r="O43" s="274" t="s">
        <v>435</v>
      </c>
      <c r="P43" s="246"/>
      <c r="Q43" s="251" t="s">
        <v>429</v>
      </c>
      <c r="R43" s="246"/>
      <c r="S43" s="261"/>
      <c r="T43" s="250"/>
      <c r="U43" s="246"/>
      <c r="V43" s="602" t="s">
        <v>453</v>
      </c>
      <c r="W43" s="246"/>
      <c r="X43" s="251" t="s">
        <v>429</v>
      </c>
      <c r="Y43" s="246"/>
      <c r="Z43" s="261"/>
      <c r="AA43" s="250"/>
      <c r="AB43" s="246"/>
      <c r="AC43" s="251" t="s">
        <v>435</v>
      </c>
      <c r="AD43" s="246"/>
      <c r="AE43" s="251" t="s">
        <v>429</v>
      </c>
      <c r="AF43" s="246"/>
      <c r="AG43" s="261"/>
      <c r="AH43" s="250"/>
      <c r="AI43" s="246"/>
      <c r="AJ43" s="274" t="s">
        <v>435</v>
      </c>
      <c r="AK43" s="246"/>
      <c r="AL43" s="376" t="s">
        <v>466</v>
      </c>
      <c r="AM43" s="246"/>
      <c r="AN43" s="261"/>
      <c r="AO43" s="279"/>
      <c r="AP43" s="246"/>
      <c r="AQ43" s="274" t="s">
        <v>435</v>
      </c>
      <c r="AR43" s="246"/>
      <c r="AS43" s="376" t="s">
        <v>466</v>
      </c>
      <c r="AT43" s="254" t="str">
        <f>IF(COUNTIF($AO$89:$AT$91, AO43) &gt; 0, "X", "")</f>
        <v/>
      </c>
      <c r="AU43" s="269"/>
      <c r="AV43" s="269"/>
    </row>
    <row r="44">
      <c r="A44" s="94"/>
      <c r="B44" s="337" t="s">
        <v>686</v>
      </c>
      <c r="C44" s="338" t="s">
        <v>687</v>
      </c>
      <c r="D44" s="330"/>
      <c r="E44" s="259"/>
      <c r="G44" s="246"/>
      <c r="H44" s="385" t="s">
        <v>428</v>
      </c>
      <c r="I44" s="246"/>
      <c r="K44" s="246"/>
      <c r="L44" s="261"/>
      <c r="M44" s="262"/>
      <c r="N44" s="246"/>
      <c r="O44" s="385" t="s">
        <v>428</v>
      </c>
      <c r="P44" s="246"/>
      <c r="Q44" s="602" t="s">
        <v>453</v>
      </c>
      <c r="R44" s="246"/>
      <c r="S44" s="261"/>
      <c r="T44" s="262"/>
      <c r="U44" s="246"/>
      <c r="V44" s="383" t="s">
        <v>428</v>
      </c>
      <c r="W44" s="246"/>
      <c r="Y44" s="246"/>
      <c r="Z44" s="261"/>
      <c r="AA44" s="262"/>
      <c r="AB44" s="246"/>
      <c r="AC44" s="376" t="s">
        <v>453</v>
      </c>
      <c r="AD44" s="246"/>
      <c r="AE44" s="376" t="s">
        <v>466</v>
      </c>
      <c r="AF44" s="246"/>
      <c r="AG44" s="261"/>
      <c r="AH44" s="262"/>
      <c r="AI44" s="246"/>
      <c r="AJ44" s="385" t="s">
        <v>428</v>
      </c>
      <c r="AK44" s="246"/>
      <c r="AL44" s="376" t="s">
        <v>453</v>
      </c>
      <c r="AM44" s="246"/>
      <c r="AN44" s="261"/>
      <c r="AO44" s="286"/>
      <c r="AP44" s="246"/>
      <c r="AQ44" s="385" t="s">
        <v>428</v>
      </c>
      <c r="AR44" s="246"/>
      <c r="AS44" s="311" t="s">
        <v>455</v>
      </c>
      <c r="AT44" s="254" t="str">
        <f>IF(COUNTIF($AO$89:$AT$91, AS69) &gt; 0, "X", "")</f>
        <v/>
      </c>
      <c r="AU44" s="269"/>
      <c r="AV44" s="269"/>
    </row>
    <row r="45">
      <c r="A45" s="94"/>
      <c r="B45" s="337" t="s">
        <v>688</v>
      </c>
      <c r="C45" s="285" t="s">
        <v>687</v>
      </c>
      <c r="D45" s="330"/>
      <c r="E45" s="259"/>
      <c r="G45" s="246"/>
      <c r="I45" s="246"/>
      <c r="K45" s="246"/>
      <c r="L45" s="261"/>
      <c r="M45" s="250"/>
      <c r="N45" s="246"/>
      <c r="P45" s="246"/>
      <c r="Q45" s="282"/>
      <c r="R45" s="246"/>
      <c r="S45" s="261"/>
      <c r="T45" s="250"/>
      <c r="U45" s="246"/>
      <c r="V45" s="282"/>
      <c r="W45" s="246"/>
      <c r="X45" s="274" t="s">
        <v>437</v>
      </c>
      <c r="Y45" s="246"/>
      <c r="Z45" s="261"/>
      <c r="AA45" s="250"/>
      <c r="AB45" s="246"/>
      <c r="AD45" s="246"/>
      <c r="AF45" s="246"/>
      <c r="AG45" s="261"/>
      <c r="AH45" s="250"/>
      <c r="AI45" s="246"/>
      <c r="AK45" s="246"/>
      <c r="AM45" s="246"/>
      <c r="AN45" s="261"/>
      <c r="AO45" s="286"/>
      <c r="AP45" s="246"/>
      <c r="AQ45" s="371"/>
      <c r="AR45" s="246"/>
      <c r="AS45" s="252"/>
      <c r="AT45" s="254" t="str">
        <f t="shared" ref="AT45:AT46" si="8">IF(COUNTIF($AO$89:$AT$91, #REF!) &gt; 0, "X", "")</f>
        <v/>
      </c>
      <c r="AU45" s="269"/>
      <c r="AV45" s="269"/>
    </row>
    <row r="46">
      <c r="A46" s="94"/>
      <c r="B46" s="387" t="s">
        <v>690</v>
      </c>
      <c r="C46" s="388" t="s">
        <v>649</v>
      </c>
      <c r="D46" s="389"/>
      <c r="E46" s="259"/>
      <c r="F46" s="390"/>
      <c r="G46" s="246"/>
      <c r="H46" s="390"/>
      <c r="I46" s="246"/>
      <c r="J46" s="390"/>
      <c r="K46" s="246"/>
      <c r="L46" s="261"/>
      <c r="M46" s="250"/>
      <c r="N46" s="246"/>
      <c r="O46" s="355" t="s">
        <v>670</v>
      </c>
      <c r="P46" s="246"/>
      <c r="Q46" s="390"/>
      <c r="R46" s="246"/>
      <c r="S46" s="261"/>
      <c r="T46" s="250"/>
      <c r="U46" s="246"/>
      <c r="V46" s="355" t="s">
        <v>670</v>
      </c>
      <c r="W46" s="246"/>
      <c r="X46" s="355"/>
      <c r="Y46" s="246"/>
      <c r="Z46" s="261"/>
      <c r="AA46" s="250"/>
      <c r="AB46" s="246"/>
      <c r="AC46" s="355" t="s">
        <v>420</v>
      </c>
      <c r="AD46" s="246"/>
      <c r="AE46" s="390"/>
      <c r="AF46" s="246"/>
      <c r="AG46" s="261"/>
      <c r="AH46" s="250"/>
      <c r="AI46" s="246"/>
      <c r="AJ46" s="633"/>
      <c r="AK46" s="246"/>
      <c r="AL46" s="390"/>
      <c r="AM46" s="246"/>
      <c r="AN46" s="261"/>
      <c r="AO46" s="279"/>
      <c r="AP46" s="246"/>
      <c r="AQ46" s="390"/>
      <c r="AR46" s="246"/>
      <c r="AS46" s="390"/>
      <c r="AT46" s="254" t="str">
        <f t="shared" si="8"/>
        <v/>
      </c>
      <c r="AU46" s="269"/>
      <c r="AV46" s="269"/>
    </row>
    <row r="47">
      <c r="A47" s="94"/>
      <c r="B47" s="296" t="s">
        <v>650</v>
      </c>
      <c r="C47" s="297" t="s">
        <v>649</v>
      </c>
      <c r="D47" s="323"/>
      <c r="E47" s="259"/>
      <c r="F47" s="300"/>
      <c r="G47" s="246"/>
      <c r="H47" s="319"/>
      <c r="I47" s="246"/>
      <c r="J47" s="300"/>
      <c r="K47" s="246"/>
      <c r="L47" s="261"/>
      <c r="M47" s="250"/>
      <c r="N47" s="246"/>
      <c r="O47" s="300"/>
      <c r="P47" s="246"/>
      <c r="Q47" s="300"/>
      <c r="R47" s="246"/>
      <c r="S47" s="261"/>
      <c r="T47" s="250"/>
      <c r="U47" s="246"/>
      <c r="V47" s="300"/>
      <c r="W47" s="246"/>
      <c r="X47" s="300"/>
      <c r="Y47" s="246"/>
      <c r="Z47" s="261"/>
      <c r="AA47" s="250"/>
      <c r="AB47" s="246"/>
      <c r="AC47" s="300"/>
      <c r="AD47" s="246"/>
      <c r="AE47" s="300"/>
      <c r="AF47" s="246"/>
      <c r="AG47" s="261"/>
      <c r="AH47" s="250"/>
      <c r="AI47" s="246"/>
      <c r="AJ47" s="300"/>
      <c r="AK47" s="246"/>
      <c r="AL47" s="300"/>
      <c r="AM47" s="246"/>
      <c r="AN47" s="261"/>
      <c r="AO47" s="250"/>
      <c r="AP47" s="246"/>
      <c r="AQ47" s="300"/>
      <c r="AR47" s="246"/>
      <c r="AS47" s="300"/>
      <c r="AT47" s="254" t="str">
        <f t="shared" ref="AT47:AT54" si="9">IF(COUNTIF($AO$89:$AT$91, AO47) &gt; 0, "X", "")</f>
        <v/>
      </c>
      <c r="AU47" s="269"/>
      <c r="AV47" s="269"/>
    </row>
    <row r="48">
      <c r="A48" s="94"/>
      <c r="B48" s="301" t="s">
        <v>651</v>
      </c>
      <c r="C48" s="391" t="s">
        <v>652</v>
      </c>
      <c r="D48" s="323"/>
      <c r="E48" s="261"/>
      <c r="F48" s="304"/>
      <c r="G48" s="246"/>
      <c r="H48" s="304"/>
      <c r="I48" s="246"/>
      <c r="J48" s="304"/>
      <c r="K48" s="246"/>
      <c r="L48" s="261"/>
      <c r="M48" s="250"/>
      <c r="N48" s="246"/>
      <c r="O48" s="304"/>
      <c r="P48" s="246"/>
      <c r="Q48" s="304"/>
      <c r="R48" s="246"/>
      <c r="S48" s="261"/>
      <c r="T48" s="250"/>
      <c r="U48" s="246"/>
      <c r="V48" s="304"/>
      <c r="W48" s="246"/>
      <c r="X48" s="304"/>
      <c r="Y48" s="246"/>
      <c r="Z48" s="261"/>
      <c r="AA48" s="250"/>
      <c r="AB48" s="246"/>
      <c r="AC48" s="304"/>
      <c r="AD48" s="246"/>
      <c r="AE48" s="304"/>
      <c r="AF48" s="246"/>
      <c r="AG48" s="261"/>
      <c r="AH48" s="250"/>
      <c r="AI48" s="246"/>
      <c r="AJ48" s="304"/>
      <c r="AK48" s="246"/>
      <c r="AL48" s="304"/>
      <c r="AM48" s="246"/>
      <c r="AN48" s="261"/>
      <c r="AO48" s="250"/>
      <c r="AP48" s="246"/>
      <c r="AQ48" s="304"/>
      <c r="AR48" s="246"/>
      <c r="AS48" s="304"/>
      <c r="AT48" s="254" t="str">
        <f t="shared" si="9"/>
        <v/>
      </c>
      <c r="AU48" s="269"/>
      <c r="AV48" s="269"/>
    </row>
    <row r="49">
      <c r="A49" s="94"/>
      <c r="B49" s="392" t="s">
        <v>691</v>
      </c>
      <c r="C49" s="393" t="s">
        <v>652</v>
      </c>
      <c r="D49" s="323"/>
      <c r="E49" s="259"/>
      <c r="F49" s="307"/>
      <c r="G49" s="246"/>
      <c r="H49" s="307"/>
      <c r="I49" s="246"/>
      <c r="J49" s="307"/>
      <c r="K49" s="246"/>
      <c r="L49" s="261"/>
      <c r="M49" s="250"/>
      <c r="N49" s="246"/>
      <c r="O49" s="606" t="s">
        <v>438</v>
      </c>
      <c r="P49" s="246"/>
      <c r="Q49" s="307"/>
      <c r="R49" s="246"/>
      <c r="S49" s="261"/>
      <c r="T49" s="250"/>
      <c r="U49" s="246"/>
      <c r="V49" s="606" t="s">
        <v>438</v>
      </c>
      <c r="W49" s="246"/>
      <c r="X49" s="394"/>
      <c r="Y49" s="246"/>
      <c r="Z49" s="261"/>
      <c r="AA49" s="250"/>
      <c r="AB49" s="246"/>
      <c r="AC49" s="606" t="s">
        <v>438</v>
      </c>
      <c r="AD49" s="246"/>
      <c r="AE49" s="307"/>
      <c r="AF49" s="246"/>
      <c r="AG49" s="261"/>
      <c r="AH49" s="250"/>
      <c r="AI49" s="246"/>
      <c r="AK49" s="246"/>
      <c r="AL49" s="307"/>
      <c r="AM49" s="246"/>
      <c r="AN49" s="261"/>
      <c r="AO49" s="250"/>
      <c r="AP49" s="246"/>
      <c r="AQ49" s="307"/>
      <c r="AR49" s="246"/>
      <c r="AS49" s="307"/>
      <c r="AT49" s="254" t="str">
        <f t="shared" si="9"/>
        <v/>
      </c>
      <c r="AU49" s="269"/>
      <c r="AV49" s="269"/>
    </row>
    <row r="50">
      <c r="A50" s="94"/>
      <c r="B50" s="328" t="s">
        <v>692</v>
      </c>
      <c r="C50" s="329" t="s">
        <v>652</v>
      </c>
      <c r="D50" s="330"/>
      <c r="E50" s="259"/>
      <c r="F50" s="371"/>
      <c r="G50" s="246"/>
      <c r="H50" s="371"/>
      <c r="I50" s="246"/>
      <c r="J50" s="282"/>
      <c r="K50" s="246"/>
      <c r="L50" s="261"/>
      <c r="M50" s="250"/>
      <c r="N50" s="246"/>
      <c r="O50" s="371"/>
      <c r="P50" s="246"/>
      <c r="Q50" s="371"/>
      <c r="R50" s="246"/>
      <c r="S50" s="261"/>
      <c r="T50" s="250"/>
      <c r="U50" s="246"/>
      <c r="V50" s="282"/>
      <c r="W50" s="246"/>
      <c r="X50" s="371"/>
      <c r="Y50" s="246"/>
      <c r="Z50" s="261"/>
      <c r="AA50" s="250"/>
      <c r="AB50" s="246"/>
      <c r="AC50" s="371"/>
      <c r="AD50" s="246"/>
      <c r="AE50" s="371"/>
      <c r="AF50" s="246"/>
      <c r="AG50" s="261"/>
      <c r="AH50" s="250"/>
      <c r="AI50" s="246"/>
      <c r="AJ50" s="371"/>
      <c r="AK50" s="246"/>
      <c r="AL50" s="371"/>
      <c r="AM50" s="246"/>
      <c r="AN50" s="261"/>
      <c r="AO50" s="312"/>
      <c r="AP50" s="246"/>
      <c r="AQ50" s="282"/>
      <c r="AR50" s="246"/>
      <c r="AS50" s="252"/>
      <c r="AT50" s="254" t="str">
        <f t="shared" si="9"/>
        <v/>
      </c>
      <c r="AU50" s="269"/>
      <c r="AV50" s="269"/>
    </row>
    <row r="51">
      <c r="A51" s="270"/>
      <c r="B51" s="397" t="s">
        <v>692</v>
      </c>
      <c r="C51" s="398" t="s">
        <v>687</v>
      </c>
      <c r="D51" s="369"/>
      <c r="E51" s="259"/>
      <c r="F51" s="399"/>
      <c r="G51" s="246"/>
      <c r="H51" s="399"/>
      <c r="I51" s="246"/>
      <c r="J51" s="399"/>
      <c r="K51" s="246"/>
      <c r="L51" s="261"/>
      <c r="M51" s="250"/>
      <c r="N51" s="246"/>
      <c r="O51" s="282"/>
      <c r="P51" s="246"/>
      <c r="Q51" s="282"/>
      <c r="R51" s="246"/>
      <c r="S51" s="261"/>
      <c r="T51" s="250"/>
      <c r="U51" s="246"/>
      <c r="V51" s="282"/>
      <c r="W51" s="246"/>
      <c r="X51" s="399"/>
      <c r="Y51" s="246"/>
      <c r="Z51" s="261"/>
      <c r="AA51" s="250"/>
      <c r="AB51" s="246"/>
      <c r="AC51" s="399"/>
      <c r="AD51" s="246"/>
      <c r="AE51" s="399"/>
      <c r="AF51" s="246"/>
      <c r="AG51" s="261"/>
      <c r="AH51" s="250"/>
      <c r="AI51" s="246"/>
      <c r="AJ51" s="399"/>
      <c r="AK51" s="246"/>
      <c r="AL51" s="399"/>
      <c r="AM51" s="246"/>
      <c r="AN51" s="261"/>
      <c r="AO51" s="273"/>
      <c r="AP51" s="246"/>
      <c r="AQ51" s="399"/>
      <c r="AR51" s="246"/>
      <c r="AS51" s="252"/>
      <c r="AT51" s="254" t="str">
        <f t="shared" si="9"/>
        <v/>
      </c>
      <c r="AU51" s="269"/>
      <c r="AV51" s="269"/>
    </row>
    <row r="52">
      <c r="A52" s="94"/>
      <c r="B52" s="387" t="s">
        <v>694</v>
      </c>
      <c r="C52" s="388" t="s">
        <v>649</v>
      </c>
      <c r="D52" s="389"/>
      <c r="E52" s="259"/>
      <c r="F52" s="390"/>
      <c r="G52" s="246"/>
      <c r="H52" s="390"/>
      <c r="I52" s="246"/>
      <c r="J52" s="390"/>
      <c r="K52" s="246"/>
      <c r="L52" s="261"/>
      <c r="M52" s="250"/>
      <c r="N52" s="246"/>
      <c r="O52" s="390"/>
      <c r="P52" s="246"/>
      <c r="Q52" s="357" t="s">
        <v>425</v>
      </c>
      <c r="R52" s="246"/>
      <c r="S52" s="261"/>
      <c r="T52" s="250"/>
      <c r="U52" s="246"/>
      <c r="V52" s="390"/>
      <c r="W52" s="246"/>
      <c r="X52" s="357" t="s">
        <v>425</v>
      </c>
      <c r="Y52" s="246"/>
      <c r="Z52" s="261"/>
      <c r="AA52" s="250"/>
      <c r="AB52" s="246"/>
      <c r="AC52" s="390"/>
      <c r="AD52" s="246"/>
      <c r="AE52" s="357" t="s">
        <v>425</v>
      </c>
      <c r="AF52" s="246"/>
      <c r="AG52" s="261"/>
      <c r="AH52" s="250"/>
      <c r="AI52" s="246"/>
      <c r="AJ52" s="390"/>
      <c r="AK52" s="246"/>
      <c r="AL52" s="357" t="s">
        <v>425</v>
      </c>
      <c r="AM52" s="246"/>
      <c r="AN52" s="261"/>
      <c r="AO52" s="822"/>
      <c r="AP52" s="246"/>
      <c r="AQ52" s="390"/>
      <c r="AR52" s="246"/>
      <c r="AS52" s="357" t="s">
        <v>425</v>
      </c>
      <c r="AT52" s="254" t="str">
        <f t="shared" si="9"/>
        <v/>
      </c>
      <c r="AU52" s="269"/>
      <c r="AV52" s="269"/>
    </row>
    <row r="53">
      <c r="A53" s="94"/>
      <c r="B53" s="296" t="s">
        <v>650</v>
      </c>
      <c r="C53" s="297" t="s">
        <v>649</v>
      </c>
      <c r="D53" s="323"/>
      <c r="E53" s="259"/>
      <c r="F53" s="300"/>
      <c r="G53" s="298"/>
      <c r="H53" s="300"/>
      <c r="I53" s="298"/>
      <c r="J53" s="300"/>
      <c r="K53" s="298"/>
      <c r="L53" s="261"/>
      <c r="M53" s="250"/>
      <c r="N53" s="298"/>
      <c r="O53" s="300"/>
      <c r="P53" s="298"/>
      <c r="Q53" s="319"/>
      <c r="R53" s="298"/>
      <c r="S53" s="261"/>
      <c r="T53" s="250"/>
      <c r="U53" s="298"/>
      <c r="V53" s="300"/>
      <c r="W53" s="298"/>
      <c r="X53" s="300"/>
      <c r="Y53" s="298"/>
      <c r="Z53" s="261"/>
      <c r="AA53" s="250"/>
      <c r="AB53" s="298"/>
      <c r="AC53" s="300"/>
      <c r="AD53" s="298"/>
      <c r="AE53" s="300"/>
      <c r="AF53" s="298"/>
      <c r="AG53" s="261"/>
      <c r="AH53" s="250"/>
      <c r="AI53" s="298"/>
      <c r="AJ53" s="300"/>
      <c r="AK53" s="298"/>
      <c r="AL53" s="300"/>
      <c r="AM53" s="298"/>
      <c r="AN53" s="261"/>
      <c r="AO53" s="250"/>
      <c r="AP53" s="298"/>
      <c r="AQ53" s="300"/>
      <c r="AR53" s="298"/>
      <c r="AS53" s="300"/>
      <c r="AT53" s="254" t="str">
        <f t="shared" si="9"/>
        <v/>
      </c>
      <c r="AU53" s="269"/>
      <c r="AV53" s="269"/>
    </row>
    <row r="54">
      <c r="A54" s="94"/>
      <c r="B54" s="301" t="s">
        <v>651</v>
      </c>
      <c r="C54" s="391" t="s">
        <v>652</v>
      </c>
      <c r="D54" s="323"/>
      <c r="E54" s="261"/>
      <c r="F54" s="304"/>
      <c r="G54" s="298"/>
      <c r="H54" s="304"/>
      <c r="I54" s="298"/>
      <c r="J54" s="304"/>
      <c r="K54" s="298"/>
      <c r="L54" s="261"/>
      <c r="M54" s="250"/>
      <c r="N54" s="298"/>
      <c r="O54" s="304"/>
      <c r="P54" s="298"/>
      <c r="Q54" s="304"/>
      <c r="R54" s="298"/>
      <c r="S54" s="261"/>
      <c r="T54" s="250"/>
      <c r="U54" s="298"/>
      <c r="V54" s="304"/>
      <c r="W54" s="298"/>
      <c r="X54" s="304"/>
      <c r="Y54" s="298"/>
      <c r="Z54" s="261"/>
      <c r="AA54" s="250"/>
      <c r="AB54" s="298"/>
      <c r="AC54" s="304"/>
      <c r="AD54" s="298"/>
      <c r="AE54" s="304"/>
      <c r="AF54" s="298"/>
      <c r="AG54" s="261"/>
      <c r="AH54" s="250"/>
      <c r="AI54" s="298"/>
      <c r="AJ54" s="304"/>
      <c r="AK54" s="298"/>
      <c r="AL54" s="304"/>
      <c r="AM54" s="298"/>
      <c r="AN54" s="261"/>
      <c r="AO54" s="250"/>
      <c r="AP54" s="298"/>
      <c r="AQ54" s="304"/>
      <c r="AR54" s="298"/>
      <c r="AS54" s="304"/>
      <c r="AT54" s="254" t="str">
        <f t="shared" si="9"/>
        <v/>
      </c>
      <c r="AU54" s="269"/>
      <c r="AV54" s="269"/>
    </row>
    <row r="55">
      <c r="A55" s="94"/>
      <c r="B55" s="401" t="s">
        <v>697</v>
      </c>
      <c r="C55" s="393" t="s">
        <v>652</v>
      </c>
      <c r="D55" s="323"/>
      <c r="E55" s="259"/>
      <c r="F55" s="307"/>
      <c r="G55" s="298"/>
      <c r="H55" s="307"/>
      <c r="I55" s="298"/>
      <c r="J55" s="307"/>
      <c r="K55" s="298"/>
      <c r="L55" s="261"/>
      <c r="M55" s="250"/>
      <c r="N55" s="298"/>
      <c r="O55" s="307"/>
      <c r="P55" s="298"/>
      <c r="Q55" s="309" t="s">
        <v>414</v>
      </c>
      <c r="R55" s="298"/>
      <c r="S55" s="261"/>
      <c r="T55" s="250"/>
      <c r="U55" s="298"/>
      <c r="V55" s="307"/>
      <c r="W55" s="298"/>
      <c r="X55" s="395" t="s">
        <v>430</v>
      </c>
      <c r="Y55" s="298"/>
      <c r="Z55" s="261"/>
      <c r="AA55" s="250"/>
      <c r="AB55" s="298"/>
      <c r="AC55" s="307"/>
      <c r="AD55" s="298"/>
      <c r="AE55" s="395" t="s">
        <v>430</v>
      </c>
      <c r="AF55" s="298"/>
      <c r="AG55" s="261"/>
      <c r="AH55" s="250"/>
      <c r="AI55" s="298"/>
      <c r="AJ55" s="307"/>
      <c r="AK55" s="298"/>
      <c r="AL55" s="308" t="s">
        <v>445</v>
      </c>
      <c r="AM55" s="298"/>
      <c r="AN55" s="261"/>
      <c r="AO55" s="331"/>
      <c r="AP55" s="298"/>
      <c r="AQ55" s="307"/>
      <c r="AR55" s="298"/>
      <c r="AS55" s="308" t="s">
        <v>445</v>
      </c>
      <c r="AT55" s="254" t="str">
        <f t="shared" ref="AT55:AT56" si="10">IF(COUNTIF($AO$89:$AT$91, #REF!) &gt; 0, "X", "")</f>
        <v/>
      </c>
      <c r="AU55" s="269"/>
      <c r="AV55" s="269"/>
    </row>
    <row r="56">
      <c r="A56" s="94"/>
      <c r="B56" s="337" t="s">
        <v>698</v>
      </c>
      <c r="C56" s="329" t="s">
        <v>652</v>
      </c>
      <c r="D56" s="330"/>
      <c r="E56" s="259"/>
      <c r="F56" s="371"/>
      <c r="G56" s="246"/>
      <c r="H56" s="371"/>
      <c r="I56" s="246"/>
      <c r="J56" s="371"/>
      <c r="K56" s="246"/>
      <c r="L56" s="261"/>
      <c r="M56" s="250"/>
      <c r="N56" s="246"/>
      <c r="O56" s="371"/>
      <c r="P56" s="246"/>
      <c r="Q56" s="371"/>
      <c r="R56" s="246"/>
      <c r="S56" s="261"/>
      <c r="T56" s="250"/>
      <c r="U56" s="246"/>
      <c r="V56" s="371"/>
      <c r="W56" s="246"/>
      <c r="X56" s="282"/>
      <c r="Y56" s="246"/>
      <c r="Z56" s="261"/>
      <c r="AA56" s="250"/>
      <c r="AB56" s="246"/>
      <c r="AC56" s="282"/>
      <c r="AD56" s="246"/>
      <c r="AE56" s="584"/>
      <c r="AF56" s="246"/>
      <c r="AG56" s="261"/>
      <c r="AH56" s="250"/>
      <c r="AI56" s="246"/>
      <c r="AJ56" s="371"/>
      <c r="AK56" s="246"/>
      <c r="AL56" s="282"/>
      <c r="AM56" s="246"/>
      <c r="AN56" s="261"/>
      <c r="AO56" s="312"/>
      <c r="AP56" s="246"/>
      <c r="AQ56" s="371"/>
      <c r="AR56" s="246"/>
      <c r="AS56" s="252"/>
      <c r="AT56" s="254" t="str">
        <f t="shared" si="10"/>
        <v/>
      </c>
      <c r="AU56" s="269"/>
      <c r="AV56" s="269"/>
    </row>
    <row r="57">
      <c r="A57" s="270"/>
      <c r="B57" s="337" t="s">
        <v>698</v>
      </c>
      <c r="C57" s="398" t="s">
        <v>687</v>
      </c>
      <c r="D57" s="369"/>
      <c r="E57" s="259"/>
      <c r="F57" s="399"/>
      <c r="G57" s="246"/>
      <c r="H57" s="399"/>
      <c r="I57" s="246"/>
      <c r="J57" s="399"/>
      <c r="K57" s="246"/>
      <c r="L57" s="261"/>
      <c r="M57" s="250"/>
      <c r="N57" s="246"/>
      <c r="O57" s="399"/>
      <c r="P57" s="246"/>
      <c r="Q57" s="282"/>
      <c r="R57" s="246"/>
      <c r="S57" s="261"/>
      <c r="T57" s="250"/>
      <c r="U57" s="246"/>
      <c r="V57" s="399"/>
      <c r="W57" s="246"/>
      <c r="X57" s="399"/>
      <c r="Y57" s="246"/>
      <c r="Z57" s="261"/>
      <c r="AA57" s="250"/>
      <c r="AB57" s="246"/>
      <c r="AC57" s="282"/>
      <c r="AD57" s="246"/>
      <c r="AE57" s="399"/>
      <c r="AF57" s="246"/>
      <c r="AG57" s="261"/>
      <c r="AH57" s="250"/>
      <c r="AI57" s="246"/>
      <c r="AJ57" s="399"/>
      <c r="AK57" s="246"/>
      <c r="AL57" s="399"/>
      <c r="AM57" s="246"/>
      <c r="AN57" s="261"/>
      <c r="AO57" s="273"/>
      <c r="AP57" s="246"/>
      <c r="AQ57" s="399"/>
      <c r="AR57" s="246"/>
      <c r="AS57" s="252"/>
      <c r="AT57" s="254" t="str">
        <f t="shared" ref="AT57:AT58" si="11">IF(COUNTIF($AO$89:$AT$91, AO57) &gt; 0, "X", "")</f>
        <v/>
      </c>
      <c r="AU57" s="269"/>
      <c r="AV57" s="269"/>
    </row>
    <row r="58">
      <c r="A58" s="94"/>
      <c r="B58" s="402" t="s">
        <v>699</v>
      </c>
      <c r="C58" s="403" t="s">
        <v>649</v>
      </c>
      <c r="D58" s="404"/>
      <c r="E58" s="259"/>
      <c r="F58" s="294"/>
      <c r="G58" s="246"/>
      <c r="H58" s="294"/>
      <c r="I58" s="246"/>
      <c r="J58" s="294"/>
      <c r="K58" s="246"/>
      <c r="L58" s="261"/>
      <c r="M58" s="250"/>
      <c r="N58" s="246"/>
      <c r="O58" s="294"/>
      <c r="P58" s="246"/>
      <c r="Q58" s="293" t="s">
        <v>426</v>
      </c>
      <c r="R58" s="246"/>
      <c r="S58" s="261"/>
      <c r="T58" s="250"/>
      <c r="U58" s="246"/>
      <c r="V58" s="294"/>
      <c r="W58" s="246"/>
      <c r="X58" s="294"/>
      <c r="Y58" s="246"/>
      <c r="Z58" s="261"/>
      <c r="AA58" s="250"/>
      <c r="AB58" s="246"/>
      <c r="AC58" s="294"/>
      <c r="AD58" s="246"/>
      <c r="AE58" s="293" t="s">
        <v>422</v>
      </c>
      <c r="AF58" s="246"/>
      <c r="AG58" s="261"/>
      <c r="AH58" s="250"/>
      <c r="AI58" s="246"/>
      <c r="AJ58" s="294"/>
      <c r="AK58" s="246"/>
      <c r="AL58" s="294"/>
      <c r="AM58" s="246"/>
      <c r="AN58" s="261"/>
      <c r="AO58" s="250"/>
      <c r="AP58" s="246"/>
      <c r="AQ58" s="294"/>
      <c r="AR58" s="246"/>
      <c r="AS58" s="411"/>
      <c r="AT58" s="254" t="str">
        <f t="shared" si="11"/>
        <v/>
      </c>
      <c r="AU58" s="269"/>
      <c r="AV58" s="269"/>
    </row>
    <row r="59">
      <c r="A59" s="94"/>
      <c r="B59" s="328" t="s">
        <v>700</v>
      </c>
      <c r="C59" s="329" t="s">
        <v>657</v>
      </c>
      <c r="D59" s="330"/>
      <c r="E59" s="259"/>
      <c r="G59" s="246"/>
      <c r="I59" s="246"/>
      <c r="K59" s="246"/>
      <c r="L59" s="261"/>
      <c r="M59" s="341"/>
      <c r="N59" s="246"/>
      <c r="P59" s="246"/>
      <c r="Q59" s="274" t="s">
        <v>437</v>
      </c>
      <c r="R59" s="246"/>
      <c r="S59" s="261"/>
      <c r="T59" s="341"/>
      <c r="U59" s="246"/>
      <c r="W59" s="246"/>
      <c r="Y59" s="246"/>
      <c r="Z59" s="261"/>
      <c r="AA59" s="341"/>
      <c r="AB59" s="246"/>
      <c r="AD59" s="246"/>
      <c r="AE59" s="519" t="s">
        <v>437</v>
      </c>
      <c r="AF59" s="246"/>
      <c r="AG59" s="261"/>
      <c r="AH59" s="341"/>
      <c r="AI59" s="246"/>
      <c r="AK59" s="246"/>
      <c r="AM59" s="246"/>
      <c r="AN59" s="261"/>
      <c r="AO59" s="286"/>
      <c r="AP59" s="246"/>
      <c r="AR59" s="246"/>
      <c r="AS59" s="252"/>
      <c r="AT59" s="254" t="str">
        <f t="shared" ref="AT59:AT62" si="12">IF(COUNTIF($AO$89:$AT$91, #REF!) &gt; 0, "X", "")</f>
        <v/>
      </c>
      <c r="AU59" s="269"/>
      <c r="AV59" s="269"/>
    </row>
    <row r="60">
      <c r="A60" s="94"/>
      <c r="B60" s="328" t="s">
        <v>700</v>
      </c>
      <c r="C60" s="329" t="s">
        <v>657</v>
      </c>
      <c r="D60" s="330"/>
      <c r="E60" s="259"/>
      <c r="G60" s="246"/>
      <c r="I60" s="246"/>
      <c r="K60" s="246"/>
      <c r="L60" s="261"/>
      <c r="M60" s="341"/>
      <c r="N60" s="246"/>
      <c r="P60" s="246"/>
      <c r="Q60" s="405" t="s">
        <v>462</v>
      </c>
      <c r="R60" s="246"/>
      <c r="S60" s="261"/>
      <c r="T60" s="341"/>
      <c r="U60" s="246"/>
      <c r="W60" s="246"/>
      <c r="Y60" s="246"/>
      <c r="Z60" s="261"/>
      <c r="AA60" s="341"/>
      <c r="AB60" s="246"/>
      <c r="AD60" s="246"/>
      <c r="AE60" s="681" t="s">
        <v>462</v>
      </c>
      <c r="AF60" s="246"/>
      <c r="AG60" s="261"/>
      <c r="AH60" s="341"/>
      <c r="AI60" s="246"/>
      <c r="AK60" s="246"/>
      <c r="AM60" s="246"/>
      <c r="AN60" s="261"/>
      <c r="AO60" s="286"/>
      <c r="AP60" s="246"/>
      <c r="AR60" s="246"/>
      <c r="AS60" s="252"/>
      <c r="AT60" s="254" t="str">
        <f t="shared" si="12"/>
        <v/>
      </c>
      <c r="AU60" s="269"/>
      <c r="AV60" s="269"/>
    </row>
    <row r="61">
      <c r="A61" s="94"/>
      <c r="B61" s="328" t="s">
        <v>700</v>
      </c>
      <c r="C61" s="329" t="s">
        <v>657</v>
      </c>
      <c r="D61" s="330"/>
      <c r="E61" s="259"/>
      <c r="G61" s="246"/>
      <c r="I61" s="246"/>
      <c r="K61" s="246"/>
      <c r="L61" s="261"/>
      <c r="M61" s="341"/>
      <c r="N61" s="246"/>
      <c r="P61" s="246"/>
      <c r="R61" s="246"/>
      <c r="S61" s="261"/>
      <c r="T61" s="341"/>
      <c r="U61" s="246"/>
      <c r="W61" s="246"/>
      <c r="Y61" s="246"/>
      <c r="Z61" s="261"/>
      <c r="AA61" s="341"/>
      <c r="AB61" s="246"/>
      <c r="AD61" s="246"/>
      <c r="AF61" s="246"/>
      <c r="AG61" s="261"/>
      <c r="AH61" s="341"/>
      <c r="AI61" s="246"/>
      <c r="AK61" s="246"/>
      <c r="AM61" s="246"/>
      <c r="AN61" s="261"/>
      <c r="AO61" s="286"/>
      <c r="AP61" s="246"/>
      <c r="AR61" s="246"/>
      <c r="AS61" s="252"/>
      <c r="AT61" s="254" t="str">
        <f t="shared" si="12"/>
        <v/>
      </c>
      <c r="AU61" s="269"/>
      <c r="AV61" s="269"/>
    </row>
    <row r="62">
      <c r="A62" s="270"/>
      <c r="D62" s="369"/>
      <c r="E62" s="259"/>
      <c r="F62" s="282"/>
      <c r="G62" s="246"/>
      <c r="I62" s="246"/>
      <c r="K62" s="246"/>
      <c r="L62" s="261"/>
      <c r="M62" s="341"/>
      <c r="N62" s="246"/>
      <c r="P62" s="246"/>
      <c r="R62" s="246"/>
      <c r="S62" s="261"/>
      <c r="T62" s="341"/>
      <c r="U62" s="246"/>
      <c r="W62" s="246"/>
      <c r="Y62" s="246"/>
      <c r="Z62" s="261"/>
      <c r="AA62" s="341"/>
      <c r="AB62" s="246"/>
      <c r="AD62" s="246"/>
      <c r="AF62" s="246"/>
      <c r="AG62" s="261"/>
      <c r="AH62" s="341"/>
      <c r="AI62" s="246"/>
      <c r="AK62" s="246"/>
      <c r="AM62" s="246"/>
      <c r="AN62" s="261"/>
      <c r="AO62" s="286"/>
      <c r="AP62" s="246"/>
      <c r="AR62" s="246"/>
      <c r="AS62" s="252"/>
      <c r="AT62" s="254" t="str">
        <f t="shared" si="12"/>
        <v/>
      </c>
      <c r="AU62" s="269"/>
      <c r="AV62" s="269"/>
    </row>
    <row r="63">
      <c r="A63" s="234"/>
      <c r="B63" s="408" t="s">
        <v>702</v>
      </c>
      <c r="C63" s="409" t="s">
        <v>652</v>
      </c>
      <c r="D63" s="351"/>
      <c r="E63" s="259"/>
      <c r="F63" s="411"/>
      <c r="G63" s="246"/>
      <c r="H63" s="411"/>
      <c r="I63" s="246"/>
      <c r="J63" s="411"/>
      <c r="K63" s="246"/>
      <c r="L63" s="261"/>
      <c r="M63" s="262"/>
      <c r="N63" s="246"/>
      <c r="O63" s="411"/>
      <c r="P63" s="246"/>
      <c r="Q63" s="411"/>
      <c r="R63" s="246"/>
      <c r="S63" s="261"/>
      <c r="T63" s="262"/>
      <c r="U63" s="246"/>
      <c r="V63" s="411"/>
      <c r="W63" s="246"/>
      <c r="X63" s="411"/>
      <c r="Y63" s="246"/>
      <c r="Z63" s="261"/>
      <c r="AA63" s="262"/>
      <c r="AB63" s="246"/>
      <c r="AC63" s="411"/>
      <c r="AD63" s="246"/>
      <c r="AE63" s="411"/>
      <c r="AF63" s="246"/>
      <c r="AG63" s="261"/>
      <c r="AH63" s="262"/>
      <c r="AI63" s="246"/>
      <c r="AJ63" s="411"/>
      <c r="AK63" s="246"/>
      <c r="AL63" s="411"/>
      <c r="AM63" s="246"/>
      <c r="AN63" s="261"/>
      <c r="AO63" s="410"/>
      <c r="AP63" s="246"/>
      <c r="AQ63" s="411"/>
      <c r="AR63" s="246"/>
      <c r="AS63" s="411"/>
      <c r="AT63" s="254" t="str">
        <f t="shared" ref="AT63:AT64" si="13">IF(COUNTIF($AO$89:$AT$91, AO63) &gt; 0, "X", "")</f>
        <v/>
      </c>
      <c r="AU63" s="269"/>
      <c r="AV63" s="269"/>
    </row>
    <row r="64" ht="15.0" customHeight="1">
      <c r="A64" s="234"/>
      <c r="D64" s="323"/>
      <c r="E64" s="259"/>
      <c r="F64" s="282"/>
      <c r="G64" s="246"/>
      <c r="I64" s="246"/>
      <c r="K64" s="246"/>
      <c r="L64" s="261"/>
      <c r="M64" s="262"/>
      <c r="N64" s="246"/>
      <c r="P64" s="246"/>
      <c r="R64" s="246"/>
      <c r="S64" s="261"/>
      <c r="T64" s="262"/>
      <c r="U64" s="246"/>
      <c r="W64" s="246"/>
      <c r="Y64" s="246"/>
      <c r="Z64" s="261"/>
      <c r="AA64" s="262"/>
      <c r="AB64" s="246"/>
      <c r="AD64" s="246"/>
      <c r="AF64" s="246"/>
      <c r="AG64" s="261"/>
      <c r="AH64" s="262"/>
      <c r="AI64" s="246"/>
      <c r="AK64" s="246"/>
      <c r="AM64" s="246"/>
      <c r="AN64" s="261"/>
      <c r="AO64" s="286"/>
      <c r="AP64" s="246"/>
      <c r="AR64" s="246"/>
      <c r="AT64" s="254" t="str">
        <f t="shared" si="13"/>
        <v/>
      </c>
      <c r="AU64" s="269"/>
      <c r="AV64" s="269"/>
    </row>
    <row r="65">
      <c r="A65" s="94"/>
      <c r="B65" s="414" t="s">
        <v>705</v>
      </c>
      <c r="C65" s="415" t="s">
        <v>704</v>
      </c>
      <c r="D65" s="330"/>
      <c r="E65" s="259"/>
      <c r="F65" s="586" t="s">
        <v>452</v>
      </c>
      <c r="G65" s="246"/>
      <c r="H65" s="251" t="s">
        <v>407</v>
      </c>
      <c r="I65" s="246"/>
      <c r="J65" s="606" t="s">
        <v>467</v>
      </c>
      <c r="K65" s="246"/>
      <c r="L65" s="261"/>
      <c r="M65" s="341"/>
      <c r="N65" s="246"/>
      <c r="O65" s="660" t="s">
        <v>407</v>
      </c>
      <c r="P65" s="246"/>
      <c r="Q65" s="311" t="s">
        <v>410</v>
      </c>
      <c r="R65" s="246"/>
      <c r="S65" s="261"/>
      <c r="T65" s="341"/>
      <c r="U65" s="246"/>
      <c r="V65" s="251" t="s">
        <v>407</v>
      </c>
      <c r="W65" s="246"/>
      <c r="X65" s="311" t="s">
        <v>467</v>
      </c>
      <c r="Y65" s="246"/>
      <c r="Z65" s="261"/>
      <c r="AA65" s="341"/>
      <c r="AB65" s="246"/>
      <c r="AC65" s="251" t="s">
        <v>407</v>
      </c>
      <c r="AD65" s="246"/>
      <c r="AE65" s="606" t="s">
        <v>394</v>
      </c>
      <c r="AF65" s="246"/>
      <c r="AG65" s="261"/>
      <c r="AH65" s="341"/>
      <c r="AI65" s="246"/>
      <c r="AJ65" s="311" t="s">
        <v>438</v>
      </c>
      <c r="AK65" s="246"/>
      <c r="AL65" s="649" t="s">
        <v>452</v>
      </c>
      <c r="AM65" s="246"/>
      <c r="AN65" s="261"/>
      <c r="AO65" s="286"/>
      <c r="AP65" s="246"/>
      <c r="AQ65" s="311" t="s">
        <v>438</v>
      </c>
      <c r="AR65" s="246"/>
      <c r="AS65" s="374" t="s">
        <v>410</v>
      </c>
      <c r="AT65" s="254" t="str">
        <f t="shared" ref="AT65:AT67" si="14">IF(COUNTIF($AO$89:$AT$91, #REF!) &gt; 0, "X", "")</f>
        <v/>
      </c>
      <c r="AU65" s="269"/>
      <c r="AV65" s="269"/>
    </row>
    <row r="66">
      <c r="A66" s="94"/>
      <c r="B66" s="328" t="s">
        <v>705</v>
      </c>
      <c r="C66" s="257" t="s">
        <v>657</v>
      </c>
      <c r="D66" s="330"/>
      <c r="E66" s="259"/>
      <c r="F66" s="311" t="s">
        <v>470</v>
      </c>
      <c r="G66" s="246"/>
      <c r="H66" s="688" t="s">
        <v>404</v>
      </c>
      <c r="I66" s="246"/>
      <c r="J66" s="660" t="s">
        <v>410</v>
      </c>
      <c r="K66" s="246"/>
      <c r="L66" s="261"/>
      <c r="M66" s="286"/>
      <c r="N66" s="246"/>
      <c r="O66" s="688" t="s">
        <v>404</v>
      </c>
      <c r="P66" s="246"/>
      <c r="Q66" s="688" t="s">
        <v>472</v>
      </c>
      <c r="R66" s="246"/>
      <c r="S66" s="261"/>
      <c r="T66" s="286"/>
      <c r="U66" s="246"/>
      <c r="V66" s="339" t="s">
        <v>472</v>
      </c>
      <c r="W66" s="246"/>
      <c r="X66" s="688" t="s">
        <v>1033</v>
      </c>
      <c r="Y66" s="246"/>
      <c r="Z66" s="261"/>
      <c r="AA66" s="286"/>
      <c r="AB66" s="246"/>
      <c r="AC66" s="660" t="s">
        <v>440</v>
      </c>
      <c r="AD66" s="246"/>
      <c r="AE66" s="311" t="s">
        <v>467</v>
      </c>
      <c r="AF66" s="246"/>
      <c r="AG66" s="261"/>
      <c r="AH66" s="286"/>
      <c r="AI66" s="246"/>
      <c r="AJ66" s="251" t="s">
        <v>407</v>
      </c>
      <c r="AK66" s="246"/>
      <c r="AL66" s="606" t="s">
        <v>467</v>
      </c>
      <c r="AM66" s="246"/>
      <c r="AN66" s="261"/>
      <c r="AO66" s="286"/>
      <c r="AP66" s="246"/>
      <c r="AQ66" s="688" t="s">
        <v>404</v>
      </c>
      <c r="AR66" s="246"/>
      <c r="AS66" s="339" t="s">
        <v>472</v>
      </c>
      <c r="AT66" s="254" t="str">
        <f t="shared" si="14"/>
        <v/>
      </c>
      <c r="AU66" s="269"/>
      <c r="AV66" s="269"/>
    </row>
    <row r="67">
      <c r="A67" s="94"/>
      <c r="B67" s="277" t="s">
        <v>705</v>
      </c>
      <c r="C67" s="329" t="s">
        <v>685</v>
      </c>
      <c r="D67" s="323"/>
      <c r="E67" s="259"/>
      <c r="F67" s="265"/>
      <c r="G67" s="246"/>
      <c r="H67" s="339" t="s">
        <v>472</v>
      </c>
      <c r="I67" s="246"/>
      <c r="J67" s="688" t="s">
        <v>1033</v>
      </c>
      <c r="K67" s="246"/>
      <c r="L67" s="261"/>
      <c r="M67" s="341"/>
      <c r="N67" s="246"/>
      <c r="O67" s="606" t="s">
        <v>470</v>
      </c>
      <c r="P67" s="246"/>
      <c r="Q67" s="688" t="s">
        <v>1033</v>
      </c>
      <c r="R67" s="246"/>
      <c r="S67" s="261"/>
      <c r="T67" s="341"/>
      <c r="U67" s="246"/>
      <c r="V67" s="606" t="s">
        <v>470</v>
      </c>
      <c r="W67" s="246"/>
      <c r="X67" s="649" t="s">
        <v>452</v>
      </c>
      <c r="Y67" s="246"/>
      <c r="Z67" s="261"/>
      <c r="AA67" s="341"/>
      <c r="AB67" s="246"/>
      <c r="AC67" s="688" t="s">
        <v>472</v>
      </c>
      <c r="AD67" s="246"/>
      <c r="AE67" s="688" t="s">
        <v>1033</v>
      </c>
      <c r="AF67" s="246"/>
      <c r="AG67" s="261"/>
      <c r="AH67" s="341"/>
      <c r="AI67" s="246"/>
      <c r="AJ67" s="311" t="s">
        <v>470</v>
      </c>
      <c r="AK67" s="246"/>
      <c r="AL67" s="660" t="s">
        <v>410</v>
      </c>
      <c r="AM67" s="246"/>
      <c r="AN67" s="261"/>
      <c r="AO67" s="286"/>
      <c r="AP67" s="246"/>
      <c r="AQ67" s="311" t="s">
        <v>470</v>
      </c>
      <c r="AR67" s="246"/>
      <c r="AS67" s="586" t="s">
        <v>452</v>
      </c>
      <c r="AT67" s="254" t="str">
        <f t="shared" si="14"/>
        <v/>
      </c>
      <c r="AU67" s="269"/>
      <c r="AV67" s="269"/>
    </row>
    <row r="68">
      <c r="A68" s="94"/>
      <c r="B68" s="271" t="s">
        <v>705</v>
      </c>
      <c r="C68" s="272" t="s">
        <v>687</v>
      </c>
      <c r="D68" s="330"/>
      <c r="E68" s="259"/>
      <c r="F68" s="265"/>
      <c r="G68" s="246"/>
      <c r="I68" s="246"/>
      <c r="K68" s="246"/>
      <c r="L68" s="261"/>
      <c r="M68" s="341"/>
      <c r="N68" s="246"/>
      <c r="P68" s="246"/>
      <c r="R68" s="246"/>
      <c r="S68" s="261"/>
      <c r="T68" s="341"/>
      <c r="U68" s="246"/>
      <c r="W68" s="246"/>
      <c r="Y68" s="246"/>
      <c r="Z68" s="261"/>
      <c r="AA68" s="341"/>
      <c r="AB68" s="246"/>
      <c r="AD68" s="246"/>
      <c r="AF68" s="246"/>
      <c r="AG68" s="261"/>
      <c r="AH68" s="341"/>
      <c r="AI68" s="246"/>
      <c r="AK68" s="246"/>
      <c r="AM68" s="246"/>
      <c r="AN68" s="261"/>
      <c r="AO68" s="286"/>
      <c r="AP68" s="246"/>
      <c r="AR68" s="246"/>
      <c r="AT68" s="823"/>
      <c r="AU68" s="269"/>
      <c r="AV68" s="269"/>
    </row>
    <row r="69">
      <c r="A69" s="94"/>
      <c r="B69" s="824"/>
      <c r="C69" s="825"/>
      <c r="D69" s="330"/>
      <c r="E69" s="259"/>
      <c r="F69" s="265"/>
      <c r="G69" s="246"/>
      <c r="I69" s="246"/>
      <c r="K69" s="246"/>
      <c r="L69" s="261"/>
      <c r="M69" s="341"/>
      <c r="N69" s="246"/>
      <c r="P69" s="246"/>
      <c r="R69" s="246"/>
      <c r="S69" s="261"/>
      <c r="T69" s="341"/>
      <c r="U69" s="246"/>
      <c r="W69" s="246"/>
      <c r="Y69" s="246"/>
      <c r="Z69" s="261"/>
      <c r="AA69" s="341"/>
      <c r="AB69" s="246"/>
      <c r="AD69" s="246"/>
      <c r="AF69" s="246"/>
      <c r="AG69" s="261"/>
      <c r="AH69" s="341"/>
      <c r="AI69" s="246"/>
      <c r="AK69" s="246"/>
      <c r="AL69" s="282"/>
      <c r="AM69" s="246"/>
      <c r="AN69" s="261"/>
      <c r="AO69" s="286"/>
      <c r="AP69" s="246"/>
      <c r="AR69" s="246"/>
      <c r="AS69" s="384"/>
      <c r="AT69" s="823"/>
      <c r="AU69" s="269"/>
      <c r="AV69" s="269"/>
    </row>
    <row r="70">
      <c r="A70" s="94"/>
      <c r="B70" s="397" t="s">
        <v>708</v>
      </c>
      <c r="C70" s="398" t="s">
        <v>654</v>
      </c>
      <c r="D70" s="330"/>
      <c r="E70" s="259"/>
      <c r="F70" s="265"/>
      <c r="G70" s="246"/>
      <c r="H70" s="311" t="s">
        <v>441</v>
      </c>
      <c r="I70" s="246"/>
      <c r="J70" s="374"/>
      <c r="K70" s="246"/>
      <c r="L70" s="261"/>
      <c r="M70" s="341"/>
      <c r="N70" s="246"/>
      <c r="O70" s="365" t="s">
        <v>469</v>
      </c>
      <c r="P70" s="246"/>
      <c r="Q70" s="311" t="s">
        <v>441</v>
      </c>
      <c r="R70" s="246"/>
      <c r="S70" s="261"/>
      <c r="T70" s="341"/>
      <c r="U70" s="246"/>
      <c r="V70" s="365" t="s">
        <v>469</v>
      </c>
      <c r="W70" s="246"/>
      <c r="X70" s="311" t="s">
        <v>441</v>
      </c>
      <c r="Y70" s="246"/>
      <c r="Z70" s="261"/>
      <c r="AA70" s="341"/>
      <c r="AB70" s="246"/>
      <c r="AC70" s="311" t="s">
        <v>441</v>
      </c>
      <c r="AD70" s="246"/>
      <c r="AE70" s="311"/>
      <c r="AF70" s="246"/>
      <c r="AG70" s="261"/>
      <c r="AH70" s="341"/>
      <c r="AI70" s="246"/>
      <c r="AJ70" s="365" t="s">
        <v>469</v>
      </c>
      <c r="AK70" s="246"/>
      <c r="AL70" s="311" t="s">
        <v>441</v>
      </c>
      <c r="AM70" s="246"/>
      <c r="AN70" s="261"/>
      <c r="AO70" s="286"/>
      <c r="AP70" s="246"/>
      <c r="AQ70" s="365" t="s">
        <v>469</v>
      </c>
      <c r="AR70" s="246"/>
      <c r="AS70" s="374"/>
      <c r="AT70" s="823"/>
      <c r="AU70" s="269"/>
      <c r="AV70" s="269"/>
    </row>
    <row r="71">
      <c r="A71" s="94"/>
      <c r="B71" s="796" t="s">
        <v>1116</v>
      </c>
      <c r="C71" s="278" t="s">
        <v>710</v>
      </c>
      <c r="D71" s="330"/>
      <c r="E71" s="259"/>
      <c r="F71" s="265"/>
      <c r="G71" s="246"/>
      <c r="H71" s="660" t="s">
        <v>440</v>
      </c>
      <c r="I71" s="246"/>
      <c r="J71" s="282"/>
      <c r="K71" s="246"/>
      <c r="L71" s="261"/>
      <c r="M71" s="341"/>
      <c r="N71" s="246"/>
      <c r="O71" s="660" t="s">
        <v>440</v>
      </c>
      <c r="P71" s="246"/>
      <c r="R71" s="246"/>
      <c r="S71" s="261"/>
      <c r="T71" s="341"/>
      <c r="U71" s="246"/>
      <c r="V71" s="660" t="s">
        <v>440</v>
      </c>
      <c r="W71" s="246"/>
      <c r="X71" s="282"/>
      <c r="Y71" s="246"/>
      <c r="Z71" s="261"/>
      <c r="AA71" s="341"/>
      <c r="AB71" s="246"/>
      <c r="AC71" s="282"/>
      <c r="AD71" s="246"/>
      <c r="AE71" s="282"/>
      <c r="AF71" s="246"/>
      <c r="AG71" s="261"/>
      <c r="AH71" s="341"/>
      <c r="AI71" s="246"/>
      <c r="AJ71" s="251" t="s">
        <v>440</v>
      </c>
      <c r="AK71" s="246"/>
      <c r="AL71" s="282"/>
      <c r="AM71" s="246"/>
      <c r="AN71" s="261"/>
      <c r="AO71" s="286"/>
      <c r="AP71" s="246"/>
      <c r="AQ71" s="282"/>
      <c r="AR71" s="246"/>
      <c r="AS71" s="252"/>
      <c r="AT71" s="823"/>
      <c r="AU71" s="269"/>
      <c r="AV71" s="269"/>
    </row>
    <row r="72">
      <c r="A72" s="94"/>
      <c r="B72" s="673" t="s">
        <v>944</v>
      </c>
      <c r="C72" s="272" t="s">
        <v>639</v>
      </c>
      <c r="D72" s="330"/>
      <c r="E72" s="259"/>
      <c r="F72" s="265"/>
      <c r="G72" s="246"/>
      <c r="H72" s="311" t="s">
        <v>432</v>
      </c>
      <c r="I72" s="246"/>
      <c r="J72" s="282"/>
      <c r="K72" s="246"/>
      <c r="L72" s="261"/>
      <c r="M72" s="341"/>
      <c r="N72" s="246"/>
      <c r="O72" s="311" t="s">
        <v>432</v>
      </c>
      <c r="P72" s="246"/>
      <c r="R72" s="246"/>
      <c r="S72" s="261"/>
      <c r="T72" s="341"/>
      <c r="U72" s="246"/>
      <c r="V72" s="311" t="s">
        <v>432</v>
      </c>
      <c r="W72" s="246"/>
      <c r="X72" s="282"/>
      <c r="Y72" s="246"/>
      <c r="Z72" s="261"/>
      <c r="AA72" s="341"/>
      <c r="AB72" s="246"/>
      <c r="AC72" s="311" t="s">
        <v>432</v>
      </c>
      <c r="AD72" s="246"/>
      <c r="AE72" s="282"/>
      <c r="AF72" s="246"/>
      <c r="AG72" s="261"/>
      <c r="AH72" s="341"/>
      <c r="AI72" s="246"/>
      <c r="AJ72" s="311" t="s">
        <v>432</v>
      </c>
      <c r="AK72" s="246"/>
      <c r="AL72" s="282"/>
      <c r="AM72" s="246"/>
      <c r="AN72" s="261"/>
      <c r="AO72" s="341"/>
      <c r="AP72" s="246"/>
      <c r="AQ72" s="282"/>
      <c r="AR72" s="246"/>
      <c r="AS72" s="252"/>
      <c r="AT72" s="823"/>
      <c r="AU72" s="269"/>
      <c r="AV72" s="269"/>
    </row>
    <row r="73">
      <c r="A73" s="94"/>
      <c r="B73" s="429" t="s">
        <v>714</v>
      </c>
      <c r="C73" s="430"/>
      <c r="D73" s="431"/>
      <c r="E73" s="259"/>
      <c r="F73" s="432"/>
      <c r="G73" s="432"/>
      <c r="H73" s="432"/>
      <c r="I73" s="432"/>
      <c r="J73" s="432"/>
      <c r="K73" s="432"/>
      <c r="L73" s="261"/>
      <c r="M73" s="432"/>
      <c r="N73" s="433"/>
      <c r="O73" s="432"/>
      <c r="P73" s="432"/>
      <c r="Q73" s="432"/>
      <c r="R73" s="432"/>
      <c r="S73" s="261"/>
      <c r="T73" s="432"/>
      <c r="U73" s="433"/>
      <c r="V73" s="432"/>
      <c r="W73" s="432"/>
      <c r="X73" s="432"/>
      <c r="Y73" s="432"/>
      <c r="Z73" s="261"/>
      <c r="AA73" s="432"/>
      <c r="AB73" s="433"/>
      <c r="AC73" s="432"/>
      <c r="AD73" s="432"/>
      <c r="AE73" s="432"/>
      <c r="AF73" s="432"/>
      <c r="AG73" s="261"/>
      <c r="AH73" s="432"/>
      <c r="AI73" s="433"/>
      <c r="AJ73" s="432"/>
      <c r="AK73" s="432"/>
      <c r="AL73" s="432"/>
      <c r="AM73" s="432"/>
      <c r="AN73" s="261"/>
      <c r="AO73" s="432"/>
      <c r="AP73" s="433"/>
      <c r="AQ73" s="432"/>
      <c r="AR73" s="432"/>
      <c r="AS73" s="432"/>
      <c r="AT73" s="430"/>
      <c r="AU73" s="269"/>
      <c r="AV73" s="269"/>
    </row>
    <row r="74">
      <c r="A74" s="94"/>
      <c r="B74" s="401" t="s">
        <v>715</v>
      </c>
      <c r="C74" s="412" t="s">
        <v>716</v>
      </c>
      <c r="D74" s="323"/>
      <c r="E74" s="259"/>
      <c r="F74" s="434"/>
      <c r="G74" s="246"/>
      <c r="H74" s="434" t="s">
        <v>403</v>
      </c>
      <c r="I74" s="246"/>
      <c r="J74" s="434"/>
      <c r="K74" s="246"/>
      <c r="L74" s="261"/>
      <c r="M74" s="434"/>
      <c r="N74" s="246"/>
      <c r="O74" s="434" t="s">
        <v>403</v>
      </c>
      <c r="P74" s="246"/>
      <c r="Q74" s="434"/>
      <c r="R74" s="246"/>
      <c r="S74" s="261"/>
      <c r="T74" s="434"/>
      <c r="U74" s="246"/>
      <c r="V74" s="434" t="s">
        <v>403</v>
      </c>
      <c r="W74" s="246"/>
      <c r="X74" s="434"/>
      <c r="Y74" s="246"/>
      <c r="Z74" s="261"/>
      <c r="AA74" s="434"/>
      <c r="AB74" s="246"/>
      <c r="AC74" s="434" t="s">
        <v>403</v>
      </c>
      <c r="AD74" s="246"/>
      <c r="AE74" s="434"/>
      <c r="AF74" s="246"/>
      <c r="AG74" s="261"/>
      <c r="AH74" s="434"/>
      <c r="AI74" s="246"/>
      <c r="AJ74" s="434" t="s">
        <v>403</v>
      </c>
      <c r="AK74" s="246"/>
      <c r="AL74" s="434"/>
      <c r="AM74" s="246"/>
      <c r="AN74" s="261"/>
      <c r="AO74" s="434"/>
      <c r="AP74" s="246"/>
      <c r="AQ74" s="434"/>
      <c r="AR74" s="246"/>
      <c r="AS74" s="434"/>
      <c r="AT74" s="254" t="str">
        <f t="shared" ref="AT74:AT83" si="15">IF(COUNTIF($AO$89:$AT$91, AS74) &gt; 0, "X", "")</f>
        <v/>
      </c>
      <c r="AU74" s="269"/>
      <c r="AV74" s="269"/>
    </row>
    <row r="75">
      <c r="A75" s="94"/>
      <c r="B75" s="401" t="s">
        <v>715</v>
      </c>
      <c r="C75" s="412" t="s">
        <v>716</v>
      </c>
      <c r="D75" s="323"/>
      <c r="E75" s="259"/>
      <c r="G75" s="246"/>
      <c r="H75" s="434"/>
      <c r="I75" s="246"/>
      <c r="J75" s="434"/>
      <c r="K75" s="246"/>
      <c r="L75" s="261"/>
      <c r="M75" s="434"/>
      <c r="N75" s="246"/>
      <c r="O75" s="434" t="s">
        <v>465</v>
      </c>
      <c r="P75" s="246"/>
      <c r="Q75" s="434"/>
      <c r="R75" s="246"/>
      <c r="S75" s="261"/>
      <c r="T75" s="434"/>
      <c r="U75" s="246"/>
      <c r="V75" s="434" t="s">
        <v>465</v>
      </c>
      <c r="W75" s="246"/>
      <c r="X75" s="434"/>
      <c r="Y75" s="246"/>
      <c r="Z75" s="261"/>
      <c r="AA75" s="434"/>
      <c r="AB75" s="246"/>
      <c r="AC75" s="434"/>
      <c r="AD75" s="246"/>
      <c r="AE75" s="434"/>
      <c r="AF75" s="246"/>
      <c r="AG75" s="261"/>
      <c r="AH75" s="434"/>
      <c r="AI75" s="246"/>
      <c r="AJ75" s="434" t="s">
        <v>465</v>
      </c>
      <c r="AK75" s="246"/>
      <c r="AL75" s="434"/>
      <c r="AM75" s="246"/>
      <c r="AN75" s="261"/>
      <c r="AO75" s="434"/>
      <c r="AP75" s="246"/>
      <c r="AQ75" s="434" t="s">
        <v>465</v>
      </c>
      <c r="AR75" s="246"/>
      <c r="AS75" s="434"/>
      <c r="AT75" s="254" t="str">
        <f t="shared" si="15"/>
        <v/>
      </c>
      <c r="AU75" s="269"/>
      <c r="AV75" s="269"/>
    </row>
    <row r="76">
      <c r="A76" s="94"/>
      <c r="B76" s="435" t="s">
        <v>717</v>
      </c>
      <c r="C76" s="415" t="s">
        <v>718</v>
      </c>
      <c r="D76" s="363"/>
      <c r="E76" s="259"/>
      <c r="F76" s="406"/>
      <c r="G76" s="246"/>
      <c r="H76" s="406" t="s">
        <v>463</v>
      </c>
      <c r="I76" s="246"/>
      <c r="J76" s="406"/>
      <c r="K76" s="246"/>
      <c r="L76" s="261"/>
      <c r="M76" s="406"/>
      <c r="N76" s="246"/>
      <c r="O76" s="826"/>
      <c r="P76" s="246"/>
      <c r="Q76" s="406"/>
      <c r="R76" s="246"/>
      <c r="S76" s="261"/>
      <c r="T76" s="406"/>
      <c r="U76" s="246"/>
      <c r="V76" s="826"/>
      <c r="W76" s="246"/>
      <c r="X76" s="406"/>
      <c r="Y76" s="246"/>
      <c r="Z76" s="261"/>
      <c r="AA76" s="406"/>
      <c r="AB76" s="246"/>
      <c r="AC76" s="826"/>
      <c r="AD76" s="246"/>
      <c r="AE76" s="406"/>
      <c r="AF76" s="246"/>
      <c r="AG76" s="261"/>
      <c r="AH76" s="406"/>
      <c r="AI76" s="246"/>
      <c r="AJ76" s="826"/>
      <c r="AK76" s="246"/>
      <c r="AL76" s="406"/>
      <c r="AM76" s="246"/>
      <c r="AN76" s="261"/>
      <c r="AO76" s="406"/>
      <c r="AP76" s="246"/>
      <c r="AQ76" s="826"/>
      <c r="AR76" s="246"/>
      <c r="AS76" s="406"/>
      <c r="AT76" s="254" t="str">
        <f t="shared" si="15"/>
        <v/>
      </c>
      <c r="AU76" s="269"/>
      <c r="AV76" s="269"/>
    </row>
    <row r="77">
      <c r="A77" s="94"/>
      <c r="B77" s="436" t="s">
        <v>719</v>
      </c>
      <c r="C77" s="437" t="s">
        <v>720</v>
      </c>
      <c r="D77" s="330"/>
      <c r="E77" s="259"/>
      <c r="F77" s="406"/>
      <c r="G77" s="246"/>
      <c r="H77" s="826"/>
      <c r="I77" s="246"/>
      <c r="J77" s="406"/>
      <c r="K77" s="246"/>
      <c r="L77" s="261"/>
      <c r="M77" s="406"/>
      <c r="N77" s="246"/>
      <c r="O77" s="406" t="s">
        <v>463</v>
      </c>
      <c r="P77" s="246"/>
      <c r="Q77" s="406"/>
      <c r="R77" s="246"/>
      <c r="S77" s="261"/>
      <c r="T77" s="406"/>
      <c r="U77" s="246"/>
      <c r="V77" s="406" t="s">
        <v>463</v>
      </c>
      <c r="W77" s="246"/>
      <c r="X77" s="406"/>
      <c r="Y77" s="246"/>
      <c r="Z77" s="261"/>
      <c r="AA77" s="406"/>
      <c r="AB77" s="246"/>
      <c r="AC77" s="434" t="s">
        <v>957</v>
      </c>
      <c r="AD77" s="246"/>
      <c r="AE77" s="406" t="s">
        <v>946</v>
      </c>
      <c r="AF77" s="246"/>
      <c r="AG77" s="261"/>
      <c r="AH77" s="406"/>
      <c r="AI77" s="246"/>
      <c r="AJ77" s="406" t="s">
        <v>957</v>
      </c>
      <c r="AK77" s="246"/>
      <c r="AL77" s="406" t="s">
        <v>946</v>
      </c>
      <c r="AM77" s="246"/>
      <c r="AN77" s="261"/>
      <c r="AO77" s="406"/>
      <c r="AP77" s="246"/>
      <c r="AQ77" s="406"/>
      <c r="AR77" s="246"/>
      <c r="AS77" s="406"/>
      <c r="AT77" s="254" t="str">
        <f t="shared" si="15"/>
        <v/>
      </c>
      <c r="AU77" s="269"/>
      <c r="AV77" s="269"/>
    </row>
    <row r="78">
      <c r="A78" s="94"/>
      <c r="B78" s="439" t="s">
        <v>721</v>
      </c>
      <c r="C78" s="440" t="s">
        <v>722</v>
      </c>
      <c r="D78" s="330"/>
      <c r="E78" s="259"/>
      <c r="F78" s="406"/>
      <c r="G78" s="246"/>
      <c r="H78" s="406" t="s">
        <v>465</v>
      </c>
      <c r="I78" s="246"/>
      <c r="J78" s="406"/>
      <c r="K78" s="246"/>
      <c r="L78" s="261"/>
      <c r="M78" s="406"/>
      <c r="N78" s="246"/>
      <c r="O78" s="406" t="s">
        <v>454</v>
      </c>
      <c r="P78" s="246"/>
      <c r="Q78" s="406"/>
      <c r="R78" s="246"/>
      <c r="S78" s="261"/>
      <c r="T78" s="406"/>
      <c r="U78" s="246"/>
      <c r="V78" s="406" t="s">
        <v>454</v>
      </c>
      <c r="W78" s="246"/>
      <c r="X78" s="406"/>
      <c r="Y78" s="246"/>
      <c r="Z78" s="261"/>
      <c r="AA78" s="406"/>
      <c r="AB78" s="246"/>
      <c r="AC78" s="406" t="s">
        <v>454</v>
      </c>
      <c r="AD78" s="246"/>
      <c r="AE78" s="406"/>
      <c r="AF78" s="246"/>
      <c r="AG78" s="261"/>
      <c r="AH78" s="406"/>
      <c r="AI78" s="246"/>
      <c r="AJ78" s="406" t="s">
        <v>454</v>
      </c>
      <c r="AK78" s="246"/>
      <c r="AL78" s="406"/>
      <c r="AM78" s="246"/>
      <c r="AN78" s="261"/>
      <c r="AO78" s="406"/>
      <c r="AP78" s="246"/>
      <c r="AQ78" s="406"/>
      <c r="AR78" s="246"/>
      <c r="AS78" s="406"/>
      <c r="AT78" s="254" t="str">
        <f t="shared" si="15"/>
        <v/>
      </c>
      <c r="AU78" s="269"/>
      <c r="AV78" s="269"/>
    </row>
    <row r="79">
      <c r="A79" s="94"/>
      <c r="B79" s="439" t="s">
        <v>723</v>
      </c>
      <c r="C79" s="440" t="s">
        <v>724</v>
      </c>
      <c r="D79" s="330"/>
      <c r="E79" s="259"/>
      <c r="F79" s="441"/>
      <c r="G79" s="246"/>
      <c r="H79" s="826"/>
      <c r="I79" s="246"/>
      <c r="J79" s="441"/>
      <c r="K79" s="246"/>
      <c r="L79" s="261"/>
      <c r="M79" s="441"/>
      <c r="N79" s="246"/>
      <c r="O79" s="406" t="s">
        <v>957</v>
      </c>
      <c r="P79" s="246"/>
      <c r="Q79" s="406" t="s">
        <v>946</v>
      </c>
      <c r="R79" s="246"/>
      <c r="S79" s="261"/>
      <c r="T79" s="441"/>
      <c r="U79" s="246"/>
      <c r="V79" s="406" t="s">
        <v>460</v>
      </c>
      <c r="W79" s="246"/>
      <c r="X79" s="441"/>
      <c r="Y79" s="246"/>
      <c r="Z79" s="261"/>
      <c r="AA79" s="441"/>
      <c r="AB79" s="246"/>
      <c r="AC79" s="826"/>
      <c r="AD79" s="246"/>
      <c r="AE79" s="441"/>
      <c r="AF79" s="246"/>
      <c r="AG79" s="261"/>
      <c r="AH79" s="441"/>
      <c r="AI79" s="246"/>
      <c r="AJ79" s="406" t="s">
        <v>463</v>
      </c>
      <c r="AK79" s="246"/>
      <c r="AL79" s="441"/>
      <c r="AM79" s="246"/>
      <c r="AN79" s="261"/>
      <c r="AO79" s="441"/>
      <c r="AP79" s="246"/>
      <c r="AQ79" s="406" t="s">
        <v>463</v>
      </c>
      <c r="AR79" s="246"/>
      <c r="AS79" s="441"/>
      <c r="AT79" s="254" t="str">
        <f t="shared" si="15"/>
        <v/>
      </c>
      <c r="AU79" s="269"/>
      <c r="AV79" s="269"/>
    </row>
    <row r="80">
      <c r="A80" s="94"/>
      <c r="B80" s="439" t="s">
        <v>725</v>
      </c>
      <c r="C80" s="442" t="s">
        <v>726</v>
      </c>
      <c r="D80" s="330"/>
      <c r="E80" s="259"/>
      <c r="F80" s="441"/>
      <c r="G80" s="246"/>
      <c r="H80" s="826"/>
      <c r="I80" s="246"/>
      <c r="J80" s="441"/>
      <c r="K80" s="246"/>
      <c r="L80" s="261"/>
      <c r="M80" s="441"/>
      <c r="N80" s="246"/>
      <c r="O80" s="406" t="s">
        <v>460</v>
      </c>
      <c r="P80" s="246"/>
      <c r="Q80" s="441"/>
      <c r="R80" s="246"/>
      <c r="S80" s="261"/>
      <c r="T80" s="441"/>
      <c r="U80" s="246"/>
      <c r="V80" s="826"/>
      <c r="W80" s="246"/>
      <c r="X80" s="441"/>
      <c r="Y80" s="246"/>
      <c r="Z80" s="261"/>
      <c r="AA80" s="441"/>
      <c r="AB80" s="246"/>
      <c r="AC80" s="826"/>
      <c r="AD80" s="246"/>
      <c r="AE80" s="441"/>
      <c r="AF80" s="246"/>
      <c r="AG80" s="261"/>
      <c r="AH80" s="441"/>
      <c r="AI80" s="246"/>
      <c r="AJ80" s="826"/>
      <c r="AK80" s="246"/>
      <c r="AL80" s="441"/>
      <c r="AM80" s="246"/>
      <c r="AN80" s="261"/>
      <c r="AO80" s="441"/>
      <c r="AP80" s="246"/>
      <c r="AQ80" s="826"/>
      <c r="AR80" s="246"/>
      <c r="AS80" s="441"/>
      <c r="AT80" s="254" t="str">
        <f t="shared" si="15"/>
        <v/>
      </c>
      <c r="AU80" s="269"/>
      <c r="AV80" s="269"/>
    </row>
    <row r="81">
      <c r="A81" s="94"/>
      <c r="B81" s="447" t="s">
        <v>729</v>
      </c>
      <c r="C81" s="448" t="s">
        <v>730</v>
      </c>
      <c r="D81" s="330"/>
      <c r="E81" s="259"/>
      <c r="F81" s="441"/>
      <c r="G81" s="246"/>
      <c r="H81" s="441"/>
      <c r="I81" s="246"/>
      <c r="J81" s="441"/>
      <c r="K81" s="246"/>
      <c r="L81" s="261"/>
      <c r="M81" s="441"/>
      <c r="N81" s="246"/>
      <c r="O81" s="441"/>
      <c r="P81" s="246"/>
      <c r="Q81" s="441"/>
      <c r="R81" s="246"/>
      <c r="S81" s="261"/>
      <c r="T81" s="441"/>
      <c r="U81" s="246"/>
      <c r="V81" s="441"/>
      <c r="W81" s="246"/>
      <c r="X81" s="441"/>
      <c r="Y81" s="246"/>
      <c r="Z81" s="261"/>
      <c r="AA81" s="441"/>
      <c r="AB81" s="246"/>
      <c r="AC81" s="441"/>
      <c r="AD81" s="246"/>
      <c r="AE81" s="441"/>
      <c r="AF81" s="246"/>
      <c r="AG81" s="261"/>
      <c r="AH81" s="441"/>
      <c r="AI81" s="246"/>
      <c r="AJ81" s="441"/>
      <c r="AK81" s="246"/>
      <c r="AL81" s="441"/>
      <c r="AM81" s="246"/>
      <c r="AN81" s="261"/>
      <c r="AO81" s="441"/>
      <c r="AP81" s="246"/>
      <c r="AQ81" s="441"/>
      <c r="AR81" s="246"/>
      <c r="AS81" s="441"/>
      <c r="AT81" s="254" t="str">
        <f t="shared" si="15"/>
        <v/>
      </c>
      <c r="AU81" s="269"/>
      <c r="AV81" s="269"/>
    </row>
    <row r="82">
      <c r="A82" s="94"/>
      <c r="B82" s="450" t="s">
        <v>731</v>
      </c>
      <c r="C82" s="451" t="s">
        <v>732</v>
      </c>
      <c r="D82" s="363"/>
      <c r="E82" s="259"/>
      <c r="F82" s="206"/>
      <c r="G82" s="246"/>
      <c r="H82" s="206" t="s">
        <v>957</v>
      </c>
      <c r="I82" s="246"/>
      <c r="J82" s="206" t="s">
        <v>946</v>
      </c>
      <c r="K82" s="246"/>
      <c r="L82" s="261"/>
      <c r="M82" s="206"/>
      <c r="N82" s="246"/>
      <c r="O82" s="826"/>
      <c r="P82" s="246"/>
      <c r="Q82" s="206"/>
      <c r="R82" s="246"/>
      <c r="S82" s="261"/>
      <c r="T82" s="206"/>
      <c r="U82" s="246"/>
      <c r="V82" s="206" t="s">
        <v>959</v>
      </c>
      <c r="W82" s="246"/>
      <c r="X82" s="206" t="s">
        <v>946</v>
      </c>
      <c r="Y82" s="246"/>
      <c r="Z82" s="261"/>
      <c r="AA82" s="206"/>
      <c r="AB82" s="246"/>
      <c r="AC82" s="406" t="s">
        <v>460</v>
      </c>
      <c r="AD82" s="246"/>
      <c r="AE82" s="206"/>
      <c r="AF82" s="246"/>
      <c r="AG82" s="261"/>
      <c r="AH82" s="206"/>
      <c r="AI82" s="246"/>
      <c r="AJ82" s="406" t="s">
        <v>460</v>
      </c>
      <c r="AK82" s="246"/>
      <c r="AL82" s="206"/>
      <c r="AM82" s="246"/>
      <c r="AN82" s="261"/>
      <c r="AO82" s="206"/>
      <c r="AP82" s="246"/>
      <c r="AQ82" s="206"/>
      <c r="AR82" s="246"/>
      <c r="AS82" s="206"/>
      <c r="AT82" s="254" t="str">
        <f t="shared" si="15"/>
        <v/>
      </c>
      <c r="AU82" s="269"/>
      <c r="AV82" s="269"/>
    </row>
    <row r="83">
      <c r="A83" s="94"/>
      <c r="B83" s="673" t="s">
        <v>944</v>
      </c>
      <c r="C83" s="272" t="s">
        <v>639</v>
      </c>
      <c r="D83" s="363"/>
      <c r="E83" s="259"/>
      <c r="F83" s="74"/>
      <c r="G83" s="246"/>
      <c r="H83" s="594" t="s">
        <v>395</v>
      </c>
      <c r="I83" s="246"/>
      <c r="J83" s="74"/>
      <c r="K83" s="246"/>
      <c r="L83" s="261"/>
      <c r="M83" s="74"/>
      <c r="N83" s="246"/>
      <c r="O83" s="594" t="s">
        <v>395</v>
      </c>
      <c r="P83" s="246"/>
      <c r="Q83" s="74"/>
      <c r="R83" s="246"/>
      <c r="S83" s="261"/>
      <c r="T83" s="74"/>
      <c r="U83" s="246"/>
      <c r="V83" s="594" t="s">
        <v>395</v>
      </c>
      <c r="W83" s="246"/>
      <c r="X83" s="74"/>
      <c r="Y83" s="246"/>
      <c r="Z83" s="261"/>
      <c r="AA83" s="74"/>
      <c r="AB83" s="246"/>
      <c r="AC83" s="594" t="s">
        <v>395</v>
      </c>
      <c r="AD83" s="246"/>
      <c r="AE83" s="74"/>
      <c r="AF83" s="246"/>
      <c r="AG83" s="261"/>
      <c r="AH83" s="74"/>
      <c r="AI83" s="246"/>
      <c r="AJ83" s="594" t="s">
        <v>395</v>
      </c>
      <c r="AK83" s="246"/>
      <c r="AL83" s="74"/>
      <c r="AM83" s="246"/>
      <c r="AN83" s="261"/>
      <c r="AO83" s="74"/>
      <c r="AP83" s="246"/>
      <c r="AQ83" s="826"/>
      <c r="AR83" s="246"/>
      <c r="AS83" s="74"/>
      <c r="AT83" s="254" t="str">
        <f t="shared" si="15"/>
        <v/>
      </c>
      <c r="AU83" s="269"/>
      <c r="AV83" s="269"/>
    </row>
    <row r="84">
      <c r="A84" s="94"/>
      <c r="B84" s="636"/>
      <c r="C84" s="637"/>
      <c r="D84" s="269"/>
      <c r="E84" s="638"/>
      <c r="F84" s="446"/>
      <c r="G84" s="246"/>
      <c r="H84" s="446"/>
      <c r="I84" s="246"/>
      <c r="J84" s="446"/>
      <c r="K84" s="246"/>
      <c r="L84" s="462"/>
      <c r="M84" s="446"/>
      <c r="N84" s="246"/>
      <c r="O84" s="446"/>
      <c r="P84" s="246"/>
      <c r="Q84" s="446"/>
      <c r="R84" s="246"/>
      <c r="S84" s="462"/>
      <c r="T84" s="446"/>
      <c r="U84" s="246"/>
      <c r="V84" s="446"/>
      <c r="W84" s="246"/>
      <c r="X84" s="446"/>
      <c r="Y84" s="246"/>
      <c r="Z84" s="462"/>
      <c r="AA84" s="446"/>
      <c r="AB84" s="246"/>
      <c r="AC84" s="446"/>
      <c r="AD84" s="246"/>
      <c r="AE84" s="446"/>
      <c r="AF84" s="246"/>
      <c r="AG84" s="462"/>
      <c r="AH84" s="446"/>
      <c r="AI84" s="246"/>
      <c r="AJ84" s="446"/>
      <c r="AK84" s="246"/>
      <c r="AL84" s="446"/>
      <c r="AM84" s="246"/>
      <c r="AN84" s="462"/>
      <c r="AO84" s="446"/>
      <c r="AP84" s="246"/>
      <c r="AQ84" s="446"/>
      <c r="AR84" s="246"/>
      <c r="AS84" s="446"/>
      <c r="AT84" s="254"/>
      <c r="AU84" s="269"/>
      <c r="AV84" s="269"/>
    </row>
    <row r="85">
      <c r="A85" s="94"/>
      <c r="B85" s="454" t="s">
        <v>735</v>
      </c>
      <c r="C85" s="455" t="s">
        <v>736</v>
      </c>
      <c r="D85" s="363"/>
      <c r="E85" s="259"/>
      <c r="F85" s="441"/>
      <c r="G85" s="246"/>
      <c r="H85" s="441"/>
      <c r="I85" s="246"/>
      <c r="J85" s="405" t="s">
        <v>462</v>
      </c>
      <c r="K85" s="246"/>
      <c r="L85" s="261"/>
      <c r="M85" s="441"/>
      <c r="N85" s="246"/>
      <c r="O85" s="441"/>
      <c r="P85" s="246"/>
      <c r="Q85" s="441"/>
      <c r="R85" s="246"/>
      <c r="S85" s="261"/>
      <c r="T85" s="441"/>
      <c r="U85" s="246"/>
      <c r="V85" s="441"/>
      <c r="W85" s="246"/>
      <c r="X85" s="405" t="s">
        <v>462</v>
      </c>
      <c r="Y85" s="246"/>
      <c r="Z85" s="261"/>
      <c r="AB85" s="246"/>
      <c r="AC85" s="441"/>
      <c r="AD85" s="246"/>
      <c r="AE85" s="441"/>
      <c r="AF85" s="246"/>
      <c r="AG85" s="261"/>
      <c r="AH85" s="441"/>
      <c r="AI85" s="246"/>
      <c r="AJ85" s="441"/>
      <c r="AK85" s="246"/>
      <c r="AL85" s="405" t="s">
        <v>462</v>
      </c>
      <c r="AM85" s="246"/>
      <c r="AN85" s="261"/>
      <c r="AO85" s="441"/>
      <c r="AP85" s="246"/>
      <c r="AQ85" s="441"/>
      <c r="AR85" s="246"/>
      <c r="AS85" s="441"/>
      <c r="AT85" s="254" t="str">
        <f t="shared" ref="AT85:AT87" si="16">IF(COUNTIF($AO$89:$AT$91, AS85) &gt; 0, "X", "")</f>
        <v/>
      </c>
      <c r="AU85" s="269"/>
      <c r="AV85" s="269"/>
    </row>
    <row r="86">
      <c r="A86" s="94"/>
      <c r="B86" s="454" t="s">
        <v>735</v>
      </c>
      <c r="C86" s="442" t="s">
        <v>736</v>
      </c>
      <c r="D86" s="363"/>
      <c r="E86" s="259"/>
      <c r="F86" s="456"/>
      <c r="G86" s="246"/>
      <c r="H86" s="456"/>
      <c r="I86" s="246"/>
      <c r="J86" s="456"/>
      <c r="K86" s="246"/>
      <c r="L86" s="261"/>
      <c r="M86" s="456"/>
      <c r="N86" s="246"/>
      <c r="O86" s="456"/>
      <c r="P86" s="246"/>
      <c r="Q86" s="456"/>
      <c r="R86" s="246"/>
      <c r="S86" s="261"/>
      <c r="T86" s="456"/>
      <c r="U86" s="246"/>
      <c r="V86" s="456"/>
      <c r="W86" s="246"/>
      <c r="X86" s="456"/>
      <c r="Y86" s="246"/>
      <c r="Z86" s="261"/>
      <c r="AA86" s="456"/>
      <c r="AB86" s="246"/>
      <c r="AC86" s="456"/>
      <c r="AD86" s="246"/>
      <c r="AE86" s="456"/>
      <c r="AF86" s="246"/>
      <c r="AG86" s="261"/>
      <c r="AH86" s="456"/>
      <c r="AI86" s="246"/>
      <c r="AJ86" s="456"/>
      <c r="AK86" s="246"/>
      <c r="AL86" s="456"/>
      <c r="AM86" s="246"/>
      <c r="AN86" s="261"/>
      <c r="AO86" s="456"/>
      <c r="AP86" s="246"/>
      <c r="AQ86" s="456"/>
      <c r="AR86" s="246"/>
      <c r="AS86" s="456"/>
      <c r="AT86" s="254" t="str">
        <f t="shared" si="16"/>
        <v/>
      </c>
      <c r="AU86" s="269"/>
      <c r="AV86" s="269"/>
    </row>
    <row r="87">
      <c r="A87" s="94"/>
      <c r="B87" s="457" t="s">
        <v>735</v>
      </c>
      <c r="C87" s="458" t="s">
        <v>737</v>
      </c>
      <c r="D87" s="363"/>
      <c r="E87" s="259"/>
      <c r="F87" s="406"/>
      <c r="G87" s="246"/>
      <c r="H87" s="406"/>
      <c r="I87" s="246"/>
      <c r="J87" s="406"/>
      <c r="K87" s="246"/>
      <c r="L87" s="261"/>
      <c r="M87" s="406"/>
      <c r="N87" s="246"/>
      <c r="O87" s="406"/>
      <c r="P87" s="246"/>
      <c r="Q87" s="406"/>
      <c r="R87" s="246"/>
      <c r="S87" s="261"/>
      <c r="T87" s="406"/>
      <c r="U87" s="246"/>
      <c r="V87" s="406"/>
      <c r="W87" s="246"/>
      <c r="X87" s="406"/>
      <c r="Y87" s="246"/>
      <c r="Z87" s="261"/>
      <c r="AA87" s="406"/>
      <c r="AB87" s="246"/>
      <c r="AC87" s="406"/>
      <c r="AD87" s="246"/>
      <c r="AE87" s="406"/>
      <c r="AF87" s="246"/>
      <c r="AG87" s="261"/>
      <c r="AH87" s="406"/>
      <c r="AI87" s="246"/>
      <c r="AJ87" s="406"/>
      <c r="AK87" s="246"/>
      <c r="AL87" s="406"/>
      <c r="AM87" s="246"/>
      <c r="AN87" s="261"/>
      <c r="AO87" s="406"/>
      <c r="AP87" s="246"/>
      <c r="AQ87" s="406"/>
      <c r="AR87" s="246"/>
      <c r="AS87" s="406"/>
      <c r="AT87" s="254" t="str">
        <f t="shared" si="16"/>
        <v/>
      </c>
      <c r="AU87" s="269"/>
      <c r="AV87" s="269"/>
    </row>
    <row r="88">
      <c r="A88" s="94"/>
      <c r="B88" s="454"/>
      <c r="C88" s="827"/>
      <c r="D88" s="363"/>
      <c r="E88" s="259"/>
      <c r="F88" s="406"/>
      <c r="G88" s="246"/>
      <c r="H88" s="406"/>
      <c r="I88" s="246"/>
      <c r="J88" s="406"/>
      <c r="K88" s="246"/>
      <c r="L88" s="261"/>
      <c r="M88" s="406"/>
      <c r="N88" s="246"/>
      <c r="O88" s="406"/>
      <c r="P88" s="246"/>
      <c r="Q88" s="406"/>
      <c r="R88" s="246"/>
      <c r="S88" s="261"/>
      <c r="T88" s="406"/>
      <c r="U88" s="246"/>
      <c r="V88" s="406"/>
      <c r="W88" s="246"/>
      <c r="X88" s="406"/>
      <c r="Y88" s="246"/>
      <c r="Z88" s="261"/>
      <c r="AA88" s="406"/>
      <c r="AB88" s="246"/>
      <c r="AC88" s="406"/>
      <c r="AD88" s="246"/>
      <c r="AE88" s="406"/>
      <c r="AF88" s="246"/>
      <c r="AG88" s="261"/>
      <c r="AH88" s="406"/>
      <c r="AI88" s="246"/>
      <c r="AJ88" s="406"/>
      <c r="AK88" s="246"/>
      <c r="AL88" s="406"/>
      <c r="AM88" s="246"/>
      <c r="AN88" s="261"/>
      <c r="AO88" s="406"/>
      <c r="AP88" s="246"/>
      <c r="AQ88" s="406"/>
      <c r="AR88" s="246"/>
      <c r="AS88" s="406"/>
      <c r="AT88" s="823"/>
      <c r="AU88" s="269"/>
      <c r="AV88" s="269"/>
    </row>
    <row r="89">
      <c r="A89" s="270"/>
      <c r="B89" s="459"/>
      <c r="C89" s="460" t="s">
        <v>738</v>
      </c>
      <c r="D89" s="363"/>
      <c r="E89" s="259"/>
      <c r="F89" s="461" t="s">
        <v>1168</v>
      </c>
      <c r="G89" s="246"/>
      <c r="H89" s="132"/>
      <c r="I89" s="246"/>
      <c r="J89" s="132"/>
      <c r="K89" s="246"/>
      <c r="L89" s="462"/>
      <c r="M89" s="461" t="s">
        <v>1169</v>
      </c>
      <c r="N89" s="246"/>
      <c r="O89" s="132"/>
      <c r="P89" s="246"/>
      <c r="Q89" s="132"/>
      <c r="R89" s="246"/>
      <c r="S89" s="462"/>
      <c r="T89" s="461" t="s">
        <v>1170</v>
      </c>
      <c r="U89" s="246"/>
      <c r="V89" s="132"/>
      <c r="W89" s="246"/>
      <c r="X89" s="132"/>
      <c r="Y89" s="246"/>
      <c r="Z89" s="462"/>
      <c r="AA89" s="461" t="s">
        <v>1171</v>
      </c>
      <c r="AB89" s="246"/>
      <c r="AC89" s="132"/>
      <c r="AD89" s="246"/>
      <c r="AE89" s="132"/>
      <c r="AF89" s="246"/>
      <c r="AG89" s="462"/>
      <c r="AH89" s="461" t="s">
        <v>1172</v>
      </c>
      <c r="AI89" s="246"/>
      <c r="AJ89" s="132"/>
      <c r="AK89" s="246"/>
      <c r="AL89" s="132"/>
      <c r="AM89" s="246"/>
      <c r="AN89" s="462"/>
      <c r="AO89" s="461" t="s">
        <v>1173</v>
      </c>
      <c r="AP89" s="246"/>
      <c r="AQ89" s="132"/>
      <c r="AR89" s="246"/>
      <c r="AS89" s="132"/>
      <c r="AT89" s="460"/>
      <c r="AU89" s="269"/>
      <c r="AV89" s="269"/>
    </row>
    <row r="90">
      <c r="A90" s="236"/>
      <c r="B90" s="459"/>
      <c r="C90" s="460" t="s">
        <v>738</v>
      </c>
      <c r="D90" s="363"/>
      <c r="E90" s="259"/>
      <c r="F90" s="132"/>
      <c r="G90" s="246"/>
      <c r="H90" s="132"/>
      <c r="I90" s="246"/>
      <c r="J90" s="132"/>
      <c r="K90" s="246"/>
      <c r="L90" s="462"/>
      <c r="M90" s="132"/>
      <c r="N90" s="246"/>
      <c r="O90" s="132"/>
      <c r="P90" s="246"/>
      <c r="Q90" s="132"/>
      <c r="R90" s="246"/>
      <c r="S90" s="462"/>
      <c r="T90" s="132"/>
      <c r="U90" s="246"/>
      <c r="V90" s="132"/>
      <c r="W90" s="246"/>
      <c r="X90" s="132"/>
      <c r="Y90" s="246"/>
      <c r="Z90" s="462"/>
      <c r="AA90" s="132"/>
      <c r="AB90" s="246"/>
      <c r="AC90" s="132"/>
      <c r="AD90" s="246"/>
      <c r="AE90" s="132"/>
      <c r="AF90" s="246"/>
      <c r="AG90" s="462"/>
      <c r="AH90" s="132"/>
      <c r="AI90" s="246"/>
      <c r="AJ90" s="132"/>
      <c r="AK90" s="246"/>
      <c r="AL90" s="132"/>
      <c r="AM90" s="246"/>
      <c r="AN90" s="462"/>
      <c r="AO90" s="132"/>
      <c r="AP90" s="246"/>
      <c r="AQ90" s="132"/>
      <c r="AR90" s="246"/>
      <c r="AS90" s="132"/>
      <c r="AT90" s="460"/>
      <c r="AU90" s="236"/>
      <c r="AV90" s="236"/>
    </row>
    <row r="91">
      <c r="A91" s="236"/>
      <c r="B91" s="459"/>
      <c r="C91" s="460" t="s">
        <v>738</v>
      </c>
      <c r="D91" s="363"/>
      <c r="E91" s="259"/>
      <c r="F91" s="461"/>
      <c r="G91" s="246"/>
      <c r="H91" s="132"/>
      <c r="I91" s="246"/>
      <c r="J91" s="132"/>
      <c r="K91" s="246"/>
      <c r="L91" s="462"/>
      <c r="M91" s="132"/>
      <c r="N91" s="246"/>
      <c r="O91" s="132"/>
      <c r="P91" s="246"/>
      <c r="Q91" s="132"/>
      <c r="R91" s="246"/>
      <c r="S91" s="462"/>
      <c r="T91" s="461"/>
      <c r="U91" s="246"/>
      <c r="V91" s="132"/>
      <c r="W91" s="246"/>
      <c r="X91" s="132"/>
      <c r="Y91" s="246"/>
      <c r="Z91" s="462"/>
      <c r="AA91" s="461"/>
      <c r="AB91" s="246"/>
      <c r="AC91" s="132"/>
      <c r="AD91" s="246"/>
      <c r="AE91" s="132"/>
      <c r="AF91" s="246"/>
      <c r="AG91" s="462"/>
      <c r="AH91" s="461"/>
      <c r="AI91" s="246"/>
      <c r="AJ91" s="132"/>
      <c r="AK91" s="246"/>
      <c r="AL91" s="132"/>
      <c r="AM91" s="246"/>
      <c r="AN91" s="462"/>
      <c r="AO91" s="461"/>
      <c r="AP91" s="246"/>
      <c r="AQ91" s="132"/>
      <c r="AR91" s="246"/>
      <c r="AS91" s="132"/>
      <c r="AT91" s="460"/>
      <c r="AU91" s="236"/>
      <c r="AV91" s="236"/>
    </row>
    <row r="92">
      <c r="A92" s="828"/>
      <c r="B92" s="829"/>
      <c r="C92" s="830"/>
      <c r="D92" s="828"/>
      <c r="E92" s="337"/>
      <c r="F92" s="831"/>
      <c r="G92" s="832"/>
      <c r="H92" s="833"/>
      <c r="I92" s="832"/>
      <c r="J92" s="833"/>
      <c r="K92" s="832"/>
      <c r="L92" s="834"/>
      <c r="M92" s="833"/>
      <c r="N92" s="832"/>
      <c r="O92" s="833"/>
      <c r="P92" s="832"/>
      <c r="Q92" s="833"/>
      <c r="R92" s="832"/>
      <c r="S92" s="834"/>
      <c r="T92" s="831"/>
      <c r="U92" s="832"/>
      <c r="V92" s="833"/>
      <c r="W92" s="832"/>
      <c r="X92" s="833"/>
      <c r="Y92" s="832"/>
      <c r="Z92" s="834"/>
      <c r="AA92" s="831"/>
      <c r="AB92" s="832"/>
      <c r="AC92" s="833"/>
      <c r="AD92" s="832"/>
      <c r="AE92" s="833"/>
      <c r="AF92" s="832"/>
      <c r="AG92" s="834"/>
      <c r="AH92" s="831"/>
      <c r="AI92" s="832"/>
      <c r="AJ92" s="833"/>
      <c r="AK92" s="832"/>
      <c r="AL92" s="833"/>
      <c r="AM92" s="832"/>
      <c r="AN92" s="834"/>
      <c r="AO92" s="831"/>
      <c r="AP92" s="832"/>
      <c r="AQ92" s="833"/>
      <c r="AR92" s="832"/>
      <c r="AS92" s="833"/>
      <c r="AT92" s="830"/>
      <c r="AU92" s="828"/>
      <c r="AV92" s="828"/>
    </row>
    <row r="93">
      <c r="A93" s="182"/>
      <c r="B93" s="183" t="s">
        <v>746</v>
      </c>
      <c r="C93" s="184" t="s">
        <v>1148</v>
      </c>
      <c r="D93" s="185" t="s">
        <v>486</v>
      </c>
      <c r="E93" s="186"/>
      <c r="F93" s="185" t="s">
        <v>487</v>
      </c>
      <c r="M93" s="185" t="s">
        <v>488</v>
      </c>
      <c r="T93" s="185" t="s">
        <v>489</v>
      </c>
      <c r="AA93" s="185" t="s">
        <v>490</v>
      </c>
      <c r="AH93" s="185" t="s">
        <v>491</v>
      </c>
      <c r="AO93" s="185" t="s">
        <v>492</v>
      </c>
      <c r="AU93" s="182"/>
      <c r="AV93" s="182"/>
    </row>
    <row r="94">
      <c r="A94" s="182"/>
      <c r="B94" s="187"/>
      <c r="C94" s="187"/>
      <c r="D94" s="188">
        <f>AO4+1</f>
        <v>9</v>
      </c>
      <c r="E94" s="189"/>
      <c r="F94" s="188">
        <f>D94+1</f>
        <v>10</v>
      </c>
      <c r="M94" s="188">
        <f>F94+1</f>
        <v>11</v>
      </c>
      <c r="T94" s="188">
        <f>M94+1</f>
        <v>12</v>
      </c>
      <c r="AA94" s="188">
        <f>T94+1</f>
        <v>13</v>
      </c>
      <c r="AH94" s="188">
        <f>AA94+1</f>
        <v>14</v>
      </c>
      <c r="AO94" s="188">
        <f>AH94+1</f>
        <v>15</v>
      </c>
      <c r="AU94" s="182"/>
      <c r="AV94" s="182"/>
    </row>
    <row r="95">
      <c r="A95" s="182"/>
      <c r="B95" s="193" t="s">
        <v>608</v>
      </c>
      <c r="C95" s="193" t="s">
        <v>609</v>
      </c>
      <c r="D95" s="187"/>
      <c r="E95" s="189"/>
      <c r="F95" s="194" t="s">
        <v>610</v>
      </c>
      <c r="G95" s="195"/>
      <c r="H95" s="193" t="s">
        <v>611</v>
      </c>
      <c r="J95" s="194" t="s">
        <v>612</v>
      </c>
      <c r="M95" s="194" t="s">
        <v>610</v>
      </c>
      <c r="N95" s="195"/>
      <c r="O95" s="193" t="s">
        <v>611</v>
      </c>
      <c r="P95" s="195"/>
      <c r="Q95" s="194" t="s">
        <v>612</v>
      </c>
      <c r="S95" s="193"/>
      <c r="T95" s="194" t="s">
        <v>610</v>
      </c>
      <c r="U95" s="195"/>
      <c r="V95" s="193" t="s">
        <v>611</v>
      </c>
      <c r="W95" s="195"/>
      <c r="X95" s="194" t="s">
        <v>612</v>
      </c>
      <c r="Z95" s="193"/>
      <c r="AA95" s="194" t="s">
        <v>610</v>
      </c>
      <c r="AB95" s="195"/>
      <c r="AC95" s="193" t="s">
        <v>611</v>
      </c>
      <c r="AD95" s="195"/>
      <c r="AE95" s="194" t="s">
        <v>612</v>
      </c>
      <c r="AG95" s="193"/>
      <c r="AH95" s="194" t="s">
        <v>610</v>
      </c>
      <c r="AI95" s="195"/>
      <c r="AJ95" s="193" t="s">
        <v>611</v>
      </c>
      <c r="AK95" s="195"/>
      <c r="AL95" s="194" t="s">
        <v>612</v>
      </c>
      <c r="AN95" s="193"/>
      <c r="AO95" s="194" t="s">
        <v>610</v>
      </c>
      <c r="AP95" s="195"/>
      <c r="AQ95" s="193" t="s">
        <v>611</v>
      </c>
      <c r="AR95" s="195"/>
      <c r="AS95" s="194" t="s">
        <v>612</v>
      </c>
      <c r="AU95" s="182"/>
      <c r="AV95" s="182"/>
    </row>
    <row r="96" ht="15.0" customHeight="1">
      <c r="A96" s="199"/>
      <c r="B96" s="200" t="s">
        <v>620</v>
      </c>
      <c r="C96" s="201"/>
      <c r="D96" s="201"/>
      <c r="E96" s="202"/>
      <c r="F96" s="203"/>
      <c r="G96" s="204"/>
      <c r="H96" s="203"/>
      <c r="I96" s="204"/>
      <c r="J96" s="203"/>
      <c r="K96" s="204"/>
      <c r="L96" s="205"/>
      <c r="M96" s="203"/>
      <c r="N96" s="204"/>
      <c r="O96" s="835" t="s">
        <v>1174</v>
      </c>
      <c r="P96" s="204"/>
      <c r="Q96" s="682" t="s">
        <v>1175</v>
      </c>
      <c r="R96" s="204"/>
      <c r="S96" s="205"/>
      <c r="T96" s="203"/>
      <c r="U96" s="204"/>
      <c r="V96" s="203"/>
      <c r="W96" s="204"/>
      <c r="X96" s="203"/>
      <c r="Y96" s="204"/>
      <c r="Z96" s="205"/>
      <c r="AA96" s="203"/>
      <c r="AB96" s="204"/>
      <c r="AC96" s="203"/>
      <c r="AD96" s="204"/>
      <c r="AE96" s="203"/>
      <c r="AF96" s="204"/>
      <c r="AG96" s="205"/>
      <c r="AH96" s="203"/>
      <c r="AI96" s="204"/>
      <c r="AJ96" s="203"/>
      <c r="AK96" s="204"/>
      <c r="AL96" s="203"/>
      <c r="AM96" s="204"/>
      <c r="AN96" s="205"/>
      <c r="AO96" s="203"/>
      <c r="AP96" s="204"/>
      <c r="AQ96" s="203"/>
      <c r="AR96" s="204"/>
      <c r="AS96" s="203"/>
      <c r="AT96" s="204"/>
      <c r="AU96" s="199"/>
      <c r="AV96" s="199"/>
    </row>
    <row r="97">
      <c r="A97" s="234"/>
      <c r="B97" s="235" t="s">
        <v>608</v>
      </c>
      <c r="C97" s="195" t="s">
        <v>609</v>
      </c>
      <c r="D97" s="236"/>
      <c r="E97" s="237"/>
      <c r="F97" s="238"/>
      <c r="G97" s="182"/>
      <c r="H97" s="238"/>
      <c r="I97" s="239"/>
      <c r="J97" s="238"/>
      <c r="K97" s="239"/>
      <c r="L97" s="237"/>
      <c r="M97" s="238"/>
      <c r="N97" s="182"/>
      <c r="O97" s="238"/>
      <c r="P97" s="239"/>
      <c r="Q97" s="238"/>
      <c r="R97" s="239"/>
      <c r="S97" s="237"/>
      <c r="T97" s="238"/>
      <c r="U97" s="182"/>
      <c r="V97" s="238"/>
      <c r="W97" s="239"/>
      <c r="X97" s="238"/>
      <c r="Y97" s="239"/>
      <c r="Z97" s="237"/>
      <c r="AA97" s="238"/>
      <c r="AB97" s="182"/>
      <c r="AC97" s="238"/>
      <c r="AD97" s="239"/>
      <c r="AE97" s="238"/>
      <c r="AF97" s="239"/>
      <c r="AG97" s="237"/>
      <c r="AH97" s="238"/>
      <c r="AI97" s="182"/>
      <c r="AJ97" s="238"/>
      <c r="AK97" s="239"/>
      <c r="AL97" s="238"/>
      <c r="AM97" s="239"/>
      <c r="AN97" s="237"/>
      <c r="AO97" s="238"/>
      <c r="AP97" s="182"/>
      <c r="AQ97" s="238"/>
      <c r="AR97" s="239"/>
      <c r="AS97" s="238"/>
      <c r="AT97" s="239"/>
      <c r="AU97" s="236"/>
      <c r="AV97" s="236"/>
    </row>
    <row r="98" ht="14.25" customHeight="1">
      <c r="A98" s="240"/>
      <c r="B98" s="241" t="s">
        <v>638</v>
      </c>
      <c r="C98" s="242" t="s">
        <v>639</v>
      </c>
      <c r="D98" s="243"/>
      <c r="E98" s="244"/>
      <c r="F98" s="371"/>
      <c r="G98" s="246"/>
      <c r="H98" s="282"/>
      <c r="I98" s="246"/>
      <c r="J98" s="282"/>
      <c r="K98" s="246"/>
      <c r="L98" s="249"/>
      <c r="M98" s="250"/>
      <c r="N98" s="246"/>
      <c r="O98" s="282"/>
      <c r="P98" s="246"/>
      <c r="R98" s="246"/>
      <c r="S98" s="249"/>
      <c r="T98" s="250"/>
      <c r="U98" s="246"/>
      <c r="V98" s="282"/>
      <c r="W98" s="246"/>
      <c r="X98" s="334" t="s">
        <v>414</v>
      </c>
      <c r="Y98" s="246"/>
      <c r="Z98" s="249"/>
      <c r="AA98" s="250"/>
      <c r="AB98" s="246"/>
      <c r="AD98" s="246"/>
      <c r="AF98" s="246"/>
      <c r="AG98" s="249"/>
      <c r="AH98" s="371"/>
      <c r="AI98" s="246"/>
      <c r="AK98" s="246"/>
      <c r="AM98" s="246"/>
      <c r="AN98" s="249"/>
      <c r="AO98" s="286"/>
      <c r="AP98" s="246"/>
      <c r="AR98" s="246"/>
      <c r="AT98" s="254" t="str">
        <f>IF(COUNTIF($AO$89:$AT$91, #REF!) &gt; 0, "X", "")</f>
        <v/>
      </c>
      <c r="AU98" s="255"/>
      <c r="AV98" s="255"/>
    </row>
    <row r="99" ht="13.5" customHeight="1">
      <c r="A99" s="94"/>
      <c r="B99" s="256" t="s">
        <v>638</v>
      </c>
      <c r="C99" s="257" t="s">
        <v>639</v>
      </c>
      <c r="D99" s="258"/>
      <c r="E99" s="259"/>
      <c r="F99" s="371"/>
      <c r="G99" s="246"/>
      <c r="H99" s="282"/>
      <c r="I99" s="246"/>
      <c r="K99" s="246"/>
      <c r="L99" s="249"/>
      <c r="M99" s="250"/>
      <c r="N99" s="246"/>
      <c r="O99" s="282"/>
      <c r="P99" s="246"/>
      <c r="R99" s="246"/>
      <c r="S99" s="249"/>
      <c r="T99" s="250"/>
      <c r="U99" s="246"/>
      <c r="V99" s="282"/>
      <c r="W99" s="246"/>
      <c r="Y99" s="246"/>
      <c r="Z99" s="249"/>
      <c r="AA99" s="250"/>
      <c r="AB99" s="246"/>
      <c r="AD99" s="246"/>
      <c r="AE99" s="265"/>
      <c r="AF99" s="246"/>
      <c r="AG99" s="249"/>
      <c r="AH99" s="371"/>
      <c r="AI99" s="246"/>
      <c r="AK99" s="246"/>
      <c r="AL99" s="334" t="s">
        <v>414</v>
      </c>
      <c r="AM99" s="246"/>
      <c r="AN99" s="249"/>
      <c r="AO99" s="286"/>
      <c r="AP99" s="246"/>
      <c r="AQ99" s="282"/>
      <c r="AR99" s="246"/>
      <c r="AS99" s="282"/>
      <c r="AT99" s="254" t="str">
        <f>IF(COUNTIF($AO$89:$AT$91, AS105) &gt; 0, "X", "")</f>
        <v/>
      </c>
      <c r="AU99" s="269"/>
      <c r="AV99" s="269"/>
    </row>
    <row r="100" ht="13.5" customHeight="1">
      <c r="A100" s="270"/>
      <c r="B100" s="271" t="s">
        <v>642</v>
      </c>
      <c r="C100" s="272" t="s">
        <v>639</v>
      </c>
      <c r="D100" s="258"/>
      <c r="E100" s="259"/>
      <c r="F100" s="426"/>
      <c r="G100" s="246"/>
      <c r="H100" s="426"/>
      <c r="I100" s="246"/>
      <c r="J100" s="265"/>
      <c r="K100" s="246"/>
      <c r="L100" s="261"/>
      <c r="M100" s="262"/>
      <c r="N100" s="246"/>
      <c r="P100" s="246"/>
      <c r="Q100" s="282"/>
      <c r="R100" s="246"/>
      <c r="S100" s="261"/>
      <c r="T100" s="262"/>
      <c r="U100" s="246"/>
      <c r="V100" s="265"/>
      <c r="W100" s="246"/>
      <c r="Y100" s="246"/>
      <c r="Z100" s="261"/>
      <c r="AA100" s="262"/>
      <c r="AB100" s="246"/>
      <c r="AC100" s="311"/>
      <c r="AD100" s="246"/>
      <c r="AE100" s="265"/>
      <c r="AF100" s="246"/>
      <c r="AG100" s="261"/>
      <c r="AH100" s="426"/>
      <c r="AI100" s="246"/>
      <c r="AJ100" s="426"/>
      <c r="AK100" s="246"/>
      <c r="AL100" s="265"/>
      <c r="AM100" s="246"/>
      <c r="AN100" s="261"/>
      <c r="AO100" s="286"/>
      <c r="AP100" s="246"/>
      <c r="AQ100" s="426"/>
      <c r="AR100" s="246"/>
      <c r="AS100" s="426"/>
      <c r="AT100" s="254" t="str">
        <f>IF(COUNTIF($AO$89:$AT$91, #REF!) &gt; 0, "X", "")</f>
        <v/>
      </c>
      <c r="AU100" s="269"/>
      <c r="AV100" s="269"/>
    </row>
    <row r="101" ht="11.25" customHeight="1">
      <c r="A101" s="234"/>
      <c r="B101" s="277" t="s">
        <v>644</v>
      </c>
      <c r="C101" s="278" t="s">
        <v>645</v>
      </c>
      <c r="D101" s="243"/>
      <c r="E101" s="259"/>
      <c r="F101" s="281"/>
      <c r="G101" s="246"/>
      <c r="H101" s="280" t="s">
        <v>400</v>
      </c>
      <c r="I101" s="246"/>
      <c r="J101" s="282"/>
      <c r="K101" s="246"/>
      <c r="L101" s="261"/>
      <c r="M101" s="250"/>
      <c r="N101" s="246"/>
      <c r="O101" s="280" t="s">
        <v>400</v>
      </c>
      <c r="P101" s="246"/>
      <c r="Q101" s="282"/>
      <c r="R101" s="246"/>
      <c r="S101" s="261"/>
      <c r="T101" s="250"/>
      <c r="U101" s="246"/>
      <c r="V101" s="281"/>
      <c r="W101" s="246"/>
      <c r="X101" s="280" t="s">
        <v>400</v>
      </c>
      <c r="Y101" s="246"/>
      <c r="Z101" s="261"/>
      <c r="AA101" s="250"/>
      <c r="AB101" s="246"/>
      <c r="AC101" s="280" t="s">
        <v>400</v>
      </c>
      <c r="AD101" s="246"/>
      <c r="AE101" s="282"/>
      <c r="AF101" s="246"/>
      <c r="AG101" s="261"/>
      <c r="AH101" s="281"/>
      <c r="AI101" s="246"/>
      <c r="AJ101" s="280" t="s">
        <v>400</v>
      </c>
      <c r="AK101" s="246"/>
      <c r="AL101" s="281"/>
      <c r="AM101" s="246"/>
      <c r="AN101" s="261"/>
      <c r="AO101" s="286"/>
      <c r="AP101" s="246"/>
      <c r="AQ101" s="281"/>
      <c r="AR101" s="246"/>
      <c r="AS101" s="281"/>
      <c r="AT101" s="254" t="str">
        <f t="shared" ref="AT101:AT103" si="17">IF(COUNTIF($AO$89:$AT$91, AS102) &gt; 0, "X", "")</f>
        <v/>
      </c>
      <c r="AU101" s="269"/>
      <c r="AV101" s="269"/>
    </row>
    <row r="102">
      <c r="A102" s="94"/>
      <c r="B102" s="256" t="s">
        <v>757</v>
      </c>
      <c r="C102" s="257" t="s">
        <v>645</v>
      </c>
      <c r="D102" s="243"/>
      <c r="E102" s="259"/>
      <c r="F102" s="274" t="s">
        <v>402</v>
      </c>
      <c r="G102" s="246"/>
      <c r="H102" s="371"/>
      <c r="I102" s="246"/>
      <c r="J102" s="371"/>
      <c r="K102" s="246"/>
      <c r="L102" s="261"/>
      <c r="M102" s="250"/>
      <c r="N102" s="246"/>
      <c r="O102" s="371"/>
      <c r="P102" s="246"/>
      <c r="Q102" s="280" t="s">
        <v>402</v>
      </c>
      <c r="R102" s="246"/>
      <c r="S102" s="261"/>
      <c r="T102" s="250"/>
      <c r="U102" s="246"/>
      <c r="V102" s="371"/>
      <c r="W102" s="246"/>
      <c r="X102" s="274" t="s">
        <v>402</v>
      </c>
      <c r="Y102" s="246"/>
      <c r="Z102" s="261"/>
      <c r="AA102" s="250"/>
      <c r="AB102" s="246"/>
      <c r="AC102" s="371"/>
      <c r="AD102" s="246"/>
      <c r="AF102" s="246"/>
      <c r="AG102" s="261"/>
      <c r="AH102" s="371"/>
      <c r="AI102" s="246"/>
      <c r="AJ102" s="371"/>
      <c r="AK102" s="246"/>
      <c r="AL102" s="274" t="s">
        <v>402</v>
      </c>
      <c r="AM102" s="246"/>
      <c r="AN102" s="261"/>
      <c r="AO102" s="286"/>
      <c r="AP102" s="246"/>
      <c r="AQ102" s="281"/>
      <c r="AR102" s="246"/>
      <c r="AS102" s="371"/>
      <c r="AT102" s="254" t="str">
        <f t="shared" si="17"/>
        <v/>
      </c>
      <c r="AU102" s="269"/>
      <c r="AV102" s="269"/>
    </row>
    <row r="103">
      <c r="A103" s="94"/>
      <c r="B103" s="284" t="s">
        <v>646</v>
      </c>
      <c r="C103" s="285" t="s">
        <v>647</v>
      </c>
      <c r="D103" s="243"/>
      <c r="E103" s="259"/>
      <c r="F103" s="251" t="s">
        <v>427</v>
      </c>
      <c r="G103" s="246"/>
      <c r="H103" s="399"/>
      <c r="I103" s="246"/>
      <c r="J103" s="399"/>
      <c r="K103" s="246"/>
      <c r="L103" s="261"/>
      <c r="M103" s="324"/>
      <c r="N103" s="246"/>
      <c r="O103" s="282"/>
      <c r="P103" s="246"/>
      <c r="Q103" s="251" t="s">
        <v>427</v>
      </c>
      <c r="R103" s="246"/>
      <c r="S103" s="261"/>
      <c r="T103" s="324"/>
      <c r="U103" s="246"/>
      <c r="V103" s="282"/>
      <c r="W103" s="246"/>
      <c r="X103" s="251" t="s">
        <v>427</v>
      </c>
      <c r="Y103" s="246"/>
      <c r="Z103" s="261"/>
      <c r="AA103" s="324"/>
      <c r="AB103" s="246"/>
      <c r="AD103" s="246"/>
      <c r="AE103" s="251" t="s">
        <v>427</v>
      </c>
      <c r="AF103" s="246"/>
      <c r="AG103" s="261"/>
      <c r="AH103" s="251" t="s">
        <v>427</v>
      </c>
      <c r="AI103" s="246"/>
      <c r="AJ103" s="399"/>
      <c r="AK103" s="246"/>
      <c r="AL103" s="282"/>
      <c r="AM103" s="246"/>
      <c r="AN103" s="261"/>
      <c r="AO103" s="286"/>
      <c r="AP103" s="246"/>
      <c r="AQ103" s="281"/>
      <c r="AR103" s="246"/>
      <c r="AS103" s="399"/>
      <c r="AT103" s="254" t="str">
        <f t="shared" si="17"/>
        <v/>
      </c>
      <c r="AU103" s="269"/>
      <c r="AV103" s="269"/>
    </row>
    <row r="104">
      <c r="A104" s="270"/>
      <c r="B104" s="291" t="s">
        <v>648</v>
      </c>
      <c r="C104" s="292" t="s">
        <v>649</v>
      </c>
      <c r="D104" s="243"/>
      <c r="E104" s="259"/>
      <c r="F104" s="294"/>
      <c r="G104" s="246"/>
      <c r="H104" s="293" t="s">
        <v>418</v>
      </c>
      <c r="I104" s="246"/>
      <c r="J104" s="294"/>
      <c r="K104" s="246"/>
      <c r="L104" s="261"/>
      <c r="M104" s="250"/>
      <c r="N104" s="246"/>
      <c r="O104" s="293" t="s">
        <v>418</v>
      </c>
      <c r="P104" s="246"/>
      <c r="Q104" s="294"/>
      <c r="R104" s="246"/>
      <c r="S104" s="261"/>
      <c r="T104" s="250"/>
      <c r="U104" s="246"/>
      <c r="V104" s="294"/>
      <c r="W104" s="246"/>
      <c r="X104" s="293" t="s">
        <v>418</v>
      </c>
      <c r="Y104" s="246"/>
      <c r="Z104" s="261"/>
      <c r="AA104" s="250"/>
      <c r="AB104" s="246"/>
      <c r="AC104" s="294"/>
      <c r="AD104" s="246"/>
      <c r="AE104" s="293" t="s">
        <v>418</v>
      </c>
      <c r="AF104" s="246"/>
      <c r="AG104" s="261"/>
      <c r="AH104" s="294"/>
      <c r="AI104" s="246"/>
      <c r="AJ104" s="293" t="s">
        <v>418</v>
      </c>
      <c r="AK104" s="246"/>
      <c r="AL104" s="294"/>
      <c r="AM104" s="246"/>
      <c r="AN104" s="261"/>
      <c r="AO104" s="286"/>
      <c r="AP104" s="246"/>
      <c r="AQ104" s="294"/>
      <c r="AR104" s="246"/>
      <c r="AS104" s="294"/>
      <c r="AT104" s="254" t="str">
        <f t="shared" ref="AT104:AT105" si="18">IF(COUNTIF($AO$89:$AT$91, #REF!) &gt; 0, "X", "")</f>
        <v/>
      </c>
      <c r="AU104" s="269"/>
      <c r="AV104" s="269"/>
    </row>
    <row r="105">
      <c r="A105" s="94"/>
      <c r="B105" s="296" t="s">
        <v>650</v>
      </c>
      <c r="C105" s="297" t="s">
        <v>649</v>
      </c>
      <c r="D105" s="243"/>
      <c r="E105" s="259"/>
      <c r="F105" s="299"/>
      <c r="G105" s="298"/>
      <c r="H105" s="299"/>
      <c r="I105" s="298"/>
      <c r="J105" s="299"/>
      <c r="K105" s="298"/>
      <c r="L105" s="261"/>
      <c r="M105" s="250"/>
      <c r="N105" s="298"/>
      <c r="O105" s="299"/>
      <c r="P105" s="298"/>
      <c r="Q105" s="299"/>
      <c r="R105" s="298"/>
      <c r="S105" s="261"/>
      <c r="T105" s="250"/>
      <c r="U105" s="298"/>
      <c r="V105" s="299"/>
      <c r="W105" s="298"/>
      <c r="X105" s="299"/>
      <c r="Y105" s="298"/>
      <c r="Z105" s="261"/>
      <c r="AA105" s="250"/>
      <c r="AB105" s="298"/>
      <c r="AC105" s="299"/>
      <c r="AD105" s="298"/>
      <c r="AE105" s="299"/>
      <c r="AF105" s="298"/>
      <c r="AG105" s="261"/>
      <c r="AH105" s="299"/>
      <c r="AI105" s="298"/>
      <c r="AJ105" s="299"/>
      <c r="AK105" s="298"/>
      <c r="AL105" s="299"/>
      <c r="AM105" s="298"/>
      <c r="AN105" s="261"/>
      <c r="AO105" s="286"/>
      <c r="AP105" s="298"/>
      <c r="AQ105" s="299"/>
      <c r="AR105" s="298"/>
      <c r="AS105" s="299"/>
      <c r="AT105" s="254" t="str">
        <f t="shared" si="18"/>
        <v/>
      </c>
      <c r="AU105" s="269"/>
      <c r="AV105" s="269"/>
    </row>
    <row r="106">
      <c r="A106" s="94"/>
      <c r="B106" s="301" t="s">
        <v>651</v>
      </c>
      <c r="C106" s="302" t="s">
        <v>652</v>
      </c>
      <c r="D106" s="243"/>
      <c r="E106" s="259"/>
      <c r="F106" s="303"/>
      <c r="G106" s="298"/>
      <c r="H106" s="303"/>
      <c r="I106" s="298"/>
      <c r="J106" s="303"/>
      <c r="K106" s="298"/>
      <c r="L106" s="261"/>
      <c r="M106" s="250"/>
      <c r="N106" s="298"/>
      <c r="O106" s="303"/>
      <c r="P106" s="298"/>
      <c r="Q106" s="303"/>
      <c r="R106" s="298"/>
      <c r="S106" s="261"/>
      <c r="T106" s="250"/>
      <c r="U106" s="298"/>
      <c r="V106" s="303"/>
      <c r="W106" s="298"/>
      <c r="X106" s="303"/>
      <c r="Y106" s="298"/>
      <c r="Z106" s="261"/>
      <c r="AA106" s="250"/>
      <c r="AB106" s="298"/>
      <c r="AC106" s="303"/>
      <c r="AD106" s="298"/>
      <c r="AE106" s="303"/>
      <c r="AF106" s="298"/>
      <c r="AG106" s="261"/>
      <c r="AH106" s="303"/>
      <c r="AI106" s="298"/>
      <c r="AJ106" s="303"/>
      <c r="AK106" s="298"/>
      <c r="AL106" s="303"/>
      <c r="AM106" s="298"/>
      <c r="AN106" s="261"/>
      <c r="AO106" s="286"/>
      <c r="AP106" s="298"/>
      <c r="AQ106" s="303"/>
      <c r="AR106" s="298"/>
      <c r="AS106" s="303"/>
      <c r="AT106" s="254" t="str">
        <f>IF(COUNTIF($AO$89:$AT$91, AS107) &gt; 0, "X", "")</f>
        <v/>
      </c>
      <c r="AU106" s="269"/>
      <c r="AV106" s="269"/>
    </row>
    <row r="107">
      <c r="A107" s="94"/>
      <c r="B107" s="305" t="s">
        <v>653</v>
      </c>
      <c r="C107" s="306" t="s">
        <v>654</v>
      </c>
      <c r="D107" s="243"/>
      <c r="E107" s="259"/>
      <c r="F107" s="307"/>
      <c r="G107" s="298"/>
      <c r="H107" s="307"/>
      <c r="I107" s="298"/>
      <c r="J107" s="307"/>
      <c r="K107" s="298"/>
      <c r="L107" s="261"/>
      <c r="M107" s="250"/>
      <c r="N107" s="298"/>
      <c r="O107" s="307"/>
      <c r="P107" s="298"/>
      <c r="Q107" s="307"/>
      <c r="R107" s="298"/>
      <c r="S107" s="261"/>
      <c r="T107" s="250"/>
      <c r="U107" s="298"/>
      <c r="V107" s="307"/>
      <c r="W107" s="298"/>
      <c r="X107" s="307"/>
      <c r="Y107" s="298"/>
      <c r="Z107" s="261"/>
      <c r="AA107" s="250"/>
      <c r="AB107" s="298"/>
      <c r="AC107" s="307"/>
      <c r="AD107" s="298"/>
      <c r="AE107" s="307"/>
      <c r="AF107" s="298"/>
      <c r="AG107" s="261"/>
      <c r="AH107" s="307"/>
      <c r="AI107" s="298"/>
      <c r="AJ107" s="307"/>
      <c r="AK107" s="298"/>
      <c r="AL107" s="307"/>
      <c r="AM107" s="298"/>
      <c r="AN107" s="261"/>
      <c r="AO107" s="286"/>
      <c r="AP107" s="298"/>
      <c r="AQ107" s="307"/>
      <c r="AR107" s="298"/>
      <c r="AS107" s="307"/>
      <c r="AT107" s="254" t="str">
        <f t="shared" ref="AT107:AT110" si="19">IF(COUNTIF($AO$89:$AT$91, #REF!) &gt; 0, "X", "")</f>
        <v/>
      </c>
      <c r="AU107" s="269"/>
      <c r="AV107" s="269"/>
    </row>
    <row r="108">
      <c r="A108" s="94"/>
      <c r="B108" s="310" t="s">
        <v>656</v>
      </c>
      <c r="C108" s="278" t="s">
        <v>657</v>
      </c>
      <c r="D108" s="243"/>
      <c r="E108" s="259"/>
      <c r="F108" s="281"/>
      <c r="G108" s="246"/>
      <c r="H108" s="282"/>
      <c r="I108" s="246"/>
      <c r="J108" s="282"/>
      <c r="K108" s="246"/>
      <c r="L108" s="261"/>
      <c r="M108" s="250"/>
      <c r="N108" s="246"/>
      <c r="O108" s="274" t="s">
        <v>458</v>
      </c>
      <c r="P108" s="246"/>
      <c r="R108" s="246"/>
      <c r="S108" s="261"/>
      <c r="T108" s="250"/>
      <c r="U108" s="246"/>
      <c r="V108" s="282"/>
      <c r="W108" s="246"/>
      <c r="Y108" s="246"/>
      <c r="Z108" s="261"/>
      <c r="AA108" s="250"/>
      <c r="AB108" s="246"/>
      <c r="AC108" s="282"/>
      <c r="AD108" s="246"/>
      <c r="AE108" s="606" t="s">
        <v>434</v>
      </c>
      <c r="AF108" s="246"/>
      <c r="AG108" s="261"/>
      <c r="AH108" s="282"/>
      <c r="AI108" s="246"/>
      <c r="AK108" s="246"/>
      <c r="AL108" s="282"/>
      <c r="AM108" s="246"/>
      <c r="AN108" s="261"/>
      <c r="AO108" s="286"/>
      <c r="AP108" s="246"/>
      <c r="AR108" s="246"/>
      <c r="AT108" s="254" t="str">
        <f t="shared" si="19"/>
        <v/>
      </c>
      <c r="AU108" s="269"/>
      <c r="AV108" s="269"/>
    </row>
    <row r="109">
      <c r="A109" s="94"/>
      <c r="B109" s="277" t="s">
        <v>658</v>
      </c>
      <c r="C109" s="278" t="s">
        <v>657</v>
      </c>
      <c r="D109" s="243"/>
      <c r="E109" s="259"/>
      <c r="G109" s="246"/>
      <c r="H109" s="282"/>
      <c r="I109" s="246"/>
      <c r="K109" s="246"/>
      <c r="L109" s="261"/>
      <c r="M109" s="250"/>
      <c r="N109" s="246"/>
      <c r="O109" s="334" t="s">
        <v>398</v>
      </c>
      <c r="P109" s="246"/>
      <c r="Q109" s="282"/>
      <c r="R109" s="246"/>
      <c r="S109" s="261"/>
      <c r="T109" s="250"/>
      <c r="U109" s="246"/>
      <c r="W109" s="246"/>
      <c r="Y109" s="246"/>
      <c r="Z109" s="261"/>
      <c r="AA109" s="250"/>
      <c r="AB109" s="246"/>
      <c r="AC109" s="282"/>
      <c r="AD109" s="246"/>
      <c r="AE109" s="660" t="s">
        <v>398</v>
      </c>
      <c r="AF109" s="246"/>
      <c r="AG109" s="261"/>
      <c r="AH109" s="282"/>
      <c r="AI109" s="246"/>
      <c r="AK109" s="246"/>
      <c r="AM109" s="246"/>
      <c r="AN109" s="261"/>
      <c r="AO109" s="286"/>
      <c r="AP109" s="246"/>
      <c r="AQ109" s="282"/>
      <c r="AR109" s="246"/>
      <c r="AT109" s="254" t="str">
        <f t="shared" si="19"/>
        <v/>
      </c>
      <c r="AU109" s="269"/>
      <c r="AV109" s="269"/>
    </row>
    <row r="110">
      <c r="A110" s="94"/>
      <c r="B110" s="314" t="s">
        <v>660</v>
      </c>
      <c r="C110" s="315" t="s">
        <v>649</v>
      </c>
      <c r="D110" s="243"/>
      <c r="E110" s="259"/>
      <c r="F110" s="479"/>
      <c r="G110" s="246"/>
      <c r="H110" s="293" t="s">
        <v>416</v>
      </c>
      <c r="I110" s="246"/>
      <c r="J110" s="353" t="s">
        <v>424</v>
      </c>
      <c r="K110" s="246"/>
      <c r="L110" s="261"/>
      <c r="M110" s="316"/>
      <c r="N110" s="246"/>
      <c r="O110" s="293" t="s">
        <v>416</v>
      </c>
      <c r="P110" s="246"/>
      <c r="Q110" s="293" t="s">
        <v>424</v>
      </c>
      <c r="R110" s="246"/>
      <c r="S110" s="261"/>
      <c r="T110" s="316"/>
      <c r="U110" s="246"/>
      <c r="V110" s="293" t="s">
        <v>416</v>
      </c>
      <c r="W110" s="246"/>
      <c r="X110" s="293" t="s">
        <v>424</v>
      </c>
      <c r="Y110" s="246"/>
      <c r="Z110" s="261"/>
      <c r="AA110" s="316"/>
      <c r="AB110" s="246"/>
      <c r="AC110" s="293" t="s">
        <v>416</v>
      </c>
      <c r="AD110" s="246"/>
      <c r="AE110" s="353" t="s">
        <v>424</v>
      </c>
      <c r="AF110" s="246"/>
      <c r="AG110" s="261"/>
      <c r="AH110" s="506"/>
      <c r="AI110" s="246"/>
      <c r="AJ110" s="645" t="s">
        <v>417</v>
      </c>
      <c r="AK110" s="246"/>
      <c r="AL110" s="293" t="s">
        <v>424</v>
      </c>
      <c r="AM110" s="246"/>
      <c r="AN110" s="261"/>
      <c r="AO110" s="286"/>
      <c r="AP110" s="246"/>
      <c r="AQ110" s="293" t="s">
        <v>416</v>
      </c>
      <c r="AR110" s="246"/>
      <c r="AS110" s="353" t="s">
        <v>426</v>
      </c>
      <c r="AT110" s="254" t="str">
        <f t="shared" si="19"/>
        <v/>
      </c>
      <c r="AU110" s="269"/>
      <c r="AV110" s="269"/>
    </row>
    <row r="111">
      <c r="A111" s="94"/>
      <c r="B111" s="807" t="s">
        <v>1149</v>
      </c>
      <c r="C111" s="808" t="s">
        <v>649</v>
      </c>
      <c r="D111" s="243"/>
      <c r="E111" s="259"/>
      <c r="F111" s="506"/>
      <c r="G111" s="246"/>
      <c r="H111" s="836"/>
      <c r="I111" s="246"/>
      <c r="J111" s="836"/>
      <c r="K111" s="246"/>
      <c r="L111" s="261"/>
      <c r="M111" s="341"/>
      <c r="N111" s="246"/>
      <c r="O111" s="645" t="s">
        <v>417</v>
      </c>
      <c r="P111" s="246"/>
      <c r="Q111" s="356" t="s">
        <v>423</v>
      </c>
      <c r="R111" s="246"/>
      <c r="S111" s="261"/>
      <c r="T111" s="341"/>
      <c r="U111" s="246"/>
      <c r="V111" s="837"/>
      <c r="W111" s="246"/>
      <c r="X111" s="356" t="s">
        <v>423</v>
      </c>
      <c r="Y111" s="246"/>
      <c r="Z111" s="261"/>
      <c r="AA111" s="341"/>
      <c r="AB111" s="246"/>
      <c r="AC111" s="836"/>
      <c r="AD111" s="246"/>
      <c r="AE111" s="632" t="s">
        <v>423</v>
      </c>
      <c r="AF111" s="246"/>
      <c r="AG111" s="261"/>
      <c r="AH111" s="506"/>
      <c r="AI111" s="246"/>
      <c r="AJ111" s="836"/>
      <c r="AK111" s="246"/>
      <c r="AL111" s="293" t="s">
        <v>426</v>
      </c>
      <c r="AM111" s="246"/>
      <c r="AN111" s="261"/>
      <c r="AO111" s="286"/>
      <c r="AP111" s="246"/>
      <c r="AQ111" s="836"/>
      <c r="AR111" s="246"/>
      <c r="AS111" s="836"/>
      <c r="AT111" s="838"/>
      <c r="AU111" s="269"/>
      <c r="AV111" s="269"/>
    </row>
    <row r="112">
      <c r="A112" s="94"/>
      <c r="B112" s="296" t="s">
        <v>650</v>
      </c>
      <c r="C112" s="297" t="s">
        <v>649</v>
      </c>
      <c r="D112" s="243"/>
      <c r="E112" s="259"/>
      <c r="F112" s="509"/>
      <c r="G112" s="298"/>
      <c r="H112" s="299"/>
      <c r="I112" s="298"/>
      <c r="J112" s="813" t="s">
        <v>1157</v>
      </c>
      <c r="K112" s="298"/>
      <c r="L112" s="261"/>
      <c r="M112" s="250"/>
      <c r="N112" s="298"/>
      <c r="O112" s="299"/>
      <c r="P112" s="298"/>
      <c r="Q112" s="299"/>
      <c r="R112" s="298"/>
      <c r="S112" s="261"/>
      <c r="T112" s="250"/>
      <c r="U112" s="298"/>
      <c r="V112" s="300"/>
      <c r="W112" s="298"/>
      <c r="X112" s="300"/>
      <c r="Y112" s="298"/>
      <c r="Z112" s="261"/>
      <c r="AA112" s="250"/>
      <c r="AB112" s="298"/>
      <c r="AC112" s="300"/>
      <c r="AD112" s="298"/>
      <c r="AE112" s="300"/>
      <c r="AF112" s="298"/>
      <c r="AG112" s="261"/>
      <c r="AH112" s="506"/>
      <c r="AI112" s="298"/>
      <c r="AJ112" s="299"/>
      <c r="AK112" s="298"/>
      <c r="AL112" s="300"/>
      <c r="AM112" s="298"/>
      <c r="AN112" s="261"/>
      <c r="AO112" s="286"/>
      <c r="AP112" s="298"/>
      <c r="AQ112" s="299"/>
      <c r="AR112" s="298"/>
      <c r="AS112" s="299"/>
      <c r="AT112" s="254" t="str">
        <f>IF(COUNTIF($AO$89:$AT$91, AS113) &gt; 0, "X", "")</f>
        <v/>
      </c>
      <c r="AU112" s="269"/>
      <c r="AV112" s="269"/>
    </row>
    <row r="113">
      <c r="A113" s="94"/>
      <c r="B113" s="301" t="s">
        <v>651</v>
      </c>
      <c r="C113" s="302" t="s">
        <v>652</v>
      </c>
      <c r="D113" s="243"/>
      <c r="E113" s="259"/>
      <c r="F113" s="320"/>
      <c r="G113" s="298"/>
      <c r="H113" s="303"/>
      <c r="I113" s="298"/>
      <c r="J113" s="303"/>
      <c r="K113" s="298"/>
      <c r="L113" s="261"/>
      <c r="M113" s="250"/>
      <c r="N113" s="298"/>
      <c r="O113" s="303"/>
      <c r="P113" s="298"/>
      <c r="Q113" s="303"/>
      <c r="R113" s="298"/>
      <c r="S113" s="261"/>
      <c r="T113" s="250"/>
      <c r="U113" s="298"/>
      <c r="V113" s="303"/>
      <c r="W113" s="298"/>
      <c r="X113" s="303"/>
      <c r="Y113" s="298"/>
      <c r="Z113" s="261"/>
      <c r="AA113" s="250"/>
      <c r="AB113" s="298"/>
      <c r="AC113" s="303"/>
      <c r="AD113" s="298"/>
      <c r="AE113" s="303"/>
      <c r="AF113" s="298"/>
      <c r="AG113" s="261"/>
      <c r="AH113" s="506"/>
      <c r="AI113" s="298"/>
      <c r="AJ113" s="303"/>
      <c r="AK113" s="298"/>
      <c r="AL113" s="484"/>
      <c r="AM113" s="298"/>
      <c r="AN113" s="261"/>
      <c r="AO113" s="286"/>
      <c r="AP113" s="298"/>
      <c r="AQ113" s="303"/>
      <c r="AR113" s="298"/>
      <c r="AS113" s="303"/>
      <c r="AT113" s="254" t="str">
        <f t="shared" ref="AT113:AT114" si="20">IF(COUNTIF($AO$89:$AT$91, #REF!) &gt; 0, "X", "")</f>
        <v/>
      </c>
      <c r="AU113" s="269"/>
      <c r="AV113" s="269"/>
    </row>
    <row r="114">
      <c r="A114" s="94"/>
      <c r="B114" s="322" t="s">
        <v>662</v>
      </c>
      <c r="C114" s="306" t="s">
        <v>663</v>
      </c>
      <c r="D114" s="243"/>
      <c r="E114" s="259"/>
      <c r="F114" s="317"/>
      <c r="G114" s="298"/>
      <c r="H114" s="307"/>
      <c r="I114" s="298"/>
      <c r="J114" s="519" t="s">
        <v>409</v>
      </c>
      <c r="K114" s="298"/>
      <c r="L114" s="261"/>
      <c r="M114" s="324"/>
      <c r="N114" s="298"/>
      <c r="O114" s="519" t="s">
        <v>409</v>
      </c>
      <c r="P114" s="298"/>
      <c r="Q114" s="334" t="s">
        <v>414</v>
      </c>
      <c r="R114" s="298"/>
      <c r="S114" s="261"/>
      <c r="T114" s="324"/>
      <c r="U114" s="298"/>
      <c r="V114" s="334" t="s">
        <v>450</v>
      </c>
      <c r="W114" s="298"/>
      <c r="X114" s="309" t="s">
        <v>409</v>
      </c>
      <c r="Y114" s="298"/>
      <c r="Z114" s="261"/>
      <c r="AA114" s="324"/>
      <c r="AB114" s="298"/>
      <c r="AC114" s="334" t="s">
        <v>450</v>
      </c>
      <c r="AD114" s="298"/>
      <c r="AE114" s="334" t="s">
        <v>414</v>
      </c>
      <c r="AF114" s="298"/>
      <c r="AG114" s="261"/>
      <c r="AH114" s="506"/>
      <c r="AI114" s="298"/>
      <c r="AJ114" s="307"/>
      <c r="AK114" s="298"/>
      <c r="AL114" s="307"/>
      <c r="AM114" s="298"/>
      <c r="AN114" s="261"/>
      <c r="AO114" s="286"/>
      <c r="AP114" s="298"/>
      <c r="AQ114" s="519" t="s">
        <v>448</v>
      </c>
      <c r="AR114" s="298"/>
      <c r="AS114" s="519" t="s">
        <v>409</v>
      </c>
      <c r="AT114" s="254" t="str">
        <f t="shared" si="20"/>
        <v/>
      </c>
      <c r="AU114" s="269"/>
      <c r="AV114" s="269"/>
    </row>
    <row r="115">
      <c r="A115" s="94"/>
      <c r="B115" s="328" t="s">
        <v>665</v>
      </c>
      <c r="C115" s="338" t="s">
        <v>1150</v>
      </c>
      <c r="D115" s="243"/>
      <c r="E115" s="259"/>
      <c r="F115" s="479"/>
      <c r="G115" s="246"/>
      <c r="H115" s="606" t="s">
        <v>1115</v>
      </c>
      <c r="I115" s="246"/>
      <c r="J115" s="519" t="s">
        <v>449</v>
      </c>
      <c r="K115" s="246"/>
      <c r="L115" s="261"/>
      <c r="M115" s="333"/>
      <c r="N115" s="246"/>
      <c r="O115" s="606" t="s">
        <v>1115</v>
      </c>
      <c r="P115" s="246"/>
      <c r="Q115" s="274" t="s">
        <v>449</v>
      </c>
      <c r="R115" s="246"/>
      <c r="S115" s="261"/>
      <c r="T115" s="333"/>
      <c r="U115" s="246"/>
      <c r="V115" s="606" t="s">
        <v>1115</v>
      </c>
      <c r="W115" s="246"/>
      <c r="X115" s="311" t="s">
        <v>434</v>
      </c>
      <c r="Y115" s="246"/>
      <c r="Z115" s="261"/>
      <c r="AA115" s="333"/>
      <c r="AB115" s="246"/>
      <c r="AC115" s="606" t="s">
        <v>1115</v>
      </c>
      <c r="AD115" s="246"/>
      <c r="AE115" s="519" t="s">
        <v>449</v>
      </c>
      <c r="AF115" s="246"/>
      <c r="AG115" s="261"/>
      <c r="AH115" s="506"/>
      <c r="AI115" s="246"/>
      <c r="AJ115" s="274" t="s">
        <v>439</v>
      </c>
      <c r="AK115" s="246"/>
      <c r="AL115" s="311" t="s">
        <v>434</v>
      </c>
      <c r="AM115" s="246"/>
      <c r="AN115" s="261"/>
      <c r="AO115" s="286"/>
      <c r="AP115" s="246"/>
      <c r="AR115" s="246"/>
      <c r="AT115" s="254" t="str">
        <f>IF(COUNTIF($AO$89:$AT$91, AH126) &gt; 0, "X", "")</f>
        <v/>
      </c>
      <c r="AU115" s="269"/>
      <c r="AV115" s="269"/>
    </row>
    <row r="116">
      <c r="A116" s="94"/>
      <c r="B116" s="337" t="s">
        <v>665</v>
      </c>
      <c r="C116" s="338" t="s">
        <v>1151</v>
      </c>
      <c r="D116" s="243"/>
      <c r="E116" s="259"/>
      <c r="F116" s="479"/>
      <c r="G116" s="246"/>
      <c r="H116" s="606" t="s">
        <v>1087</v>
      </c>
      <c r="I116" s="246"/>
      <c r="J116" s="606" t="s">
        <v>434</v>
      </c>
      <c r="K116" s="246"/>
      <c r="L116" s="261"/>
      <c r="M116" s="324"/>
      <c r="N116" s="246"/>
      <c r="O116" s="606" t="s">
        <v>459</v>
      </c>
      <c r="P116" s="246"/>
      <c r="Q116" s="311" t="s">
        <v>434</v>
      </c>
      <c r="R116" s="246"/>
      <c r="S116" s="261"/>
      <c r="T116" s="324"/>
      <c r="U116" s="246"/>
      <c r="V116" s="606" t="s">
        <v>1087</v>
      </c>
      <c r="W116" s="246"/>
      <c r="X116" s="339" t="s">
        <v>447</v>
      </c>
      <c r="Y116" s="246"/>
      <c r="Z116" s="261"/>
      <c r="AA116" s="324"/>
      <c r="AB116" s="246"/>
      <c r="AC116" s="606" t="s">
        <v>1087</v>
      </c>
      <c r="AD116" s="246"/>
      <c r="AE116" s="688" t="s">
        <v>447</v>
      </c>
      <c r="AF116" s="246"/>
      <c r="AG116" s="261"/>
      <c r="AH116" s="506"/>
      <c r="AI116" s="246"/>
      <c r="AJ116" s="311" t="s">
        <v>1087</v>
      </c>
      <c r="AK116" s="246"/>
      <c r="AL116" s="339" t="s">
        <v>447</v>
      </c>
      <c r="AM116" s="246"/>
      <c r="AN116" s="261"/>
      <c r="AO116" s="286"/>
      <c r="AP116" s="246"/>
      <c r="AQ116" s="311" t="s">
        <v>1115</v>
      </c>
      <c r="AR116" s="246"/>
      <c r="AS116" s="274" t="s">
        <v>449</v>
      </c>
      <c r="AT116" s="254" t="str">
        <f t="shared" ref="AT116:AT117" si="21">IF(COUNTIF($AO$89:$AT$91, #REF!) &gt; 0, "X", "")</f>
        <v/>
      </c>
      <c r="AU116" s="269"/>
      <c r="AV116" s="269"/>
    </row>
    <row r="117">
      <c r="A117" s="94"/>
      <c r="B117" s="256" t="s">
        <v>665</v>
      </c>
      <c r="C117" s="338" t="s">
        <v>1152</v>
      </c>
      <c r="D117" s="243"/>
      <c r="E117" s="259"/>
      <c r="F117" s="506"/>
      <c r="G117" s="246"/>
      <c r="H117" s="311" t="s">
        <v>459</v>
      </c>
      <c r="I117" s="246"/>
      <c r="J117" s="688" t="s">
        <v>447</v>
      </c>
      <c r="K117" s="246"/>
      <c r="L117" s="261"/>
      <c r="M117" s="341"/>
      <c r="N117" s="246"/>
      <c r="O117" s="274" t="s">
        <v>439</v>
      </c>
      <c r="P117" s="246"/>
      <c r="Q117" s="339" t="s">
        <v>447</v>
      </c>
      <c r="R117" s="246"/>
      <c r="S117" s="261"/>
      <c r="T117" s="341"/>
      <c r="U117" s="246"/>
      <c r="V117" s="606" t="s">
        <v>459</v>
      </c>
      <c r="W117" s="246"/>
      <c r="X117" s="274" t="s">
        <v>443</v>
      </c>
      <c r="Y117" s="246"/>
      <c r="Z117" s="261"/>
      <c r="AA117" s="341"/>
      <c r="AB117" s="246"/>
      <c r="AC117" s="606" t="s">
        <v>459</v>
      </c>
      <c r="AD117" s="246"/>
      <c r="AE117" s="519" t="s">
        <v>443</v>
      </c>
      <c r="AF117" s="246"/>
      <c r="AG117" s="261"/>
      <c r="AH117" s="506"/>
      <c r="AI117" s="246"/>
      <c r="AJ117" s="339" t="s">
        <v>431</v>
      </c>
      <c r="AK117" s="246"/>
      <c r="AL117" s="274" t="s">
        <v>448</v>
      </c>
      <c r="AM117" s="246"/>
      <c r="AN117" s="261"/>
      <c r="AO117" s="286"/>
      <c r="AP117" s="246"/>
      <c r="AQ117" s="274" t="s">
        <v>458</v>
      </c>
      <c r="AR117" s="246"/>
      <c r="AS117" s="339" t="s">
        <v>431</v>
      </c>
      <c r="AT117" s="254" t="str">
        <f t="shared" si="21"/>
        <v/>
      </c>
      <c r="AU117" s="269"/>
      <c r="AV117" s="269"/>
    </row>
    <row r="118">
      <c r="A118" s="94"/>
      <c r="B118" s="256" t="s">
        <v>665</v>
      </c>
      <c r="C118" s="338" t="s">
        <v>1153</v>
      </c>
      <c r="D118" s="243"/>
      <c r="E118" s="259"/>
      <c r="F118" s="506"/>
      <c r="G118" s="246"/>
      <c r="H118" s="274" t="s">
        <v>458</v>
      </c>
      <c r="I118" s="246"/>
      <c r="J118" s="274" t="s">
        <v>448</v>
      </c>
      <c r="K118" s="246"/>
      <c r="L118" s="261"/>
      <c r="M118" s="341"/>
      <c r="N118" s="246"/>
      <c r="P118" s="246"/>
      <c r="Q118" s="274" t="s">
        <v>443</v>
      </c>
      <c r="R118" s="246"/>
      <c r="S118" s="261"/>
      <c r="T118" s="341"/>
      <c r="U118" s="246"/>
      <c r="W118" s="246"/>
      <c r="X118" s="339" t="s">
        <v>468</v>
      </c>
      <c r="Y118" s="246"/>
      <c r="Z118" s="261"/>
      <c r="AA118" s="341"/>
      <c r="AB118" s="246"/>
      <c r="AD118" s="246"/>
      <c r="AE118" s="688" t="s">
        <v>431</v>
      </c>
      <c r="AF118" s="246"/>
      <c r="AG118" s="261"/>
      <c r="AH118" s="506"/>
      <c r="AI118" s="246"/>
      <c r="AK118" s="246"/>
      <c r="AM118" s="246"/>
      <c r="AN118" s="261"/>
      <c r="AO118" s="286"/>
      <c r="AP118" s="246"/>
      <c r="AR118" s="246"/>
      <c r="AT118" s="838"/>
      <c r="AU118" s="269"/>
      <c r="AV118" s="269"/>
    </row>
    <row r="119">
      <c r="A119" s="94"/>
      <c r="B119" s="256" t="s">
        <v>665</v>
      </c>
      <c r="C119" s="811" t="s">
        <v>1154</v>
      </c>
      <c r="D119" s="243"/>
      <c r="E119" s="259"/>
      <c r="F119" s="506"/>
      <c r="G119" s="246"/>
      <c r="H119" s="283" t="s">
        <v>450</v>
      </c>
      <c r="I119" s="246"/>
      <c r="J119" s="519" t="s">
        <v>415</v>
      </c>
      <c r="K119" s="246"/>
      <c r="L119" s="261"/>
      <c r="M119" s="341"/>
      <c r="N119" s="246"/>
      <c r="O119" s="334" t="s">
        <v>450</v>
      </c>
      <c r="P119" s="246"/>
      <c r="Q119" s="274" t="s">
        <v>448</v>
      </c>
      <c r="R119" s="246"/>
      <c r="S119" s="261"/>
      <c r="T119" s="341"/>
      <c r="U119" s="246"/>
      <c r="V119" s="519" t="s">
        <v>458</v>
      </c>
      <c r="W119" s="246"/>
      <c r="X119" s="339" t="s">
        <v>431</v>
      </c>
      <c r="Y119" s="246"/>
      <c r="Z119" s="261"/>
      <c r="AA119" s="341"/>
      <c r="AB119" s="246"/>
      <c r="AC119" s="519" t="s">
        <v>439</v>
      </c>
      <c r="AD119" s="246"/>
      <c r="AE119" s="519" t="s">
        <v>409</v>
      </c>
      <c r="AF119" s="246"/>
      <c r="AG119" s="261"/>
      <c r="AH119" s="506"/>
      <c r="AI119" s="246"/>
      <c r="AJ119" s="334" t="s">
        <v>450</v>
      </c>
      <c r="AK119" s="246"/>
      <c r="AL119" s="274" t="s">
        <v>415</v>
      </c>
      <c r="AM119" s="246"/>
      <c r="AN119" s="261"/>
      <c r="AO119" s="286"/>
      <c r="AP119" s="246"/>
      <c r="AQ119" s="606" t="s">
        <v>459</v>
      </c>
      <c r="AR119" s="246"/>
      <c r="AS119" s="606" t="s">
        <v>1087</v>
      </c>
      <c r="AT119" s="838"/>
      <c r="AU119" s="269"/>
      <c r="AV119" s="269"/>
    </row>
    <row r="120">
      <c r="A120" s="94"/>
      <c r="B120" s="328" t="s">
        <v>665</v>
      </c>
      <c r="C120" s="338" t="s">
        <v>1155</v>
      </c>
      <c r="D120" s="243"/>
      <c r="E120" s="261"/>
      <c r="G120" s="246"/>
      <c r="I120" s="246"/>
      <c r="K120" s="246"/>
      <c r="L120" s="261"/>
      <c r="M120" s="341"/>
      <c r="N120" s="246"/>
      <c r="P120" s="246"/>
      <c r="Q120" s="519" t="s">
        <v>415</v>
      </c>
      <c r="R120" s="246"/>
      <c r="S120" s="261"/>
      <c r="T120" s="341"/>
      <c r="U120" s="246"/>
      <c r="W120" s="246"/>
      <c r="X120" s="274" t="s">
        <v>448</v>
      </c>
      <c r="Y120" s="246"/>
      <c r="Z120" s="261"/>
      <c r="AA120" s="341"/>
      <c r="AB120" s="246"/>
      <c r="AD120" s="246"/>
      <c r="AE120" s="519" t="s">
        <v>415</v>
      </c>
      <c r="AF120" s="246"/>
      <c r="AG120" s="261"/>
      <c r="AH120" s="506"/>
      <c r="AI120" s="246"/>
      <c r="AK120" s="246"/>
      <c r="AL120" s="519" t="s">
        <v>449</v>
      </c>
      <c r="AM120" s="246"/>
      <c r="AN120" s="261"/>
      <c r="AO120" s="286"/>
      <c r="AP120" s="246"/>
      <c r="AR120" s="246"/>
      <c r="AT120" s="254" t="str">
        <f t="shared" ref="AT120:AT122" si="22">IF(COUNTIF($AO$89:$AT$91, #REF!) &gt; 0, "X", "")</f>
        <v/>
      </c>
      <c r="AU120" s="269"/>
      <c r="AV120" s="269"/>
    </row>
    <row r="121">
      <c r="A121" s="94"/>
      <c r="B121" s="342" t="s">
        <v>667</v>
      </c>
      <c r="C121" s="343" t="s">
        <v>657</v>
      </c>
      <c r="D121" s="243"/>
      <c r="E121" s="259"/>
      <c r="F121" s="345" t="s">
        <v>401</v>
      </c>
      <c r="G121" s="246"/>
      <c r="I121" s="246"/>
      <c r="K121" s="246"/>
      <c r="L121" s="261"/>
      <c r="M121" s="346"/>
      <c r="N121" s="246"/>
      <c r="O121" s="345" t="s">
        <v>401</v>
      </c>
      <c r="P121" s="246"/>
      <c r="R121" s="246"/>
      <c r="S121" s="261"/>
      <c r="T121" s="346"/>
      <c r="U121" s="246"/>
      <c r="V121" s="347" t="s">
        <v>401</v>
      </c>
      <c r="W121" s="246"/>
      <c r="Y121" s="246"/>
      <c r="Z121" s="261"/>
      <c r="AA121" s="346"/>
      <c r="AB121" s="246"/>
      <c r="AC121" s="347" t="s">
        <v>401</v>
      </c>
      <c r="AD121" s="246"/>
      <c r="AF121" s="246"/>
      <c r="AG121" s="261"/>
      <c r="AH121" s="347" t="s">
        <v>401</v>
      </c>
      <c r="AI121" s="246"/>
      <c r="AK121" s="246"/>
      <c r="AM121" s="246"/>
      <c r="AN121" s="261"/>
      <c r="AO121" s="286"/>
      <c r="AP121" s="246"/>
      <c r="AR121" s="246"/>
      <c r="AT121" s="254" t="str">
        <f t="shared" si="22"/>
        <v/>
      </c>
      <c r="AU121" s="269"/>
      <c r="AV121" s="269"/>
    </row>
    <row r="122">
      <c r="A122" s="94"/>
      <c r="B122" s="349" t="s">
        <v>669</v>
      </c>
      <c r="C122" s="350" t="s">
        <v>649</v>
      </c>
      <c r="D122" s="243"/>
      <c r="E122" s="259"/>
      <c r="F122" s="293" t="s">
        <v>422</v>
      </c>
      <c r="G122" s="246"/>
      <c r="H122" s="633" t="s">
        <v>420</v>
      </c>
      <c r="I122" s="246"/>
      <c r="J122" s="356" t="s">
        <v>423</v>
      </c>
      <c r="K122" s="246"/>
      <c r="L122" s="261"/>
      <c r="M122" s="354"/>
      <c r="N122" s="246"/>
      <c r="O122" s="633" t="s">
        <v>670</v>
      </c>
      <c r="P122" s="246"/>
      <c r="Q122" s="293" t="s">
        <v>426</v>
      </c>
      <c r="R122" s="246"/>
      <c r="S122" s="261"/>
      <c r="T122" s="354"/>
      <c r="U122" s="246"/>
      <c r="V122" s="645" t="s">
        <v>417</v>
      </c>
      <c r="W122" s="246"/>
      <c r="X122" s="355" t="s">
        <v>670</v>
      </c>
      <c r="Y122" s="246"/>
      <c r="Z122" s="261"/>
      <c r="AA122" s="354"/>
      <c r="AB122" s="246"/>
      <c r="AC122" s="633" t="s">
        <v>420</v>
      </c>
      <c r="AD122" s="246"/>
      <c r="AE122" s="293" t="s">
        <v>422</v>
      </c>
      <c r="AF122" s="246"/>
      <c r="AG122" s="261"/>
      <c r="AH122" s="632" t="s">
        <v>423</v>
      </c>
      <c r="AI122" s="246"/>
      <c r="AJ122" s="633" t="s">
        <v>420</v>
      </c>
      <c r="AK122" s="246"/>
      <c r="AL122" s="293" t="s">
        <v>422</v>
      </c>
      <c r="AM122" s="246"/>
      <c r="AN122" s="261"/>
      <c r="AO122" s="286"/>
      <c r="AP122" s="246"/>
      <c r="AQ122" s="645" t="s">
        <v>417</v>
      </c>
      <c r="AR122" s="246"/>
      <c r="AS122" s="293" t="s">
        <v>422</v>
      </c>
      <c r="AT122" s="254" t="str">
        <f t="shared" si="22"/>
        <v/>
      </c>
      <c r="AU122" s="269"/>
      <c r="AV122" s="269"/>
    </row>
    <row r="123">
      <c r="A123" s="94"/>
      <c r="B123" s="807" t="s">
        <v>1156</v>
      </c>
      <c r="C123" s="808" t="s">
        <v>649</v>
      </c>
      <c r="D123" s="243"/>
      <c r="E123" s="259"/>
      <c r="F123" s="837"/>
      <c r="G123" s="246"/>
      <c r="H123" s="837"/>
      <c r="I123" s="246"/>
      <c r="J123" s="837"/>
      <c r="K123" s="246"/>
      <c r="L123" s="261"/>
      <c r="M123" s="341"/>
      <c r="N123" s="246"/>
      <c r="O123" s="813" t="s">
        <v>1157</v>
      </c>
      <c r="P123" s="246"/>
      <c r="Q123" s="837"/>
      <c r="R123" s="246"/>
      <c r="S123" s="261"/>
      <c r="T123" s="341"/>
      <c r="U123" s="246"/>
      <c r="V123" s="293" t="s">
        <v>426</v>
      </c>
      <c r="W123" s="246"/>
      <c r="X123" s="813" t="s">
        <v>1157</v>
      </c>
      <c r="Y123" s="246"/>
      <c r="Z123" s="261"/>
      <c r="AA123" s="341"/>
      <c r="AB123" s="246"/>
      <c r="AC123" s="253" t="s">
        <v>417</v>
      </c>
      <c r="AD123" s="246"/>
      <c r="AE123" s="837"/>
      <c r="AF123" s="246"/>
      <c r="AG123" s="261"/>
      <c r="AH123" s="837"/>
      <c r="AI123" s="246"/>
      <c r="AJ123" s="813" t="s">
        <v>1157</v>
      </c>
      <c r="AK123" s="246"/>
      <c r="AL123" s="837"/>
      <c r="AM123" s="246"/>
      <c r="AN123" s="261"/>
      <c r="AO123" s="286"/>
      <c r="AP123" s="246"/>
      <c r="AQ123" s="839"/>
      <c r="AR123" s="246"/>
      <c r="AS123" s="839"/>
      <c r="AT123" s="838"/>
      <c r="AU123" s="269"/>
      <c r="AV123" s="269"/>
    </row>
    <row r="124">
      <c r="A124" s="234"/>
      <c r="B124" s="296" t="s">
        <v>650</v>
      </c>
      <c r="C124" s="297" t="s">
        <v>649</v>
      </c>
      <c r="D124" s="243"/>
      <c r="E124" s="259"/>
      <c r="F124" s="299"/>
      <c r="G124" s="298"/>
      <c r="H124" s="649" t="s">
        <v>397</v>
      </c>
      <c r="I124" s="298"/>
      <c r="J124" s="299"/>
      <c r="K124" s="298"/>
      <c r="L124" s="261"/>
      <c r="M124" s="324"/>
      <c r="N124" s="298"/>
      <c r="O124" s="649" t="s">
        <v>397</v>
      </c>
      <c r="P124" s="298"/>
      <c r="Q124" s="299"/>
      <c r="R124" s="298"/>
      <c r="S124" s="261"/>
      <c r="T124" s="324"/>
      <c r="U124" s="298"/>
      <c r="V124" s="299"/>
      <c r="W124" s="298"/>
      <c r="X124" s="517" t="s">
        <v>397</v>
      </c>
      <c r="Y124" s="298"/>
      <c r="Z124" s="261"/>
      <c r="AA124" s="324"/>
      <c r="AB124" s="298"/>
      <c r="AC124" s="813" t="s">
        <v>1157</v>
      </c>
      <c r="AD124" s="298"/>
      <c r="AE124" s="299"/>
      <c r="AF124" s="298"/>
      <c r="AG124" s="261"/>
      <c r="AH124" s="299"/>
      <c r="AI124" s="298"/>
      <c r="AJ124" s="299"/>
      <c r="AK124" s="298"/>
      <c r="AL124" s="299"/>
      <c r="AM124" s="298"/>
      <c r="AN124" s="261"/>
      <c r="AO124" s="286"/>
      <c r="AP124" s="298"/>
      <c r="AQ124" s="299"/>
      <c r="AR124" s="298"/>
      <c r="AS124" s="299"/>
      <c r="AT124" s="254" t="str">
        <f>IF(COUNTIF($AO$89:$AT$91, AO125) &gt; 0, "X", "")</f>
        <v/>
      </c>
      <c r="AU124" s="269"/>
      <c r="AV124" s="269"/>
    </row>
    <row r="125">
      <c r="A125" s="94"/>
      <c r="B125" s="301" t="s">
        <v>651</v>
      </c>
      <c r="C125" s="302" t="s">
        <v>652</v>
      </c>
      <c r="D125" s="243"/>
      <c r="E125" s="259"/>
      <c r="F125" s="303"/>
      <c r="G125" s="298"/>
      <c r="H125" s="304"/>
      <c r="I125" s="298"/>
      <c r="J125" s="484"/>
      <c r="K125" s="298"/>
      <c r="L125" s="261"/>
      <c r="M125" s="250"/>
      <c r="N125" s="298"/>
      <c r="O125" s="303"/>
      <c r="P125" s="298"/>
      <c r="Q125" s="303"/>
      <c r="R125" s="298"/>
      <c r="S125" s="261"/>
      <c r="T125" s="250"/>
      <c r="U125" s="298"/>
      <c r="V125" s="484"/>
      <c r="W125" s="298"/>
      <c r="X125" s="484"/>
      <c r="Y125" s="298"/>
      <c r="Z125" s="261"/>
      <c r="AA125" s="250"/>
      <c r="AB125" s="298"/>
      <c r="AC125" s="617" t="s">
        <v>397</v>
      </c>
      <c r="AD125" s="298"/>
      <c r="AE125" s="484"/>
      <c r="AF125" s="298"/>
      <c r="AG125" s="261"/>
      <c r="AH125" s="484"/>
      <c r="AI125" s="298"/>
      <c r="AJ125" s="304"/>
      <c r="AK125" s="298"/>
      <c r="AL125" s="484"/>
      <c r="AM125" s="298"/>
      <c r="AN125" s="261"/>
      <c r="AO125" s="286"/>
      <c r="AP125" s="298"/>
      <c r="AQ125" s="303"/>
      <c r="AR125" s="298"/>
      <c r="AS125" s="303"/>
      <c r="AT125" s="254" t="str">
        <f t="shared" ref="AT125:AT126" si="23">IF(COUNTIF($AO$89:$AT$91, #REF!) &gt; 0, "X", "")</f>
        <v/>
      </c>
      <c r="AU125" s="269"/>
      <c r="AV125" s="269"/>
    </row>
    <row r="126">
      <c r="A126" s="94"/>
      <c r="B126" s="361" t="s">
        <v>673</v>
      </c>
      <c r="C126" s="362" t="s">
        <v>674</v>
      </c>
      <c r="D126" s="243"/>
      <c r="E126" s="259"/>
      <c r="F126" s="519" t="s">
        <v>443</v>
      </c>
      <c r="G126" s="298"/>
      <c r="H126" s="336" t="s">
        <v>412</v>
      </c>
      <c r="I126" s="298"/>
      <c r="J126" s="519" t="s">
        <v>433</v>
      </c>
      <c r="K126" s="298"/>
      <c r="L126" s="261"/>
      <c r="M126" s="324"/>
      <c r="N126" s="298"/>
      <c r="O126" s="336" t="s">
        <v>412</v>
      </c>
      <c r="P126" s="298"/>
      <c r="Q126" s="606" t="s">
        <v>394</v>
      </c>
      <c r="R126" s="298"/>
      <c r="S126" s="261"/>
      <c r="T126" s="324"/>
      <c r="U126" s="298"/>
      <c r="V126" s="251" t="s">
        <v>412</v>
      </c>
      <c r="W126" s="298"/>
      <c r="X126" s="606" t="s">
        <v>394</v>
      </c>
      <c r="Y126" s="298"/>
      <c r="Z126" s="261"/>
      <c r="AA126" s="324"/>
      <c r="AB126" s="298"/>
      <c r="AC126" s="251" t="s">
        <v>412</v>
      </c>
      <c r="AD126" s="298"/>
      <c r="AE126" s="251" t="s">
        <v>457</v>
      </c>
      <c r="AF126" s="298"/>
      <c r="AG126" s="261"/>
      <c r="AH126" s="274" t="s">
        <v>433</v>
      </c>
      <c r="AI126" s="298"/>
      <c r="AJ126" s="251" t="s">
        <v>412</v>
      </c>
      <c r="AK126" s="298"/>
      <c r="AL126" s="251" t="s">
        <v>457</v>
      </c>
      <c r="AM126" s="298"/>
      <c r="AN126" s="261"/>
      <c r="AO126" s="286"/>
      <c r="AP126" s="298"/>
      <c r="AQ126" s="660" t="s">
        <v>457</v>
      </c>
      <c r="AR126" s="298"/>
      <c r="AS126" s="606" t="s">
        <v>765</v>
      </c>
      <c r="AT126" s="254" t="str">
        <f t="shared" si="23"/>
        <v/>
      </c>
      <c r="AU126" s="269"/>
      <c r="AV126" s="269"/>
    </row>
    <row r="127">
      <c r="A127" s="94"/>
      <c r="B127" s="367" t="s">
        <v>677</v>
      </c>
      <c r="C127" s="368" t="s">
        <v>674</v>
      </c>
      <c r="D127" s="243"/>
      <c r="E127" s="259"/>
      <c r="G127" s="246"/>
      <c r="I127" s="246"/>
      <c r="J127" s="688" t="s">
        <v>931</v>
      </c>
      <c r="K127" s="246"/>
      <c r="L127" s="261"/>
      <c r="M127" s="250"/>
      <c r="N127" s="246"/>
      <c r="O127" s="282"/>
      <c r="P127" s="246"/>
      <c r="Q127" s="688" t="s">
        <v>931</v>
      </c>
      <c r="R127" s="246"/>
      <c r="S127" s="261"/>
      <c r="T127" s="250"/>
      <c r="U127" s="246"/>
      <c r="V127" s="282"/>
      <c r="W127" s="246"/>
      <c r="Y127" s="246"/>
      <c r="Z127" s="261"/>
      <c r="AA127" s="250"/>
      <c r="AB127" s="246"/>
      <c r="AC127" s="282"/>
      <c r="AD127" s="246"/>
      <c r="AE127" s="688" t="s">
        <v>931</v>
      </c>
      <c r="AF127" s="246"/>
      <c r="AG127" s="261"/>
      <c r="AH127" s="282"/>
      <c r="AI127" s="246"/>
      <c r="AJ127" s="282"/>
      <c r="AK127" s="246"/>
      <c r="AL127" s="282"/>
      <c r="AM127" s="246"/>
      <c r="AN127" s="261"/>
      <c r="AO127" s="286"/>
      <c r="AP127" s="246"/>
      <c r="AR127" s="246"/>
      <c r="AS127" s="688" t="s">
        <v>931</v>
      </c>
      <c r="AT127" s="254" t="str">
        <f>IF(COUNTIF($AO$89:$AT$91, AO127) &gt; 0, "X", "")</f>
        <v/>
      </c>
      <c r="AU127" s="269"/>
      <c r="AV127" s="269"/>
    </row>
    <row r="128">
      <c r="A128" s="94"/>
      <c r="B128" s="256" t="s">
        <v>679</v>
      </c>
      <c r="C128" s="257" t="s">
        <v>680</v>
      </c>
      <c r="D128" s="243"/>
      <c r="E128" s="259"/>
      <c r="F128" s="311" t="s">
        <v>393</v>
      </c>
      <c r="G128" s="246"/>
      <c r="H128" s="374" t="s">
        <v>407</v>
      </c>
      <c r="I128" s="246"/>
      <c r="J128" s="274" t="s">
        <v>437</v>
      </c>
      <c r="K128" s="246"/>
      <c r="L128" s="261"/>
      <c r="M128" s="333"/>
      <c r="N128" s="246"/>
      <c r="O128" s="374" t="s">
        <v>436</v>
      </c>
      <c r="P128" s="246"/>
      <c r="Q128" s="280" t="s">
        <v>433</v>
      </c>
      <c r="R128" s="246"/>
      <c r="S128" s="261"/>
      <c r="T128" s="333"/>
      <c r="U128" s="246"/>
      <c r="V128" s="374" t="s">
        <v>436</v>
      </c>
      <c r="W128" s="246"/>
      <c r="X128" s="280" t="s">
        <v>433</v>
      </c>
      <c r="Y128" s="246"/>
      <c r="Z128" s="261"/>
      <c r="AA128" s="333"/>
      <c r="AB128" s="246"/>
      <c r="AC128" s="274" t="s">
        <v>406</v>
      </c>
      <c r="AD128" s="246"/>
      <c r="AE128" s="280" t="s">
        <v>433</v>
      </c>
      <c r="AF128" s="246"/>
      <c r="AG128" s="261"/>
      <c r="AH128" s="311" t="s">
        <v>393</v>
      </c>
      <c r="AI128" s="246"/>
      <c r="AJ128" s="374" t="s">
        <v>436</v>
      </c>
      <c r="AK128" s="246"/>
      <c r="AL128" s="339" t="s">
        <v>468</v>
      </c>
      <c r="AM128" s="246"/>
      <c r="AN128" s="261"/>
      <c r="AO128" s="286"/>
      <c r="AP128" s="246"/>
      <c r="AQ128" s="606" t="s">
        <v>436</v>
      </c>
      <c r="AR128" s="246"/>
      <c r="AS128" s="274" t="s">
        <v>437</v>
      </c>
      <c r="AT128" s="254" t="str">
        <f t="shared" ref="AT128:AT130" si="24">IF(COUNTIF($AO$89:$AT$91, #REF!) &gt; 0, "X", "")</f>
        <v/>
      </c>
      <c r="AU128" s="269"/>
      <c r="AV128" s="269"/>
    </row>
    <row r="129">
      <c r="A129" s="372"/>
      <c r="B129" s="328" t="s">
        <v>679</v>
      </c>
      <c r="C129" s="329" t="s">
        <v>652</v>
      </c>
      <c r="D129" s="243"/>
      <c r="E129" s="259"/>
      <c r="F129" s="282"/>
      <c r="G129" s="246"/>
      <c r="I129" s="246"/>
      <c r="K129" s="246"/>
      <c r="L129" s="261"/>
      <c r="M129" s="346"/>
      <c r="N129" s="246"/>
      <c r="P129" s="246"/>
      <c r="R129" s="246"/>
      <c r="S129" s="261"/>
      <c r="T129" s="346"/>
      <c r="U129" s="246"/>
      <c r="W129" s="246"/>
      <c r="X129" s="688" t="s">
        <v>931</v>
      </c>
      <c r="Y129" s="246"/>
      <c r="Z129" s="261"/>
      <c r="AA129" s="346"/>
      <c r="AB129" s="246"/>
      <c r="AD129" s="246"/>
      <c r="AE129" s="282"/>
      <c r="AF129" s="246"/>
      <c r="AG129" s="261"/>
      <c r="AH129" s="282"/>
      <c r="AI129" s="246"/>
      <c r="AK129" s="246"/>
      <c r="AM129" s="246"/>
      <c r="AN129" s="261"/>
      <c r="AO129" s="286"/>
      <c r="AP129" s="246"/>
      <c r="AQ129" s="426"/>
      <c r="AR129" s="246"/>
      <c r="AT129" s="254" t="str">
        <f t="shared" si="24"/>
        <v/>
      </c>
      <c r="AU129" s="269"/>
      <c r="AV129" s="269"/>
    </row>
    <row r="130">
      <c r="A130" s="94"/>
      <c r="B130" s="328" t="s">
        <v>679</v>
      </c>
      <c r="C130" s="329" t="s">
        <v>683</v>
      </c>
      <c r="D130" s="243"/>
      <c r="E130" s="380"/>
      <c r="F130" s="519" t="s">
        <v>439</v>
      </c>
      <c r="G130" s="246"/>
      <c r="H130" s="336" t="s">
        <v>398</v>
      </c>
      <c r="I130" s="246"/>
      <c r="J130" s="688" t="s">
        <v>468</v>
      </c>
      <c r="K130" s="246"/>
      <c r="L130" s="261"/>
      <c r="M130" s="341"/>
      <c r="N130" s="246"/>
      <c r="O130" s="274" t="s">
        <v>406</v>
      </c>
      <c r="P130" s="246"/>
      <c r="R130" s="246"/>
      <c r="S130" s="261"/>
      <c r="T130" s="341"/>
      <c r="U130" s="246"/>
      <c r="V130" s="519" t="s">
        <v>439</v>
      </c>
      <c r="W130" s="246"/>
      <c r="Y130" s="246"/>
      <c r="Z130" s="261"/>
      <c r="AA130" s="341"/>
      <c r="AB130" s="246"/>
      <c r="AC130" s="374" t="s">
        <v>436</v>
      </c>
      <c r="AD130" s="246"/>
      <c r="AF130" s="246"/>
      <c r="AG130" s="261"/>
      <c r="AH130" s="606" t="s">
        <v>466</v>
      </c>
      <c r="AI130" s="246"/>
      <c r="AJ130" s="374" t="s">
        <v>407</v>
      </c>
      <c r="AK130" s="246"/>
      <c r="AL130" s="274" t="s">
        <v>443</v>
      </c>
      <c r="AM130" s="246"/>
      <c r="AN130" s="261"/>
      <c r="AO130" s="286"/>
      <c r="AP130" s="246"/>
      <c r="AQ130" s="519" t="s">
        <v>397</v>
      </c>
      <c r="AR130" s="246"/>
      <c r="AT130" s="254" t="str">
        <f t="shared" si="24"/>
        <v/>
      </c>
      <c r="AU130" s="269"/>
      <c r="AV130" s="269"/>
    </row>
    <row r="131">
      <c r="A131" s="94"/>
      <c r="B131" s="328" t="s">
        <v>679</v>
      </c>
      <c r="C131" s="338" t="s">
        <v>1158</v>
      </c>
      <c r="D131" s="243"/>
      <c r="E131" s="259"/>
      <c r="F131" s="282"/>
      <c r="G131" s="246"/>
      <c r="H131" s="282"/>
      <c r="I131" s="246"/>
      <c r="J131" s="282"/>
      <c r="K131" s="246"/>
      <c r="L131" s="261"/>
      <c r="M131" s="341"/>
      <c r="N131" s="246"/>
      <c r="P131" s="246"/>
      <c r="Q131" s="688" t="s">
        <v>468</v>
      </c>
      <c r="R131" s="246"/>
      <c r="S131" s="261"/>
      <c r="T131" s="341"/>
      <c r="U131" s="246"/>
      <c r="V131" s="282"/>
      <c r="W131" s="246"/>
      <c r="X131" s="606" t="s">
        <v>455</v>
      </c>
      <c r="Y131" s="246"/>
      <c r="Z131" s="261"/>
      <c r="AA131" s="341"/>
      <c r="AB131" s="246"/>
      <c r="AC131" s="282"/>
      <c r="AD131" s="246"/>
      <c r="AE131" s="602" t="s">
        <v>466</v>
      </c>
      <c r="AF131" s="246"/>
      <c r="AG131" s="261"/>
      <c r="AI131" s="246"/>
      <c r="AJ131" s="282"/>
      <c r="AK131" s="246"/>
      <c r="AL131" s="282"/>
      <c r="AM131" s="246"/>
      <c r="AN131" s="261"/>
      <c r="AO131" s="286"/>
      <c r="AP131" s="246"/>
      <c r="AR131" s="246"/>
      <c r="AS131" s="688" t="s">
        <v>468</v>
      </c>
      <c r="AT131" s="838"/>
      <c r="AU131" s="269"/>
      <c r="AV131" s="269"/>
    </row>
    <row r="132">
      <c r="A132" s="94"/>
      <c r="B132" s="328"/>
      <c r="C132" s="338"/>
      <c r="D132" s="243"/>
      <c r="E132" s="259"/>
      <c r="F132" s="282"/>
      <c r="G132" s="246"/>
      <c r="H132" s="282"/>
      <c r="I132" s="246"/>
      <c r="J132" s="282"/>
      <c r="K132" s="246"/>
      <c r="L132" s="261"/>
      <c r="M132" s="341"/>
      <c r="N132" s="246"/>
      <c r="P132" s="246"/>
      <c r="Q132" s="282"/>
      <c r="R132" s="246"/>
      <c r="S132" s="261"/>
      <c r="T132" s="341"/>
      <c r="U132" s="246"/>
      <c r="W132" s="246"/>
      <c r="X132" s="282"/>
      <c r="Y132" s="246"/>
      <c r="Z132" s="261"/>
      <c r="AA132" s="341"/>
      <c r="AB132" s="246"/>
      <c r="AC132" s="282"/>
      <c r="AD132" s="246"/>
      <c r="AF132" s="246"/>
      <c r="AG132" s="261"/>
      <c r="AH132" s="282"/>
      <c r="AI132" s="246"/>
      <c r="AJ132" s="282"/>
      <c r="AK132" s="246"/>
      <c r="AL132" s="282"/>
      <c r="AM132" s="246"/>
      <c r="AN132" s="261"/>
      <c r="AO132" s="286"/>
      <c r="AP132" s="246"/>
      <c r="AQ132" s="282"/>
      <c r="AR132" s="246"/>
      <c r="AS132" s="282"/>
      <c r="AT132" s="838"/>
      <c r="AU132" s="269"/>
      <c r="AV132" s="269"/>
    </row>
    <row r="133">
      <c r="A133" s="94"/>
      <c r="B133" s="377" t="s">
        <v>684</v>
      </c>
      <c r="C133" s="378" t="s">
        <v>685</v>
      </c>
      <c r="D133" s="243"/>
      <c r="E133" s="259"/>
      <c r="F133" s="311" t="s">
        <v>410</v>
      </c>
      <c r="G133" s="246"/>
      <c r="I133" s="246"/>
      <c r="J133" s="334" t="s">
        <v>414</v>
      </c>
      <c r="K133" s="246"/>
      <c r="L133" s="381"/>
      <c r="M133" s="341"/>
      <c r="N133" s="246"/>
      <c r="P133" s="246"/>
      <c r="Q133" s="606" t="s">
        <v>455</v>
      </c>
      <c r="R133" s="246"/>
      <c r="S133" s="381"/>
      <c r="T133" s="341"/>
      <c r="U133" s="246"/>
      <c r="V133" s="274" t="s">
        <v>406</v>
      </c>
      <c r="W133" s="246"/>
      <c r="Y133" s="246"/>
      <c r="Z133" s="381"/>
      <c r="AA133" s="341"/>
      <c r="AB133" s="246"/>
      <c r="AD133" s="246"/>
      <c r="AF133" s="246"/>
      <c r="AG133" s="381"/>
      <c r="AI133" s="246"/>
      <c r="AJ133" s="376"/>
      <c r="AK133" s="246"/>
      <c r="AM133" s="246"/>
      <c r="AN133" s="381"/>
      <c r="AO133" s="286"/>
      <c r="AP133" s="246"/>
      <c r="AQ133" s="426"/>
      <c r="AR133" s="246"/>
      <c r="AT133" s="254" t="str">
        <f t="shared" ref="AT133:AT134" si="25">IF(COUNTIF($AO$89:$AT$91, #REF!) &gt; 0, "X", "")</f>
        <v/>
      </c>
      <c r="AU133" s="269"/>
      <c r="AV133" s="269"/>
    </row>
    <row r="134">
      <c r="A134" s="270"/>
      <c r="B134" s="382" t="s">
        <v>686</v>
      </c>
      <c r="C134" s="242" t="s">
        <v>652</v>
      </c>
      <c r="D134" s="243"/>
      <c r="E134" s="259"/>
      <c r="F134" s="376" t="s">
        <v>466</v>
      </c>
      <c r="G134" s="246"/>
      <c r="H134" s="280" t="s">
        <v>435</v>
      </c>
      <c r="I134" s="246"/>
      <c r="J134" s="376" t="s">
        <v>453</v>
      </c>
      <c r="K134" s="246"/>
      <c r="L134" s="261"/>
      <c r="M134" s="341"/>
      <c r="N134" s="246"/>
      <c r="O134" s="365" t="s">
        <v>435</v>
      </c>
      <c r="P134" s="246"/>
      <c r="Q134" s="376" t="s">
        <v>453</v>
      </c>
      <c r="R134" s="246"/>
      <c r="S134" s="261"/>
      <c r="T134" s="341"/>
      <c r="U134" s="246"/>
      <c r="V134" s="251" t="s">
        <v>435</v>
      </c>
      <c r="W134" s="246"/>
      <c r="X134" s="376" t="s">
        <v>453</v>
      </c>
      <c r="Y134" s="246"/>
      <c r="Z134" s="261"/>
      <c r="AA134" s="341"/>
      <c r="AB134" s="246"/>
      <c r="AC134" s="383" t="s">
        <v>428</v>
      </c>
      <c r="AD134" s="246"/>
      <c r="AE134" s="251" t="s">
        <v>429</v>
      </c>
      <c r="AF134" s="246"/>
      <c r="AG134" s="261"/>
      <c r="AH134" s="602" t="s">
        <v>453</v>
      </c>
      <c r="AI134" s="246"/>
      <c r="AJ134" s="280" t="s">
        <v>435</v>
      </c>
      <c r="AK134" s="246"/>
      <c r="AL134" s="311" t="s">
        <v>455</v>
      </c>
      <c r="AM134" s="246"/>
      <c r="AN134" s="261"/>
      <c r="AO134" s="286"/>
      <c r="AP134" s="246"/>
      <c r="AQ134" s="280" t="s">
        <v>435</v>
      </c>
      <c r="AR134" s="246"/>
      <c r="AS134" s="311" t="s">
        <v>466</v>
      </c>
      <c r="AT134" s="254" t="str">
        <f t="shared" si="25"/>
        <v/>
      </c>
      <c r="AU134" s="269"/>
      <c r="AV134" s="269"/>
    </row>
    <row r="135">
      <c r="A135" s="234"/>
      <c r="B135" s="337" t="s">
        <v>686</v>
      </c>
      <c r="C135" s="338" t="s">
        <v>687</v>
      </c>
      <c r="D135" s="243"/>
      <c r="E135" s="259"/>
      <c r="F135" s="282"/>
      <c r="G135" s="246"/>
      <c r="H135" s="383" t="s">
        <v>428</v>
      </c>
      <c r="I135" s="246"/>
      <c r="J135" s="606" t="s">
        <v>455</v>
      </c>
      <c r="K135" s="246"/>
      <c r="L135" s="261"/>
      <c r="M135" s="250"/>
      <c r="N135" s="246"/>
      <c r="O135" s="311" t="s">
        <v>466</v>
      </c>
      <c r="P135" s="246"/>
      <c r="R135" s="246"/>
      <c r="S135" s="261"/>
      <c r="T135" s="250"/>
      <c r="U135" s="246"/>
      <c r="V135" s="383" t="s">
        <v>428</v>
      </c>
      <c r="W135" s="246"/>
      <c r="X135" s="251" t="s">
        <v>429</v>
      </c>
      <c r="Y135" s="246"/>
      <c r="Z135" s="261"/>
      <c r="AA135" s="250"/>
      <c r="AB135" s="246"/>
      <c r="AC135" s="602" t="s">
        <v>453</v>
      </c>
      <c r="AD135" s="246"/>
      <c r="AE135" s="606" t="s">
        <v>455</v>
      </c>
      <c r="AF135" s="246"/>
      <c r="AG135" s="261"/>
      <c r="AH135" s="282"/>
      <c r="AI135" s="246"/>
      <c r="AJ135" s="383" t="s">
        <v>428</v>
      </c>
      <c r="AK135" s="246"/>
      <c r="AL135" s="251" t="s">
        <v>429</v>
      </c>
      <c r="AM135" s="246"/>
      <c r="AN135" s="261"/>
      <c r="AO135" s="286"/>
      <c r="AP135" s="246"/>
      <c r="AQ135" s="840" t="s">
        <v>428</v>
      </c>
      <c r="AR135" s="246"/>
      <c r="AS135" s="660" t="s">
        <v>429</v>
      </c>
      <c r="AT135" s="254" t="str">
        <f>IF(COUNTIF($AO$89:$AT$91, AQ135) &gt; 0, "X", "")</f>
        <v/>
      </c>
      <c r="AU135" s="269"/>
      <c r="AV135" s="269"/>
    </row>
    <row r="136">
      <c r="A136" s="94"/>
      <c r="B136" s="337" t="s">
        <v>688</v>
      </c>
      <c r="C136" s="285" t="s">
        <v>687</v>
      </c>
      <c r="D136" s="389"/>
      <c r="E136" s="259"/>
      <c r="F136" s="265"/>
      <c r="G136" s="246"/>
      <c r="I136" s="246"/>
      <c r="J136" s="265"/>
      <c r="K136" s="246"/>
      <c r="L136" s="261"/>
      <c r="M136" s="262"/>
      <c r="N136" s="246"/>
      <c r="O136" s="265"/>
      <c r="P136" s="246"/>
      <c r="Q136" s="265"/>
      <c r="R136" s="246"/>
      <c r="S136" s="261"/>
      <c r="T136" s="262"/>
      <c r="U136" s="246"/>
      <c r="V136" s="265"/>
      <c r="W136" s="246"/>
      <c r="X136" s="265"/>
      <c r="Y136" s="246"/>
      <c r="Z136" s="261"/>
      <c r="AA136" s="262"/>
      <c r="AB136" s="246"/>
      <c r="AC136" s="265"/>
      <c r="AD136" s="246"/>
      <c r="AF136" s="246"/>
      <c r="AG136" s="261"/>
      <c r="AH136" s="265"/>
      <c r="AI136" s="246"/>
      <c r="AJ136" s="265"/>
      <c r="AK136" s="246"/>
      <c r="AL136" s="265"/>
      <c r="AM136" s="246"/>
      <c r="AN136" s="261"/>
      <c r="AO136" s="286"/>
      <c r="AP136" s="246"/>
      <c r="AQ136" s="281"/>
      <c r="AR136" s="246"/>
      <c r="AS136" s="265"/>
      <c r="AT136" s="254" t="str">
        <f>IF(COUNTIF($AO$89:$AT$91, #REF!) &gt; 0, "X", "")</f>
        <v/>
      </c>
      <c r="AU136" s="269"/>
      <c r="AV136" s="269"/>
    </row>
    <row r="137">
      <c r="A137" s="94"/>
      <c r="B137" s="387" t="s">
        <v>690</v>
      </c>
      <c r="C137" s="388" t="s">
        <v>649</v>
      </c>
      <c r="D137" s="323"/>
      <c r="E137" s="259"/>
      <c r="F137" s="390"/>
      <c r="G137" s="246"/>
      <c r="H137" s="390"/>
      <c r="I137" s="246"/>
      <c r="J137" s="390"/>
      <c r="K137" s="246"/>
      <c r="L137" s="261"/>
      <c r="M137" s="250"/>
      <c r="N137" s="246"/>
      <c r="O137" s="357" t="s">
        <v>420</v>
      </c>
      <c r="P137" s="246"/>
      <c r="Q137" s="390"/>
      <c r="R137" s="246"/>
      <c r="S137" s="261"/>
      <c r="T137" s="250"/>
      <c r="U137" s="246"/>
      <c r="V137" s="357"/>
      <c r="W137" s="246"/>
      <c r="X137" s="633" t="s">
        <v>420</v>
      </c>
      <c r="Y137" s="246"/>
      <c r="Z137" s="261"/>
      <c r="AA137" s="250"/>
      <c r="AB137" s="246"/>
      <c r="AC137" s="355" t="s">
        <v>670</v>
      </c>
      <c r="AD137" s="246"/>
      <c r="AE137" s="390"/>
      <c r="AF137" s="246"/>
      <c r="AG137" s="261"/>
      <c r="AH137" s="390"/>
      <c r="AI137" s="246"/>
      <c r="AJ137" s="390"/>
      <c r="AK137" s="246"/>
      <c r="AL137" s="390"/>
      <c r="AM137" s="246"/>
      <c r="AN137" s="261"/>
      <c r="AO137" s="286"/>
      <c r="AP137" s="246"/>
      <c r="AQ137" s="390"/>
      <c r="AR137" s="246"/>
      <c r="AS137" s="390"/>
      <c r="AT137" s="254" t="str">
        <f t="shared" ref="AT137:AT144" si="26">IF(COUNTIF($AO$89:$AT$91, AS138) &gt; 0, "X", "")</f>
        <v/>
      </c>
      <c r="AU137" s="269"/>
      <c r="AV137" s="269"/>
    </row>
    <row r="138">
      <c r="A138" s="94"/>
      <c r="B138" s="296" t="s">
        <v>650</v>
      </c>
      <c r="C138" s="297" t="s">
        <v>649</v>
      </c>
      <c r="D138" s="323"/>
      <c r="E138" s="261"/>
      <c r="F138" s="300"/>
      <c r="G138" s="246"/>
      <c r="H138" s="319"/>
      <c r="I138" s="246"/>
      <c r="J138" s="300"/>
      <c r="K138" s="246"/>
      <c r="L138" s="261"/>
      <c r="M138" s="250"/>
      <c r="N138" s="246"/>
      <c r="O138" s="300"/>
      <c r="P138" s="246"/>
      <c r="Q138" s="300"/>
      <c r="R138" s="246"/>
      <c r="S138" s="261"/>
      <c r="T138" s="250"/>
      <c r="U138" s="246"/>
      <c r="V138" s="319"/>
      <c r="W138" s="246"/>
      <c r="X138" s="300"/>
      <c r="Y138" s="246"/>
      <c r="Z138" s="261"/>
      <c r="AA138" s="250"/>
      <c r="AB138" s="246"/>
      <c r="AC138" s="521"/>
      <c r="AD138" s="246"/>
      <c r="AE138" s="300"/>
      <c r="AF138" s="246"/>
      <c r="AG138" s="261"/>
      <c r="AH138" s="300"/>
      <c r="AI138" s="246"/>
      <c r="AJ138" s="300"/>
      <c r="AK138" s="246"/>
      <c r="AL138" s="300"/>
      <c r="AM138" s="246"/>
      <c r="AN138" s="261"/>
      <c r="AO138" s="286"/>
      <c r="AP138" s="246"/>
      <c r="AQ138" s="300"/>
      <c r="AR138" s="246"/>
      <c r="AS138" s="300"/>
      <c r="AT138" s="254" t="str">
        <f t="shared" si="26"/>
        <v/>
      </c>
      <c r="AU138" s="269"/>
      <c r="AV138" s="269"/>
    </row>
    <row r="139">
      <c r="A139" s="94"/>
      <c r="B139" s="301" t="s">
        <v>651</v>
      </c>
      <c r="C139" s="391" t="s">
        <v>652</v>
      </c>
      <c r="D139" s="323"/>
      <c r="E139" s="259"/>
      <c r="F139" s="304"/>
      <c r="G139" s="246"/>
      <c r="H139" s="304"/>
      <c r="I139" s="246"/>
      <c r="J139" s="304"/>
      <c r="K139" s="246"/>
      <c r="L139" s="261"/>
      <c r="M139" s="250"/>
      <c r="N139" s="246"/>
      <c r="O139" s="304"/>
      <c r="P139" s="246"/>
      <c r="Q139" s="304"/>
      <c r="R139" s="246"/>
      <c r="S139" s="261"/>
      <c r="T139" s="250"/>
      <c r="U139" s="246"/>
      <c r="V139" s="304"/>
      <c r="W139" s="246"/>
      <c r="X139" s="304"/>
      <c r="Y139" s="246"/>
      <c r="Z139" s="261"/>
      <c r="AA139" s="250"/>
      <c r="AB139" s="246"/>
      <c r="AC139" s="304"/>
      <c r="AD139" s="246"/>
      <c r="AE139" s="304"/>
      <c r="AF139" s="246"/>
      <c r="AG139" s="261"/>
      <c r="AH139" s="304"/>
      <c r="AI139" s="246"/>
      <c r="AJ139" s="304"/>
      <c r="AK139" s="246"/>
      <c r="AL139" s="304"/>
      <c r="AM139" s="246"/>
      <c r="AN139" s="261"/>
      <c r="AO139" s="286"/>
      <c r="AP139" s="246"/>
      <c r="AQ139" s="304"/>
      <c r="AR139" s="246"/>
      <c r="AS139" s="304"/>
      <c r="AT139" s="254" t="str">
        <f t="shared" si="26"/>
        <v/>
      </c>
      <c r="AU139" s="269"/>
      <c r="AV139" s="269"/>
    </row>
    <row r="140">
      <c r="A140" s="94"/>
      <c r="B140" s="392" t="s">
        <v>691</v>
      </c>
      <c r="C140" s="393" t="s">
        <v>652</v>
      </c>
      <c r="D140" s="330"/>
      <c r="E140" s="259"/>
      <c r="F140" s="307"/>
      <c r="G140" s="246"/>
      <c r="H140" s="307"/>
      <c r="I140" s="246"/>
      <c r="J140" s="307"/>
      <c r="K140" s="246"/>
      <c r="L140" s="261"/>
      <c r="M140" s="250"/>
      <c r="N140" s="246"/>
      <c r="O140" s="606" t="s">
        <v>438</v>
      </c>
      <c r="P140" s="246"/>
      <c r="Q140" s="307"/>
      <c r="R140" s="246"/>
      <c r="S140" s="261"/>
      <c r="T140" s="250"/>
      <c r="U140" s="246"/>
      <c r="V140" s="307"/>
      <c r="W140" s="246"/>
      <c r="X140" s="394" t="s">
        <v>398</v>
      </c>
      <c r="Y140" s="246"/>
      <c r="Z140" s="261"/>
      <c r="AA140" s="250"/>
      <c r="AB140" s="246"/>
      <c r="AC140" s="606" t="s">
        <v>438</v>
      </c>
      <c r="AD140" s="246"/>
      <c r="AE140" s="307"/>
      <c r="AF140" s="246"/>
      <c r="AG140" s="261"/>
      <c r="AH140" s="307"/>
      <c r="AI140" s="246"/>
      <c r="AJ140" s="307"/>
      <c r="AK140" s="246"/>
      <c r="AL140" s="307"/>
      <c r="AM140" s="246"/>
      <c r="AN140" s="261"/>
      <c r="AO140" s="286"/>
      <c r="AP140" s="246"/>
      <c r="AQ140" s="307"/>
      <c r="AR140" s="246"/>
      <c r="AS140" s="307"/>
      <c r="AT140" s="254" t="str">
        <f t="shared" si="26"/>
        <v/>
      </c>
      <c r="AU140" s="269"/>
      <c r="AV140" s="269"/>
    </row>
    <row r="141">
      <c r="A141" s="94"/>
      <c r="B141" s="328" t="s">
        <v>692</v>
      </c>
      <c r="C141" s="329" t="s">
        <v>652</v>
      </c>
      <c r="D141" s="369"/>
      <c r="E141" s="259"/>
      <c r="F141" s="282"/>
      <c r="G141" s="246"/>
      <c r="H141" s="371"/>
      <c r="I141" s="246"/>
      <c r="J141" s="371"/>
      <c r="K141" s="246"/>
      <c r="L141" s="261"/>
      <c r="M141" s="250"/>
      <c r="N141" s="246"/>
      <c r="P141" s="246"/>
      <c r="Q141" s="371"/>
      <c r="R141" s="246"/>
      <c r="S141" s="261"/>
      <c r="T141" s="250"/>
      <c r="U141" s="246"/>
      <c r="W141" s="246"/>
      <c r="X141" s="282"/>
      <c r="Y141" s="246"/>
      <c r="Z141" s="261"/>
      <c r="AA141" s="250"/>
      <c r="AB141" s="246"/>
      <c r="AC141" s="371"/>
      <c r="AD141" s="246"/>
      <c r="AE141" s="371"/>
      <c r="AF141" s="246"/>
      <c r="AG141" s="261"/>
      <c r="AH141" s="371"/>
      <c r="AI141" s="246"/>
      <c r="AJ141" s="371"/>
      <c r="AK141" s="246"/>
      <c r="AL141" s="371"/>
      <c r="AM141" s="246"/>
      <c r="AN141" s="261"/>
      <c r="AO141" s="286"/>
      <c r="AP141" s="246"/>
      <c r="AR141" s="246"/>
      <c r="AS141" s="265"/>
      <c r="AT141" s="254" t="str">
        <f t="shared" si="26"/>
        <v/>
      </c>
      <c r="AU141" s="269"/>
      <c r="AV141" s="269"/>
    </row>
    <row r="142">
      <c r="A142" s="94"/>
      <c r="B142" s="397" t="s">
        <v>692</v>
      </c>
      <c r="C142" s="398" t="s">
        <v>687</v>
      </c>
      <c r="D142" s="389"/>
      <c r="E142" s="259"/>
      <c r="F142" s="399"/>
      <c r="G142" s="246"/>
      <c r="H142" s="399"/>
      <c r="I142" s="246"/>
      <c r="J142" s="399"/>
      <c r="K142" s="246"/>
      <c r="L142" s="261"/>
      <c r="M142" s="250"/>
      <c r="N142" s="246"/>
      <c r="O142" s="282"/>
      <c r="P142" s="246"/>
      <c r="Q142" s="399"/>
      <c r="R142" s="246"/>
      <c r="S142" s="261"/>
      <c r="T142" s="250"/>
      <c r="U142" s="246"/>
      <c r="V142" s="282"/>
      <c r="W142" s="246"/>
      <c r="X142" s="282"/>
      <c r="Y142" s="246"/>
      <c r="Z142" s="261"/>
      <c r="AA142" s="250"/>
      <c r="AB142" s="246"/>
      <c r="AC142" s="399"/>
      <c r="AD142" s="246"/>
      <c r="AE142" s="399"/>
      <c r="AF142" s="246"/>
      <c r="AG142" s="261"/>
      <c r="AH142" s="399"/>
      <c r="AI142" s="246"/>
      <c r="AJ142" s="399"/>
      <c r="AK142" s="246"/>
      <c r="AL142" s="399"/>
      <c r="AM142" s="246"/>
      <c r="AN142" s="261"/>
      <c r="AO142" s="286"/>
      <c r="AP142" s="246"/>
      <c r="AQ142" s="282"/>
      <c r="AR142" s="246"/>
      <c r="AS142" s="265"/>
      <c r="AT142" s="254" t="str">
        <f t="shared" si="26"/>
        <v/>
      </c>
      <c r="AU142" s="269"/>
      <c r="AV142" s="269"/>
    </row>
    <row r="143">
      <c r="A143" s="94"/>
      <c r="B143" s="387" t="s">
        <v>694</v>
      </c>
      <c r="C143" s="388" t="s">
        <v>649</v>
      </c>
      <c r="D143" s="323"/>
      <c r="E143" s="259"/>
      <c r="F143" s="390"/>
      <c r="G143" s="246"/>
      <c r="H143" s="390"/>
      <c r="I143" s="246"/>
      <c r="J143" s="390"/>
      <c r="K143" s="246"/>
      <c r="L143" s="261"/>
      <c r="M143" s="250"/>
      <c r="N143" s="246"/>
      <c r="O143" s="390"/>
      <c r="P143" s="246"/>
      <c r="Q143" s="390"/>
      <c r="R143" s="246"/>
      <c r="S143" s="261"/>
      <c r="T143" s="250"/>
      <c r="U143" s="246"/>
      <c r="V143" s="390"/>
      <c r="W143" s="246"/>
      <c r="X143" s="357"/>
      <c r="Y143" s="246"/>
      <c r="Z143" s="261"/>
      <c r="AA143" s="250"/>
      <c r="AB143" s="246"/>
      <c r="AC143" s="390"/>
      <c r="AD143" s="246"/>
      <c r="AE143" s="357"/>
      <c r="AF143" s="246"/>
      <c r="AG143" s="261"/>
      <c r="AH143" s="390"/>
      <c r="AI143" s="246"/>
      <c r="AJ143" s="390"/>
      <c r="AK143" s="246"/>
      <c r="AL143" s="357"/>
      <c r="AM143" s="246"/>
      <c r="AN143" s="261"/>
      <c r="AO143" s="286"/>
      <c r="AP143" s="246"/>
      <c r="AQ143" s="390"/>
      <c r="AR143" s="246"/>
      <c r="AS143" s="357"/>
      <c r="AT143" s="254" t="str">
        <f t="shared" si="26"/>
        <v/>
      </c>
      <c r="AU143" s="269"/>
      <c r="AV143" s="269"/>
    </row>
    <row r="144">
      <c r="A144" s="94"/>
      <c r="B144" s="296" t="s">
        <v>650</v>
      </c>
      <c r="C144" s="297" t="s">
        <v>649</v>
      </c>
      <c r="D144" s="323"/>
      <c r="E144" s="261"/>
      <c r="F144" s="300"/>
      <c r="G144" s="298"/>
      <c r="H144" s="300"/>
      <c r="I144" s="298"/>
      <c r="J144" s="300"/>
      <c r="K144" s="298"/>
      <c r="L144" s="261"/>
      <c r="M144" s="250"/>
      <c r="N144" s="298"/>
      <c r="O144" s="300"/>
      <c r="P144" s="298"/>
      <c r="Q144" s="319"/>
      <c r="R144" s="298"/>
      <c r="S144" s="261"/>
      <c r="T144" s="250"/>
      <c r="U144" s="298"/>
      <c r="V144" s="300"/>
      <c r="W144" s="298"/>
      <c r="X144" s="300"/>
      <c r="Y144" s="298"/>
      <c r="Z144" s="261"/>
      <c r="AA144" s="250"/>
      <c r="AB144" s="298"/>
      <c r="AC144" s="300"/>
      <c r="AD144" s="298"/>
      <c r="AE144" s="300"/>
      <c r="AF144" s="298"/>
      <c r="AG144" s="261"/>
      <c r="AH144" s="300"/>
      <c r="AI144" s="298"/>
      <c r="AJ144" s="300"/>
      <c r="AK144" s="298"/>
      <c r="AL144" s="300"/>
      <c r="AM144" s="298"/>
      <c r="AN144" s="261"/>
      <c r="AO144" s="286"/>
      <c r="AP144" s="298"/>
      <c r="AQ144" s="300"/>
      <c r="AR144" s="298"/>
      <c r="AS144" s="299"/>
      <c r="AT144" s="254" t="str">
        <f t="shared" si="26"/>
        <v/>
      </c>
      <c r="AU144" s="269"/>
      <c r="AV144" s="269"/>
    </row>
    <row r="145">
      <c r="A145" s="94"/>
      <c r="B145" s="301" t="s">
        <v>651</v>
      </c>
      <c r="C145" s="391" t="s">
        <v>652</v>
      </c>
      <c r="D145" s="323"/>
      <c r="E145" s="259"/>
      <c r="F145" s="304"/>
      <c r="G145" s="298"/>
      <c r="H145" s="304"/>
      <c r="I145" s="298"/>
      <c r="J145" s="304"/>
      <c r="K145" s="298"/>
      <c r="L145" s="261"/>
      <c r="M145" s="250"/>
      <c r="N145" s="298"/>
      <c r="O145" s="304"/>
      <c r="P145" s="298"/>
      <c r="Q145" s="304"/>
      <c r="R145" s="298"/>
      <c r="S145" s="261"/>
      <c r="T145" s="250"/>
      <c r="U145" s="298"/>
      <c r="V145" s="304"/>
      <c r="W145" s="298"/>
      <c r="X145" s="304"/>
      <c r="Y145" s="298"/>
      <c r="Z145" s="261"/>
      <c r="AA145" s="250"/>
      <c r="AB145" s="298"/>
      <c r="AC145" s="304"/>
      <c r="AD145" s="298"/>
      <c r="AE145" s="304"/>
      <c r="AF145" s="298"/>
      <c r="AG145" s="261"/>
      <c r="AH145" s="304"/>
      <c r="AI145" s="298"/>
      <c r="AJ145" s="304"/>
      <c r="AK145" s="298"/>
      <c r="AL145" s="304"/>
      <c r="AM145" s="298"/>
      <c r="AN145" s="261"/>
      <c r="AO145" s="286"/>
      <c r="AP145" s="298"/>
      <c r="AQ145" s="304"/>
      <c r="AR145" s="298"/>
      <c r="AS145" s="303"/>
      <c r="AT145" s="254" t="str">
        <f t="shared" ref="AT145:AT146" si="27">IF(COUNTIF($AO$89:$AT$91, #REF!) &gt; 0, "X", "")</f>
        <v/>
      </c>
      <c r="AU145" s="269"/>
      <c r="AV145" s="269"/>
    </row>
    <row r="146">
      <c r="A146" s="94"/>
      <c r="B146" s="392" t="s">
        <v>691</v>
      </c>
      <c r="C146" s="393" t="s">
        <v>652</v>
      </c>
      <c r="D146" s="330"/>
      <c r="E146" s="259"/>
      <c r="F146" s="307"/>
      <c r="G146" s="298"/>
      <c r="H146" s="307"/>
      <c r="I146" s="298"/>
      <c r="J146" s="307"/>
      <c r="K146" s="298"/>
      <c r="L146" s="261"/>
      <c r="M146" s="250"/>
      <c r="N146" s="298"/>
      <c r="O146" s="307"/>
      <c r="P146" s="298"/>
      <c r="R146" s="298"/>
      <c r="S146" s="261"/>
      <c r="T146" s="250"/>
      <c r="U146" s="298"/>
      <c r="V146" s="307"/>
      <c r="W146" s="298"/>
      <c r="X146" s="492"/>
      <c r="Y146" s="298"/>
      <c r="Z146" s="261"/>
      <c r="AA146" s="250"/>
      <c r="AB146" s="298"/>
      <c r="AC146" s="307"/>
      <c r="AD146" s="298"/>
      <c r="AE146" s="492"/>
      <c r="AF146" s="298"/>
      <c r="AG146" s="261"/>
      <c r="AH146" s="307"/>
      <c r="AI146" s="298"/>
      <c r="AJ146" s="307"/>
      <c r="AK146" s="298"/>
      <c r="AL146" s="308"/>
      <c r="AM146" s="298"/>
      <c r="AN146" s="261"/>
      <c r="AO146" s="286"/>
      <c r="AP146" s="298"/>
      <c r="AQ146" s="307"/>
      <c r="AR146" s="298"/>
      <c r="AS146" s="308"/>
      <c r="AT146" s="254" t="str">
        <f t="shared" si="27"/>
        <v/>
      </c>
      <c r="AU146" s="269"/>
      <c r="AV146" s="269"/>
    </row>
    <row r="147">
      <c r="A147" s="94"/>
      <c r="B147" s="328" t="s">
        <v>692</v>
      </c>
      <c r="C147" s="329" t="s">
        <v>652</v>
      </c>
      <c r="D147" s="369"/>
      <c r="E147" s="259"/>
      <c r="F147" s="371"/>
      <c r="G147" s="246"/>
      <c r="H147" s="371"/>
      <c r="I147" s="246"/>
      <c r="J147" s="282"/>
      <c r="K147" s="246"/>
      <c r="L147" s="261"/>
      <c r="M147" s="250"/>
      <c r="N147" s="246"/>
      <c r="O147" s="371"/>
      <c r="P147" s="246"/>
      <c r="Q147" s="282"/>
      <c r="R147" s="246"/>
      <c r="S147" s="261"/>
      <c r="T147" s="250"/>
      <c r="U147" s="246"/>
      <c r="V147" s="371"/>
      <c r="W147" s="246"/>
      <c r="Y147" s="246"/>
      <c r="Z147" s="261"/>
      <c r="AA147" s="250"/>
      <c r="AB147" s="246"/>
      <c r="AC147" s="282"/>
      <c r="AD147" s="246"/>
      <c r="AF147" s="246"/>
      <c r="AG147" s="261"/>
      <c r="AH147" s="371"/>
      <c r="AI147" s="246"/>
      <c r="AJ147" s="371"/>
      <c r="AK147" s="246"/>
      <c r="AL147" s="282"/>
      <c r="AM147" s="246"/>
      <c r="AN147" s="261"/>
      <c r="AO147" s="286"/>
      <c r="AP147" s="246"/>
      <c r="AR147" s="246"/>
      <c r="AS147" s="282"/>
      <c r="AT147" s="254" t="str">
        <f t="shared" ref="AT147:AT150" si="28">IF(COUNTIF($AO$89:$AT$91, AS148) &gt; 0, "X", "")</f>
        <v/>
      </c>
      <c r="AU147" s="269"/>
      <c r="AV147" s="269"/>
    </row>
    <row r="148">
      <c r="A148" s="94"/>
      <c r="B148" s="397" t="s">
        <v>692</v>
      </c>
      <c r="C148" s="398" t="s">
        <v>687</v>
      </c>
      <c r="D148" s="404"/>
      <c r="E148" s="259"/>
      <c r="F148" s="399"/>
      <c r="G148" s="246"/>
      <c r="H148" s="399"/>
      <c r="I148" s="246"/>
      <c r="J148" s="252"/>
      <c r="K148" s="246"/>
      <c r="L148" s="261"/>
      <c r="M148" s="250"/>
      <c r="N148" s="246"/>
      <c r="O148" s="399"/>
      <c r="P148" s="246"/>
      <c r="Q148" s="399"/>
      <c r="R148" s="246"/>
      <c r="S148" s="261"/>
      <c r="T148" s="250"/>
      <c r="U148" s="246"/>
      <c r="V148" s="399"/>
      <c r="W148" s="246"/>
      <c r="X148" s="399"/>
      <c r="Y148" s="246"/>
      <c r="Z148" s="261"/>
      <c r="AA148" s="250"/>
      <c r="AB148" s="246"/>
      <c r="AC148" s="282"/>
      <c r="AD148" s="246"/>
      <c r="AE148" s="399"/>
      <c r="AF148" s="246"/>
      <c r="AG148" s="261"/>
      <c r="AH148" s="399"/>
      <c r="AI148" s="246"/>
      <c r="AJ148" s="399"/>
      <c r="AK148" s="246"/>
      <c r="AL148" s="399"/>
      <c r="AM148" s="246"/>
      <c r="AN148" s="261"/>
      <c r="AO148" s="286"/>
      <c r="AP148" s="246"/>
      <c r="AQ148" s="282"/>
      <c r="AR148" s="246"/>
      <c r="AS148" s="399"/>
      <c r="AT148" s="254" t="str">
        <f t="shared" si="28"/>
        <v/>
      </c>
      <c r="AU148" s="269"/>
      <c r="AV148" s="269"/>
    </row>
    <row r="149">
      <c r="A149" s="270"/>
      <c r="B149" s="402" t="s">
        <v>699</v>
      </c>
      <c r="C149" s="403" t="s">
        <v>649</v>
      </c>
      <c r="D149" s="330"/>
      <c r="E149" s="259"/>
      <c r="F149" s="294"/>
      <c r="G149" s="246"/>
      <c r="H149" s="294"/>
      <c r="I149" s="246"/>
      <c r="J149" s="294"/>
      <c r="K149" s="246"/>
      <c r="L149" s="261"/>
      <c r="M149" s="250"/>
      <c r="N149" s="246"/>
      <c r="O149" s="294"/>
      <c r="P149" s="246"/>
      <c r="Q149" s="293" t="s">
        <v>422</v>
      </c>
      <c r="R149" s="246"/>
      <c r="S149" s="261"/>
      <c r="T149" s="250"/>
      <c r="U149" s="246"/>
      <c r="V149" s="294"/>
      <c r="W149" s="246"/>
      <c r="X149" s="294"/>
      <c r="Y149" s="246"/>
      <c r="Z149" s="261"/>
      <c r="AA149" s="250"/>
      <c r="AB149" s="246"/>
      <c r="AC149" s="294"/>
      <c r="AD149" s="246"/>
      <c r="AE149" s="293" t="s">
        <v>426</v>
      </c>
      <c r="AF149" s="246"/>
      <c r="AG149" s="261"/>
      <c r="AH149" s="294"/>
      <c r="AI149" s="246"/>
      <c r="AJ149" s="294"/>
      <c r="AK149" s="246"/>
      <c r="AL149" s="294"/>
      <c r="AM149" s="246"/>
      <c r="AN149" s="261"/>
      <c r="AO149" s="286"/>
      <c r="AP149" s="246"/>
      <c r="AQ149" s="294"/>
      <c r="AR149" s="246"/>
      <c r="AS149" s="294"/>
      <c r="AT149" s="254" t="str">
        <f t="shared" si="28"/>
        <v/>
      </c>
      <c r="AU149" s="269"/>
      <c r="AV149" s="269"/>
    </row>
    <row r="150">
      <c r="A150" s="94"/>
      <c r="B150" s="328" t="s">
        <v>700</v>
      </c>
      <c r="C150" s="329" t="s">
        <v>657</v>
      </c>
      <c r="D150" s="330"/>
      <c r="E150" s="259"/>
      <c r="F150" s="371"/>
      <c r="G150" s="246"/>
      <c r="H150" s="282"/>
      <c r="I150" s="246"/>
      <c r="J150" s="282"/>
      <c r="K150" s="246"/>
      <c r="L150" s="261"/>
      <c r="M150" s="250"/>
      <c r="N150" s="246"/>
      <c r="O150" s="371"/>
      <c r="P150" s="246"/>
      <c r="Q150" s="841" t="s">
        <v>437</v>
      </c>
      <c r="R150" s="246"/>
      <c r="S150" s="261"/>
      <c r="T150" s="250"/>
      <c r="U150" s="246"/>
      <c r="W150" s="246"/>
      <c r="X150" s="371"/>
      <c r="Y150" s="246"/>
      <c r="Z150" s="261"/>
      <c r="AA150" s="250"/>
      <c r="AB150" s="246"/>
      <c r="AC150" s="371"/>
      <c r="AD150" s="246"/>
      <c r="AE150" s="274" t="s">
        <v>437</v>
      </c>
      <c r="AF150" s="246"/>
      <c r="AG150" s="261"/>
      <c r="AH150" s="371"/>
      <c r="AI150" s="246"/>
      <c r="AJ150" s="371"/>
      <c r="AK150" s="246"/>
      <c r="AL150" s="371"/>
      <c r="AM150" s="246"/>
      <c r="AN150" s="261"/>
      <c r="AO150" s="286"/>
      <c r="AP150" s="246"/>
      <c r="AQ150" s="281"/>
      <c r="AR150" s="246"/>
      <c r="AS150" s="371"/>
      <c r="AT150" s="254" t="str">
        <f t="shared" si="28"/>
        <v/>
      </c>
      <c r="AU150" s="269"/>
      <c r="AV150" s="269"/>
    </row>
    <row r="151">
      <c r="A151" s="94"/>
      <c r="B151" s="328" t="s">
        <v>700</v>
      </c>
      <c r="C151" s="329" t="s">
        <v>657</v>
      </c>
      <c r="D151" s="330"/>
      <c r="E151" s="259"/>
      <c r="F151" s="264"/>
      <c r="G151" s="246"/>
      <c r="H151" s="265"/>
      <c r="I151" s="246"/>
      <c r="K151" s="246"/>
      <c r="L151" s="261"/>
      <c r="M151" s="262"/>
      <c r="N151" s="246"/>
      <c r="P151" s="246"/>
      <c r="Q151" s="405" t="s">
        <v>462</v>
      </c>
      <c r="R151" s="246"/>
      <c r="S151" s="261"/>
      <c r="T151" s="262"/>
      <c r="U151" s="246"/>
      <c r="V151" s="264"/>
      <c r="W151" s="246"/>
      <c r="Y151" s="246"/>
      <c r="Z151" s="261"/>
      <c r="AA151" s="262"/>
      <c r="AB151" s="246"/>
      <c r="AD151" s="246"/>
      <c r="AE151" s="405" t="s">
        <v>462</v>
      </c>
      <c r="AF151" s="246"/>
      <c r="AG151" s="261"/>
      <c r="AH151" s="264"/>
      <c r="AI151" s="246"/>
      <c r="AJ151" s="264"/>
      <c r="AK151" s="246"/>
      <c r="AL151" s="265"/>
      <c r="AM151" s="246"/>
      <c r="AN151" s="261"/>
      <c r="AO151" s="286"/>
      <c r="AP151" s="246"/>
      <c r="AQ151" s="281"/>
      <c r="AR151" s="246"/>
      <c r="AS151" s="264"/>
      <c r="AT151" s="254" t="str">
        <f>IF(COUNTIF($AO$89:$AT$91, #REF!) &gt; 0, "X", "")</f>
        <v/>
      </c>
      <c r="AU151" s="269"/>
      <c r="AV151" s="269"/>
    </row>
    <row r="152">
      <c r="A152" s="94"/>
      <c r="B152" s="328" t="s">
        <v>700</v>
      </c>
      <c r="C152" s="329" t="s">
        <v>657</v>
      </c>
      <c r="D152" s="330"/>
      <c r="E152" s="259"/>
      <c r="F152" s="371"/>
      <c r="G152" s="246"/>
      <c r="H152" s="282"/>
      <c r="I152" s="246"/>
      <c r="K152" s="246"/>
      <c r="L152" s="261"/>
      <c r="M152" s="250"/>
      <c r="N152" s="246"/>
      <c r="O152" s="282"/>
      <c r="P152" s="246"/>
      <c r="Q152" s="282"/>
      <c r="R152" s="246"/>
      <c r="S152" s="261"/>
      <c r="T152" s="250"/>
      <c r="U152" s="246"/>
      <c r="V152" s="282"/>
      <c r="W152" s="246"/>
      <c r="Y152" s="246"/>
      <c r="Z152" s="261"/>
      <c r="AA152" s="250"/>
      <c r="AB152" s="246"/>
      <c r="AC152" s="371"/>
      <c r="AD152" s="246"/>
      <c r="AF152" s="246"/>
      <c r="AG152" s="261"/>
      <c r="AI152" s="246"/>
      <c r="AJ152" s="282"/>
      <c r="AK152" s="246"/>
      <c r="AL152" s="371"/>
      <c r="AM152" s="246"/>
      <c r="AN152" s="261"/>
      <c r="AO152" s="286"/>
      <c r="AP152" s="246"/>
      <c r="AQ152" s="281"/>
      <c r="AR152" s="246"/>
      <c r="AS152" s="282"/>
      <c r="AT152" s="254" t="str">
        <f>IF(COUNTIF($AO$89:$AT$91, AS154) &gt; 0, "X", "")</f>
        <v/>
      </c>
      <c r="AU152" s="269"/>
      <c r="AV152" s="269"/>
    </row>
    <row r="153">
      <c r="A153" s="94"/>
      <c r="B153" s="824"/>
      <c r="C153" s="825"/>
      <c r="D153" s="330"/>
      <c r="E153" s="259"/>
      <c r="F153" s="282"/>
      <c r="G153" s="246"/>
      <c r="H153" s="282"/>
      <c r="I153" s="246"/>
      <c r="J153" s="282"/>
      <c r="K153" s="246"/>
      <c r="L153" s="261"/>
      <c r="M153" s="341"/>
      <c r="N153" s="246"/>
      <c r="P153" s="246"/>
      <c r="Q153" s="282"/>
      <c r="R153" s="246"/>
      <c r="S153" s="261"/>
      <c r="T153" s="341"/>
      <c r="U153" s="246"/>
      <c r="V153" s="282"/>
      <c r="W153" s="246"/>
      <c r="X153" s="282"/>
      <c r="Y153" s="246"/>
      <c r="Z153" s="261"/>
      <c r="AA153" s="341"/>
      <c r="AB153" s="246"/>
      <c r="AD153" s="246"/>
      <c r="AE153" s="282"/>
      <c r="AF153" s="246"/>
      <c r="AG153" s="261"/>
      <c r="AH153" s="282"/>
      <c r="AI153" s="246"/>
      <c r="AJ153" s="282"/>
      <c r="AK153" s="246"/>
      <c r="AM153" s="246"/>
      <c r="AN153" s="261"/>
      <c r="AO153" s="286"/>
      <c r="AP153" s="246"/>
      <c r="AQ153" s="281"/>
      <c r="AR153" s="246"/>
      <c r="AS153" s="282"/>
      <c r="AT153" s="838"/>
      <c r="AU153" s="269"/>
      <c r="AV153" s="269"/>
    </row>
    <row r="154">
      <c r="A154" s="94"/>
      <c r="B154" s="408" t="s">
        <v>702</v>
      </c>
      <c r="C154" s="409" t="s">
        <v>652</v>
      </c>
      <c r="D154" s="330"/>
      <c r="E154" s="259"/>
      <c r="F154" s="411"/>
      <c r="G154" s="246"/>
      <c r="H154" s="411"/>
      <c r="I154" s="246"/>
      <c r="J154" s="411"/>
      <c r="K154" s="246"/>
      <c r="L154" s="261"/>
      <c r="M154" s="262"/>
      <c r="N154" s="246"/>
      <c r="O154" s="411"/>
      <c r="P154" s="246"/>
      <c r="Q154" s="411"/>
      <c r="R154" s="246"/>
      <c r="S154" s="261"/>
      <c r="T154" s="262"/>
      <c r="U154" s="246"/>
      <c r="V154" s="411"/>
      <c r="W154" s="246"/>
      <c r="X154" s="411"/>
      <c r="Y154" s="246"/>
      <c r="Z154" s="261"/>
      <c r="AA154" s="262"/>
      <c r="AB154" s="246"/>
      <c r="AC154" s="411"/>
      <c r="AD154" s="246"/>
      <c r="AE154" s="411"/>
      <c r="AF154" s="246"/>
      <c r="AG154" s="261"/>
      <c r="AH154" s="411"/>
      <c r="AI154" s="246"/>
      <c r="AJ154" s="411"/>
      <c r="AK154" s="246"/>
      <c r="AL154" s="411"/>
      <c r="AM154" s="246"/>
      <c r="AN154" s="261"/>
      <c r="AO154" s="286"/>
      <c r="AP154" s="246"/>
      <c r="AQ154" s="411"/>
      <c r="AR154" s="246"/>
      <c r="AS154" s="411"/>
      <c r="AT154" s="254" t="str">
        <f>IF(COUNTIF($AO$89:$AT$91, AS155) &gt; 0, "X", "")</f>
        <v/>
      </c>
      <c r="AU154" s="269"/>
      <c r="AV154" s="269"/>
    </row>
    <row r="155">
      <c r="A155" s="234"/>
      <c r="B155" s="401"/>
      <c r="C155" s="412"/>
      <c r="D155" s="330"/>
      <c r="E155" s="259"/>
      <c r="F155" s="413"/>
      <c r="G155" s="246"/>
      <c r="H155" s="413"/>
      <c r="I155" s="246"/>
      <c r="J155" s="413"/>
      <c r="K155" s="246"/>
      <c r="L155" s="261"/>
      <c r="M155" s="262"/>
      <c r="N155" s="246"/>
      <c r="O155" s="413"/>
      <c r="P155" s="246"/>
      <c r="Q155" s="413"/>
      <c r="R155" s="246"/>
      <c r="S155" s="261"/>
      <c r="T155" s="262"/>
      <c r="U155" s="246"/>
      <c r="V155" s="413"/>
      <c r="W155" s="246"/>
      <c r="X155" s="413"/>
      <c r="Y155" s="246"/>
      <c r="Z155" s="261"/>
      <c r="AA155" s="262"/>
      <c r="AB155" s="246"/>
      <c r="AC155" s="413"/>
      <c r="AD155" s="246"/>
      <c r="AE155" s="413"/>
      <c r="AF155" s="246"/>
      <c r="AG155" s="261"/>
      <c r="AH155" s="413"/>
      <c r="AI155" s="246"/>
      <c r="AJ155" s="413"/>
      <c r="AK155" s="246"/>
      <c r="AL155" s="413"/>
      <c r="AM155" s="246"/>
      <c r="AN155" s="261"/>
      <c r="AO155" s="286"/>
      <c r="AP155" s="246"/>
      <c r="AQ155" s="413"/>
      <c r="AR155" s="246"/>
      <c r="AS155" s="413"/>
      <c r="AT155" s="254" t="str">
        <f t="shared" ref="AT155:AT159" si="29">IF(COUNTIF($AO$89:$AT$91, #REF!) &gt; 0, "X", "")</f>
        <v/>
      </c>
      <c r="AU155" s="269"/>
      <c r="AV155" s="269"/>
    </row>
    <row r="156">
      <c r="A156" s="234"/>
      <c r="B156" s="414" t="s">
        <v>705</v>
      </c>
      <c r="C156" s="415" t="s">
        <v>704</v>
      </c>
      <c r="D156" s="330"/>
      <c r="E156" s="259"/>
      <c r="F156" s="649" t="s">
        <v>452</v>
      </c>
      <c r="G156" s="246"/>
      <c r="H156" s="311" t="s">
        <v>438</v>
      </c>
      <c r="I156" s="246"/>
      <c r="J156" s="688" t="s">
        <v>1033</v>
      </c>
      <c r="K156" s="246"/>
      <c r="L156" s="261"/>
      <c r="M156" s="341"/>
      <c r="N156" s="246"/>
      <c r="O156" s="311" t="s">
        <v>407</v>
      </c>
      <c r="P156" s="246"/>
      <c r="Q156" s="311" t="s">
        <v>410</v>
      </c>
      <c r="R156" s="246"/>
      <c r="S156" s="261"/>
      <c r="T156" s="341"/>
      <c r="U156" s="246"/>
      <c r="V156" s="311" t="s">
        <v>438</v>
      </c>
      <c r="W156" s="246"/>
      <c r="X156" s="311" t="s">
        <v>467</v>
      </c>
      <c r="Y156" s="246"/>
      <c r="Z156" s="261"/>
      <c r="AA156" s="341"/>
      <c r="AB156" s="246"/>
      <c r="AC156" s="374" t="s">
        <v>407</v>
      </c>
      <c r="AD156" s="246"/>
      <c r="AE156" s="311" t="s">
        <v>394</v>
      </c>
      <c r="AF156" s="246"/>
      <c r="AG156" s="261"/>
      <c r="AH156" s="606" t="s">
        <v>467</v>
      </c>
      <c r="AI156" s="246"/>
      <c r="AJ156" s="311" t="s">
        <v>438</v>
      </c>
      <c r="AK156" s="246"/>
      <c r="AL156" s="586" t="s">
        <v>452</v>
      </c>
      <c r="AM156" s="246"/>
      <c r="AN156" s="261"/>
      <c r="AO156" s="286"/>
      <c r="AP156" s="246"/>
      <c r="AQ156" s="606" t="s">
        <v>407</v>
      </c>
      <c r="AR156" s="246"/>
      <c r="AS156" s="374" t="s">
        <v>410</v>
      </c>
      <c r="AT156" s="254" t="str">
        <f t="shared" si="29"/>
        <v/>
      </c>
      <c r="AU156" s="269"/>
      <c r="AV156" s="269"/>
    </row>
    <row r="157">
      <c r="A157" s="94"/>
      <c r="B157" s="328" t="s">
        <v>705</v>
      </c>
      <c r="C157" s="257" t="s">
        <v>657</v>
      </c>
      <c r="D157" s="330"/>
      <c r="E157" s="259"/>
      <c r="F157" s="311" t="s">
        <v>470</v>
      </c>
      <c r="G157" s="246"/>
      <c r="H157" s="688" t="s">
        <v>404</v>
      </c>
      <c r="I157" s="246"/>
      <c r="J157" s="688" t="s">
        <v>472</v>
      </c>
      <c r="K157" s="246"/>
      <c r="L157" s="261"/>
      <c r="M157" s="341"/>
      <c r="N157" s="246"/>
      <c r="O157" s="688" t="s">
        <v>404</v>
      </c>
      <c r="P157" s="246"/>
      <c r="Q157" s="339" t="s">
        <v>472</v>
      </c>
      <c r="R157" s="246"/>
      <c r="S157" s="261"/>
      <c r="T157" s="341"/>
      <c r="U157" s="246"/>
      <c r="V157" s="251" t="s">
        <v>440</v>
      </c>
      <c r="W157" s="246"/>
      <c r="X157" s="688" t="s">
        <v>1033</v>
      </c>
      <c r="Y157" s="246"/>
      <c r="Z157" s="261"/>
      <c r="AA157" s="341"/>
      <c r="AB157" s="246"/>
      <c r="AC157" s="339" t="s">
        <v>472</v>
      </c>
      <c r="AD157" s="246"/>
      <c r="AE157" s="311" t="s">
        <v>410</v>
      </c>
      <c r="AF157" s="246"/>
      <c r="AG157" s="261"/>
      <c r="AH157" s="606" t="s">
        <v>470</v>
      </c>
      <c r="AI157" s="246"/>
      <c r="AJ157" s="251" t="s">
        <v>440</v>
      </c>
      <c r="AK157" s="246"/>
      <c r="AL157" s="311" t="s">
        <v>394</v>
      </c>
      <c r="AM157" s="246"/>
      <c r="AN157" s="261"/>
      <c r="AO157" s="286"/>
      <c r="AP157" s="246"/>
      <c r="AQ157" s="251" t="s">
        <v>440</v>
      </c>
      <c r="AR157" s="246"/>
      <c r="AS157" s="586" t="s">
        <v>452</v>
      </c>
      <c r="AT157" s="254" t="str">
        <f t="shared" si="29"/>
        <v/>
      </c>
      <c r="AU157" s="269"/>
      <c r="AV157" s="269"/>
    </row>
    <row r="158">
      <c r="A158" s="94"/>
      <c r="B158" s="277" t="s">
        <v>705</v>
      </c>
      <c r="C158" s="329" t="s">
        <v>685</v>
      </c>
      <c r="D158" s="330"/>
      <c r="E158" s="259"/>
      <c r="G158" s="246"/>
      <c r="H158" s="251" t="s">
        <v>440</v>
      </c>
      <c r="I158" s="246"/>
      <c r="J158" s="606" t="s">
        <v>394</v>
      </c>
      <c r="K158" s="246"/>
      <c r="L158" s="261"/>
      <c r="M158" s="341"/>
      <c r="N158" s="246"/>
      <c r="O158" s="311" t="s">
        <v>470</v>
      </c>
      <c r="P158" s="246"/>
      <c r="Q158" s="688" t="s">
        <v>1033</v>
      </c>
      <c r="R158" s="246"/>
      <c r="S158" s="261"/>
      <c r="T158" s="341"/>
      <c r="U158" s="246"/>
      <c r="V158" s="688" t="s">
        <v>472</v>
      </c>
      <c r="W158" s="246"/>
      <c r="X158" s="586" t="s">
        <v>452</v>
      </c>
      <c r="Y158" s="246"/>
      <c r="Z158" s="261"/>
      <c r="AA158" s="341"/>
      <c r="AB158" s="246"/>
      <c r="AC158" s="606" t="s">
        <v>470</v>
      </c>
      <c r="AD158" s="246"/>
      <c r="AE158" s="688" t="s">
        <v>1033</v>
      </c>
      <c r="AF158" s="246"/>
      <c r="AG158" s="261"/>
      <c r="AI158" s="246"/>
      <c r="AJ158" s="339" t="s">
        <v>472</v>
      </c>
      <c r="AK158" s="246"/>
      <c r="AL158" s="606" t="s">
        <v>410</v>
      </c>
      <c r="AM158" s="246"/>
      <c r="AN158" s="261"/>
      <c r="AO158" s="286"/>
      <c r="AP158" s="246"/>
      <c r="AQ158" s="311" t="s">
        <v>470</v>
      </c>
      <c r="AR158" s="246"/>
      <c r="AS158" s="842" t="s">
        <v>467</v>
      </c>
      <c r="AT158" s="254" t="str">
        <f t="shared" si="29"/>
        <v/>
      </c>
      <c r="AU158" s="269"/>
      <c r="AV158" s="269"/>
    </row>
    <row r="159">
      <c r="A159" s="94"/>
      <c r="B159" s="271" t="s">
        <v>705</v>
      </c>
      <c r="C159" s="272" t="s">
        <v>687</v>
      </c>
      <c r="D159" s="330"/>
      <c r="E159" s="259"/>
      <c r="G159" s="246"/>
      <c r="I159" s="246"/>
      <c r="K159" s="246"/>
      <c r="L159" s="261"/>
      <c r="M159" s="341"/>
      <c r="N159" s="246"/>
      <c r="P159" s="246"/>
      <c r="R159" s="246"/>
      <c r="S159" s="261"/>
      <c r="T159" s="341"/>
      <c r="U159" s="246"/>
      <c r="W159" s="246"/>
      <c r="Y159" s="246"/>
      <c r="Z159" s="261"/>
      <c r="AA159" s="341"/>
      <c r="AB159" s="246"/>
      <c r="AD159" s="246"/>
      <c r="AF159" s="246"/>
      <c r="AG159" s="261"/>
      <c r="AI159" s="246"/>
      <c r="AK159" s="246"/>
      <c r="AM159" s="246"/>
      <c r="AN159" s="261"/>
      <c r="AO159" s="286"/>
      <c r="AP159" s="246"/>
      <c r="AQ159" s="281"/>
      <c r="AR159" s="246"/>
      <c r="AS159" s="282"/>
      <c r="AT159" s="254" t="str">
        <f t="shared" si="29"/>
        <v/>
      </c>
      <c r="AU159" s="269"/>
      <c r="AV159" s="269"/>
    </row>
    <row r="160">
      <c r="A160" s="270"/>
      <c r="B160" s="397" t="s">
        <v>708</v>
      </c>
      <c r="C160" s="398" t="s">
        <v>654</v>
      </c>
      <c r="D160" s="330"/>
      <c r="E160" s="259"/>
      <c r="F160" s="275"/>
      <c r="G160" s="246"/>
      <c r="H160" s="311" t="s">
        <v>441</v>
      </c>
      <c r="I160" s="246"/>
      <c r="J160" s="374"/>
      <c r="K160" s="246"/>
      <c r="L160" s="261"/>
      <c r="M160" s="341"/>
      <c r="N160" s="246"/>
      <c r="O160" s="311" t="s">
        <v>441</v>
      </c>
      <c r="P160" s="246"/>
      <c r="Q160" s="843" t="s">
        <v>446</v>
      </c>
      <c r="R160" s="246"/>
      <c r="S160" s="261"/>
      <c r="T160" s="341"/>
      <c r="U160" s="246"/>
      <c r="V160" s="365" t="s">
        <v>469</v>
      </c>
      <c r="W160" s="246"/>
      <c r="X160" s="311" t="s">
        <v>441</v>
      </c>
      <c r="Y160" s="246"/>
      <c r="Z160" s="261"/>
      <c r="AA160" s="341"/>
      <c r="AB160" s="246"/>
      <c r="AC160" s="311" t="s">
        <v>441</v>
      </c>
      <c r="AD160" s="246"/>
      <c r="AE160" s="843" t="s">
        <v>446</v>
      </c>
      <c r="AF160" s="246"/>
      <c r="AG160" s="261"/>
      <c r="AH160" s="275"/>
      <c r="AI160" s="246"/>
      <c r="AJ160" s="311" t="s">
        <v>441</v>
      </c>
      <c r="AK160" s="246"/>
      <c r="AL160" s="843" t="s">
        <v>446</v>
      </c>
      <c r="AM160" s="246"/>
      <c r="AN160" s="261"/>
      <c r="AO160" s="286"/>
      <c r="AP160" s="246"/>
      <c r="AQ160" s="365" t="s">
        <v>469</v>
      </c>
      <c r="AR160" s="246"/>
      <c r="AS160" s="843" t="s">
        <v>446</v>
      </c>
      <c r="AT160" s="254" t="str">
        <f t="shared" ref="AT160:AT161" si="30">IF(COUNTIF($AO$89:$AT$91, AS161) &gt; 0, "X", "")</f>
        <v/>
      </c>
      <c r="AU160" s="269"/>
      <c r="AV160" s="269"/>
    </row>
    <row r="161">
      <c r="A161" s="94"/>
      <c r="B161" s="796" t="s">
        <v>1116</v>
      </c>
      <c r="C161" s="278" t="s">
        <v>710</v>
      </c>
      <c r="D161" s="330"/>
      <c r="E161" s="259"/>
      <c r="F161" s="281"/>
      <c r="G161" s="246"/>
      <c r="H161" s="281"/>
      <c r="I161" s="246"/>
      <c r="J161" s="281"/>
      <c r="K161" s="246"/>
      <c r="L161" s="261"/>
      <c r="M161" s="286"/>
      <c r="N161" s="246"/>
      <c r="O161" s="251" t="s">
        <v>440</v>
      </c>
      <c r="P161" s="246"/>
      <c r="R161" s="246"/>
      <c r="S161" s="261"/>
      <c r="T161" s="286"/>
      <c r="U161" s="246"/>
      <c r="W161" s="246"/>
      <c r="X161" s="281"/>
      <c r="Y161" s="246"/>
      <c r="Z161" s="261"/>
      <c r="AA161" s="286"/>
      <c r="AB161" s="246"/>
      <c r="AD161" s="246"/>
      <c r="AE161" s="282"/>
      <c r="AF161" s="246"/>
      <c r="AG161" s="261"/>
      <c r="AH161" s="281"/>
      <c r="AI161" s="246"/>
      <c r="AJ161" s="281"/>
      <c r="AK161" s="246"/>
      <c r="AL161" s="281"/>
      <c r="AM161" s="246"/>
      <c r="AN161" s="261"/>
      <c r="AO161" s="286"/>
      <c r="AP161" s="246"/>
      <c r="AQ161" s="281"/>
      <c r="AR161" s="246"/>
      <c r="AS161" s="281"/>
      <c r="AT161" s="254" t="str">
        <f t="shared" si="30"/>
        <v/>
      </c>
      <c r="AU161" s="269"/>
      <c r="AV161" s="269"/>
    </row>
    <row r="162">
      <c r="A162" s="94"/>
      <c r="B162" s="673" t="s">
        <v>944</v>
      </c>
      <c r="C162" s="272" t="s">
        <v>639</v>
      </c>
      <c r="D162" s="330"/>
      <c r="E162" s="259"/>
      <c r="F162" s="282"/>
      <c r="G162" s="246"/>
      <c r="H162" s="311" t="s">
        <v>432</v>
      </c>
      <c r="I162" s="246"/>
      <c r="J162" s="282"/>
      <c r="K162" s="246"/>
      <c r="L162" s="261"/>
      <c r="M162" s="341"/>
      <c r="N162" s="246"/>
      <c r="O162" s="311" t="s">
        <v>432</v>
      </c>
      <c r="P162" s="246"/>
      <c r="Q162" s="282"/>
      <c r="R162" s="246"/>
      <c r="S162" s="261"/>
      <c r="T162" s="341"/>
      <c r="U162" s="246"/>
      <c r="V162" s="311" t="s">
        <v>432</v>
      </c>
      <c r="W162" s="246"/>
      <c r="X162" s="282"/>
      <c r="Y162" s="246"/>
      <c r="Z162" s="261"/>
      <c r="AA162" s="341"/>
      <c r="AB162" s="246"/>
      <c r="AC162" s="282"/>
      <c r="AD162" s="246"/>
      <c r="AE162" s="282"/>
      <c r="AF162" s="246"/>
      <c r="AG162" s="261"/>
      <c r="AH162" s="282"/>
      <c r="AI162" s="246"/>
      <c r="AJ162" s="251" t="s">
        <v>432</v>
      </c>
      <c r="AK162" s="246"/>
      <c r="AL162" s="282"/>
      <c r="AM162" s="246"/>
      <c r="AN162" s="261"/>
      <c r="AO162" s="286"/>
      <c r="AP162" s="246"/>
      <c r="AQ162" s="281"/>
      <c r="AR162" s="246"/>
      <c r="AS162" s="282"/>
      <c r="AT162" s="430"/>
      <c r="AU162" s="269"/>
      <c r="AV162" s="269"/>
    </row>
    <row r="163">
      <c r="A163" s="94"/>
      <c r="B163" s="429" t="s">
        <v>714</v>
      </c>
      <c r="C163" s="430"/>
      <c r="D163" s="330"/>
      <c r="E163" s="259"/>
      <c r="F163" s="432"/>
      <c r="G163" s="432"/>
      <c r="H163" s="432"/>
      <c r="I163" s="432"/>
      <c r="J163" s="432"/>
      <c r="K163" s="432"/>
      <c r="L163" s="261"/>
      <c r="M163" s="432"/>
      <c r="N163" s="433"/>
      <c r="O163" s="432"/>
      <c r="P163" s="432"/>
      <c r="Q163" s="432"/>
      <c r="R163" s="432"/>
      <c r="S163" s="261"/>
      <c r="T163" s="432"/>
      <c r="U163" s="433"/>
      <c r="V163" s="432"/>
      <c r="W163" s="432"/>
      <c r="X163" s="432"/>
      <c r="Y163" s="432"/>
      <c r="Z163" s="261"/>
      <c r="AA163" s="432"/>
      <c r="AB163" s="433"/>
      <c r="AC163" s="432"/>
      <c r="AD163" s="432"/>
      <c r="AE163" s="432"/>
      <c r="AF163" s="432"/>
      <c r="AG163" s="261"/>
      <c r="AH163" s="432"/>
      <c r="AI163" s="433"/>
      <c r="AJ163" s="432"/>
      <c r="AK163" s="432"/>
      <c r="AL163" s="432"/>
      <c r="AM163" s="432"/>
      <c r="AN163" s="261"/>
      <c r="AO163" s="432"/>
      <c r="AP163" s="433"/>
      <c r="AQ163" s="432"/>
      <c r="AR163" s="432"/>
      <c r="AS163" s="432"/>
      <c r="AT163" s="254" t="str">
        <f t="shared" ref="AT163:AT168" si="31">IF(COUNTIF($AO$89:$AT$91, AS164) &gt; 0, "X", "")</f>
        <v/>
      </c>
      <c r="AU163" s="269"/>
      <c r="AV163" s="269"/>
    </row>
    <row r="164">
      <c r="A164" s="94"/>
      <c r="B164" s="401" t="s">
        <v>715</v>
      </c>
      <c r="C164" s="412" t="s">
        <v>716</v>
      </c>
      <c r="D164" s="330"/>
      <c r="E164" s="259"/>
      <c r="F164" s="434"/>
      <c r="G164" s="246"/>
      <c r="H164" s="434" t="s">
        <v>403</v>
      </c>
      <c r="I164" s="246"/>
      <c r="J164" s="434"/>
      <c r="K164" s="246"/>
      <c r="L164" s="261"/>
      <c r="M164" s="434" t="s">
        <v>465</v>
      </c>
      <c r="N164" s="246"/>
      <c r="O164" s="434" t="s">
        <v>403</v>
      </c>
      <c r="P164" s="246"/>
      <c r="Q164" s="434"/>
      <c r="R164" s="246"/>
      <c r="S164" s="261"/>
      <c r="T164" s="434" t="s">
        <v>465</v>
      </c>
      <c r="U164" s="246"/>
      <c r="V164" s="434" t="s">
        <v>403</v>
      </c>
      <c r="W164" s="246"/>
      <c r="X164" s="434"/>
      <c r="Y164" s="246"/>
      <c r="Z164" s="261"/>
      <c r="AA164" s="434" t="s">
        <v>465</v>
      </c>
      <c r="AB164" s="246"/>
      <c r="AC164" s="434" t="s">
        <v>403</v>
      </c>
      <c r="AD164" s="246"/>
      <c r="AE164" s="434"/>
      <c r="AF164" s="246"/>
      <c r="AG164" s="261"/>
      <c r="AH164" s="434" t="s">
        <v>465</v>
      </c>
      <c r="AI164" s="246"/>
      <c r="AJ164" s="434" t="s">
        <v>403</v>
      </c>
      <c r="AK164" s="246"/>
      <c r="AL164" s="434"/>
      <c r="AM164" s="246"/>
      <c r="AN164" s="261"/>
      <c r="AO164" s="434" t="s">
        <v>465</v>
      </c>
      <c r="AP164" s="246"/>
      <c r="AQ164" s="434"/>
      <c r="AR164" s="246"/>
      <c r="AS164" s="434"/>
      <c r="AT164" s="254" t="str">
        <f t="shared" si="31"/>
        <v/>
      </c>
      <c r="AU164" s="269"/>
      <c r="AV164" s="269"/>
    </row>
    <row r="165">
      <c r="A165" s="94"/>
      <c r="B165" s="435" t="s">
        <v>717</v>
      </c>
      <c r="C165" s="415" t="s">
        <v>718</v>
      </c>
      <c r="D165" s="330"/>
      <c r="E165" s="259"/>
      <c r="F165" s="434"/>
      <c r="G165" s="246"/>
      <c r="H165" s="826"/>
      <c r="I165" s="246"/>
      <c r="J165" s="434"/>
      <c r="K165" s="246"/>
      <c r="L165" s="261"/>
      <c r="M165" s="434"/>
      <c r="N165" s="246"/>
      <c r="O165" s="826"/>
      <c r="P165" s="246"/>
      <c r="Q165" s="434"/>
      <c r="R165" s="246"/>
      <c r="S165" s="261"/>
      <c r="T165" s="434"/>
      <c r="U165" s="246"/>
      <c r="V165" s="826"/>
      <c r="W165" s="246"/>
      <c r="X165" s="434"/>
      <c r="Y165" s="246"/>
      <c r="Z165" s="261"/>
      <c r="AA165" s="434"/>
      <c r="AB165" s="246"/>
      <c r="AC165" s="826"/>
      <c r="AD165" s="246"/>
      <c r="AE165" s="434"/>
      <c r="AF165" s="246"/>
      <c r="AG165" s="261"/>
      <c r="AH165" s="434"/>
      <c r="AI165" s="246"/>
      <c r="AJ165" s="826"/>
      <c r="AK165" s="246"/>
      <c r="AL165" s="434"/>
      <c r="AM165" s="246"/>
      <c r="AN165" s="261"/>
      <c r="AO165" s="434"/>
      <c r="AP165" s="246"/>
      <c r="AQ165" s="406" t="s">
        <v>463</v>
      </c>
      <c r="AR165" s="246"/>
      <c r="AS165" s="434"/>
      <c r="AT165" s="254" t="str">
        <f t="shared" si="31"/>
        <v/>
      </c>
      <c r="AU165" s="269"/>
      <c r="AV165" s="269"/>
    </row>
    <row r="166">
      <c r="A166" s="94"/>
      <c r="B166" s="436" t="s">
        <v>719</v>
      </c>
      <c r="C166" s="437" t="s">
        <v>720</v>
      </c>
      <c r="D166" s="330"/>
      <c r="E166" s="259"/>
      <c r="F166" s="406"/>
      <c r="G166" s="246"/>
      <c r="H166" s="826"/>
      <c r="I166" s="246"/>
      <c r="J166" s="406"/>
      <c r="K166" s="246"/>
      <c r="L166" s="261"/>
      <c r="M166" s="406"/>
      <c r="N166" s="246"/>
      <c r="O166" s="406" t="s">
        <v>463</v>
      </c>
      <c r="P166" s="246"/>
      <c r="Q166" s="406"/>
      <c r="R166" s="246"/>
      <c r="S166" s="261"/>
      <c r="T166" s="406"/>
      <c r="U166" s="246"/>
      <c r="V166" s="406" t="s">
        <v>463</v>
      </c>
      <c r="W166" s="246"/>
      <c r="X166" s="406"/>
      <c r="Y166" s="246"/>
      <c r="Z166" s="261"/>
      <c r="AA166" s="406"/>
      <c r="AB166" s="246"/>
      <c r="AC166" s="406" t="s">
        <v>946</v>
      </c>
      <c r="AD166" s="246"/>
      <c r="AE166" s="406" t="s">
        <v>957</v>
      </c>
      <c r="AF166" s="246"/>
      <c r="AG166" s="261"/>
      <c r="AH166" s="406"/>
      <c r="AI166" s="246"/>
      <c r="AJ166" s="406" t="s">
        <v>847</v>
      </c>
      <c r="AK166" s="246"/>
      <c r="AL166" s="406"/>
      <c r="AM166" s="246"/>
      <c r="AN166" s="261"/>
      <c r="AO166" s="406"/>
      <c r="AP166" s="246"/>
      <c r="AQ166" s="406"/>
      <c r="AR166" s="246"/>
      <c r="AS166" s="406"/>
      <c r="AT166" s="254" t="str">
        <f t="shared" si="31"/>
        <v/>
      </c>
      <c r="AU166" s="269"/>
      <c r="AV166" s="269"/>
    </row>
    <row r="167">
      <c r="A167" s="94"/>
      <c r="B167" s="439" t="s">
        <v>721</v>
      </c>
      <c r="C167" s="440" t="s">
        <v>722</v>
      </c>
      <c r="D167" s="330"/>
      <c r="E167" s="259"/>
      <c r="F167" s="406"/>
      <c r="G167" s="246"/>
      <c r="H167" s="406" t="s">
        <v>454</v>
      </c>
      <c r="I167" s="246"/>
      <c r="J167" s="406"/>
      <c r="K167" s="246"/>
      <c r="L167" s="261"/>
      <c r="M167" s="406"/>
      <c r="N167" s="246"/>
      <c r="O167" s="406" t="s">
        <v>454</v>
      </c>
      <c r="P167" s="246"/>
      <c r="Q167" s="406"/>
      <c r="R167" s="246"/>
      <c r="S167" s="261"/>
      <c r="T167" s="406"/>
      <c r="U167" s="246"/>
      <c r="V167" s="406" t="s">
        <v>454</v>
      </c>
      <c r="W167" s="246"/>
      <c r="X167" s="406"/>
      <c r="Y167" s="246"/>
      <c r="Z167" s="261"/>
      <c r="AA167" s="406"/>
      <c r="AB167" s="246"/>
      <c r="AC167" s="406" t="s">
        <v>454</v>
      </c>
      <c r="AD167" s="246"/>
      <c r="AE167" s="406"/>
      <c r="AF167" s="246"/>
      <c r="AG167" s="261"/>
      <c r="AH167" s="406"/>
      <c r="AI167" s="246"/>
      <c r="AJ167" s="406" t="s">
        <v>454</v>
      </c>
      <c r="AK167" s="246"/>
      <c r="AL167" s="406"/>
      <c r="AM167" s="246"/>
      <c r="AN167" s="261"/>
      <c r="AO167" s="406"/>
      <c r="AP167" s="246"/>
      <c r="AQ167" s="406"/>
      <c r="AR167" s="246"/>
      <c r="AS167" s="406"/>
      <c r="AT167" s="254" t="str">
        <f t="shared" si="31"/>
        <v/>
      </c>
      <c r="AU167" s="269"/>
      <c r="AV167" s="269"/>
    </row>
    <row r="168">
      <c r="A168" s="94"/>
      <c r="B168" s="439" t="s">
        <v>723</v>
      </c>
      <c r="C168" s="440" t="s">
        <v>724</v>
      </c>
      <c r="D168" s="330"/>
      <c r="E168" s="259"/>
      <c r="F168" s="406"/>
      <c r="G168" s="246"/>
      <c r="H168" s="434" t="s">
        <v>946</v>
      </c>
      <c r="I168" s="246"/>
      <c r="J168" s="406" t="s">
        <v>957</v>
      </c>
      <c r="K168" s="246"/>
      <c r="L168" s="261"/>
      <c r="M168" s="406"/>
      <c r="N168" s="246"/>
      <c r="O168" s="434" t="s">
        <v>946</v>
      </c>
      <c r="P168" s="246"/>
      <c r="Q168" s="406" t="s">
        <v>957</v>
      </c>
      <c r="R168" s="246"/>
      <c r="S168" s="261"/>
      <c r="T168" s="406"/>
      <c r="U168" s="246"/>
      <c r="V168" s="434" t="s">
        <v>460</v>
      </c>
      <c r="W168" s="246"/>
      <c r="X168" s="406"/>
      <c r="Y168" s="246"/>
      <c r="Z168" s="261"/>
      <c r="AA168" s="406"/>
      <c r="AB168" s="246"/>
      <c r="AC168" s="406" t="s">
        <v>847</v>
      </c>
      <c r="AD168" s="246"/>
      <c r="AE168" s="406"/>
      <c r="AF168" s="246"/>
      <c r="AG168" s="261"/>
      <c r="AH168" s="406"/>
      <c r="AI168" s="246"/>
      <c r="AJ168" s="406" t="s">
        <v>463</v>
      </c>
      <c r="AK168" s="246"/>
      <c r="AL168" s="406"/>
      <c r="AM168" s="246"/>
      <c r="AN168" s="261"/>
      <c r="AO168" s="406"/>
      <c r="AP168" s="246"/>
      <c r="AQ168" s="434"/>
      <c r="AR168" s="246"/>
      <c r="AS168" s="406"/>
      <c r="AT168" s="254" t="str">
        <f t="shared" si="31"/>
        <v/>
      </c>
      <c r="AU168" s="269"/>
      <c r="AV168" s="269"/>
    </row>
    <row r="169">
      <c r="A169" s="94"/>
      <c r="B169" s="439" t="s">
        <v>725</v>
      </c>
      <c r="C169" s="442" t="s">
        <v>726</v>
      </c>
      <c r="D169" s="330"/>
      <c r="E169" s="259"/>
      <c r="F169" s="441"/>
      <c r="G169" s="246"/>
      <c r="H169" s="406" t="s">
        <v>845</v>
      </c>
      <c r="I169" s="246"/>
      <c r="J169" s="441"/>
      <c r="K169" s="246"/>
      <c r="L169" s="261"/>
      <c r="M169" s="441"/>
      <c r="N169" s="246"/>
      <c r="O169" s="406" t="s">
        <v>460</v>
      </c>
      <c r="P169" s="246"/>
      <c r="Q169" s="441"/>
      <c r="R169" s="246"/>
      <c r="S169" s="261"/>
      <c r="T169" s="441"/>
      <c r="U169" s="246"/>
      <c r="V169" s="406" t="s">
        <v>845</v>
      </c>
      <c r="W169" s="246"/>
      <c r="X169" s="441"/>
      <c r="Y169" s="246"/>
      <c r="Z169" s="261"/>
      <c r="AA169" s="441"/>
      <c r="AB169" s="246"/>
      <c r="AC169" s="406" t="s">
        <v>845</v>
      </c>
      <c r="AD169" s="246"/>
      <c r="AE169" s="441"/>
      <c r="AF169" s="246"/>
      <c r="AG169" s="261"/>
      <c r="AH169" s="441"/>
      <c r="AI169" s="246"/>
      <c r="AJ169" s="406" t="s">
        <v>946</v>
      </c>
      <c r="AK169" s="246"/>
      <c r="AL169" s="406" t="s">
        <v>957</v>
      </c>
      <c r="AM169" s="246"/>
      <c r="AN169" s="261"/>
      <c r="AO169" s="441"/>
      <c r="AP169" s="246"/>
      <c r="AQ169" s="434" t="s">
        <v>845</v>
      </c>
      <c r="AR169" s="246"/>
      <c r="AS169" s="441"/>
      <c r="AT169" s="254" t="str">
        <f>IF(COUNTIF($AO$89:$AT$91, #REF!) &gt; 0, "X", "")</f>
        <v/>
      </c>
      <c r="AU169" s="269"/>
      <c r="AV169" s="269"/>
    </row>
    <row r="170">
      <c r="A170" s="94"/>
      <c r="B170" s="447" t="s">
        <v>729</v>
      </c>
      <c r="C170" s="448" t="s">
        <v>730</v>
      </c>
      <c r="D170" s="330"/>
      <c r="E170" s="259"/>
      <c r="F170" s="441"/>
      <c r="G170" s="246"/>
      <c r="H170" s="406"/>
      <c r="I170" s="246"/>
      <c r="J170" s="441"/>
      <c r="K170" s="246"/>
      <c r="L170" s="261"/>
      <c r="M170" s="441"/>
      <c r="N170" s="246"/>
      <c r="O170" s="406" t="s">
        <v>845</v>
      </c>
      <c r="P170" s="246"/>
      <c r="Q170" s="441"/>
      <c r="R170" s="246"/>
      <c r="S170" s="261"/>
      <c r="T170" s="441"/>
      <c r="U170" s="246"/>
      <c r="V170" s="441"/>
      <c r="W170" s="246"/>
      <c r="X170" s="441"/>
      <c r="Y170" s="246"/>
      <c r="Z170" s="261"/>
      <c r="AA170" s="441"/>
      <c r="AB170" s="246"/>
      <c r="AC170" s="406"/>
      <c r="AD170" s="246"/>
      <c r="AE170" s="441"/>
      <c r="AF170" s="246"/>
      <c r="AG170" s="261"/>
      <c r="AH170" s="441"/>
      <c r="AI170" s="246"/>
      <c r="AJ170" s="441"/>
      <c r="AK170" s="246"/>
      <c r="AL170" s="441"/>
      <c r="AM170" s="246"/>
      <c r="AN170" s="261"/>
      <c r="AO170" s="441"/>
      <c r="AP170" s="246"/>
      <c r="AQ170" s="441"/>
      <c r="AR170" s="246"/>
      <c r="AS170" s="441"/>
      <c r="AT170" s="254" t="str">
        <f t="shared" ref="AT170:AT172" si="32">IF(COUNTIF($AO$89:$AT$91, AS170) &gt; 0, "X", "")</f>
        <v/>
      </c>
      <c r="AU170" s="269"/>
      <c r="AV170" s="269"/>
    </row>
    <row r="171">
      <c r="A171" s="94"/>
      <c r="B171" s="450" t="s">
        <v>731</v>
      </c>
      <c r="C171" s="451" t="s">
        <v>732</v>
      </c>
      <c r="D171" s="330"/>
      <c r="E171" s="259"/>
      <c r="F171" s="206"/>
      <c r="G171" s="246"/>
      <c r="H171" s="406" t="s">
        <v>847</v>
      </c>
      <c r="I171" s="246"/>
      <c r="J171" s="206"/>
      <c r="K171" s="246"/>
      <c r="L171" s="261"/>
      <c r="M171" s="206"/>
      <c r="N171" s="246"/>
      <c r="O171" s="406" t="s">
        <v>847</v>
      </c>
      <c r="P171" s="246"/>
      <c r="Q171" s="206"/>
      <c r="R171" s="246"/>
      <c r="S171" s="261"/>
      <c r="T171" s="206"/>
      <c r="U171" s="246"/>
      <c r="V171" s="434" t="s">
        <v>946</v>
      </c>
      <c r="W171" s="246"/>
      <c r="X171" s="206" t="s">
        <v>1176</v>
      </c>
      <c r="Y171" s="246"/>
      <c r="Z171" s="261"/>
      <c r="AA171" s="206"/>
      <c r="AB171" s="246"/>
      <c r="AC171" s="434" t="s">
        <v>460</v>
      </c>
      <c r="AD171" s="246"/>
      <c r="AE171" s="206"/>
      <c r="AF171" s="246"/>
      <c r="AG171" s="261"/>
      <c r="AH171" s="206"/>
      <c r="AI171" s="246"/>
      <c r="AJ171" s="206"/>
      <c r="AK171" s="246"/>
      <c r="AL171" s="206"/>
      <c r="AM171" s="246"/>
      <c r="AN171" s="261"/>
      <c r="AO171" s="206"/>
      <c r="AP171" s="246"/>
      <c r="AQ171" s="206"/>
      <c r="AR171" s="246"/>
      <c r="AS171" s="206"/>
      <c r="AT171" s="254" t="str">
        <f t="shared" si="32"/>
        <v/>
      </c>
      <c r="AU171" s="269"/>
      <c r="AV171" s="269"/>
    </row>
    <row r="172">
      <c r="A172" s="94"/>
      <c r="B172" s="452" t="s">
        <v>733</v>
      </c>
      <c r="C172" s="453" t="s">
        <v>734</v>
      </c>
      <c r="D172" s="330"/>
      <c r="E172" s="259"/>
      <c r="F172" s="74"/>
      <c r="G172" s="246"/>
      <c r="H172" s="594" t="s">
        <v>395</v>
      </c>
      <c r="I172" s="246"/>
      <c r="J172" s="74"/>
      <c r="K172" s="246"/>
      <c r="L172" s="261"/>
      <c r="M172" s="74"/>
      <c r="N172" s="246"/>
      <c r="O172" s="594" t="s">
        <v>395</v>
      </c>
      <c r="P172" s="246"/>
      <c r="Q172" s="74"/>
      <c r="R172" s="246"/>
      <c r="S172" s="261"/>
      <c r="T172" s="74"/>
      <c r="U172" s="246"/>
      <c r="V172" s="826"/>
      <c r="W172" s="246"/>
      <c r="X172" s="74"/>
      <c r="Y172" s="246"/>
      <c r="Z172" s="261"/>
      <c r="AA172" s="74"/>
      <c r="AB172" s="246"/>
      <c r="AC172" s="826"/>
      <c r="AD172" s="246"/>
      <c r="AE172" s="74"/>
      <c r="AF172" s="246"/>
      <c r="AG172" s="261"/>
      <c r="AH172" s="74"/>
      <c r="AI172" s="246"/>
      <c r="AJ172" s="826"/>
      <c r="AK172" s="246"/>
      <c r="AL172" s="74"/>
      <c r="AM172" s="246"/>
      <c r="AN172" s="261"/>
      <c r="AO172" s="74"/>
      <c r="AP172" s="246"/>
      <c r="AQ172" s="434" t="s">
        <v>460</v>
      </c>
      <c r="AR172" s="246"/>
      <c r="AS172" s="654"/>
      <c r="AT172" s="254" t="str">
        <f t="shared" si="32"/>
        <v/>
      </c>
      <c r="AU172" s="269"/>
      <c r="AV172" s="269"/>
    </row>
    <row r="173">
      <c r="A173" s="94"/>
      <c r="B173" s="636"/>
      <c r="C173" s="637"/>
      <c r="D173" s="330"/>
      <c r="E173" s="638"/>
      <c r="F173" s="446"/>
      <c r="G173" s="246"/>
      <c r="H173" s="446"/>
      <c r="I173" s="246"/>
      <c r="J173" s="446"/>
      <c r="K173" s="246"/>
      <c r="L173" s="462"/>
      <c r="M173" s="446"/>
      <c r="N173" s="246"/>
      <c r="O173" s="446"/>
      <c r="P173" s="246"/>
      <c r="Q173" s="446"/>
      <c r="R173" s="246"/>
      <c r="S173" s="462"/>
      <c r="T173" s="446"/>
      <c r="U173" s="246"/>
      <c r="V173" s="446"/>
      <c r="W173" s="246"/>
      <c r="X173" s="446"/>
      <c r="Y173" s="246"/>
      <c r="Z173" s="462"/>
      <c r="AA173" s="446"/>
      <c r="AB173" s="246"/>
      <c r="AC173" s="446"/>
      <c r="AD173" s="246"/>
      <c r="AE173" s="446"/>
      <c r="AF173" s="246"/>
      <c r="AG173" s="462"/>
      <c r="AH173" s="446"/>
      <c r="AI173" s="246"/>
      <c r="AJ173" s="446"/>
      <c r="AK173" s="246"/>
      <c r="AL173" s="446"/>
      <c r="AM173" s="246"/>
      <c r="AN173" s="462"/>
      <c r="AO173" s="446"/>
      <c r="AP173" s="246"/>
      <c r="AQ173" s="446"/>
      <c r="AR173" s="246"/>
      <c r="AS173" s="446"/>
      <c r="AT173" s="254"/>
      <c r="AU173" s="269"/>
      <c r="AV173" s="269"/>
    </row>
    <row r="174">
      <c r="A174" s="94"/>
      <c r="B174" s="454" t="s">
        <v>735</v>
      </c>
      <c r="C174" s="455" t="s">
        <v>736</v>
      </c>
      <c r="D174" s="330"/>
      <c r="E174" s="259"/>
      <c r="F174" s="441"/>
      <c r="G174" s="246"/>
      <c r="H174" s="441"/>
      <c r="I174" s="246"/>
      <c r="J174" s="405" t="s">
        <v>462</v>
      </c>
      <c r="K174" s="246"/>
      <c r="L174" s="261"/>
      <c r="M174" s="441"/>
      <c r="N174" s="246"/>
      <c r="O174" s="441"/>
      <c r="P174" s="246"/>
      <c r="Q174" s="441"/>
      <c r="R174" s="246"/>
      <c r="S174" s="261"/>
      <c r="T174" s="441"/>
      <c r="U174" s="246"/>
      <c r="V174" s="441"/>
      <c r="W174" s="246"/>
      <c r="X174" s="405" t="s">
        <v>462</v>
      </c>
      <c r="Y174" s="246"/>
      <c r="Z174" s="261"/>
      <c r="AA174" s="441"/>
      <c r="AB174" s="246"/>
      <c r="AC174" s="441"/>
      <c r="AD174" s="246"/>
      <c r="AE174" s="441"/>
      <c r="AF174" s="246"/>
      <c r="AG174" s="261"/>
      <c r="AH174" s="441"/>
      <c r="AI174" s="246"/>
      <c r="AJ174" s="441"/>
      <c r="AK174" s="246"/>
      <c r="AL174" s="405" t="s">
        <v>462</v>
      </c>
      <c r="AM174" s="246"/>
      <c r="AN174" s="261"/>
      <c r="AO174" s="441"/>
      <c r="AP174" s="246"/>
      <c r="AQ174" s="441"/>
      <c r="AR174" s="246"/>
      <c r="AS174" s="441"/>
      <c r="AT174" s="254" t="str">
        <f t="shared" ref="AT174:AT176" si="33">IF(COUNTIF($AO$89:$AT$91, AS174) &gt; 0, "X", "")</f>
        <v/>
      </c>
      <c r="AU174" s="269"/>
      <c r="AV174" s="269"/>
    </row>
    <row r="175">
      <c r="A175" s="94"/>
      <c r="B175" s="454" t="s">
        <v>735</v>
      </c>
      <c r="C175" s="442" t="s">
        <v>736</v>
      </c>
      <c r="D175" s="330"/>
      <c r="E175" s="259"/>
      <c r="F175" s="456"/>
      <c r="G175" s="246"/>
      <c r="H175" s="456"/>
      <c r="I175" s="246"/>
      <c r="J175" s="456"/>
      <c r="K175" s="246"/>
      <c r="L175" s="261"/>
      <c r="M175" s="456"/>
      <c r="N175" s="246"/>
      <c r="O175" s="456"/>
      <c r="P175" s="246"/>
      <c r="Q175" s="456"/>
      <c r="R175" s="246"/>
      <c r="S175" s="261"/>
      <c r="T175" s="456"/>
      <c r="U175" s="246"/>
      <c r="V175" s="456"/>
      <c r="W175" s="246"/>
      <c r="X175" s="456"/>
      <c r="Y175" s="246"/>
      <c r="Z175" s="261"/>
      <c r="AA175" s="456"/>
      <c r="AB175" s="246"/>
      <c r="AC175" s="456"/>
      <c r="AD175" s="246"/>
      <c r="AE175" s="456"/>
      <c r="AF175" s="246"/>
      <c r="AG175" s="261"/>
      <c r="AH175" s="456"/>
      <c r="AI175" s="246"/>
      <c r="AJ175" s="456"/>
      <c r="AK175" s="246"/>
      <c r="AL175" s="456"/>
      <c r="AM175" s="246"/>
      <c r="AN175" s="261"/>
      <c r="AO175" s="456"/>
      <c r="AP175" s="246"/>
      <c r="AQ175" s="456"/>
      <c r="AR175" s="246"/>
      <c r="AS175" s="456"/>
      <c r="AT175" s="254" t="str">
        <f t="shared" si="33"/>
        <v/>
      </c>
      <c r="AU175" s="269"/>
      <c r="AV175" s="269"/>
    </row>
    <row r="176">
      <c r="A176" s="94"/>
      <c r="B176" s="457" t="s">
        <v>735</v>
      </c>
      <c r="C176" s="458" t="s">
        <v>737</v>
      </c>
      <c r="D176" s="363"/>
      <c r="E176" s="259"/>
      <c r="F176" s="406"/>
      <c r="G176" s="246"/>
      <c r="H176" s="406"/>
      <c r="I176" s="246"/>
      <c r="J176" s="406"/>
      <c r="K176" s="246"/>
      <c r="L176" s="261"/>
      <c r="M176" s="406"/>
      <c r="N176" s="246"/>
      <c r="O176" s="406"/>
      <c r="P176" s="246"/>
      <c r="Q176" s="406"/>
      <c r="R176" s="246"/>
      <c r="S176" s="261"/>
      <c r="T176" s="406"/>
      <c r="U176" s="246"/>
      <c r="V176" s="406"/>
      <c r="W176" s="246"/>
      <c r="X176" s="406"/>
      <c r="Y176" s="246"/>
      <c r="Z176" s="261"/>
      <c r="AA176" s="406"/>
      <c r="AB176" s="246"/>
      <c r="AC176" s="406"/>
      <c r="AD176" s="246"/>
      <c r="AE176" s="406"/>
      <c r="AF176" s="246"/>
      <c r="AG176" s="261"/>
      <c r="AH176" s="406"/>
      <c r="AI176" s="246"/>
      <c r="AJ176" s="406"/>
      <c r="AK176" s="246"/>
      <c r="AL176" s="406"/>
      <c r="AM176" s="246"/>
      <c r="AN176" s="261"/>
      <c r="AO176" s="406"/>
      <c r="AP176" s="246"/>
      <c r="AQ176" s="406"/>
      <c r="AR176" s="246"/>
      <c r="AS176" s="406"/>
      <c r="AT176" s="254" t="str">
        <f t="shared" si="33"/>
        <v/>
      </c>
      <c r="AU176" s="269"/>
      <c r="AV176" s="269"/>
    </row>
    <row r="177">
      <c r="A177" s="94"/>
      <c r="B177" s="459"/>
      <c r="C177" s="460" t="s">
        <v>738</v>
      </c>
      <c r="D177" s="363"/>
      <c r="E177" s="259"/>
      <c r="F177" s="461" t="s">
        <v>1177</v>
      </c>
      <c r="G177" s="246"/>
      <c r="H177" s="132"/>
      <c r="I177" s="246"/>
      <c r="J177" s="132"/>
      <c r="K177" s="246"/>
      <c r="L177" s="462"/>
      <c r="M177" s="461" t="s">
        <v>1178</v>
      </c>
      <c r="N177" s="246"/>
      <c r="O177" s="132"/>
      <c r="P177" s="246"/>
      <c r="Q177" s="132"/>
      <c r="R177" s="246"/>
      <c r="S177" s="462"/>
      <c r="T177" s="461" t="s">
        <v>1179</v>
      </c>
      <c r="U177" s="246"/>
      <c r="V177" s="132"/>
      <c r="W177" s="246"/>
      <c r="X177" s="132"/>
      <c r="Y177" s="246"/>
      <c r="Z177" s="462"/>
      <c r="AA177" s="461" t="s">
        <v>1180</v>
      </c>
      <c r="AB177" s="246"/>
      <c r="AC177" s="132"/>
      <c r="AD177" s="246"/>
      <c r="AE177" s="132"/>
      <c r="AF177" s="246"/>
      <c r="AG177" s="462"/>
      <c r="AH177" s="461" t="s">
        <v>1181</v>
      </c>
      <c r="AI177" s="246"/>
      <c r="AJ177" s="132"/>
      <c r="AK177" s="246"/>
      <c r="AL177" s="132"/>
      <c r="AM177" s="246"/>
      <c r="AN177" s="462"/>
      <c r="AO177" s="461" t="s">
        <v>1182</v>
      </c>
      <c r="AP177" s="246"/>
      <c r="AQ177" s="132"/>
      <c r="AR177" s="246"/>
      <c r="AS177" s="132"/>
      <c r="AT177" s="460"/>
      <c r="AU177" s="269"/>
      <c r="AV177" s="269"/>
    </row>
    <row r="178">
      <c r="A178" s="270"/>
      <c r="B178" s="459"/>
      <c r="C178" s="460" t="s">
        <v>738</v>
      </c>
      <c r="D178" s="363"/>
      <c r="E178" s="259"/>
      <c r="F178" s="461"/>
      <c r="G178" s="246"/>
      <c r="H178" s="132"/>
      <c r="I178" s="246"/>
      <c r="J178" s="132"/>
      <c r="K178" s="246"/>
      <c r="L178" s="462"/>
      <c r="M178" s="461"/>
      <c r="N178" s="246"/>
      <c r="O178" s="132"/>
      <c r="P178" s="246"/>
      <c r="Q178" s="132"/>
      <c r="R178" s="246"/>
      <c r="S178" s="462"/>
      <c r="T178" s="461"/>
      <c r="U178" s="246"/>
      <c r="V178" s="132"/>
      <c r="W178" s="246"/>
      <c r="X178" s="132"/>
      <c r="Y178" s="246"/>
      <c r="Z178" s="462"/>
      <c r="AA178" s="461"/>
      <c r="AB178" s="246"/>
      <c r="AC178" s="132"/>
      <c r="AD178" s="246"/>
      <c r="AE178" s="132"/>
      <c r="AF178" s="246"/>
      <c r="AG178" s="462"/>
      <c r="AH178" s="461"/>
      <c r="AI178" s="246"/>
      <c r="AJ178" s="132"/>
      <c r="AK178" s="246"/>
      <c r="AL178" s="132"/>
      <c r="AM178" s="246"/>
      <c r="AN178" s="462"/>
      <c r="AO178" s="461"/>
      <c r="AP178" s="246"/>
      <c r="AQ178" s="132"/>
      <c r="AR178" s="246"/>
      <c r="AS178" s="132"/>
      <c r="AT178" s="460"/>
      <c r="AU178" s="236"/>
      <c r="AV178" s="236"/>
    </row>
    <row r="179">
      <c r="A179" s="236"/>
      <c r="B179" s="459"/>
      <c r="C179" s="460" t="s">
        <v>738</v>
      </c>
      <c r="D179" s="363"/>
      <c r="E179" s="259"/>
      <c r="F179" s="461" t="s">
        <v>548</v>
      </c>
      <c r="G179" s="246"/>
      <c r="H179" s="132"/>
      <c r="I179" s="246"/>
      <c r="J179" s="132"/>
      <c r="K179" s="246"/>
      <c r="L179" s="462"/>
      <c r="M179" s="132"/>
      <c r="N179" s="246"/>
      <c r="O179" s="132"/>
      <c r="P179" s="246"/>
      <c r="Q179" s="132"/>
      <c r="R179" s="246"/>
      <c r="S179" s="462"/>
      <c r="T179" s="461" t="s">
        <v>563</v>
      </c>
      <c r="U179" s="246"/>
      <c r="V179" s="132"/>
      <c r="W179" s="246"/>
      <c r="X179" s="132"/>
      <c r="Y179" s="246"/>
      <c r="Z179" s="462"/>
      <c r="AA179" s="461" t="s">
        <v>1183</v>
      </c>
      <c r="AB179" s="246"/>
      <c r="AC179" s="132"/>
      <c r="AD179" s="246"/>
      <c r="AE179" s="132"/>
      <c r="AF179" s="246"/>
      <c r="AG179" s="462"/>
      <c r="AH179" s="461" t="s">
        <v>563</v>
      </c>
      <c r="AI179" s="246"/>
      <c r="AJ179" s="132"/>
      <c r="AK179" s="246"/>
      <c r="AL179" s="132"/>
      <c r="AM179" s="246"/>
      <c r="AN179" s="462"/>
      <c r="AO179" s="461" t="s">
        <v>563</v>
      </c>
      <c r="AP179" s="246"/>
      <c r="AQ179" s="132"/>
      <c r="AR179" s="246"/>
      <c r="AS179" s="132"/>
      <c r="AT179" s="460"/>
      <c r="AU179" s="236"/>
      <c r="AV179" s="236"/>
    </row>
    <row r="180">
      <c r="A180" s="236"/>
      <c r="B180" s="459"/>
      <c r="C180" s="460"/>
      <c r="D180" s="330"/>
      <c r="E180" s="844"/>
      <c r="F180" s="146"/>
      <c r="G180" s="823"/>
      <c r="H180" s="146"/>
      <c r="I180" s="823"/>
      <c r="J180" s="146"/>
      <c r="K180" s="823"/>
      <c r="L180" s="845"/>
      <c r="M180" s="146"/>
      <c r="N180" s="823"/>
      <c r="O180" s="146"/>
      <c r="P180" s="823"/>
      <c r="Q180" s="146"/>
      <c r="R180" s="823"/>
      <c r="S180" s="845"/>
      <c r="T180" s="146"/>
      <c r="U180" s="823"/>
      <c r="V180" s="146"/>
      <c r="W180" s="823"/>
      <c r="X180" s="146"/>
      <c r="Y180" s="823"/>
      <c r="Z180" s="845"/>
      <c r="AA180" s="146"/>
      <c r="AB180" s="823"/>
      <c r="AC180" s="146"/>
      <c r="AD180" s="823"/>
      <c r="AE180" s="146"/>
      <c r="AF180" s="823"/>
      <c r="AG180" s="845"/>
      <c r="AH180" s="846"/>
      <c r="AI180" s="823"/>
      <c r="AJ180" s="146"/>
      <c r="AK180" s="823"/>
      <c r="AL180" s="146"/>
      <c r="AM180" s="823"/>
      <c r="AN180" s="845"/>
      <c r="AO180" s="846"/>
      <c r="AP180" s="823"/>
      <c r="AQ180" s="146"/>
      <c r="AR180" s="823"/>
      <c r="AS180" s="146"/>
      <c r="AT180" s="460"/>
      <c r="AU180" s="236"/>
      <c r="AV180" s="236"/>
    </row>
    <row r="181">
      <c r="A181" s="182"/>
      <c r="B181" s="183" t="s">
        <v>778</v>
      </c>
      <c r="C181" s="184" t="s">
        <v>1148</v>
      </c>
      <c r="D181" s="185" t="s">
        <v>486</v>
      </c>
      <c r="E181" s="186"/>
      <c r="F181" s="185" t="s">
        <v>487</v>
      </c>
      <c r="M181" s="185" t="s">
        <v>488</v>
      </c>
      <c r="T181" s="185" t="s">
        <v>489</v>
      </c>
      <c r="AA181" s="185" t="s">
        <v>490</v>
      </c>
      <c r="AH181" s="185" t="s">
        <v>491</v>
      </c>
      <c r="AO181" s="185" t="s">
        <v>492</v>
      </c>
      <c r="AU181" s="182"/>
      <c r="AV181" s="182"/>
    </row>
    <row r="182">
      <c r="A182" s="182"/>
      <c r="B182" s="187"/>
      <c r="C182" s="187"/>
      <c r="D182" s="188">
        <f>AO94+1</f>
        <v>16</v>
      </c>
      <c r="E182" s="189"/>
      <c r="F182" s="188">
        <f>D182+1</f>
        <v>17</v>
      </c>
      <c r="M182" s="188">
        <f>F182+1</f>
        <v>18</v>
      </c>
      <c r="T182" s="188">
        <f>M182+1</f>
        <v>19</v>
      </c>
      <c r="AA182" s="188">
        <f>T182+1</f>
        <v>20</v>
      </c>
      <c r="AH182" s="188">
        <f>AA182+1</f>
        <v>21</v>
      </c>
      <c r="AO182" s="188">
        <f>AH182+1</f>
        <v>22</v>
      </c>
      <c r="AU182" s="182"/>
      <c r="AV182" s="182"/>
    </row>
    <row r="183">
      <c r="A183" s="182"/>
      <c r="B183" s="193" t="s">
        <v>608</v>
      </c>
      <c r="C183" s="193" t="s">
        <v>609</v>
      </c>
      <c r="D183" s="187"/>
      <c r="E183" s="189"/>
      <c r="F183" s="194" t="s">
        <v>610</v>
      </c>
      <c r="G183" s="195"/>
      <c r="H183" s="193" t="s">
        <v>611</v>
      </c>
      <c r="J183" s="194" t="s">
        <v>612</v>
      </c>
      <c r="M183" s="194" t="s">
        <v>610</v>
      </c>
      <c r="N183" s="195"/>
      <c r="O183" s="193" t="s">
        <v>611</v>
      </c>
      <c r="P183" s="195"/>
      <c r="Q183" s="194" t="s">
        <v>612</v>
      </c>
      <c r="S183" s="193"/>
      <c r="T183" s="194" t="s">
        <v>610</v>
      </c>
      <c r="U183" s="195"/>
      <c r="V183" s="193" t="s">
        <v>611</v>
      </c>
      <c r="W183" s="195"/>
      <c r="X183" s="194" t="s">
        <v>612</v>
      </c>
      <c r="Z183" s="193"/>
      <c r="AA183" s="194" t="s">
        <v>610</v>
      </c>
      <c r="AB183" s="195"/>
      <c r="AC183" s="193" t="s">
        <v>611</v>
      </c>
      <c r="AD183" s="195"/>
      <c r="AE183" s="194" t="s">
        <v>612</v>
      </c>
      <c r="AG183" s="193"/>
      <c r="AH183" s="194" t="s">
        <v>610</v>
      </c>
      <c r="AI183" s="195"/>
      <c r="AJ183" s="193" t="s">
        <v>611</v>
      </c>
      <c r="AK183" s="195"/>
      <c r="AL183" s="194" t="s">
        <v>612</v>
      </c>
      <c r="AN183" s="193"/>
      <c r="AO183" s="194" t="s">
        <v>610</v>
      </c>
      <c r="AP183" s="195"/>
      <c r="AQ183" s="193" t="s">
        <v>611</v>
      </c>
      <c r="AR183" s="195"/>
      <c r="AS183" s="194" t="s">
        <v>612</v>
      </c>
      <c r="AU183" s="182"/>
      <c r="AV183" s="182"/>
    </row>
    <row r="184">
      <c r="A184" s="199"/>
      <c r="B184" s="200" t="s">
        <v>620</v>
      </c>
      <c r="C184" s="201"/>
      <c r="D184" s="203"/>
      <c r="E184" s="202"/>
      <c r="F184" s="203"/>
      <c r="G184" s="204"/>
      <c r="H184" s="203"/>
      <c r="I184" s="204"/>
      <c r="J184" s="682" t="s">
        <v>1137</v>
      </c>
      <c r="K184" s="204"/>
      <c r="L184" s="205"/>
      <c r="M184" s="203"/>
      <c r="N184" s="204"/>
      <c r="O184" s="203"/>
      <c r="P184" s="204"/>
      <c r="Q184" s="203"/>
      <c r="R184" s="204"/>
      <c r="S184" s="205"/>
      <c r="T184" s="203"/>
      <c r="U184" s="204"/>
      <c r="V184" s="203"/>
      <c r="W184" s="204"/>
      <c r="X184" s="682" t="s">
        <v>1126</v>
      </c>
      <c r="Y184" s="204"/>
      <c r="Z184" s="205"/>
      <c r="AA184" s="203"/>
      <c r="AB184" s="204"/>
      <c r="AC184" s="682" t="s">
        <v>1184</v>
      </c>
      <c r="AD184" s="204"/>
      <c r="AE184" s="203"/>
      <c r="AF184" s="204"/>
      <c r="AG184" s="205"/>
      <c r="AH184" s="203"/>
      <c r="AI184" s="204"/>
      <c r="AJ184" s="203"/>
      <c r="AK184" s="204"/>
      <c r="AL184" s="203" t="s">
        <v>1094</v>
      </c>
      <c r="AM184" s="204"/>
      <c r="AN184" s="205"/>
      <c r="AO184" s="203"/>
      <c r="AP184" s="204"/>
      <c r="AQ184" s="203"/>
      <c r="AR184" s="204"/>
      <c r="AS184" s="203"/>
      <c r="AT184" s="204"/>
      <c r="AU184" s="199"/>
      <c r="AV184" s="199"/>
    </row>
    <row r="185">
      <c r="A185" s="234"/>
      <c r="B185" s="235" t="s">
        <v>608</v>
      </c>
      <c r="C185" s="195" t="s">
        <v>609</v>
      </c>
      <c r="D185" s="236"/>
      <c r="E185" s="237"/>
      <c r="F185" s="238"/>
      <c r="G185" s="182"/>
      <c r="H185" s="238"/>
      <c r="I185" s="239"/>
      <c r="J185" s="238"/>
      <c r="K185" s="239"/>
      <c r="L185" s="237"/>
      <c r="M185" s="238"/>
      <c r="N185" s="182"/>
      <c r="O185" s="238"/>
      <c r="P185" s="239"/>
      <c r="Q185" s="238"/>
      <c r="R185" s="239"/>
      <c r="S185" s="237"/>
      <c r="T185" s="238"/>
      <c r="U185" s="182"/>
      <c r="V185" s="238"/>
      <c r="W185" s="239"/>
      <c r="X185" s="238"/>
      <c r="Y185" s="239"/>
      <c r="Z185" s="237"/>
      <c r="AA185" s="238"/>
      <c r="AB185" s="182"/>
      <c r="AC185" s="238"/>
      <c r="AD185" s="239"/>
      <c r="AE185" s="238"/>
      <c r="AF185" s="239"/>
      <c r="AG185" s="237"/>
      <c r="AH185" s="238"/>
      <c r="AI185" s="182"/>
      <c r="AJ185" s="238"/>
      <c r="AK185" s="239"/>
      <c r="AL185" s="238"/>
      <c r="AM185" s="239"/>
      <c r="AN185" s="237"/>
      <c r="AO185" s="238"/>
      <c r="AP185" s="182"/>
      <c r="AQ185" s="238"/>
      <c r="AR185" s="239"/>
      <c r="AS185" s="238"/>
      <c r="AT185" s="239"/>
      <c r="AU185" s="236"/>
      <c r="AV185" s="236"/>
    </row>
    <row r="186">
      <c r="A186" s="240"/>
      <c r="B186" s="241" t="s">
        <v>638</v>
      </c>
      <c r="C186" s="242" t="s">
        <v>639</v>
      </c>
      <c r="D186" s="243"/>
      <c r="E186" s="244"/>
      <c r="F186" s="320"/>
      <c r="G186" s="246"/>
      <c r="H186" s="426"/>
      <c r="I186" s="246"/>
      <c r="J186" s="282"/>
      <c r="K186" s="246"/>
      <c r="L186" s="249"/>
      <c r="M186" s="250"/>
      <c r="N186" s="246"/>
      <c r="P186" s="246"/>
      <c r="R186" s="246"/>
      <c r="S186" s="249"/>
      <c r="T186" s="250"/>
      <c r="U186" s="246"/>
      <c r="V186" s="282"/>
      <c r="W186" s="246"/>
      <c r="X186" s="660" t="s">
        <v>405</v>
      </c>
      <c r="Y186" s="246"/>
      <c r="Z186" s="249"/>
      <c r="AA186" s="250"/>
      <c r="AB186" s="246"/>
      <c r="AC186" s="282"/>
      <c r="AD186" s="246"/>
      <c r="AF186" s="246"/>
      <c r="AG186" s="249"/>
      <c r="AH186" s="371"/>
      <c r="AI186" s="246"/>
      <c r="AJ186" s="282"/>
      <c r="AK186" s="246"/>
      <c r="AL186" s="274"/>
      <c r="AM186" s="246"/>
      <c r="AN186" s="249"/>
      <c r="AO186" s="286"/>
      <c r="AP186" s="246"/>
      <c r="AR186" s="246"/>
      <c r="AT186" s="254" t="str">
        <f>IF(COUNTIF($AO$89:$AT$91, #REF!) &gt; 0, "X", "")</f>
        <v/>
      </c>
      <c r="AU186" s="255"/>
      <c r="AV186" s="255"/>
    </row>
    <row r="187">
      <c r="A187" s="94"/>
      <c r="B187" s="256" t="s">
        <v>638</v>
      </c>
      <c r="C187" s="257" t="s">
        <v>639</v>
      </c>
      <c r="D187" s="258"/>
      <c r="E187" s="259"/>
      <c r="F187" s="320"/>
      <c r="G187" s="246"/>
      <c r="H187" s="426"/>
      <c r="I187" s="246"/>
      <c r="J187" s="282"/>
      <c r="K187" s="246"/>
      <c r="L187" s="249"/>
      <c r="M187" s="250"/>
      <c r="N187" s="246"/>
      <c r="P187" s="246"/>
      <c r="Q187" s="519" t="s">
        <v>414</v>
      </c>
      <c r="R187" s="246"/>
      <c r="S187" s="249"/>
      <c r="T187" s="250"/>
      <c r="U187" s="246"/>
      <c r="V187" s="282"/>
      <c r="W187" s="246"/>
      <c r="X187" s="274" t="s">
        <v>414</v>
      </c>
      <c r="Y187" s="246"/>
      <c r="Z187" s="249"/>
      <c r="AA187" s="250"/>
      <c r="AB187" s="246"/>
      <c r="AC187" s="282"/>
      <c r="AD187" s="246"/>
      <c r="AF187" s="246"/>
      <c r="AG187" s="249"/>
      <c r="AH187" s="371"/>
      <c r="AI187" s="246"/>
      <c r="AJ187" s="282"/>
      <c r="AK187" s="246"/>
      <c r="AL187" s="660" t="s">
        <v>405</v>
      </c>
      <c r="AM187" s="246"/>
      <c r="AN187" s="249"/>
      <c r="AO187" s="286"/>
      <c r="AP187" s="246"/>
      <c r="AR187" s="246"/>
      <c r="AT187" s="254" t="str">
        <f>IF(COUNTIF($AO$89:$AT$91, AS193) &gt; 0, "X", "")</f>
        <v/>
      </c>
      <c r="AU187" s="269"/>
      <c r="AV187" s="269"/>
    </row>
    <row r="188">
      <c r="A188" s="270"/>
      <c r="B188" s="271" t="s">
        <v>642</v>
      </c>
      <c r="C188" s="272" t="s">
        <v>639</v>
      </c>
      <c r="D188" s="258"/>
      <c r="E188" s="259"/>
      <c r="F188" s="767"/>
      <c r="G188" s="246"/>
      <c r="H188" s="426"/>
      <c r="I188" s="246"/>
      <c r="J188" s="282"/>
      <c r="K188" s="246"/>
      <c r="L188" s="261"/>
      <c r="M188" s="262"/>
      <c r="N188" s="246"/>
      <c r="O188" s="265"/>
      <c r="P188" s="246"/>
      <c r="R188" s="246"/>
      <c r="S188" s="261"/>
      <c r="T188" s="262"/>
      <c r="U188" s="246"/>
      <c r="W188" s="246"/>
      <c r="Y188" s="246"/>
      <c r="Z188" s="261"/>
      <c r="AA188" s="262"/>
      <c r="AB188" s="246"/>
      <c r="AC188" s="265"/>
      <c r="AD188" s="246"/>
      <c r="AF188" s="246"/>
      <c r="AG188" s="261"/>
      <c r="AH188" s="426"/>
      <c r="AI188" s="246"/>
      <c r="AJ188" s="265"/>
      <c r="AK188" s="246"/>
      <c r="AM188" s="246"/>
      <c r="AN188" s="261"/>
      <c r="AO188" s="262"/>
      <c r="AP188" s="246"/>
      <c r="AQ188" s="598"/>
      <c r="AR188" s="246"/>
      <c r="AS188" s="598"/>
      <c r="AT188" s="254" t="str">
        <f>IF(COUNTIF($AO$89:$AT$91, #REF!) &gt; 0, "X", "")</f>
        <v/>
      </c>
      <c r="AU188" s="269"/>
      <c r="AV188" s="269"/>
    </row>
    <row r="189">
      <c r="A189" s="234"/>
      <c r="B189" s="277" t="s">
        <v>644</v>
      </c>
      <c r="C189" s="278" t="s">
        <v>645</v>
      </c>
      <c r="D189" s="258"/>
      <c r="E189" s="259"/>
      <c r="F189" s="320"/>
      <c r="G189" s="246"/>
      <c r="H189" s="280" t="s">
        <v>400</v>
      </c>
      <c r="I189" s="246"/>
      <c r="J189" s="282"/>
      <c r="K189" s="246"/>
      <c r="L189" s="261"/>
      <c r="M189" s="250"/>
      <c r="N189" s="246"/>
      <c r="O189" s="281"/>
      <c r="P189" s="246"/>
      <c r="Q189" s="282"/>
      <c r="R189" s="246"/>
      <c r="S189" s="261"/>
      <c r="T189" s="250"/>
      <c r="U189" s="246"/>
      <c r="V189" s="280" t="s">
        <v>400</v>
      </c>
      <c r="W189" s="246"/>
      <c r="Y189" s="246"/>
      <c r="Z189" s="261"/>
      <c r="AA189" s="250"/>
      <c r="AB189" s="246"/>
      <c r="AC189" s="281"/>
      <c r="AD189" s="246"/>
      <c r="AE189" s="280" t="s">
        <v>400</v>
      </c>
      <c r="AF189" s="246"/>
      <c r="AG189" s="261"/>
      <c r="AH189" s="282"/>
      <c r="AI189" s="246"/>
      <c r="AJ189" s="280" t="s">
        <v>400</v>
      </c>
      <c r="AK189" s="246"/>
      <c r="AL189" s="281"/>
      <c r="AM189" s="246"/>
      <c r="AN189" s="261"/>
      <c r="AO189" s="250"/>
      <c r="AP189" s="246"/>
      <c r="AQ189" s="276"/>
      <c r="AR189" s="246"/>
      <c r="AS189" s="276"/>
      <c r="AT189" s="254" t="str">
        <f>IF(COUNTIF($AO$89:$AT$91, AO190) &gt; 0, "X", "")</f>
        <v/>
      </c>
      <c r="AU189" s="269"/>
      <c r="AV189" s="269"/>
    </row>
    <row r="190">
      <c r="A190" s="94"/>
      <c r="B190" s="256" t="s">
        <v>757</v>
      </c>
      <c r="C190" s="257" t="s">
        <v>645</v>
      </c>
      <c r="D190" s="258"/>
      <c r="E190" s="259"/>
      <c r="F190" s="479"/>
      <c r="G190" s="246"/>
      <c r="H190" s="371"/>
      <c r="I190" s="246"/>
      <c r="J190" s="274" t="s">
        <v>402</v>
      </c>
      <c r="K190" s="246"/>
      <c r="L190" s="261"/>
      <c r="M190" s="250"/>
      <c r="N190" s="246"/>
      <c r="O190" s="280" t="s">
        <v>402</v>
      </c>
      <c r="P190" s="246"/>
      <c r="Q190" s="280" t="s">
        <v>400</v>
      </c>
      <c r="R190" s="246"/>
      <c r="S190" s="261"/>
      <c r="T190" s="250"/>
      <c r="U190" s="246"/>
      <c r="V190" s="371"/>
      <c r="W190" s="246"/>
      <c r="X190" s="274" t="s">
        <v>402</v>
      </c>
      <c r="Y190" s="246"/>
      <c r="Z190" s="261"/>
      <c r="AA190" s="250"/>
      <c r="AB190" s="246"/>
      <c r="AC190" s="274" t="s">
        <v>402</v>
      </c>
      <c r="AD190" s="246"/>
      <c r="AE190" s="282"/>
      <c r="AF190" s="246"/>
      <c r="AG190" s="261"/>
      <c r="AH190" s="371"/>
      <c r="AI190" s="246"/>
      <c r="AJ190" s="371"/>
      <c r="AK190" s="246"/>
      <c r="AL190" s="274" t="s">
        <v>402</v>
      </c>
      <c r="AM190" s="246"/>
      <c r="AN190" s="261"/>
      <c r="AO190" s="332"/>
      <c r="AP190" s="246"/>
      <c r="AQ190" s="252"/>
      <c r="AR190" s="246"/>
      <c r="AS190" s="252"/>
      <c r="AT190" s="254" t="str">
        <f>IF(COUNTIF($AO$89:$AT$91, AS192) &gt; 0, "X", "")</f>
        <v/>
      </c>
      <c r="AU190" s="269"/>
      <c r="AV190" s="269"/>
    </row>
    <row r="191">
      <c r="A191" s="94"/>
      <c r="B191" s="284" t="s">
        <v>646</v>
      </c>
      <c r="C191" s="285" t="s">
        <v>647</v>
      </c>
      <c r="D191" s="258"/>
      <c r="E191" s="259"/>
      <c r="F191" s="479"/>
      <c r="G191" s="246"/>
      <c r="H191" s="399"/>
      <c r="I191" s="246"/>
      <c r="J191" s="251" t="s">
        <v>427</v>
      </c>
      <c r="K191" s="246"/>
      <c r="L191" s="261"/>
      <c r="M191" s="324"/>
      <c r="N191" s="246"/>
      <c r="O191" s="399"/>
      <c r="P191" s="246"/>
      <c r="Q191" s="287" t="s">
        <v>427</v>
      </c>
      <c r="R191" s="246"/>
      <c r="S191" s="261"/>
      <c r="T191" s="324"/>
      <c r="U191" s="246"/>
      <c r="W191" s="246"/>
      <c r="X191" s="251" t="s">
        <v>427</v>
      </c>
      <c r="Y191" s="246"/>
      <c r="Z191" s="261"/>
      <c r="AA191" s="324"/>
      <c r="AB191" s="246"/>
      <c r="AD191" s="246"/>
      <c r="AE191" s="251" t="s">
        <v>427</v>
      </c>
      <c r="AF191" s="246"/>
      <c r="AG191" s="261"/>
      <c r="AH191" s="251" t="s">
        <v>427</v>
      </c>
      <c r="AI191" s="246"/>
      <c r="AJ191" s="282"/>
      <c r="AK191" s="246"/>
      <c r="AL191" s="282"/>
      <c r="AM191" s="246"/>
      <c r="AN191" s="261"/>
      <c r="AO191" s="250"/>
      <c r="AP191" s="246"/>
      <c r="AQ191" s="252"/>
      <c r="AR191" s="246"/>
      <c r="AS191" s="252"/>
      <c r="AT191" s="254" t="str">
        <f t="shared" ref="AT191:AT193" si="34">IF(COUNTIF($AO$89:$AT$91, #REF!) &gt; 0, "X", "")</f>
        <v/>
      </c>
      <c r="AU191" s="269"/>
      <c r="AV191" s="269"/>
    </row>
    <row r="192">
      <c r="A192" s="270"/>
      <c r="B192" s="291" t="s">
        <v>648</v>
      </c>
      <c r="C192" s="292" t="s">
        <v>649</v>
      </c>
      <c r="D192" s="258"/>
      <c r="E192" s="259"/>
      <c r="F192" s="317"/>
      <c r="G192" s="246"/>
      <c r="H192" s="293" t="s">
        <v>418</v>
      </c>
      <c r="I192" s="246"/>
      <c r="J192" s="294"/>
      <c r="K192" s="246"/>
      <c r="L192" s="261"/>
      <c r="M192" s="250"/>
      <c r="N192" s="246"/>
      <c r="O192" s="293" t="s">
        <v>418</v>
      </c>
      <c r="P192" s="246"/>
      <c r="Q192" s="294"/>
      <c r="R192" s="246"/>
      <c r="S192" s="261"/>
      <c r="T192" s="250"/>
      <c r="U192" s="246"/>
      <c r="V192" s="294"/>
      <c r="W192" s="246"/>
      <c r="X192" s="293" t="s">
        <v>418</v>
      </c>
      <c r="Y192" s="246"/>
      <c r="Z192" s="261"/>
      <c r="AA192" s="250"/>
      <c r="AB192" s="246"/>
      <c r="AC192" s="294"/>
      <c r="AD192" s="246"/>
      <c r="AE192" s="293" t="s">
        <v>418</v>
      </c>
      <c r="AF192" s="246"/>
      <c r="AG192" s="261"/>
      <c r="AH192" s="294"/>
      <c r="AI192" s="246"/>
      <c r="AJ192" s="293" t="s">
        <v>418</v>
      </c>
      <c r="AK192" s="246"/>
      <c r="AL192" s="294"/>
      <c r="AM192" s="246"/>
      <c r="AN192" s="261"/>
      <c r="AO192" s="250"/>
      <c r="AP192" s="246"/>
      <c r="AQ192" s="294"/>
      <c r="AR192" s="246"/>
      <c r="AS192" s="294"/>
      <c r="AT192" s="254" t="str">
        <f t="shared" si="34"/>
        <v/>
      </c>
      <c r="AU192" s="269"/>
      <c r="AV192" s="269"/>
    </row>
    <row r="193">
      <c r="A193" s="94"/>
      <c r="B193" s="296" t="s">
        <v>650</v>
      </c>
      <c r="C193" s="297" t="s">
        <v>649</v>
      </c>
      <c r="D193" s="258"/>
      <c r="E193" s="259"/>
      <c r="F193" s="509"/>
      <c r="G193" s="298"/>
      <c r="H193" s="299"/>
      <c r="I193" s="298"/>
      <c r="J193" s="299"/>
      <c r="K193" s="298"/>
      <c r="L193" s="261"/>
      <c r="M193" s="250"/>
      <c r="N193" s="298"/>
      <c r="O193" s="299"/>
      <c r="P193" s="298"/>
      <c r="Q193" s="299"/>
      <c r="R193" s="298"/>
      <c r="S193" s="261"/>
      <c r="T193" s="250"/>
      <c r="U193" s="298"/>
      <c r="V193" s="299"/>
      <c r="W193" s="298"/>
      <c r="X193" s="299"/>
      <c r="Y193" s="298"/>
      <c r="Z193" s="261"/>
      <c r="AA193" s="250"/>
      <c r="AB193" s="298"/>
      <c r="AC193" s="299"/>
      <c r="AD193" s="298"/>
      <c r="AE193" s="299"/>
      <c r="AF193" s="298"/>
      <c r="AG193" s="261"/>
      <c r="AH193" s="299"/>
      <c r="AI193" s="298"/>
      <c r="AJ193" s="299"/>
      <c r="AK193" s="298"/>
      <c r="AL193" s="299"/>
      <c r="AM193" s="298"/>
      <c r="AN193" s="261"/>
      <c r="AO193" s="250"/>
      <c r="AP193" s="298"/>
      <c r="AQ193" s="300"/>
      <c r="AR193" s="298"/>
      <c r="AS193" s="300"/>
      <c r="AT193" s="254" t="str">
        <f t="shared" si="34"/>
        <v/>
      </c>
      <c r="AU193" s="269"/>
      <c r="AV193" s="269"/>
    </row>
    <row r="194">
      <c r="A194" s="94"/>
      <c r="B194" s="301" t="s">
        <v>651</v>
      </c>
      <c r="C194" s="302" t="s">
        <v>652</v>
      </c>
      <c r="D194" s="243"/>
      <c r="E194" s="259"/>
      <c r="F194" s="320"/>
      <c r="G194" s="298"/>
      <c r="H194" s="303"/>
      <c r="I194" s="298"/>
      <c r="J194" s="303"/>
      <c r="K194" s="298"/>
      <c r="L194" s="261"/>
      <c r="M194" s="250"/>
      <c r="N194" s="298"/>
      <c r="O194" s="303"/>
      <c r="P194" s="298"/>
      <c r="Q194" s="303"/>
      <c r="R194" s="298"/>
      <c r="S194" s="261"/>
      <c r="T194" s="250"/>
      <c r="U194" s="298"/>
      <c r="V194" s="303"/>
      <c r="W194" s="298"/>
      <c r="X194" s="303"/>
      <c r="Y194" s="298"/>
      <c r="Z194" s="261"/>
      <c r="AA194" s="250"/>
      <c r="AB194" s="298"/>
      <c r="AC194" s="303"/>
      <c r="AD194" s="298"/>
      <c r="AE194" s="303"/>
      <c r="AF194" s="298"/>
      <c r="AG194" s="261"/>
      <c r="AH194" s="303"/>
      <c r="AI194" s="298"/>
      <c r="AJ194" s="303"/>
      <c r="AK194" s="298"/>
      <c r="AL194" s="303"/>
      <c r="AM194" s="298"/>
      <c r="AN194" s="261"/>
      <c r="AO194" s="250"/>
      <c r="AP194" s="298"/>
      <c r="AQ194" s="304"/>
      <c r="AR194" s="298"/>
      <c r="AS194" s="304"/>
      <c r="AT194" s="254" t="str">
        <f t="shared" ref="AT194:AT195" si="35">IF(COUNTIF($AO$89:$AT$91, AS195) &gt; 0, "X", "")</f>
        <v/>
      </c>
      <c r="AU194" s="269"/>
      <c r="AV194" s="269"/>
    </row>
    <row r="195">
      <c r="A195" s="94"/>
      <c r="B195" s="305" t="s">
        <v>653</v>
      </c>
      <c r="C195" s="306" t="s">
        <v>654</v>
      </c>
      <c r="D195" s="243"/>
      <c r="E195" s="259"/>
      <c r="F195" s="317"/>
      <c r="G195" s="298"/>
      <c r="H195" s="307"/>
      <c r="I195" s="298"/>
      <c r="J195" s="307"/>
      <c r="K195" s="298"/>
      <c r="L195" s="261"/>
      <c r="M195" s="250"/>
      <c r="N195" s="298"/>
      <c r="O195" s="307"/>
      <c r="P195" s="298"/>
      <c r="Q195" s="307"/>
      <c r="R195" s="298"/>
      <c r="S195" s="261"/>
      <c r="T195" s="250"/>
      <c r="U195" s="298"/>
      <c r="V195" s="307"/>
      <c r="W195" s="298"/>
      <c r="X195" s="307"/>
      <c r="Y195" s="298"/>
      <c r="Z195" s="261"/>
      <c r="AA195" s="250"/>
      <c r="AB195" s="298"/>
      <c r="AC195" s="307"/>
      <c r="AD195" s="298"/>
      <c r="AE195" s="307"/>
      <c r="AF195" s="298"/>
      <c r="AG195" s="261"/>
      <c r="AH195" s="307"/>
      <c r="AI195" s="298"/>
      <c r="AJ195" s="307"/>
      <c r="AK195" s="298"/>
      <c r="AL195" s="307"/>
      <c r="AM195" s="298"/>
      <c r="AN195" s="261"/>
      <c r="AO195" s="250"/>
      <c r="AP195" s="298"/>
      <c r="AQ195" s="307"/>
      <c r="AR195" s="298"/>
      <c r="AS195" s="307"/>
      <c r="AT195" s="254" t="str">
        <f t="shared" si="35"/>
        <v/>
      </c>
      <c r="AU195" s="269"/>
      <c r="AV195" s="269"/>
    </row>
    <row r="196">
      <c r="A196" s="94"/>
      <c r="B196" s="310" t="s">
        <v>656</v>
      </c>
      <c r="C196" s="278" t="s">
        <v>657</v>
      </c>
      <c r="D196" s="243"/>
      <c r="E196" s="259"/>
      <c r="F196" s="320"/>
      <c r="G196" s="246"/>
      <c r="H196" s="282"/>
      <c r="I196" s="246"/>
      <c r="J196" s="282"/>
      <c r="K196" s="246"/>
      <c r="L196" s="261"/>
      <c r="M196" s="250"/>
      <c r="N196" s="246"/>
      <c r="O196" s="274" t="s">
        <v>458</v>
      </c>
      <c r="P196" s="246"/>
      <c r="Q196" s="281"/>
      <c r="R196" s="246"/>
      <c r="S196" s="261"/>
      <c r="T196" s="250"/>
      <c r="U196" s="246"/>
      <c r="V196" s="282"/>
      <c r="W196" s="246"/>
      <c r="X196" s="339"/>
      <c r="Y196" s="246"/>
      <c r="Z196" s="261"/>
      <c r="AA196" s="250"/>
      <c r="AB196" s="246"/>
      <c r="AC196" s="282"/>
      <c r="AD196" s="246"/>
      <c r="AE196" s="606" t="s">
        <v>434</v>
      </c>
      <c r="AF196" s="246"/>
      <c r="AG196" s="261"/>
      <c r="AH196" s="282"/>
      <c r="AI196" s="246"/>
      <c r="AJ196" s="282"/>
      <c r="AK196" s="246"/>
      <c r="AL196" s="282"/>
      <c r="AM196" s="246"/>
      <c r="AN196" s="261"/>
      <c r="AO196" s="250"/>
      <c r="AP196" s="246"/>
      <c r="AQ196" s="276"/>
      <c r="AR196" s="246"/>
      <c r="AS196" s="276"/>
      <c r="AT196" s="254" t="str">
        <f t="shared" ref="AT196:AT198" si="36">IF(COUNTIF($AO$89:$AT$91, #REF!) &gt; 0, "X", "")</f>
        <v/>
      </c>
      <c r="AU196" s="269"/>
      <c r="AV196" s="269"/>
    </row>
    <row r="197">
      <c r="A197" s="94"/>
      <c r="B197" s="277" t="s">
        <v>658</v>
      </c>
      <c r="C197" s="278" t="s">
        <v>657</v>
      </c>
      <c r="D197" s="243"/>
      <c r="E197" s="259"/>
      <c r="F197" s="506"/>
      <c r="G197" s="246"/>
      <c r="H197" s="282"/>
      <c r="I197" s="246"/>
      <c r="J197" s="282"/>
      <c r="K197" s="246"/>
      <c r="L197" s="261"/>
      <c r="M197" s="250"/>
      <c r="N197" s="246"/>
      <c r="O197" s="334" t="s">
        <v>398</v>
      </c>
      <c r="P197" s="246"/>
      <c r="R197" s="246"/>
      <c r="S197" s="261"/>
      <c r="T197" s="250"/>
      <c r="U197" s="246"/>
      <c r="W197" s="246"/>
      <c r="Y197" s="246"/>
      <c r="Z197" s="261"/>
      <c r="AA197" s="250"/>
      <c r="AB197" s="246"/>
      <c r="AC197" s="282"/>
      <c r="AD197" s="246"/>
      <c r="AE197" s="334" t="s">
        <v>398</v>
      </c>
      <c r="AF197" s="246"/>
      <c r="AG197" s="261"/>
      <c r="AH197" s="282"/>
      <c r="AI197" s="246"/>
      <c r="AJ197" s="282"/>
      <c r="AK197" s="246"/>
      <c r="AM197" s="246"/>
      <c r="AN197" s="261"/>
      <c r="AO197" s="250"/>
      <c r="AP197" s="246"/>
      <c r="AR197" s="246"/>
      <c r="AT197" s="254" t="str">
        <f t="shared" si="36"/>
        <v/>
      </c>
      <c r="AU197" s="269"/>
      <c r="AV197" s="269"/>
    </row>
    <row r="198">
      <c r="A198" s="94"/>
      <c r="B198" s="314" t="s">
        <v>660</v>
      </c>
      <c r="C198" s="315" t="s">
        <v>649</v>
      </c>
      <c r="D198" s="243"/>
      <c r="E198" s="259"/>
      <c r="F198" s="479"/>
      <c r="G198" s="246"/>
      <c r="H198" s="293" t="s">
        <v>416</v>
      </c>
      <c r="I198" s="246"/>
      <c r="J198" s="632" t="s">
        <v>423</v>
      </c>
      <c r="K198" s="246"/>
      <c r="L198" s="261"/>
      <c r="M198" s="316"/>
      <c r="N198" s="246"/>
      <c r="O198" s="293" t="s">
        <v>416</v>
      </c>
      <c r="P198" s="246"/>
      <c r="Q198" s="356" t="s">
        <v>423</v>
      </c>
      <c r="R198" s="246"/>
      <c r="S198" s="261"/>
      <c r="T198" s="316"/>
      <c r="U198" s="246"/>
      <c r="V198" s="293" t="s">
        <v>416</v>
      </c>
      <c r="W198" s="246"/>
      <c r="X198" s="813" t="s">
        <v>760</v>
      </c>
      <c r="Y198" s="246"/>
      <c r="Z198" s="261"/>
      <c r="AA198" s="316"/>
      <c r="AB198" s="246"/>
      <c r="AC198" s="293" t="s">
        <v>416</v>
      </c>
      <c r="AD198" s="246"/>
      <c r="AE198" s="575" t="s">
        <v>760</v>
      </c>
      <c r="AF198" s="246"/>
      <c r="AG198" s="261"/>
      <c r="AH198" s="317"/>
      <c r="AI198" s="246"/>
      <c r="AJ198" s="293" t="s">
        <v>421</v>
      </c>
      <c r="AK198" s="246"/>
      <c r="AL198" s="813" t="s">
        <v>760</v>
      </c>
      <c r="AM198" s="246"/>
      <c r="AN198" s="261"/>
      <c r="AO198" s="286"/>
      <c r="AP198" s="246"/>
      <c r="AQ198" s="353" t="s">
        <v>426</v>
      </c>
      <c r="AR198" s="246"/>
      <c r="AS198" s="293" t="s">
        <v>421</v>
      </c>
      <c r="AT198" s="254" t="str">
        <f t="shared" si="36"/>
        <v/>
      </c>
      <c r="AU198" s="269"/>
      <c r="AV198" s="269"/>
    </row>
    <row r="199">
      <c r="A199" s="94"/>
      <c r="B199" s="807" t="s">
        <v>1149</v>
      </c>
      <c r="C199" s="808" t="s">
        <v>649</v>
      </c>
      <c r="D199" s="243"/>
      <c r="E199" s="259"/>
      <c r="F199" s="847"/>
      <c r="G199" s="246"/>
      <c r="H199" s="848"/>
      <c r="I199" s="246"/>
      <c r="J199" s="293" t="s">
        <v>426</v>
      </c>
      <c r="K199" s="246"/>
      <c r="L199" s="261"/>
      <c r="M199" s="316"/>
      <c r="N199" s="246"/>
      <c r="O199" s="813" t="s">
        <v>1157</v>
      </c>
      <c r="P199" s="246"/>
      <c r="Q199" s="353" t="s">
        <v>424</v>
      </c>
      <c r="R199" s="246"/>
      <c r="S199" s="261"/>
      <c r="T199" s="316"/>
      <c r="U199" s="246"/>
      <c r="V199" s="848"/>
      <c r="W199" s="246"/>
      <c r="X199" s="353" t="s">
        <v>424</v>
      </c>
      <c r="Y199" s="246"/>
      <c r="Z199" s="261"/>
      <c r="AA199" s="316"/>
      <c r="AB199" s="246"/>
      <c r="AC199" s="848"/>
      <c r="AD199" s="246"/>
      <c r="AE199" s="293" t="s">
        <v>424</v>
      </c>
      <c r="AF199" s="246"/>
      <c r="AG199" s="261"/>
      <c r="AH199" s="317"/>
      <c r="AI199" s="246"/>
      <c r="AJ199" s="848"/>
      <c r="AK199" s="246"/>
      <c r="AL199" s="353" t="s">
        <v>424</v>
      </c>
      <c r="AM199" s="246"/>
      <c r="AN199" s="261"/>
      <c r="AO199" s="286"/>
      <c r="AP199" s="246"/>
      <c r="AQ199" s="848"/>
      <c r="AR199" s="246"/>
      <c r="AS199" s="813" t="s">
        <v>1157</v>
      </c>
      <c r="AT199" s="254"/>
      <c r="AU199" s="269"/>
      <c r="AV199" s="269"/>
    </row>
    <row r="200">
      <c r="A200" s="94"/>
      <c r="B200" s="296" t="s">
        <v>650</v>
      </c>
      <c r="C200" s="297" t="s">
        <v>649</v>
      </c>
      <c r="D200" s="243"/>
      <c r="E200" s="259"/>
      <c r="F200" s="317"/>
      <c r="G200" s="298"/>
      <c r="H200" s="300"/>
      <c r="I200" s="298"/>
      <c r="J200" s="300"/>
      <c r="K200" s="298"/>
      <c r="L200" s="261"/>
      <c r="M200" s="250"/>
      <c r="N200" s="298"/>
      <c r="O200" s="300"/>
      <c r="P200" s="298"/>
      <c r="Q200" s="300"/>
      <c r="R200" s="298"/>
      <c r="S200" s="261"/>
      <c r="T200" s="250"/>
      <c r="U200" s="298"/>
      <c r="V200" s="300"/>
      <c r="W200" s="298"/>
      <c r="X200" s="300"/>
      <c r="Y200" s="298"/>
      <c r="Z200" s="261"/>
      <c r="AA200" s="250"/>
      <c r="AB200" s="298"/>
      <c r="AC200" s="319"/>
      <c r="AD200" s="298"/>
      <c r="AE200" s="319"/>
      <c r="AF200" s="298"/>
      <c r="AG200" s="261"/>
      <c r="AH200" s="317"/>
      <c r="AI200" s="298"/>
      <c r="AJ200" s="300"/>
      <c r="AK200" s="298"/>
      <c r="AL200" s="813" t="s">
        <v>1157</v>
      </c>
      <c r="AM200" s="298"/>
      <c r="AN200" s="261"/>
      <c r="AO200" s="286"/>
      <c r="AP200" s="298"/>
      <c r="AQ200" s="300"/>
      <c r="AR200" s="298"/>
      <c r="AS200" s="299"/>
      <c r="AT200" s="254" t="str">
        <f t="shared" ref="AT200:AT202" si="37">IF(COUNTIF($AO$89:$AT$91, #REF!) &gt; 0, "X", "")</f>
        <v/>
      </c>
      <c r="AU200" s="269"/>
      <c r="AV200" s="269"/>
    </row>
    <row r="201">
      <c r="A201" s="94"/>
      <c r="B201" s="301" t="s">
        <v>651</v>
      </c>
      <c r="C201" s="302" t="s">
        <v>652</v>
      </c>
      <c r="D201" s="323"/>
      <c r="E201" s="259"/>
      <c r="F201" s="320"/>
      <c r="G201" s="298"/>
      <c r="H201" s="303"/>
      <c r="I201" s="298"/>
      <c r="J201" s="484"/>
      <c r="K201" s="298"/>
      <c r="L201" s="261"/>
      <c r="M201" s="250"/>
      <c r="N201" s="298"/>
      <c r="O201" s="303"/>
      <c r="P201" s="298"/>
      <c r="Q201" s="484"/>
      <c r="R201" s="298"/>
      <c r="S201" s="261"/>
      <c r="T201" s="250"/>
      <c r="U201" s="298"/>
      <c r="V201" s="303"/>
      <c r="W201" s="298"/>
      <c r="X201" s="303"/>
      <c r="Y201" s="298"/>
      <c r="Z201" s="261"/>
      <c r="AA201" s="250"/>
      <c r="AB201" s="298"/>
      <c r="AC201" s="303"/>
      <c r="AD201" s="298"/>
      <c r="AE201" s="303"/>
      <c r="AF201" s="298"/>
      <c r="AG201" s="261"/>
      <c r="AH201" s="320"/>
      <c r="AI201" s="298"/>
      <c r="AJ201" s="303"/>
      <c r="AK201" s="298"/>
      <c r="AL201" s="303"/>
      <c r="AM201" s="298"/>
      <c r="AN201" s="261"/>
      <c r="AO201" s="286"/>
      <c r="AP201" s="298"/>
      <c r="AQ201" s="303"/>
      <c r="AR201" s="298"/>
      <c r="AS201" s="303"/>
      <c r="AT201" s="254" t="str">
        <f t="shared" si="37"/>
        <v/>
      </c>
      <c r="AU201" s="269"/>
      <c r="AV201" s="269"/>
    </row>
    <row r="202">
      <c r="A202" s="94"/>
      <c r="B202" s="322" t="s">
        <v>662</v>
      </c>
      <c r="C202" s="306" t="s">
        <v>663</v>
      </c>
      <c r="D202" s="330"/>
      <c r="E202" s="259"/>
      <c r="F202" s="317"/>
      <c r="G202" s="298"/>
      <c r="H202" s="307"/>
      <c r="I202" s="298"/>
      <c r="J202" s="519" t="s">
        <v>409</v>
      </c>
      <c r="K202" s="298"/>
      <c r="L202" s="261"/>
      <c r="M202" s="324"/>
      <c r="N202" s="298"/>
      <c r="O202" s="307"/>
      <c r="P202" s="298"/>
      <c r="Q202" s="519" t="s">
        <v>409</v>
      </c>
      <c r="R202" s="298"/>
      <c r="S202" s="261"/>
      <c r="T202" s="324"/>
      <c r="U202" s="298"/>
      <c r="V202" s="307"/>
      <c r="W202" s="298"/>
      <c r="X202" s="519" t="s">
        <v>409</v>
      </c>
      <c r="Y202" s="298"/>
      <c r="Z202" s="261"/>
      <c r="AA202" s="324"/>
      <c r="AB202" s="298"/>
      <c r="AC202" s="307"/>
      <c r="AD202" s="298"/>
      <c r="AE202" s="519" t="s">
        <v>409</v>
      </c>
      <c r="AF202" s="298"/>
      <c r="AG202" s="261"/>
      <c r="AH202" s="317"/>
      <c r="AI202" s="298"/>
      <c r="AJ202" s="336" t="s">
        <v>450</v>
      </c>
      <c r="AK202" s="298"/>
      <c r="AL202" s="519" t="s">
        <v>414</v>
      </c>
      <c r="AM202" s="298"/>
      <c r="AN202" s="261"/>
      <c r="AO202" s="286"/>
      <c r="AP202" s="298"/>
      <c r="AQ202" s="334" t="s">
        <v>450</v>
      </c>
      <c r="AR202" s="298"/>
      <c r="AS202" s="519" t="s">
        <v>415</v>
      </c>
      <c r="AT202" s="254" t="str">
        <f t="shared" si="37"/>
        <v/>
      </c>
      <c r="AU202" s="269"/>
      <c r="AV202" s="269"/>
    </row>
    <row r="203">
      <c r="A203" s="94"/>
      <c r="B203" s="328" t="s">
        <v>665</v>
      </c>
      <c r="C203" s="338" t="s">
        <v>1150</v>
      </c>
      <c r="D203" s="330"/>
      <c r="E203" s="259"/>
      <c r="F203" s="479"/>
      <c r="G203" s="246"/>
      <c r="H203" s="311" t="s">
        <v>1115</v>
      </c>
      <c r="I203" s="246"/>
      <c r="J203" s="274" t="s">
        <v>449</v>
      </c>
      <c r="K203" s="246"/>
      <c r="L203" s="261"/>
      <c r="M203" s="333"/>
      <c r="N203" s="246"/>
      <c r="O203" s="606" t="s">
        <v>1115</v>
      </c>
      <c r="P203" s="246"/>
      <c r="Q203" s="274" t="s">
        <v>449</v>
      </c>
      <c r="R203" s="246"/>
      <c r="S203" s="261"/>
      <c r="T203" s="333"/>
      <c r="U203" s="246"/>
      <c r="V203" s="311" t="s">
        <v>1115</v>
      </c>
      <c r="W203" s="246"/>
      <c r="X203" s="274" t="s">
        <v>449</v>
      </c>
      <c r="Y203" s="246"/>
      <c r="Z203" s="261"/>
      <c r="AA203" s="333"/>
      <c r="AB203" s="246"/>
      <c r="AC203" s="311" t="s">
        <v>1087</v>
      </c>
      <c r="AD203" s="246"/>
      <c r="AE203" s="274" t="s">
        <v>449</v>
      </c>
      <c r="AF203" s="246"/>
      <c r="AG203" s="261"/>
      <c r="AH203" s="317"/>
      <c r="AI203" s="246"/>
      <c r="AJ203" s="274" t="s">
        <v>439</v>
      </c>
      <c r="AK203" s="246"/>
      <c r="AL203" s="606" t="s">
        <v>434</v>
      </c>
      <c r="AM203" s="246"/>
      <c r="AN203" s="261"/>
      <c r="AO203" s="286"/>
      <c r="AP203" s="246"/>
      <c r="AR203" s="246"/>
      <c r="AS203" s="606" t="s">
        <v>434</v>
      </c>
      <c r="AT203" s="254" t="str">
        <f>IF(COUNTIF($AO$89:$AT$91, AH218) &gt; 0, "X", "")</f>
        <v/>
      </c>
      <c r="AU203" s="269"/>
      <c r="AV203" s="269"/>
    </row>
    <row r="204">
      <c r="A204" s="94"/>
      <c r="B204" s="337" t="s">
        <v>665</v>
      </c>
      <c r="C204" s="338" t="s">
        <v>1151</v>
      </c>
      <c r="D204" s="330"/>
      <c r="E204" s="259"/>
      <c r="F204" s="479"/>
      <c r="G204" s="246"/>
      <c r="H204" s="311" t="s">
        <v>1087</v>
      </c>
      <c r="I204" s="246"/>
      <c r="J204" s="339" t="s">
        <v>431</v>
      </c>
      <c r="K204" s="246"/>
      <c r="L204" s="261"/>
      <c r="M204" s="324"/>
      <c r="N204" s="246"/>
      <c r="O204" s="311" t="s">
        <v>459</v>
      </c>
      <c r="P204" s="246"/>
      <c r="Q204" s="606" t="s">
        <v>434</v>
      </c>
      <c r="R204" s="246"/>
      <c r="S204" s="261"/>
      <c r="T204" s="324"/>
      <c r="U204" s="246"/>
      <c r="V204" s="311" t="s">
        <v>1087</v>
      </c>
      <c r="W204" s="246"/>
      <c r="X204" s="311" t="s">
        <v>434</v>
      </c>
      <c r="Y204" s="246"/>
      <c r="Z204" s="261"/>
      <c r="AA204" s="324"/>
      <c r="AB204" s="246"/>
      <c r="AC204" s="311" t="s">
        <v>459</v>
      </c>
      <c r="AD204" s="246"/>
      <c r="AE204" s="688" t="s">
        <v>447</v>
      </c>
      <c r="AF204" s="246"/>
      <c r="AG204" s="261"/>
      <c r="AH204" s="317"/>
      <c r="AI204" s="246"/>
      <c r="AJ204" s="311" t="s">
        <v>459</v>
      </c>
      <c r="AK204" s="246"/>
      <c r="AL204" s="688" t="s">
        <v>447</v>
      </c>
      <c r="AM204" s="246"/>
      <c r="AN204" s="261"/>
      <c r="AO204" s="286"/>
      <c r="AP204" s="246"/>
      <c r="AQ204" s="311" t="s">
        <v>1115</v>
      </c>
      <c r="AR204" s="246"/>
      <c r="AS204" s="688" t="s">
        <v>447</v>
      </c>
      <c r="AT204" s="254" t="str">
        <f t="shared" ref="AT204:AT206" si="38">IF(COUNTIF($AO$89:$AT$91, #REF!) &gt; 0, "X", "")</f>
        <v/>
      </c>
      <c r="AU204" s="269"/>
      <c r="AV204" s="269"/>
    </row>
    <row r="205">
      <c r="A205" s="94"/>
      <c r="B205" s="256" t="s">
        <v>665</v>
      </c>
      <c r="C205" s="338" t="s">
        <v>1152</v>
      </c>
      <c r="D205" s="330"/>
      <c r="E205" s="259"/>
      <c r="F205" s="506"/>
      <c r="G205" s="246"/>
      <c r="H205" s="274" t="s">
        <v>458</v>
      </c>
      <c r="I205" s="246"/>
      <c r="J205" s="606" t="s">
        <v>439</v>
      </c>
      <c r="K205" s="246"/>
      <c r="L205" s="261"/>
      <c r="M205" s="341"/>
      <c r="N205" s="246"/>
      <c r="O205" s="339" t="s">
        <v>431</v>
      </c>
      <c r="P205" s="246"/>
      <c r="Q205" s="688" t="s">
        <v>447</v>
      </c>
      <c r="R205" s="246"/>
      <c r="S205" s="261"/>
      <c r="T205" s="341"/>
      <c r="U205" s="246"/>
      <c r="V205" s="606" t="s">
        <v>459</v>
      </c>
      <c r="W205" s="246"/>
      <c r="X205" s="688" t="s">
        <v>447</v>
      </c>
      <c r="Y205" s="246"/>
      <c r="Z205" s="261"/>
      <c r="AA205" s="341"/>
      <c r="AB205" s="246"/>
      <c r="AC205" s="519" t="s">
        <v>458</v>
      </c>
      <c r="AD205" s="246"/>
      <c r="AE205" s="274" t="s">
        <v>443</v>
      </c>
      <c r="AF205" s="246"/>
      <c r="AG205" s="261"/>
      <c r="AH205" s="317"/>
      <c r="AI205" s="246"/>
      <c r="AK205" s="246"/>
      <c r="AL205" s="339" t="s">
        <v>431</v>
      </c>
      <c r="AM205" s="246"/>
      <c r="AN205" s="261"/>
      <c r="AO205" s="286"/>
      <c r="AP205" s="246"/>
      <c r="AQ205" s="519" t="s">
        <v>458</v>
      </c>
      <c r="AR205" s="246"/>
      <c r="AS205" s="519" t="s">
        <v>443</v>
      </c>
      <c r="AT205" s="254" t="str">
        <f t="shared" si="38"/>
        <v/>
      </c>
      <c r="AU205" s="269"/>
      <c r="AV205" s="269"/>
    </row>
    <row r="206">
      <c r="A206" s="94"/>
      <c r="B206" s="328" t="s">
        <v>665</v>
      </c>
      <c r="C206" s="338" t="s">
        <v>1153</v>
      </c>
      <c r="D206" s="323"/>
      <c r="E206" s="261"/>
      <c r="F206" s="479"/>
      <c r="G206" s="246"/>
      <c r="I206" s="246"/>
      <c r="J206" s="688" t="s">
        <v>468</v>
      </c>
      <c r="K206" s="246"/>
      <c r="L206" s="261"/>
      <c r="M206" s="341"/>
      <c r="N206" s="246"/>
      <c r="P206" s="246"/>
      <c r="Q206" s="519" t="s">
        <v>439</v>
      </c>
      <c r="R206" s="246"/>
      <c r="S206" s="261"/>
      <c r="T206" s="341"/>
      <c r="U206" s="246"/>
      <c r="V206" s="339" t="s">
        <v>431</v>
      </c>
      <c r="W206" s="246"/>
      <c r="X206" s="519" t="s">
        <v>415</v>
      </c>
      <c r="Y206" s="246"/>
      <c r="Z206" s="261"/>
      <c r="AA206" s="341"/>
      <c r="AB206" s="246"/>
      <c r="AD206" s="246"/>
      <c r="AE206" s="339" t="s">
        <v>431</v>
      </c>
      <c r="AF206" s="246"/>
      <c r="AG206" s="261"/>
      <c r="AH206" s="320"/>
      <c r="AI206" s="246"/>
      <c r="AJ206" s="311" t="s">
        <v>1087</v>
      </c>
      <c r="AK206" s="246"/>
      <c r="AL206" s="274" t="s">
        <v>415</v>
      </c>
      <c r="AM206" s="246"/>
      <c r="AN206" s="261"/>
      <c r="AO206" s="286"/>
      <c r="AP206" s="246"/>
      <c r="AR206" s="246"/>
      <c r="AS206" s="311" t="s">
        <v>1087</v>
      </c>
      <c r="AT206" s="254" t="str">
        <f t="shared" si="38"/>
        <v/>
      </c>
      <c r="AU206" s="269"/>
      <c r="AV206" s="269"/>
    </row>
    <row r="207">
      <c r="A207" s="94"/>
      <c r="B207" s="328" t="s">
        <v>665</v>
      </c>
      <c r="C207" s="811" t="s">
        <v>1154</v>
      </c>
      <c r="D207" s="363"/>
      <c r="E207" s="259"/>
      <c r="F207" s="508"/>
      <c r="G207" s="246"/>
      <c r="H207" s="334" t="s">
        <v>450</v>
      </c>
      <c r="I207" s="246"/>
      <c r="J207" s="519" t="s">
        <v>448</v>
      </c>
      <c r="K207" s="246"/>
      <c r="L207" s="261"/>
      <c r="M207" s="341"/>
      <c r="N207" s="246"/>
      <c r="O207" s="334" t="s">
        <v>450</v>
      </c>
      <c r="P207" s="246"/>
      <c r="Q207" s="519" t="s">
        <v>443</v>
      </c>
      <c r="R207" s="246"/>
      <c r="S207" s="261"/>
      <c r="T207" s="341"/>
      <c r="U207" s="246"/>
      <c r="V207" s="280" t="s">
        <v>458</v>
      </c>
      <c r="W207" s="246"/>
      <c r="X207" s="688" t="s">
        <v>468</v>
      </c>
      <c r="Y207" s="246"/>
      <c r="Z207" s="261"/>
      <c r="AA207" s="341"/>
      <c r="AB207" s="246"/>
      <c r="AC207" s="519" t="s">
        <v>415</v>
      </c>
      <c r="AD207" s="246"/>
      <c r="AE207" s="519" t="s">
        <v>448</v>
      </c>
      <c r="AF207" s="246"/>
      <c r="AG207" s="261"/>
      <c r="AH207" s="320"/>
      <c r="AI207" s="246"/>
      <c r="AJ207" s="519" t="s">
        <v>448</v>
      </c>
      <c r="AK207" s="246"/>
      <c r="AL207" s="519" t="s">
        <v>409</v>
      </c>
      <c r="AM207" s="246"/>
      <c r="AN207" s="261"/>
      <c r="AO207" s="286"/>
      <c r="AP207" s="246"/>
      <c r="AQ207" s="606" t="s">
        <v>459</v>
      </c>
      <c r="AR207" s="246"/>
      <c r="AT207" s="254"/>
      <c r="AU207" s="269"/>
      <c r="AV207" s="269"/>
    </row>
    <row r="208">
      <c r="A208" s="94"/>
      <c r="B208" s="328" t="s">
        <v>665</v>
      </c>
      <c r="C208" s="338" t="s">
        <v>1155</v>
      </c>
      <c r="D208" s="363"/>
      <c r="E208" s="259"/>
      <c r="F208" s="508"/>
      <c r="G208" s="246"/>
      <c r="H208" s="311"/>
      <c r="I208" s="246"/>
      <c r="J208" s="519" t="s">
        <v>415</v>
      </c>
      <c r="K208" s="246"/>
      <c r="L208" s="261"/>
      <c r="M208" s="341"/>
      <c r="N208" s="246"/>
      <c r="P208" s="246"/>
      <c r="Q208" s="274" t="s">
        <v>448</v>
      </c>
      <c r="R208" s="246"/>
      <c r="S208" s="261"/>
      <c r="T208" s="341"/>
      <c r="U208" s="246"/>
      <c r="W208" s="246"/>
      <c r="X208" s="519" t="s">
        <v>448</v>
      </c>
      <c r="Y208" s="246"/>
      <c r="Z208" s="261"/>
      <c r="AA208" s="341"/>
      <c r="AB208" s="246"/>
      <c r="AC208" s="311"/>
      <c r="AD208" s="246"/>
      <c r="AF208" s="246"/>
      <c r="AG208" s="261"/>
      <c r="AH208" s="320"/>
      <c r="AI208" s="246"/>
      <c r="AJ208" s="311"/>
      <c r="AK208" s="246"/>
      <c r="AL208" s="274" t="s">
        <v>449</v>
      </c>
      <c r="AM208" s="246"/>
      <c r="AN208" s="261"/>
      <c r="AO208" s="286"/>
      <c r="AP208" s="246"/>
      <c r="AQ208" s="311"/>
      <c r="AR208" s="246"/>
      <c r="AT208" s="254"/>
      <c r="AU208" s="269"/>
      <c r="AV208" s="269"/>
    </row>
    <row r="209">
      <c r="A209" s="94"/>
      <c r="B209" s="342" t="s">
        <v>667</v>
      </c>
      <c r="C209" s="343" t="s">
        <v>657</v>
      </c>
      <c r="D209" s="351"/>
      <c r="E209" s="259"/>
      <c r="F209" s="345" t="s">
        <v>401</v>
      </c>
      <c r="G209" s="246"/>
      <c r="H209" s="282"/>
      <c r="I209" s="246"/>
      <c r="K209" s="246"/>
      <c r="L209" s="261"/>
      <c r="M209" s="346"/>
      <c r="N209" s="246"/>
      <c r="O209" s="345" t="s">
        <v>401</v>
      </c>
      <c r="P209" s="246"/>
      <c r="R209" s="246"/>
      <c r="S209" s="261"/>
      <c r="T209" s="346"/>
      <c r="U209" s="246"/>
      <c r="W209" s="246"/>
      <c r="X209" s="334" t="s">
        <v>450</v>
      </c>
      <c r="Y209" s="246"/>
      <c r="Z209" s="261"/>
      <c r="AA209" s="690"/>
      <c r="AB209" s="246"/>
      <c r="AC209" s="347" t="s">
        <v>401</v>
      </c>
      <c r="AD209" s="246"/>
      <c r="AF209" s="246"/>
      <c r="AG209" s="261"/>
      <c r="AH209" s="345" t="s">
        <v>401</v>
      </c>
      <c r="AI209" s="246"/>
      <c r="AJ209" s="311" t="s">
        <v>1115</v>
      </c>
      <c r="AK209" s="246"/>
      <c r="AM209" s="246"/>
      <c r="AN209" s="261"/>
      <c r="AO209" s="286"/>
      <c r="AP209" s="246"/>
      <c r="AQ209" s="345" t="s">
        <v>401</v>
      </c>
      <c r="AR209" s="246"/>
      <c r="AT209" s="254" t="str">
        <f t="shared" ref="AT209:AT210" si="39">IF(COUNTIF($AO$89:$AT$91, #REF!) &gt; 0, "X", "")</f>
        <v/>
      </c>
      <c r="AU209" s="269"/>
      <c r="AV209" s="269"/>
    </row>
    <row r="210">
      <c r="A210" s="94"/>
      <c r="B210" s="349" t="s">
        <v>669</v>
      </c>
      <c r="C210" s="350" t="s">
        <v>649</v>
      </c>
      <c r="D210" s="323"/>
      <c r="E210" s="259"/>
      <c r="F210" s="293" t="s">
        <v>422</v>
      </c>
      <c r="G210" s="246"/>
      <c r="H210" s="633" t="s">
        <v>420</v>
      </c>
      <c r="I210" s="246"/>
      <c r="J210" s="353" t="s">
        <v>424</v>
      </c>
      <c r="K210" s="246"/>
      <c r="L210" s="261"/>
      <c r="M210" s="354"/>
      <c r="N210" s="246"/>
      <c r="O210" s="355" t="s">
        <v>670</v>
      </c>
      <c r="P210" s="246"/>
      <c r="Q210" s="353" t="s">
        <v>426</v>
      </c>
      <c r="R210" s="246"/>
      <c r="S210" s="261"/>
      <c r="T210" s="354"/>
      <c r="U210" s="246"/>
      <c r="V210" s="355" t="s">
        <v>670</v>
      </c>
      <c r="W210" s="246"/>
      <c r="X210" s="632" t="s">
        <v>423</v>
      </c>
      <c r="Y210" s="246"/>
      <c r="Z210" s="261"/>
      <c r="AA210" s="354"/>
      <c r="AB210" s="246"/>
      <c r="AC210" s="645" t="s">
        <v>417</v>
      </c>
      <c r="AD210" s="246"/>
      <c r="AE210" s="293" t="s">
        <v>422</v>
      </c>
      <c r="AF210" s="246"/>
      <c r="AG210" s="261"/>
      <c r="AH210" s="353" t="s">
        <v>426</v>
      </c>
      <c r="AI210" s="246"/>
      <c r="AJ210" s="645" t="s">
        <v>417</v>
      </c>
      <c r="AK210" s="246"/>
      <c r="AL210" s="293" t="s">
        <v>422</v>
      </c>
      <c r="AM210" s="246"/>
      <c r="AN210" s="261"/>
      <c r="AO210" s="286"/>
      <c r="AP210" s="246"/>
      <c r="AQ210" s="645" t="s">
        <v>417</v>
      </c>
      <c r="AR210" s="246"/>
      <c r="AS210" s="353" t="s">
        <v>422</v>
      </c>
      <c r="AT210" s="254" t="str">
        <f t="shared" si="39"/>
        <v/>
      </c>
      <c r="AU210" s="269"/>
      <c r="AV210" s="269"/>
    </row>
    <row r="211">
      <c r="A211" s="94"/>
      <c r="B211" s="807" t="s">
        <v>1156</v>
      </c>
      <c r="C211" s="808" t="s">
        <v>649</v>
      </c>
      <c r="D211" s="330"/>
      <c r="E211" s="259"/>
      <c r="F211" s="848"/>
      <c r="G211" s="246"/>
      <c r="H211" s="813" t="s">
        <v>1157</v>
      </c>
      <c r="I211" s="246"/>
      <c r="J211" s="848"/>
      <c r="K211" s="246"/>
      <c r="L211" s="261"/>
      <c r="M211" s="354"/>
      <c r="N211" s="246"/>
      <c r="O211" s="645" t="s">
        <v>417</v>
      </c>
      <c r="P211" s="246"/>
      <c r="Q211" s="848"/>
      <c r="R211" s="246"/>
      <c r="S211" s="261"/>
      <c r="T211" s="354"/>
      <c r="U211" s="246"/>
      <c r="V211" s="645" t="s">
        <v>417</v>
      </c>
      <c r="W211" s="246"/>
      <c r="X211" s="848"/>
      <c r="Y211" s="246"/>
      <c r="Z211" s="261"/>
      <c r="AA211" s="354"/>
      <c r="AB211" s="246"/>
      <c r="AC211" s="813" t="s">
        <v>1157</v>
      </c>
      <c r="AD211" s="246"/>
      <c r="AE211" s="848"/>
      <c r="AF211" s="246"/>
      <c r="AG211" s="261"/>
      <c r="AH211" s="848"/>
      <c r="AI211" s="246"/>
      <c r="AJ211" s="848"/>
      <c r="AK211" s="246"/>
      <c r="AL211" s="848"/>
      <c r="AM211" s="246"/>
      <c r="AN211" s="261"/>
      <c r="AO211" s="286"/>
      <c r="AP211" s="246"/>
      <c r="AQ211" s="848"/>
      <c r="AR211" s="246"/>
      <c r="AS211" s="848"/>
      <c r="AT211" s="254"/>
      <c r="AU211" s="269"/>
      <c r="AV211" s="269"/>
    </row>
    <row r="212">
      <c r="A212" s="234"/>
      <c r="B212" s="296" t="s">
        <v>650</v>
      </c>
      <c r="C212" s="297" t="s">
        <v>649</v>
      </c>
      <c r="D212" s="330"/>
      <c r="E212" s="259"/>
      <c r="F212" s="299"/>
      <c r="G212" s="298"/>
      <c r="H212" s="649" t="s">
        <v>397</v>
      </c>
      <c r="I212" s="298"/>
      <c r="J212" s="358"/>
      <c r="K212" s="298"/>
      <c r="L212" s="261"/>
      <c r="M212" s="324"/>
      <c r="N212" s="298"/>
      <c r="O212" s="649" t="s">
        <v>397</v>
      </c>
      <c r="P212" s="298"/>
      <c r="Q212" s="319"/>
      <c r="R212" s="298"/>
      <c r="S212" s="261"/>
      <c r="T212" s="324"/>
      <c r="U212" s="298"/>
      <c r="V212" s="649" t="s">
        <v>397</v>
      </c>
      <c r="W212" s="298"/>
      <c r="X212" s="300"/>
      <c r="Y212" s="298"/>
      <c r="Z212" s="261"/>
      <c r="AA212" s="324"/>
      <c r="AB212" s="298"/>
      <c r="AC212" s="649" t="s">
        <v>397</v>
      </c>
      <c r="AD212" s="298"/>
      <c r="AE212" s="319"/>
      <c r="AF212" s="298"/>
      <c r="AG212" s="261"/>
      <c r="AH212" s="359"/>
      <c r="AI212" s="298"/>
      <c r="AJ212" s="649" t="s">
        <v>397</v>
      </c>
      <c r="AK212" s="298"/>
      <c r="AL212" s="319"/>
      <c r="AM212" s="298"/>
      <c r="AN212" s="261"/>
      <c r="AO212" s="286"/>
      <c r="AP212" s="298"/>
      <c r="AQ212" s="359"/>
      <c r="AR212" s="298"/>
      <c r="AS212" s="359"/>
      <c r="AT212" s="254" t="str">
        <f t="shared" ref="AT212:AT218" si="40">IF(COUNTIF($AO$89:$AT$91, #REF!) &gt; 0, "X", "")</f>
        <v/>
      </c>
      <c r="AU212" s="269"/>
      <c r="AV212" s="269"/>
    </row>
    <row r="213">
      <c r="A213" s="94"/>
      <c r="B213" s="301" t="s">
        <v>651</v>
      </c>
      <c r="C213" s="302" t="s">
        <v>652</v>
      </c>
      <c r="D213" s="363"/>
      <c r="E213" s="259"/>
      <c r="F213" s="303"/>
      <c r="G213" s="298"/>
      <c r="H213" s="304"/>
      <c r="I213" s="298"/>
      <c r="J213" s="303"/>
      <c r="K213" s="298"/>
      <c r="L213" s="261"/>
      <c r="M213" s="250"/>
      <c r="N213" s="298"/>
      <c r="O213" s="303"/>
      <c r="P213" s="298"/>
      <c r="Q213" s="303"/>
      <c r="R213" s="298"/>
      <c r="S213" s="261"/>
      <c r="T213" s="250"/>
      <c r="U213" s="298"/>
      <c r="V213" s="303"/>
      <c r="W213" s="298"/>
      <c r="X213" s="303"/>
      <c r="Y213" s="298"/>
      <c r="Z213" s="261"/>
      <c r="AA213" s="250"/>
      <c r="AB213" s="298"/>
      <c r="AC213" s="304"/>
      <c r="AD213" s="298"/>
      <c r="AE213" s="303"/>
      <c r="AF213" s="298"/>
      <c r="AG213" s="261"/>
      <c r="AH213" s="303"/>
      <c r="AI213" s="298"/>
      <c r="AJ213" s="304"/>
      <c r="AK213" s="298"/>
      <c r="AL213" s="484"/>
      <c r="AM213" s="298"/>
      <c r="AN213" s="261"/>
      <c r="AO213" s="286"/>
      <c r="AP213" s="298"/>
      <c r="AQ213" s="303"/>
      <c r="AR213" s="298"/>
      <c r="AS213" s="303"/>
      <c r="AT213" s="254" t="str">
        <f t="shared" si="40"/>
        <v/>
      </c>
      <c r="AU213" s="269"/>
      <c r="AV213" s="269"/>
    </row>
    <row r="214">
      <c r="A214" s="94"/>
      <c r="B214" s="361" t="s">
        <v>673</v>
      </c>
      <c r="C214" s="362" t="s">
        <v>674</v>
      </c>
      <c r="D214" s="369"/>
      <c r="E214" s="259"/>
      <c r="F214" s="519" t="s">
        <v>443</v>
      </c>
      <c r="G214" s="298"/>
      <c r="H214" s="336" t="s">
        <v>412</v>
      </c>
      <c r="I214" s="298"/>
      <c r="J214" s="660" t="s">
        <v>433</v>
      </c>
      <c r="K214" s="298"/>
      <c r="L214" s="261"/>
      <c r="M214" s="324"/>
      <c r="N214" s="298"/>
      <c r="O214" s="336" t="s">
        <v>412</v>
      </c>
      <c r="P214" s="298"/>
      <c r="Q214" s="606" t="s">
        <v>394</v>
      </c>
      <c r="R214" s="298"/>
      <c r="S214" s="261"/>
      <c r="T214" s="324"/>
      <c r="U214" s="298"/>
      <c r="V214" s="336" t="s">
        <v>412</v>
      </c>
      <c r="W214" s="298"/>
      <c r="X214" s="660" t="s">
        <v>457</v>
      </c>
      <c r="Y214" s="298"/>
      <c r="Z214" s="261"/>
      <c r="AA214" s="324"/>
      <c r="AB214" s="298"/>
      <c r="AC214" s="336" t="s">
        <v>412</v>
      </c>
      <c r="AD214" s="298"/>
      <c r="AE214" s="251" t="s">
        <v>457</v>
      </c>
      <c r="AF214" s="298"/>
      <c r="AG214" s="261"/>
      <c r="AH214" s="251" t="s">
        <v>457</v>
      </c>
      <c r="AI214" s="298"/>
      <c r="AJ214" s="336" t="s">
        <v>412</v>
      </c>
      <c r="AK214" s="298"/>
      <c r="AL214" s="606" t="s">
        <v>394</v>
      </c>
      <c r="AM214" s="298"/>
      <c r="AN214" s="261"/>
      <c r="AO214" s="286"/>
      <c r="AP214" s="298"/>
      <c r="AQ214" s="251" t="s">
        <v>457</v>
      </c>
      <c r="AR214" s="298"/>
      <c r="AS214" s="311" t="s">
        <v>394</v>
      </c>
      <c r="AT214" s="254" t="str">
        <f t="shared" si="40"/>
        <v/>
      </c>
      <c r="AU214" s="269"/>
      <c r="AV214" s="269"/>
    </row>
    <row r="215">
      <c r="A215" s="94"/>
      <c r="B215" s="367" t="s">
        <v>677</v>
      </c>
      <c r="C215" s="368" t="s">
        <v>674</v>
      </c>
      <c r="D215" s="330"/>
      <c r="E215" s="259"/>
      <c r="F215" s="282"/>
      <c r="G215" s="246"/>
      <c r="H215" s="282"/>
      <c r="I215" s="246"/>
      <c r="K215" s="246"/>
      <c r="L215" s="261"/>
      <c r="M215" s="250"/>
      <c r="N215" s="246"/>
      <c r="O215" s="282"/>
      <c r="P215" s="246"/>
      <c r="R215" s="246"/>
      <c r="S215" s="261"/>
      <c r="T215" s="250"/>
      <c r="U215" s="246"/>
      <c r="W215" s="246"/>
      <c r="Y215" s="246"/>
      <c r="Z215" s="261"/>
      <c r="AA215" s="250"/>
      <c r="AB215" s="246"/>
      <c r="AD215" s="246"/>
      <c r="AE215" s="688" t="s">
        <v>931</v>
      </c>
      <c r="AF215" s="246"/>
      <c r="AG215" s="261"/>
      <c r="AH215" s="371"/>
      <c r="AI215" s="246"/>
      <c r="AK215" s="246"/>
      <c r="AM215" s="246"/>
      <c r="AN215" s="261"/>
      <c r="AO215" s="286"/>
      <c r="AP215" s="246"/>
      <c r="AR215" s="246"/>
      <c r="AT215" s="254" t="str">
        <f t="shared" si="40"/>
        <v/>
      </c>
      <c r="AU215" s="269"/>
      <c r="AV215" s="269"/>
    </row>
    <row r="216">
      <c r="A216" s="94"/>
      <c r="B216" s="256" t="s">
        <v>679</v>
      </c>
      <c r="C216" s="257" t="s">
        <v>680</v>
      </c>
      <c r="D216" s="330"/>
      <c r="E216" s="259"/>
      <c r="F216" s="519" t="s">
        <v>437</v>
      </c>
      <c r="G216" s="246"/>
      <c r="H216" s="374" t="s">
        <v>436</v>
      </c>
      <c r="I216" s="246"/>
      <c r="J216" s="688" t="s">
        <v>931</v>
      </c>
      <c r="K216" s="246"/>
      <c r="L216" s="261"/>
      <c r="M216" s="333"/>
      <c r="N216" s="246"/>
      <c r="O216" s="374" t="s">
        <v>436</v>
      </c>
      <c r="P216" s="246"/>
      <c r="Q216" s="688" t="s">
        <v>468</v>
      </c>
      <c r="R216" s="246"/>
      <c r="S216" s="261"/>
      <c r="T216" s="333"/>
      <c r="U216" s="246"/>
      <c r="V216" s="606" t="s">
        <v>436</v>
      </c>
      <c r="W216" s="246"/>
      <c r="X216" s="660" t="s">
        <v>433</v>
      </c>
      <c r="Y216" s="246"/>
      <c r="Z216" s="261"/>
      <c r="AA216" s="333"/>
      <c r="AB216" s="246"/>
      <c r="AC216" s="519" t="s">
        <v>406</v>
      </c>
      <c r="AD216" s="246"/>
      <c r="AE216" s="365" t="s">
        <v>433</v>
      </c>
      <c r="AF216" s="246"/>
      <c r="AG216" s="261"/>
      <c r="AH216" s="519" t="s">
        <v>437</v>
      </c>
      <c r="AI216" s="246"/>
      <c r="AJ216" s="519" t="s">
        <v>406</v>
      </c>
      <c r="AK216" s="246"/>
      <c r="AL216" s="688" t="s">
        <v>468</v>
      </c>
      <c r="AM216" s="246"/>
      <c r="AN216" s="261"/>
      <c r="AO216" s="286"/>
      <c r="AP216" s="246"/>
      <c r="AQ216" s="311" t="s">
        <v>436</v>
      </c>
      <c r="AR216" s="246"/>
      <c r="AS216" s="660" t="s">
        <v>433</v>
      </c>
      <c r="AT216" s="254" t="str">
        <f t="shared" si="40"/>
        <v/>
      </c>
      <c r="AU216" s="269"/>
      <c r="AV216" s="269"/>
    </row>
    <row r="217">
      <c r="A217" s="372"/>
      <c r="B217" s="328" t="s">
        <v>679</v>
      </c>
      <c r="C217" s="329" t="s">
        <v>652</v>
      </c>
      <c r="D217" s="330"/>
      <c r="E217" s="259"/>
      <c r="G217" s="246"/>
      <c r="I217" s="246"/>
      <c r="K217" s="246"/>
      <c r="L217" s="261"/>
      <c r="M217" s="346"/>
      <c r="N217" s="246"/>
      <c r="P217" s="246"/>
      <c r="Q217" s="688" t="s">
        <v>931</v>
      </c>
      <c r="R217" s="246"/>
      <c r="S217" s="261"/>
      <c r="T217" s="346"/>
      <c r="U217" s="246"/>
      <c r="V217" s="274" t="s">
        <v>439</v>
      </c>
      <c r="W217" s="246"/>
      <c r="X217" s="688" t="s">
        <v>931</v>
      </c>
      <c r="Y217" s="246"/>
      <c r="Z217" s="261"/>
      <c r="AA217" s="346"/>
      <c r="AB217" s="246"/>
      <c r="AD217" s="246"/>
      <c r="AE217" s="282"/>
      <c r="AF217" s="246"/>
      <c r="AG217" s="261"/>
      <c r="AH217" s="371"/>
      <c r="AI217" s="246"/>
      <c r="AK217" s="246"/>
      <c r="AL217" s="688" t="s">
        <v>931</v>
      </c>
      <c r="AM217" s="246"/>
      <c r="AN217" s="261"/>
      <c r="AO217" s="286"/>
      <c r="AP217" s="246"/>
      <c r="AR217" s="246"/>
      <c r="AT217" s="254" t="str">
        <f t="shared" si="40"/>
        <v/>
      </c>
      <c r="AU217" s="269"/>
      <c r="AV217" s="269"/>
    </row>
    <row r="218">
      <c r="A218" s="94"/>
      <c r="B218" s="328" t="s">
        <v>679</v>
      </c>
      <c r="C218" s="329" t="s">
        <v>683</v>
      </c>
      <c r="D218" s="379"/>
      <c r="E218" s="380"/>
      <c r="F218" s="602" t="s">
        <v>466</v>
      </c>
      <c r="G218" s="246"/>
      <c r="H218" s="334" t="s">
        <v>398</v>
      </c>
      <c r="I218" s="246"/>
      <c r="K218" s="246"/>
      <c r="L218" s="261"/>
      <c r="M218" s="341"/>
      <c r="N218" s="246"/>
      <c r="O218" s="274" t="s">
        <v>406</v>
      </c>
      <c r="P218" s="246"/>
      <c r="R218" s="246"/>
      <c r="S218" s="261"/>
      <c r="T218" s="341"/>
      <c r="U218" s="246"/>
      <c r="W218" s="246"/>
      <c r="Y218" s="246"/>
      <c r="Z218" s="261"/>
      <c r="AA218" s="341"/>
      <c r="AB218" s="246"/>
      <c r="AC218" s="274" t="s">
        <v>439</v>
      </c>
      <c r="AD218" s="246"/>
      <c r="AF218" s="246"/>
      <c r="AG218" s="261"/>
      <c r="AH218" s="660" t="s">
        <v>433</v>
      </c>
      <c r="AI218" s="246"/>
      <c r="AJ218" s="374" t="s">
        <v>436</v>
      </c>
      <c r="AK218" s="246"/>
      <c r="AM218" s="246"/>
      <c r="AN218" s="261"/>
      <c r="AO218" s="286"/>
      <c r="AP218" s="246"/>
      <c r="AQ218" s="519" t="s">
        <v>406</v>
      </c>
      <c r="AR218" s="246"/>
      <c r="AT218" s="254" t="str">
        <f t="shared" si="40"/>
        <v/>
      </c>
      <c r="AU218" s="269"/>
      <c r="AV218" s="269"/>
    </row>
    <row r="219">
      <c r="A219" s="94"/>
      <c r="B219" s="328" t="s">
        <v>679</v>
      </c>
      <c r="C219" s="338" t="s">
        <v>1158</v>
      </c>
      <c r="D219" s="729"/>
      <c r="E219" s="380"/>
      <c r="G219" s="246"/>
      <c r="H219" s="730"/>
      <c r="I219" s="246"/>
      <c r="J219" s="519" t="s">
        <v>414</v>
      </c>
      <c r="K219" s="246"/>
      <c r="L219" s="261"/>
      <c r="M219" s="341"/>
      <c r="N219" s="246"/>
      <c r="P219" s="246"/>
      <c r="R219" s="246"/>
      <c r="S219" s="261"/>
      <c r="T219" s="341"/>
      <c r="U219" s="246"/>
      <c r="W219" s="246"/>
      <c r="X219" s="606" t="s">
        <v>394</v>
      </c>
      <c r="Y219" s="246"/>
      <c r="Z219" s="261"/>
      <c r="AA219" s="341"/>
      <c r="AB219" s="246"/>
      <c r="AD219" s="246"/>
      <c r="AE219" s="688" t="s">
        <v>468</v>
      </c>
      <c r="AF219" s="246"/>
      <c r="AG219" s="261"/>
      <c r="AH219" s="371"/>
      <c r="AI219" s="246"/>
      <c r="AK219" s="246"/>
      <c r="AL219" s="519" t="s">
        <v>443</v>
      </c>
      <c r="AM219" s="246"/>
      <c r="AN219" s="261"/>
      <c r="AO219" s="286"/>
      <c r="AP219" s="246"/>
      <c r="AR219" s="246"/>
      <c r="AS219" s="334" t="s">
        <v>398</v>
      </c>
      <c r="AT219" s="254"/>
      <c r="AU219" s="269"/>
      <c r="AV219" s="269"/>
    </row>
    <row r="220">
      <c r="A220" s="94"/>
      <c r="B220" s="328"/>
      <c r="C220" s="329"/>
      <c r="D220" s="729"/>
      <c r="E220" s="380"/>
      <c r="G220" s="246"/>
      <c r="H220" s="730"/>
      <c r="I220" s="246"/>
      <c r="K220" s="246"/>
      <c r="L220" s="261"/>
      <c r="M220" s="341"/>
      <c r="N220" s="246"/>
      <c r="O220" s="282"/>
      <c r="P220" s="246"/>
      <c r="R220" s="246"/>
      <c r="S220" s="261"/>
      <c r="T220" s="341"/>
      <c r="U220" s="246"/>
      <c r="W220" s="246"/>
      <c r="Y220" s="246"/>
      <c r="Z220" s="261"/>
      <c r="AA220" s="341"/>
      <c r="AB220" s="246"/>
      <c r="AD220" s="246"/>
      <c r="AE220" s="730"/>
      <c r="AF220" s="246"/>
      <c r="AG220" s="261"/>
      <c r="AH220" s="371"/>
      <c r="AI220" s="246"/>
      <c r="AK220" s="246"/>
      <c r="AM220" s="246"/>
      <c r="AN220" s="261"/>
      <c r="AO220" s="286"/>
      <c r="AP220" s="246"/>
      <c r="AQ220" s="282"/>
      <c r="AR220" s="246"/>
      <c r="AT220" s="254"/>
      <c r="AU220" s="269"/>
      <c r="AV220" s="269"/>
    </row>
    <row r="221">
      <c r="A221" s="94"/>
      <c r="B221" s="377" t="s">
        <v>684</v>
      </c>
      <c r="C221" s="378" t="s">
        <v>685</v>
      </c>
      <c r="D221" s="363"/>
      <c r="E221" s="259"/>
      <c r="G221" s="246"/>
      <c r="I221" s="246"/>
      <c r="J221" s="606" t="s">
        <v>410</v>
      </c>
      <c r="K221" s="246"/>
      <c r="L221" s="381"/>
      <c r="M221" s="341"/>
      <c r="N221" s="246"/>
      <c r="P221" s="246"/>
      <c r="Q221" s="606" t="s">
        <v>455</v>
      </c>
      <c r="R221" s="246"/>
      <c r="S221" s="381"/>
      <c r="T221" s="341"/>
      <c r="U221" s="246"/>
      <c r="V221" s="820" t="s">
        <v>406</v>
      </c>
      <c r="W221" s="246"/>
      <c r="Y221" s="246"/>
      <c r="Z221" s="381"/>
      <c r="AA221" s="341"/>
      <c r="AB221" s="246"/>
      <c r="AD221" s="246"/>
      <c r="AE221" s="821" t="s">
        <v>405</v>
      </c>
      <c r="AF221" s="246"/>
      <c r="AG221" s="381"/>
      <c r="AH221" s="371"/>
      <c r="AI221" s="246"/>
      <c r="AK221" s="246"/>
      <c r="AL221" s="606" t="s">
        <v>455</v>
      </c>
      <c r="AM221" s="246"/>
      <c r="AN221" s="381"/>
      <c r="AO221" s="286"/>
      <c r="AP221" s="246"/>
      <c r="AQ221" s="282"/>
      <c r="AR221" s="246"/>
      <c r="AT221" s="254" t="str">
        <f t="shared" ref="AT221:AT224" si="41">IF(COUNTIF($AO$89:$AT$91, #REF!) &gt; 0, "X", "")</f>
        <v/>
      </c>
      <c r="AU221" s="269"/>
      <c r="AV221" s="269"/>
    </row>
    <row r="222">
      <c r="A222" s="270"/>
      <c r="B222" s="382" t="s">
        <v>686</v>
      </c>
      <c r="C222" s="242" t="s">
        <v>652</v>
      </c>
      <c r="D222" s="330"/>
      <c r="E222" s="259"/>
      <c r="F222" s="602" t="s">
        <v>453</v>
      </c>
      <c r="G222" s="246"/>
      <c r="H222" s="251" t="s">
        <v>435</v>
      </c>
      <c r="I222" s="246"/>
      <c r="J222" s="660" t="s">
        <v>429</v>
      </c>
      <c r="K222" s="246"/>
      <c r="L222" s="261"/>
      <c r="M222" s="341"/>
      <c r="N222" s="246"/>
      <c r="O222" s="385" t="s">
        <v>428</v>
      </c>
      <c r="P222" s="246"/>
      <c r="Q222" s="660" t="s">
        <v>429</v>
      </c>
      <c r="R222" s="246"/>
      <c r="S222" s="261"/>
      <c r="T222" s="341"/>
      <c r="U222" s="246"/>
      <c r="V222" s="660" t="s">
        <v>435</v>
      </c>
      <c r="W222" s="246"/>
      <c r="X222" s="660" t="s">
        <v>429</v>
      </c>
      <c r="Y222" s="246"/>
      <c r="Z222" s="261"/>
      <c r="AA222" s="341"/>
      <c r="AB222" s="246"/>
      <c r="AC222" s="251" t="s">
        <v>435</v>
      </c>
      <c r="AD222" s="246"/>
      <c r="AE222" s="602" t="s">
        <v>453</v>
      </c>
      <c r="AF222" s="246"/>
      <c r="AG222" s="261"/>
      <c r="AH222" s="602" t="s">
        <v>453</v>
      </c>
      <c r="AI222" s="246"/>
      <c r="AJ222" s="251" t="s">
        <v>435</v>
      </c>
      <c r="AK222" s="246"/>
      <c r="AL222" s="660" t="s">
        <v>429</v>
      </c>
      <c r="AM222" s="246"/>
      <c r="AN222" s="261"/>
      <c r="AO222" s="286"/>
      <c r="AP222" s="246"/>
      <c r="AQ222" s="602" t="s">
        <v>453</v>
      </c>
      <c r="AR222" s="246"/>
      <c r="AS222" s="660" t="s">
        <v>429</v>
      </c>
      <c r="AT222" s="254" t="str">
        <f t="shared" si="41"/>
        <v/>
      </c>
      <c r="AU222" s="269"/>
      <c r="AV222" s="269"/>
    </row>
    <row r="223">
      <c r="A223" s="234"/>
      <c r="B223" s="337" t="s">
        <v>686</v>
      </c>
      <c r="C223" s="338" t="s">
        <v>687</v>
      </c>
      <c r="D223" s="330"/>
      <c r="E223" s="259"/>
      <c r="F223" s="282"/>
      <c r="G223" s="246"/>
      <c r="H223" s="385" t="s">
        <v>428</v>
      </c>
      <c r="I223" s="246"/>
      <c r="J223" s="606" t="s">
        <v>455</v>
      </c>
      <c r="K223" s="246"/>
      <c r="L223" s="261"/>
      <c r="M223" s="250"/>
      <c r="N223" s="246"/>
      <c r="O223" s="602" t="s">
        <v>453</v>
      </c>
      <c r="P223" s="246"/>
      <c r="R223" s="246"/>
      <c r="S223" s="261"/>
      <c r="T223" s="250"/>
      <c r="U223" s="246"/>
      <c r="V223" s="383" t="s">
        <v>428</v>
      </c>
      <c r="W223" s="246"/>
      <c r="X223" s="606" t="s">
        <v>455</v>
      </c>
      <c r="Y223" s="246"/>
      <c r="Z223" s="261"/>
      <c r="AA223" s="250"/>
      <c r="AB223" s="246"/>
      <c r="AC223" s="840" t="s">
        <v>428</v>
      </c>
      <c r="AD223" s="246"/>
      <c r="AE223" s="251" t="s">
        <v>429</v>
      </c>
      <c r="AF223" s="246"/>
      <c r="AG223" s="261"/>
      <c r="AH223" s="371"/>
      <c r="AI223" s="246"/>
      <c r="AJ223" s="385" t="s">
        <v>428</v>
      </c>
      <c r="AK223" s="246"/>
      <c r="AM223" s="246"/>
      <c r="AN223" s="261"/>
      <c r="AO223" s="286"/>
      <c r="AP223" s="246"/>
      <c r="AQ223" s="251" t="s">
        <v>435</v>
      </c>
      <c r="AR223" s="246"/>
      <c r="AS223" s="606" t="s">
        <v>455</v>
      </c>
      <c r="AT223" s="254" t="str">
        <f t="shared" si="41"/>
        <v/>
      </c>
      <c r="AU223" s="269"/>
      <c r="AV223" s="269"/>
    </row>
    <row r="224">
      <c r="A224" s="94"/>
      <c r="B224" s="337" t="s">
        <v>688</v>
      </c>
      <c r="C224" s="285" t="s">
        <v>687</v>
      </c>
      <c r="D224" s="389"/>
      <c r="E224" s="259"/>
      <c r="F224" s="265"/>
      <c r="G224" s="246"/>
      <c r="H224" s="265"/>
      <c r="I224" s="246"/>
      <c r="J224" s="265"/>
      <c r="K224" s="246"/>
      <c r="L224" s="261"/>
      <c r="M224" s="262"/>
      <c r="N224" s="246"/>
      <c r="O224" s="265"/>
      <c r="P224" s="246"/>
      <c r="Q224" s="265"/>
      <c r="R224" s="246"/>
      <c r="S224" s="261"/>
      <c r="T224" s="262"/>
      <c r="U224" s="246"/>
      <c r="W224" s="246"/>
      <c r="X224" s="519" t="s">
        <v>437</v>
      </c>
      <c r="Y224" s="246"/>
      <c r="Z224" s="261"/>
      <c r="AA224" s="262"/>
      <c r="AB224" s="246"/>
      <c r="AC224" s="265"/>
      <c r="AD224" s="246"/>
      <c r="AF224" s="246"/>
      <c r="AG224" s="261"/>
      <c r="AH224" s="371"/>
      <c r="AI224" s="246"/>
      <c r="AK224" s="246"/>
      <c r="AL224" s="265"/>
      <c r="AM224" s="246"/>
      <c r="AN224" s="261"/>
      <c r="AO224" s="386"/>
      <c r="AP224" s="246"/>
      <c r="AQ224" s="265"/>
      <c r="AR224" s="246"/>
      <c r="AS224" s="265"/>
      <c r="AT224" s="254" t="str">
        <f t="shared" si="41"/>
        <v/>
      </c>
      <c r="AU224" s="269"/>
      <c r="AV224" s="269"/>
    </row>
    <row r="225">
      <c r="A225" s="94"/>
      <c r="B225" s="387" t="s">
        <v>690</v>
      </c>
      <c r="C225" s="388" t="s">
        <v>649</v>
      </c>
      <c r="D225" s="323"/>
      <c r="E225" s="259"/>
      <c r="F225" s="390"/>
      <c r="G225" s="246"/>
      <c r="H225" s="390"/>
      <c r="I225" s="246"/>
      <c r="J225" s="390"/>
      <c r="K225" s="246"/>
      <c r="L225" s="261"/>
      <c r="M225" s="250"/>
      <c r="N225" s="246"/>
      <c r="O225" s="357" t="s">
        <v>420</v>
      </c>
      <c r="P225" s="246"/>
      <c r="Q225" s="390"/>
      <c r="R225" s="246"/>
      <c r="S225" s="261"/>
      <c r="T225" s="250"/>
      <c r="U225" s="246"/>
      <c r="V225" s="357" t="s">
        <v>420</v>
      </c>
      <c r="W225" s="246"/>
      <c r="X225" s="390"/>
      <c r="Y225" s="246"/>
      <c r="Z225" s="261"/>
      <c r="AA225" s="250"/>
      <c r="AB225" s="246"/>
      <c r="AC225" s="390"/>
      <c r="AD225" s="246"/>
      <c r="AE225" s="390"/>
      <c r="AF225" s="246"/>
      <c r="AG225" s="261"/>
      <c r="AH225" s="390"/>
      <c r="AI225" s="246"/>
      <c r="AJ225" s="390"/>
      <c r="AK225" s="246"/>
      <c r="AL225" s="390"/>
      <c r="AM225" s="246"/>
      <c r="AN225" s="261"/>
      <c r="AO225" s="279"/>
      <c r="AP225" s="246"/>
      <c r="AQ225" s="390"/>
      <c r="AR225" s="246"/>
      <c r="AS225" s="390"/>
      <c r="AT225" s="254" t="str">
        <f t="shared" ref="AT225:AT232" si="42">IF(COUNTIF($AO$89:$AT$91, AS226) &gt; 0, "X", "")</f>
        <v/>
      </c>
      <c r="AU225" s="269"/>
      <c r="AV225" s="269"/>
    </row>
    <row r="226">
      <c r="A226" s="94"/>
      <c r="B226" s="296" t="s">
        <v>650</v>
      </c>
      <c r="C226" s="297" t="s">
        <v>649</v>
      </c>
      <c r="D226" s="323"/>
      <c r="E226" s="261"/>
      <c r="F226" s="300"/>
      <c r="G226" s="246"/>
      <c r="H226" s="319"/>
      <c r="I226" s="246"/>
      <c r="J226" s="300"/>
      <c r="K226" s="246"/>
      <c r="L226" s="261"/>
      <c r="M226" s="250"/>
      <c r="N226" s="246"/>
      <c r="O226" s="300"/>
      <c r="P226" s="246"/>
      <c r="Q226" s="300"/>
      <c r="R226" s="246"/>
      <c r="S226" s="261"/>
      <c r="T226" s="250"/>
      <c r="U226" s="246"/>
      <c r="V226" s="300"/>
      <c r="W226" s="246"/>
      <c r="X226" s="300"/>
      <c r="Y226" s="246"/>
      <c r="Z226" s="261"/>
      <c r="AA226" s="250"/>
      <c r="AB226" s="246"/>
      <c r="AC226" s="300"/>
      <c r="AD226" s="246"/>
      <c r="AE226" s="300"/>
      <c r="AF226" s="246"/>
      <c r="AG226" s="261"/>
      <c r="AH226" s="300"/>
      <c r="AI226" s="246"/>
      <c r="AJ226" s="300"/>
      <c r="AK226" s="246"/>
      <c r="AL226" s="300"/>
      <c r="AM226" s="246"/>
      <c r="AN226" s="261"/>
      <c r="AO226" s="250"/>
      <c r="AP226" s="246"/>
      <c r="AQ226" s="300"/>
      <c r="AR226" s="246"/>
      <c r="AS226" s="300"/>
      <c r="AT226" s="254" t="str">
        <f t="shared" si="42"/>
        <v/>
      </c>
      <c r="AU226" s="269"/>
      <c r="AV226" s="269"/>
    </row>
    <row r="227">
      <c r="A227" s="94"/>
      <c r="B227" s="301" t="s">
        <v>651</v>
      </c>
      <c r="C227" s="391" t="s">
        <v>652</v>
      </c>
      <c r="D227" s="323"/>
      <c r="E227" s="259"/>
      <c r="F227" s="304"/>
      <c r="G227" s="246"/>
      <c r="H227" s="304"/>
      <c r="I227" s="246"/>
      <c r="J227" s="304"/>
      <c r="K227" s="246"/>
      <c r="L227" s="261"/>
      <c r="M227" s="250"/>
      <c r="N227" s="246"/>
      <c r="O227" s="304"/>
      <c r="P227" s="246"/>
      <c r="Q227" s="304"/>
      <c r="R227" s="246"/>
      <c r="S227" s="261"/>
      <c r="T227" s="250"/>
      <c r="U227" s="246"/>
      <c r="V227" s="304"/>
      <c r="W227" s="246"/>
      <c r="X227" s="304"/>
      <c r="Y227" s="246"/>
      <c r="Z227" s="261"/>
      <c r="AA227" s="250"/>
      <c r="AB227" s="246"/>
      <c r="AC227" s="304"/>
      <c r="AD227" s="246"/>
      <c r="AE227" s="304"/>
      <c r="AF227" s="246"/>
      <c r="AG227" s="261"/>
      <c r="AH227" s="304"/>
      <c r="AI227" s="246"/>
      <c r="AJ227" s="304"/>
      <c r="AK227" s="246"/>
      <c r="AL227" s="304"/>
      <c r="AM227" s="246"/>
      <c r="AN227" s="261"/>
      <c r="AO227" s="250"/>
      <c r="AP227" s="246"/>
      <c r="AQ227" s="304"/>
      <c r="AR227" s="246"/>
      <c r="AS227" s="304"/>
      <c r="AT227" s="254" t="str">
        <f t="shared" si="42"/>
        <v/>
      </c>
      <c r="AU227" s="269"/>
      <c r="AV227" s="269"/>
    </row>
    <row r="228">
      <c r="A228" s="94"/>
      <c r="B228" s="392" t="s">
        <v>691</v>
      </c>
      <c r="C228" s="393" t="s">
        <v>652</v>
      </c>
      <c r="D228" s="330"/>
      <c r="E228" s="259"/>
      <c r="F228" s="307"/>
      <c r="G228" s="246"/>
      <c r="H228" s="307"/>
      <c r="I228" s="246"/>
      <c r="J228" s="307"/>
      <c r="K228" s="246"/>
      <c r="L228" s="261"/>
      <c r="M228" s="250"/>
      <c r="N228" s="246"/>
      <c r="O228" s="606" t="s">
        <v>438</v>
      </c>
      <c r="P228" s="246"/>
      <c r="Q228" s="307"/>
      <c r="R228" s="246"/>
      <c r="S228" s="261"/>
      <c r="T228" s="250"/>
      <c r="U228" s="246"/>
      <c r="V228" s="334" t="s">
        <v>398</v>
      </c>
      <c r="W228" s="246"/>
      <c r="X228" s="307"/>
      <c r="Y228" s="246"/>
      <c r="Z228" s="261"/>
      <c r="AA228" s="250"/>
      <c r="AB228" s="246"/>
      <c r="AC228" s="307"/>
      <c r="AD228" s="246"/>
      <c r="AE228" s="307"/>
      <c r="AF228" s="246"/>
      <c r="AG228" s="261"/>
      <c r="AH228" s="307"/>
      <c r="AI228" s="246"/>
      <c r="AJ228" s="307"/>
      <c r="AK228" s="246"/>
      <c r="AL228" s="307"/>
      <c r="AM228" s="246"/>
      <c r="AN228" s="261"/>
      <c r="AO228" s="250"/>
      <c r="AP228" s="246"/>
      <c r="AQ228" s="307"/>
      <c r="AR228" s="246"/>
      <c r="AS228" s="307"/>
      <c r="AT228" s="254" t="str">
        <f t="shared" si="42"/>
        <v/>
      </c>
      <c r="AU228" s="269"/>
      <c r="AV228" s="269"/>
    </row>
    <row r="229">
      <c r="A229" s="94"/>
      <c r="B229" s="328" t="s">
        <v>692</v>
      </c>
      <c r="C229" s="329" t="s">
        <v>652</v>
      </c>
      <c r="D229" s="369"/>
      <c r="E229" s="259"/>
      <c r="F229" s="371"/>
      <c r="G229" s="246"/>
      <c r="H229" s="371"/>
      <c r="I229" s="246"/>
      <c r="J229" s="282"/>
      <c r="K229" s="246"/>
      <c r="L229" s="261"/>
      <c r="M229" s="250"/>
      <c r="N229" s="246"/>
      <c r="O229" s="371"/>
      <c r="P229" s="246"/>
      <c r="Q229" s="371"/>
      <c r="R229" s="246"/>
      <c r="S229" s="261"/>
      <c r="T229" s="250"/>
      <c r="U229" s="246"/>
      <c r="W229" s="246"/>
      <c r="Y229" s="246"/>
      <c r="Z229" s="261"/>
      <c r="AA229" s="250"/>
      <c r="AB229" s="246"/>
      <c r="AC229" s="371"/>
      <c r="AD229" s="246"/>
      <c r="AE229" s="371"/>
      <c r="AF229" s="246"/>
      <c r="AG229" s="261"/>
      <c r="AI229" s="246"/>
      <c r="AK229" s="246"/>
      <c r="AL229" s="371"/>
      <c r="AM229" s="246"/>
      <c r="AN229" s="261"/>
      <c r="AO229" s="279"/>
      <c r="AP229" s="246"/>
      <c r="AQ229" s="371"/>
      <c r="AR229" s="246"/>
      <c r="AS229" s="371"/>
      <c r="AT229" s="254" t="str">
        <f t="shared" si="42"/>
        <v/>
      </c>
      <c r="AU229" s="269"/>
      <c r="AV229" s="269"/>
    </row>
    <row r="230">
      <c r="A230" s="94"/>
      <c r="B230" s="397" t="s">
        <v>692</v>
      </c>
      <c r="C230" s="398" t="s">
        <v>687</v>
      </c>
      <c r="D230" s="389"/>
      <c r="E230" s="259"/>
      <c r="F230" s="399"/>
      <c r="G230" s="246"/>
      <c r="H230" s="399"/>
      <c r="I230" s="246"/>
      <c r="J230" s="399"/>
      <c r="K230" s="246"/>
      <c r="L230" s="261"/>
      <c r="M230" s="250"/>
      <c r="N230" s="246"/>
      <c r="O230" s="282"/>
      <c r="P230" s="246"/>
      <c r="Q230" s="282"/>
      <c r="R230" s="246"/>
      <c r="S230" s="261"/>
      <c r="T230" s="250"/>
      <c r="U230" s="246"/>
      <c r="V230" s="282"/>
      <c r="W230" s="246"/>
      <c r="X230" s="399"/>
      <c r="Y230" s="246"/>
      <c r="Z230" s="261"/>
      <c r="AA230" s="250"/>
      <c r="AB230" s="246"/>
      <c r="AC230" s="399"/>
      <c r="AD230" s="246"/>
      <c r="AE230" s="399"/>
      <c r="AF230" s="246"/>
      <c r="AG230" s="261"/>
      <c r="AH230" s="399"/>
      <c r="AI230" s="246"/>
      <c r="AJ230" s="399"/>
      <c r="AK230" s="246"/>
      <c r="AL230" s="399"/>
      <c r="AM230" s="246"/>
      <c r="AN230" s="261"/>
      <c r="AO230" s="273"/>
      <c r="AP230" s="246"/>
      <c r="AQ230" s="399"/>
      <c r="AR230" s="246"/>
      <c r="AS230" s="399"/>
      <c r="AT230" s="254" t="str">
        <f t="shared" si="42"/>
        <v/>
      </c>
      <c r="AU230" s="269"/>
      <c r="AV230" s="269"/>
    </row>
    <row r="231">
      <c r="A231" s="94"/>
      <c r="B231" s="387" t="s">
        <v>694</v>
      </c>
      <c r="C231" s="388" t="s">
        <v>649</v>
      </c>
      <c r="D231" s="323"/>
      <c r="E231" s="259"/>
      <c r="F231" s="390"/>
      <c r="G231" s="246"/>
      <c r="H231" s="390"/>
      <c r="I231" s="246"/>
      <c r="J231" s="390"/>
      <c r="K231" s="246"/>
      <c r="L231" s="261"/>
      <c r="M231" s="250"/>
      <c r="N231" s="246"/>
      <c r="O231" s="390"/>
      <c r="P231" s="246"/>
      <c r="Q231" s="357"/>
      <c r="R231" s="246"/>
      <c r="S231" s="261"/>
      <c r="T231" s="250"/>
      <c r="U231" s="246"/>
      <c r="V231" s="390"/>
      <c r="W231" s="246"/>
      <c r="X231" s="357"/>
      <c r="Y231" s="246"/>
      <c r="Z231" s="261"/>
      <c r="AA231" s="250"/>
      <c r="AB231" s="246"/>
      <c r="AC231" s="390"/>
      <c r="AD231" s="246"/>
      <c r="AE231" s="357"/>
      <c r="AF231" s="246"/>
      <c r="AG231" s="261"/>
      <c r="AH231" s="390"/>
      <c r="AI231" s="246"/>
      <c r="AJ231" s="390"/>
      <c r="AK231" s="246"/>
      <c r="AL231" s="357"/>
      <c r="AM231" s="246"/>
      <c r="AN231" s="261"/>
      <c r="AO231" s="279"/>
      <c r="AP231" s="246"/>
      <c r="AQ231" s="390"/>
      <c r="AR231" s="246"/>
      <c r="AS231" s="357"/>
      <c r="AT231" s="254" t="str">
        <f t="shared" si="42"/>
        <v/>
      </c>
      <c r="AU231" s="269"/>
      <c r="AV231" s="269"/>
    </row>
    <row r="232">
      <c r="A232" s="94"/>
      <c r="B232" s="296" t="s">
        <v>650</v>
      </c>
      <c r="C232" s="297" t="s">
        <v>649</v>
      </c>
      <c r="D232" s="323"/>
      <c r="E232" s="261"/>
      <c r="F232" s="300"/>
      <c r="G232" s="298"/>
      <c r="H232" s="300"/>
      <c r="I232" s="298"/>
      <c r="J232" s="300"/>
      <c r="K232" s="298"/>
      <c r="L232" s="261"/>
      <c r="M232" s="250"/>
      <c r="N232" s="298"/>
      <c r="O232" s="300"/>
      <c r="P232" s="298"/>
      <c r="Q232" s="319"/>
      <c r="R232" s="298"/>
      <c r="S232" s="261"/>
      <c r="T232" s="250"/>
      <c r="U232" s="298"/>
      <c r="V232" s="300"/>
      <c r="W232" s="298"/>
      <c r="X232" s="300"/>
      <c r="Y232" s="298"/>
      <c r="Z232" s="261"/>
      <c r="AA232" s="250"/>
      <c r="AB232" s="298"/>
      <c r="AC232" s="300"/>
      <c r="AD232" s="298"/>
      <c r="AE232" s="300"/>
      <c r="AF232" s="298"/>
      <c r="AG232" s="261"/>
      <c r="AH232" s="300"/>
      <c r="AI232" s="298"/>
      <c r="AJ232" s="300"/>
      <c r="AK232" s="298"/>
      <c r="AL232" s="300"/>
      <c r="AM232" s="298"/>
      <c r="AN232" s="261"/>
      <c r="AO232" s="250"/>
      <c r="AP232" s="298"/>
      <c r="AQ232" s="300"/>
      <c r="AR232" s="298"/>
      <c r="AS232" s="300"/>
      <c r="AT232" s="254" t="str">
        <f t="shared" si="42"/>
        <v/>
      </c>
      <c r="AU232" s="269"/>
      <c r="AV232" s="269"/>
    </row>
    <row r="233">
      <c r="A233" s="94"/>
      <c r="B233" s="301" t="s">
        <v>651</v>
      </c>
      <c r="C233" s="391" t="s">
        <v>652</v>
      </c>
      <c r="D233" s="323"/>
      <c r="E233" s="259"/>
      <c r="F233" s="304"/>
      <c r="G233" s="298"/>
      <c r="H233" s="304"/>
      <c r="I233" s="298"/>
      <c r="J233" s="304"/>
      <c r="K233" s="298"/>
      <c r="L233" s="261"/>
      <c r="M233" s="250"/>
      <c r="N233" s="298"/>
      <c r="O233" s="304"/>
      <c r="P233" s="298"/>
      <c r="Q233" s="304"/>
      <c r="R233" s="298"/>
      <c r="S233" s="261"/>
      <c r="T233" s="250"/>
      <c r="U233" s="298"/>
      <c r="V233" s="304"/>
      <c r="W233" s="298"/>
      <c r="X233" s="304"/>
      <c r="Y233" s="298"/>
      <c r="Z233" s="261"/>
      <c r="AA233" s="250"/>
      <c r="AB233" s="298"/>
      <c r="AC233" s="304"/>
      <c r="AD233" s="298"/>
      <c r="AE233" s="304"/>
      <c r="AF233" s="298"/>
      <c r="AG233" s="261"/>
      <c r="AH233" s="304"/>
      <c r="AI233" s="298"/>
      <c r="AJ233" s="304"/>
      <c r="AK233" s="298"/>
      <c r="AL233" s="304"/>
      <c r="AM233" s="298"/>
      <c r="AN233" s="261"/>
      <c r="AO233" s="250"/>
      <c r="AP233" s="298"/>
      <c r="AQ233" s="304"/>
      <c r="AR233" s="298"/>
      <c r="AS233" s="304"/>
      <c r="AT233" s="254" t="str">
        <f t="shared" ref="AT233:AT234" si="43">IF(COUNTIF($AO$89:$AT$91, #REF!) &gt; 0, "X", "")</f>
        <v/>
      </c>
      <c r="AU233" s="269"/>
      <c r="AV233" s="269"/>
    </row>
    <row r="234">
      <c r="A234" s="94"/>
      <c r="B234" s="392" t="s">
        <v>691</v>
      </c>
      <c r="C234" s="393" t="s">
        <v>652</v>
      </c>
      <c r="D234" s="330"/>
      <c r="E234" s="259"/>
      <c r="F234" s="307"/>
      <c r="G234" s="298"/>
      <c r="H234" s="307"/>
      <c r="I234" s="298"/>
      <c r="J234" s="307"/>
      <c r="K234" s="298"/>
      <c r="L234" s="261"/>
      <c r="M234" s="250"/>
      <c r="N234" s="298"/>
      <c r="O234" s="307"/>
      <c r="P234" s="298"/>
      <c r="Q234" s="307"/>
      <c r="R234" s="298"/>
      <c r="S234" s="261"/>
      <c r="T234" s="250"/>
      <c r="U234" s="298"/>
      <c r="V234" s="307"/>
      <c r="W234" s="298"/>
      <c r="X234" s="395"/>
      <c r="Y234" s="298"/>
      <c r="Z234" s="261"/>
      <c r="AA234" s="250"/>
      <c r="AB234" s="298"/>
      <c r="AC234" s="307"/>
      <c r="AD234" s="298"/>
      <c r="AE234" s="395"/>
      <c r="AF234" s="298"/>
      <c r="AG234" s="261"/>
      <c r="AH234" s="307"/>
      <c r="AI234" s="298"/>
      <c r="AJ234" s="307"/>
      <c r="AK234" s="298"/>
      <c r="AL234" s="308"/>
      <c r="AM234" s="298"/>
      <c r="AN234" s="261"/>
      <c r="AO234" s="250"/>
      <c r="AP234" s="298"/>
      <c r="AQ234" s="307"/>
      <c r="AR234" s="298"/>
      <c r="AS234" s="308"/>
      <c r="AT234" s="254" t="str">
        <f t="shared" si="43"/>
        <v/>
      </c>
      <c r="AU234" s="269"/>
      <c r="AV234" s="269"/>
    </row>
    <row r="235">
      <c r="A235" s="94"/>
      <c r="B235" s="328" t="s">
        <v>692</v>
      </c>
      <c r="C235" s="329" t="s">
        <v>652</v>
      </c>
      <c r="D235" s="369"/>
      <c r="E235" s="259"/>
      <c r="F235" s="371"/>
      <c r="G235" s="246"/>
      <c r="H235" s="371"/>
      <c r="I235" s="246"/>
      <c r="J235" s="371"/>
      <c r="K235" s="246"/>
      <c r="L235" s="261"/>
      <c r="M235" s="250"/>
      <c r="N235" s="246"/>
      <c r="O235" s="371"/>
      <c r="P235" s="246"/>
      <c r="Q235" s="371"/>
      <c r="R235" s="246"/>
      <c r="S235" s="261"/>
      <c r="T235" s="250"/>
      <c r="U235" s="246"/>
      <c r="V235" s="371"/>
      <c r="W235" s="246"/>
      <c r="X235" s="282"/>
      <c r="Y235" s="246"/>
      <c r="Z235" s="261"/>
      <c r="AA235" s="250"/>
      <c r="AB235" s="246"/>
      <c r="AC235" s="282"/>
      <c r="AD235" s="246"/>
      <c r="AE235" s="584"/>
      <c r="AF235" s="246"/>
      <c r="AG235" s="261"/>
      <c r="AI235" s="246"/>
      <c r="AK235" s="246"/>
      <c r="AL235" s="282"/>
      <c r="AM235" s="246"/>
      <c r="AN235" s="261"/>
      <c r="AO235" s="279"/>
      <c r="AP235" s="246"/>
      <c r="AQ235" s="371"/>
      <c r="AR235" s="246"/>
      <c r="AS235" s="282"/>
      <c r="AT235" s="254" t="str">
        <f t="shared" ref="AT235:AT238" si="44">IF(COUNTIF($AO$89:$AT$91, AS236) &gt; 0, "X", "")</f>
        <v/>
      </c>
      <c r="AU235" s="269"/>
      <c r="AV235" s="269"/>
    </row>
    <row r="236">
      <c r="A236" s="94"/>
      <c r="B236" s="397" t="s">
        <v>692</v>
      </c>
      <c r="C236" s="398" t="s">
        <v>687</v>
      </c>
      <c r="D236" s="404"/>
      <c r="E236" s="259"/>
      <c r="F236" s="399"/>
      <c r="G236" s="246"/>
      <c r="H236" s="399"/>
      <c r="I236" s="246"/>
      <c r="J236" s="399"/>
      <c r="K236" s="246"/>
      <c r="L236" s="261"/>
      <c r="M236" s="250"/>
      <c r="N236" s="246"/>
      <c r="O236" s="399"/>
      <c r="P236" s="246"/>
      <c r="Q236" s="282"/>
      <c r="R236" s="246"/>
      <c r="S236" s="261"/>
      <c r="T236" s="250"/>
      <c r="U236" s="246"/>
      <c r="V236" s="399"/>
      <c r="W236" s="246"/>
      <c r="X236" s="399"/>
      <c r="Y236" s="246"/>
      <c r="Z236" s="261"/>
      <c r="AA236" s="250"/>
      <c r="AB236" s="246"/>
      <c r="AC236" s="282"/>
      <c r="AD236" s="246"/>
      <c r="AE236" s="399"/>
      <c r="AF236" s="246"/>
      <c r="AG236" s="261"/>
      <c r="AH236" s="399"/>
      <c r="AI236" s="246"/>
      <c r="AJ236" s="399"/>
      <c r="AK236" s="246"/>
      <c r="AM236" s="246"/>
      <c r="AN236" s="261"/>
      <c r="AO236" s="273"/>
      <c r="AP236" s="246"/>
      <c r="AQ236" s="399"/>
      <c r="AR236" s="246"/>
      <c r="AS236" s="399"/>
      <c r="AT236" s="254" t="str">
        <f t="shared" si="44"/>
        <v/>
      </c>
      <c r="AU236" s="269"/>
      <c r="AV236" s="269"/>
    </row>
    <row r="237">
      <c r="A237" s="270"/>
      <c r="B237" s="402" t="s">
        <v>699</v>
      </c>
      <c r="C237" s="403" t="s">
        <v>649</v>
      </c>
      <c r="D237" s="330"/>
      <c r="E237" s="259"/>
      <c r="F237" s="294"/>
      <c r="G237" s="246"/>
      <c r="H237" s="294"/>
      <c r="I237" s="246"/>
      <c r="J237" s="294"/>
      <c r="K237" s="246"/>
      <c r="L237" s="261"/>
      <c r="M237" s="250"/>
      <c r="N237" s="246"/>
      <c r="O237" s="294"/>
      <c r="P237" s="246"/>
      <c r="Q237" s="293" t="s">
        <v>422</v>
      </c>
      <c r="R237" s="246"/>
      <c r="S237" s="261"/>
      <c r="T237" s="250"/>
      <c r="U237" s="246"/>
      <c r="V237" s="294"/>
      <c r="W237" s="246"/>
      <c r="X237" s="294"/>
      <c r="Y237" s="246"/>
      <c r="Z237" s="261"/>
      <c r="AA237" s="250"/>
      <c r="AB237" s="246"/>
      <c r="AC237" s="294"/>
      <c r="AD237" s="246"/>
      <c r="AE237" s="353" t="s">
        <v>426</v>
      </c>
      <c r="AF237" s="246"/>
      <c r="AG237" s="261"/>
      <c r="AH237" s="294"/>
      <c r="AI237" s="246"/>
      <c r="AJ237" s="294"/>
      <c r="AK237" s="246"/>
      <c r="AL237" s="294"/>
      <c r="AM237" s="246"/>
      <c r="AN237" s="261"/>
      <c r="AO237" s="250"/>
      <c r="AP237" s="246"/>
      <c r="AQ237" s="294"/>
      <c r="AR237" s="246"/>
      <c r="AS237" s="294"/>
      <c r="AT237" s="254" t="str">
        <f t="shared" si="44"/>
        <v/>
      </c>
      <c r="AU237" s="269"/>
      <c r="AV237" s="269"/>
    </row>
    <row r="238">
      <c r="A238" s="94"/>
      <c r="B238" s="328" t="s">
        <v>700</v>
      </c>
      <c r="C238" s="329" t="s">
        <v>657</v>
      </c>
      <c r="D238" s="330"/>
      <c r="E238" s="259"/>
      <c r="F238" s="371"/>
      <c r="G238" s="246"/>
      <c r="H238" s="282"/>
      <c r="I238" s="246"/>
      <c r="J238" s="371"/>
      <c r="K238" s="246"/>
      <c r="L238" s="261"/>
      <c r="M238" s="250"/>
      <c r="N238" s="246"/>
      <c r="O238" s="371"/>
      <c r="P238" s="246"/>
      <c r="Q238" s="274" t="s">
        <v>437</v>
      </c>
      <c r="R238" s="246"/>
      <c r="S238" s="261"/>
      <c r="T238" s="250"/>
      <c r="U238" s="246"/>
      <c r="V238" s="371"/>
      <c r="W238" s="246"/>
      <c r="X238" s="371"/>
      <c r="Y238" s="246"/>
      <c r="Z238" s="261"/>
      <c r="AA238" s="250"/>
      <c r="AB238" s="246"/>
      <c r="AC238" s="371"/>
      <c r="AD238" s="246"/>
      <c r="AE238" s="347" t="s">
        <v>437</v>
      </c>
      <c r="AF238" s="246"/>
      <c r="AG238" s="261"/>
      <c r="AH238" s="371"/>
      <c r="AI238" s="246"/>
      <c r="AJ238" s="371"/>
      <c r="AK238" s="246"/>
      <c r="AL238" s="371"/>
      <c r="AM238" s="246"/>
      <c r="AN238" s="261"/>
      <c r="AO238" s="312"/>
      <c r="AP238" s="246"/>
      <c r="AQ238" s="282"/>
      <c r="AR238" s="246"/>
      <c r="AS238" s="371"/>
      <c r="AT238" s="254" t="str">
        <f t="shared" si="44"/>
        <v/>
      </c>
      <c r="AU238" s="269"/>
      <c r="AV238" s="269"/>
    </row>
    <row r="239">
      <c r="A239" s="94"/>
      <c r="B239" s="328" t="s">
        <v>700</v>
      </c>
      <c r="C239" s="329" t="s">
        <v>657</v>
      </c>
      <c r="D239" s="330"/>
      <c r="E239" s="259"/>
      <c r="F239" s="264"/>
      <c r="G239" s="246"/>
      <c r="I239" s="246"/>
      <c r="K239" s="246"/>
      <c r="L239" s="261"/>
      <c r="M239" s="262"/>
      <c r="N239" s="246"/>
      <c r="O239" s="265"/>
      <c r="P239" s="246"/>
      <c r="Q239" s="405" t="s">
        <v>462</v>
      </c>
      <c r="R239" s="246"/>
      <c r="S239" s="261"/>
      <c r="T239" s="262"/>
      <c r="U239" s="246"/>
      <c r="V239" s="264"/>
      <c r="W239" s="246"/>
      <c r="X239" s="371"/>
      <c r="Y239" s="246"/>
      <c r="Z239" s="261"/>
      <c r="AA239" s="262"/>
      <c r="AB239" s="246"/>
      <c r="AC239" s="264"/>
      <c r="AD239" s="246"/>
      <c r="AE239" s="405" t="s">
        <v>462</v>
      </c>
      <c r="AF239" s="246"/>
      <c r="AG239" s="261"/>
      <c r="AH239" s="264"/>
      <c r="AI239" s="246"/>
      <c r="AJ239" s="264"/>
      <c r="AK239" s="246"/>
      <c r="AL239" s="264"/>
      <c r="AM239" s="246"/>
      <c r="AN239" s="261"/>
      <c r="AO239" s="260"/>
      <c r="AP239" s="246"/>
      <c r="AQ239" s="264"/>
      <c r="AR239" s="246"/>
      <c r="AS239" s="264"/>
      <c r="AT239" s="254" t="str">
        <f>IF(COUNTIF($AO$89:$AT$91, #REF!) &gt; 0, "X", "")</f>
        <v/>
      </c>
      <c r="AU239" s="269"/>
      <c r="AV239" s="269"/>
    </row>
    <row r="240">
      <c r="A240" s="94"/>
      <c r="B240" s="328" t="s">
        <v>700</v>
      </c>
      <c r="C240" s="329" t="s">
        <v>657</v>
      </c>
      <c r="D240" s="351"/>
      <c r="E240" s="259"/>
      <c r="F240" s="282"/>
      <c r="G240" s="246"/>
      <c r="H240" s="282"/>
      <c r="I240" s="246"/>
      <c r="K240" s="246"/>
      <c r="L240" s="261"/>
      <c r="M240" s="250"/>
      <c r="N240" s="246"/>
      <c r="O240" s="282"/>
      <c r="P240" s="246"/>
      <c r="Q240" s="282"/>
      <c r="R240" s="246"/>
      <c r="S240" s="261"/>
      <c r="T240" s="250"/>
      <c r="U240" s="246"/>
      <c r="V240" s="282"/>
      <c r="W240" s="246"/>
      <c r="Y240" s="246"/>
      <c r="Z240" s="261"/>
      <c r="AA240" s="250"/>
      <c r="AB240" s="246"/>
      <c r="AC240" s="282"/>
      <c r="AD240" s="246"/>
      <c r="AE240" s="282"/>
      <c r="AF240" s="246"/>
      <c r="AG240" s="261"/>
      <c r="AH240" s="282"/>
      <c r="AI240" s="246"/>
      <c r="AJ240" s="282"/>
      <c r="AK240" s="246"/>
      <c r="AL240" s="399"/>
      <c r="AM240" s="246"/>
      <c r="AN240" s="261"/>
      <c r="AO240" s="279"/>
      <c r="AP240" s="246"/>
      <c r="AQ240" s="371"/>
      <c r="AR240" s="246"/>
      <c r="AS240" s="282"/>
      <c r="AT240" s="254" t="str">
        <f t="shared" ref="AT240:AT241" si="45">IF(COUNTIF($AO$89:$AT$91, AS241) &gt; 0, "X", "")</f>
        <v/>
      </c>
      <c r="AU240" s="269"/>
      <c r="AV240" s="269"/>
    </row>
    <row r="241">
      <c r="A241" s="94"/>
      <c r="B241" s="408" t="s">
        <v>702</v>
      </c>
      <c r="C241" s="409" t="s">
        <v>652</v>
      </c>
      <c r="D241" s="323"/>
      <c r="E241" s="259"/>
      <c r="F241" s="411"/>
      <c r="G241" s="246"/>
      <c r="H241" s="411"/>
      <c r="I241" s="246"/>
      <c r="J241" s="411"/>
      <c r="K241" s="246"/>
      <c r="L241" s="261"/>
      <c r="M241" s="262"/>
      <c r="N241" s="246"/>
      <c r="O241" s="411"/>
      <c r="P241" s="246"/>
      <c r="Q241" s="411"/>
      <c r="R241" s="246"/>
      <c r="S241" s="261"/>
      <c r="T241" s="262"/>
      <c r="U241" s="246"/>
      <c r="V241" s="411"/>
      <c r="W241" s="246"/>
      <c r="X241" s="411"/>
      <c r="Y241" s="246"/>
      <c r="Z241" s="261"/>
      <c r="AA241" s="262"/>
      <c r="AB241" s="246"/>
      <c r="AC241" s="411"/>
      <c r="AD241" s="246"/>
      <c r="AE241" s="411"/>
      <c r="AF241" s="246"/>
      <c r="AG241" s="261"/>
      <c r="AH241" s="411"/>
      <c r="AI241" s="246"/>
      <c r="AJ241" s="411"/>
      <c r="AK241" s="246"/>
      <c r="AL241" s="411"/>
      <c r="AM241" s="246"/>
      <c r="AN241" s="261"/>
      <c r="AO241" s="279"/>
      <c r="AP241" s="246"/>
      <c r="AQ241" s="411"/>
      <c r="AR241" s="246"/>
      <c r="AS241" s="411"/>
      <c r="AT241" s="254" t="str">
        <f t="shared" si="45"/>
        <v/>
      </c>
      <c r="AU241" s="269"/>
      <c r="AV241" s="269"/>
    </row>
    <row r="242">
      <c r="A242" s="234"/>
      <c r="B242" s="401"/>
      <c r="C242" s="412"/>
      <c r="D242" s="330"/>
      <c r="E242" s="259"/>
      <c r="F242" s="413"/>
      <c r="G242" s="246"/>
      <c r="H242" s="413"/>
      <c r="I242" s="246"/>
      <c r="J242" s="413"/>
      <c r="K242" s="246"/>
      <c r="L242" s="261"/>
      <c r="M242" s="262"/>
      <c r="N242" s="246"/>
      <c r="O242" s="413"/>
      <c r="P242" s="246"/>
      <c r="Q242" s="413"/>
      <c r="R242" s="246"/>
      <c r="S242" s="261"/>
      <c r="T242" s="262"/>
      <c r="U242" s="246"/>
      <c r="V242" s="413"/>
      <c r="W242" s="246"/>
      <c r="X242" s="413"/>
      <c r="Y242" s="246"/>
      <c r="Z242" s="261"/>
      <c r="AA242" s="262"/>
      <c r="AB242" s="246"/>
      <c r="AC242" s="413"/>
      <c r="AD242" s="246"/>
      <c r="AE242" s="413"/>
      <c r="AF242" s="246"/>
      <c r="AG242" s="261"/>
      <c r="AH242" s="413"/>
      <c r="AI242" s="246"/>
      <c r="AJ242" s="413"/>
      <c r="AK242" s="246"/>
      <c r="AL242" s="413"/>
      <c r="AM242" s="246"/>
      <c r="AN242" s="261"/>
      <c r="AO242" s="279"/>
      <c r="AP242" s="246"/>
      <c r="AQ242" s="413"/>
      <c r="AR242" s="246"/>
      <c r="AS242" s="413"/>
      <c r="AT242" s="254" t="str">
        <f t="shared" ref="AT242:AT246" si="46">IF(COUNTIF($AO$89:$AT$91, #REF!) &gt; 0, "X", "")</f>
        <v/>
      </c>
      <c r="AU242" s="269"/>
      <c r="AV242" s="269"/>
    </row>
    <row r="243">
      <c r="A243" s="234"/>
      <c r="B243" s="414" t="s">
        <v>705</v>
      </c>
      <c r="C243" s="415" t="s">
        <v>704</v>
      </c>
      <c r="D243" s="330"/>
      <c r="E243" s="259"/>
      <c r="F243" s="311" t="s">
        <v>470</v>
      </c>
      <c r="G243" s="246"/>
      <c r="H243" s="311" t="s">
        <v>438</v>
      </c>
      <c r="I243" s="246"/>
      <c r="J243" s="606" t="s">
        <v>394</v>
      </c>
      <c r="K243" s="246"/>
      <c r="L243" s="261"/>
      <c r="M243" s="341"/>
      <c r="N243" s="246"/>
      <c r="O243" s="660" t="s">
        <v>407</v>
      </c>
      <c r="P243" s="246"/>
      <c r="Q243" s="311" t="s">
        <v>410</v>
      </c>
      <c r="R243" s="246"/>
      <c r="S243" s="261"/>
      <c r="T243" s="341"/>
      <c r="U243" s="246"/>
      <c r="V243" s="660" t="s">
        <v>407</v>
      </c>
      <c r="W243" s="246"/>
      <c r="X243" s="311" t="s">
        <v>467</v>
      </c>
      <c r="Y243" s="246"/>
      <c r="Z243" s="261"/>
      <c r="AA243" s="341"/>
      <c r="AB243" s="246"/>
      <c r="AC243" s="660" t="s">
        <v>407</v>
      </c>
      <c r="AD243" s="246"/>
      <c r="AE243" s="251" t="s">
        <v>410</v>
      </c>
      <c r="AF243" s="246"/>
      <c r="AG243" s="261"/>
      <c r="AH243" s="606" t="s">
        <v>467</v>
      </c>
      <c r="AI243" s="246"/>
      <c r="AJ243" s="660" t="s">
        <v>407</v>
      </c>
      <c r="AK243" s="246"/>
      <c r="AL243" s="649" t="s">
        <v>452</v>
      </c>
      <c r="AM243" s="246"/>
      <c r="AN243" s="261"/>
      <c r="AO243" s="279"/>
      <c r="AP243" s="246"/>
      <c r="AQ243" s="688" t="s">
        <v>404</v>
      </c>
      <c r="AR243" s="246"/>
      <c r="AS243" s="374" t="s">
        <v>410</v>
      </c>
      <c r="AT243" s="254" t="str">
        <f t="shared" si="46"/>
        <v/>
      </c>
      <c r="AU243" s="269"/>
      <c r="AV243" s="269"/>
    </row>
    <row r="244">
      <c r="A244" s="94"/>
      <c r="B244" s="328" t="s">
        <v>705</v>
      </c>
      <c r="C244" s="257" t="s">
        <v>657</v>
      </c>
      <c r="D244" s="330"/>
      <c r="E244" s="259"/>
      <c r="F244" s="649" t="s">
        <v>452</v>
      </c>
      <c r="G244" s="246"/>
      <c r="H244" s="251" t="s">
        <v>440</v>
      </c>
      <c r="I244" s="246"/>
      <c r="J244" s="339" t="s">
        <v>472</v>
      </c>
      <c r="K244" s="246"/>
      <c r="L244" s="261"/>
      <c r="M244" s="341"/>
      <c r="N244" s="246"/>
      <c r="O244" s="688" t="s">
        <v>404</v>
      </c>
      <c r="P244" s="246"/>
      <c r="Q244" s="339" t="s">
        <v>472</v>
      </c>
      <c r="R244" s="246"/>
      <c r="S244" s="261"/>
      <c r="T244" s="341"/>
      <c r="U244" s="246"/>
      <c r="V244" s="339" t="s">
        <v>472</v>
      </c>
      <c r="W244" s="246"/>
      <c r="X244" s="688" t="s">
        <v>1033</v>
      </c>
      <c r="Y244" s="246"/>
      <c r="Z244" s="261"/>
      <c r="AA244" s="341"/>
      <c r="AB244" s="246"/>
      <c r="AC244" s="251" t="s">
        <v>440</v>
      </c>
      <c r="AD244" s="246"/>
      <c r="AE244" s="688" t="s">
        <v>1033</v>
      </c>
      <c r="AF244" s="246"/>
      <c r="AG244" s="261"/>
      <c r="AH244" s="311" t="s">
        <v>470</v>
      </c>
      <c r="AI244" s="246"/>
      <c r="AJ244" s="688" t="s">
        <v>404</v>
      </c>
      <c r="AK244" s="246"/>
      <c r="AL244" s="339" t="s">
        <v>472</v>
      </c>
      <c r="AM244" s="246"/>
      <c r="AN244" s="261"/>
      <c r="AO244" s="279"/>
      <c r="AP244" s="246"/>
      <c r="AQ244" s="606" t="s">
        <v>467</v>
      </c>
      <c r="AR244" s="246"/>
      <c r="AS244" s="586" t="s">
        <v>452</v>
      </c>
      <c r="AT244" s="254" t="str">
        <f t="shared" si="46"/>
        <v/>
      </c>
      <c r="AU244" s="269"/>
      <c r="AV244" s="269"/>
    </row>
    <row r="245">
      <c r="A245" s="94"/>
      <c r="B245" s="277" t="s">
        <v>705</v>
      </c>
      <c r="C245" s="329" t="s">
        <v>685</v>
      </c>
      <c r="D245" s="369"/>
      <c r="E245" s="259"/>
      <c r="F245" s="311"/>
      <c r="G245" s="246"/>
      <c r="H245" s="660" t="s">
        <v>407</v>
      </c>
      <c r="I245" s="246"/>
      <c r="J245" s="688" t="s">
        <v>1033</v>
      </c>
      <c r="K245" s="246"/>
      <c r="L245" s="261"/>
      <c r="M245" s="341"/>
      <c r="N245" s="246"/>
      <c r="O245" s="311" t="s">
        <v>470</v>
      </c>
      <c r="P245" s="246"/>
      <c r="Q245" s="688" t="s">
        <v>1033</v>
      </c>
      <c r="R245" s="246"/>
      <c r="S245" s="261"/>
      <c r="T245" s="341"/>
      <c r="U245" s="246"/>
      <c r="V245" s="606" t="s">
        <v>470</v>
      </c>
      <c r="W245" s="246"/>
      <c r="X245" s="586" t="s">
        <v>452</v>
      </c>
      <c r="Y245" s="246"/>
      <c r="Z245" s="261"/>
      <c r="AA245" s="341"/>
      <c r="AB245" s="246"/>
      <c r="AC245" s="311" t="s">
        <v>470</v>
      </c>
      <c r="AD245" s="246"/>
      <c r="AE245" s="311" t="s">
        <v>467</v>
      </c>
      <c r="AF245" s="246"/>
      <c r="AG245" s="261"/>
      <c r="AH245" s="371"/>
      <c r="AI245" s="246"/>
      <c r="AJ245" s="606" t="s">
        <v>440</v>
      </c>
      <c r="AK245" s="246"/>
      <c r="AL245" s="606" t="s">
        <v>410</v>
      </c>
      <c r="AM245" s="246"/>
      <c r="AN245" s="261"/>
      <c r="AO245" s="279"/>
      <c r="AP245" s="246"/>
      <c r="AQ245" s="339" t="s">
        <v>472</v>
      </c>
      <c r="AR245" s="246"/>
      <c r="AS245" s="660" t="s">
        <v>405</v>
      </c>
      <c r="AT245" s="254" t="str">
        <f t="shared" si="46"/>
        <v/>
      </c>
      <c r="AU245" s="269"/>
      <c r="AV245" s="269"/>
    </row>
    <row r="246">
      <c r="A246" s="94"/>
      <c r="B246" s="271" t="s">
        <v>705</v>
      </c>
      <c r="C246" s="272" t="s">
        <v>687</v>
      </c>
      <c r="D246" s="330"/>
      <c r="E246" s="259"/>
      <c r="F246" s="282"/>
      <c r="G246" s="246"/>
      <c r="I246" s="246"/>
      <c r="K246" s="246"/>
      <c r="L246" s="261"/>
      <c r="M246" s="341"/>
      <c r="N246" s="246"/>
      <c r="O246" s="282"/>
      <c r="P246" s="246"/>
      <c r="R246" s="246"/>
      <c r="S246" s="261"/>
      <c r="T246" s="341"/>
      <c r="U246" s="246"/>
      <c r="W246" s="246"/>
      <c r="Y246" s="246"/>
      <c r="Z246" s="261"/>
      <c r="AA246" s="341"/>
      <c r="AB246" s="246"/>
      <c r="AD246" s="246"/>
      <c r="AF246" s="246"/>
      <c r="AG246" s="261"/>
      <c r="AH246" s="371"/>
      <c r="AI246" s="246"/>
      <c r="AJ246" s="276"/>
      <c r="AK246" s="246"/>
      <c r="AL246" s="282"/>
      <c r="AM246" s="246"/>
      <c r="AN246" s="261"/>
      <c r="AO246" s="279"/>
      <c r="AP246" s="246"/>
      <c r="AR246" s="246"/>
      <c r="AS246" s="282"/>
      <c r="AT246" s="254" t="str">
        <f t="shared" si="46"/>
        <v/>
      </c>
      <c r="AU246" s="269"/>
      <c r="AV246" s="269"/>
    </row>
    <row r="247">
      <c r="A247" s="94"/>
      <c r="B247" s="271"/>
      <c r="C247" s="272"/>
      <c r="D247" s="330"/>
      <c r="E247" s="259"/>
      <c r="F247" s="282"/>
      <c r="G247" s="246"/>
      <c r="H247" s="339"/>
      <c r="I247" s="246"/>
      <c r="K247" s="246"/>
      <c r="L247" s="261"/>
      <c r="M247" s="341"/>
      <c r="N247" s="246"/>
      <c r="O247" s="282"/>
      <c r="P247" s="246"/>
      <c r="R247" s="246"/>
      <c r="S247" s="261"/>
      <c r="T247" s="341"/>
      <c r="U247" s="246"/>
      <c r="V247" s="339"/>
      <c r="W247" s="246"/>
      <c r="Y247" s="246"/>
      <c r="Z247" s="261"/>
      <c r="AA247" s="341"/>
      <c r="AB247" s="246"/>
      <c r="AC247" s="339"/>
      <c r="AD247" s="246"/>
      <c r="AE247" s="282"/>
      <c r="AF247" s="246"/>
      <c r="AG247" s="261"/>
      <c r="AH247" s="371"/>
      <c r="AI247" s="246"/>
      <c r="AJ247" s="282"/>
      <c r="AK247" s="246"/>
      <c r="AL247" s="282"/>
      <c r="AM247" s="246"/>
      <c r="AN247" s="261"/>
      <c r="AO247" s="279"/>
      <c r="AP247" s="246"/>
      <c r="AQ247" s="339"/>
      <c r="AR247" s="246"/>
      <c r="AS247" s="282"/>
      <c r="AT247" s="254"/>
      <c r="AU247" s="269"/>
      <c r="AV247" s="269"/>
    </row>
    <row r="248">
      <c r="A248" s="270"/>
      <c r="B248" s="397" t="s">
        <v>708</v>
      </c>
      <c r="C248" s="398" t="s">
        <v>654</v>
      </c>
      <c r="D248" s="330"/>
      <c r="E248" s="259"/>
      <c r="F248" s="275"/>
      <c r="G248" s="246"/>
      <c r="H248" s="606" t="s">
        <v>441</v>
      </c>
      <c r="I248" s="246"/>
      <c r="J248" s="843" t="s">
        <v>446</v>
      </c>
      <c r="K248" s="246"/>
      <c r="L248" s="261"/>
      <c r="M248" s="341"/>
      <c r="N248" s="246"/>
      <c r="O248" s="606" t="s">
        <v>441</v>
      </c>
      <c r="P248" s="246"/>
      <c r="Q248" s="843" t="s">
        <v>446</v>
      </c>
      <c r="R248" s="246"/>
      <c r="S248" s="261"/>
      <c r="T248" s="341"/>
      <c r="U248" s="246"/>
      <c r="V248" s="365" t="s">
        <v>469</v>
      </c>
      <c r="W248" s="246"/>
      <c r="X248" s="606" t="s">
        <v>441</v>
      </c>
      <c r="Y248" s="246"/>
      <c r="Z248" s="261"/>
      <c r="AA248" s="341"/>
      <c r="AB248" s="246"/>
      <c r="AC248" s="606" t="s">
        <v>441</v>
      </c>
      <c r="AD248" s="246"/>
      <c r="AE248" s="843" t="s">
        <v>446</v>
      </c>
      <c r="AF248" s="246"/>
      <c r="AG248" s="261"/>
      <c r="AH248" s="371"/>
      <c r="AI248" s="246"/>
      <c r="AJ248" s="606" t="s">
        <v>441</v>
      </c>
      <c r="AK248" s="246"/>
      <c r="AL248" s="843" t="s">
        <v>446</v>
      </c>
      <c r="AM248" s="246"/>
      <c r="AN248" s="261"/>
      <c r="AO248" s="279"/>
      <c r="AP248" s="246"/>
      <c r="AQ248" s="365" t="s">
        <v>469</v>
      </c>
      <c r="AR248" s="246"/>
      <c r="AS248" s="843" t="s">
        <v>446</v>
      </c>
      <c r="AT248" s="254" t="str">
        <f t="shared" ref="AT248:AT249" si="47">IF(COUNTIF($AO$89:$AT$91, AS249) &gt; 0, "X", "")</f>
        <v/>
      </c>
      <c r="AU248" s="269"/>
      <c r="AV248" s="269"/>
    </row>
    <row r="249">
      <c r="A249" s="94"/>
      <c r="B249" s="796" t="s">
        <v>1116</v>
      </c>
      <c r="C249" s="278" t="s">
        <v>710</v>
      </c>
      <c r="D249" s="323"/>
      <c r="E249" s="259"/>
      <c r="F249" s="281"/>
      <c r="G249" s="246"/>
      <c r="H249" s="282"/>
      <c r="I249" s="246"/>
      <c r="K249" s="246"/>
      <c r="L249" s="261"/>
      <c r="M249" s="286"/>
      <c r="N249" s="246"/>
      <c r="O249" s="606" t="s">
        <v>440</v>
      </c>
      <c r="P249" s="246"/>
      <c r="R249" s="246"/>
      <c r="S249" s="261"/>
      <c r="T249" s="286"/>
      <c r="U249" s="246"/>
      <c r="V249" s="606" t="s">
        <v>440</v>
      </c>
      <c r="W249" s="246"/>
      <c r="X249" s="282"/>
      <c r="Y249" s="246"/>
      <c r="Z249" s="261"/>
      <c r="AA249" s="286"/>
      <c r="AB249" s="246"/>
      <c r="AD249" s="246"/>
      <c r="AE249" s="282"/>
      <c r="AF249" s="246"/>
      <c r="AG249" s="261"/>
      <c r="AH249" s="371"/>
      <c r="AI249" s="246"/>
      <c r="AJ249" s="276"/>
      <c r="AK249" s="246"/>
      <c r="AL249" s="282"/>
      <c r="AM249" s="246"/>
      <c r="AN249" s="261"/>
      <c r="AO249" s="279"/>
      <c r="AP249" s="246"/>
      <c r="AQ249" s="281"/>
      <c r="AR249" s="246"/>
      <c r="AS249" s="281"/>
      <c r="AT249" s="254" t="str">
        <f t="shared" si="47"/>
        <v/>
      </c>
      <c r="AU249" s="269"/>
      <c r="AV249" s="269"/>
    </row>
    <row r="250">
      <c r="A250" s="94"/>
      <c r="B250" s="673" t="s">
        <v>944</v>
      </c>
      <c r="C250" s="272" t="s">
        <v>639</v>
      </c>
      <c r="D250" s="431"/>
      <c r="E250" s="259"/>
      <c r="F250" s="282"/>
      <c r="G250" s="246"/>
      <c r="H250" s="282"/>
      <c r="I250" s="246"/>
      <c r="J250" s="282"/>
      <c r="K250" s="246"/>
      <c r="L250" s="261"/>
      <c r="M250" s="341"/>
      <c r="N250" s="246"/>
      <c r="O250" s="606" t="s">
        <v>432</v>
      </c>
      <c r="P250" s="246"/>
      <c r="Q250" s="282"/>
      <c r="R250" s="246"/>
      <c r="S250" s="261"/>
      <c r="T250" s="341"/>
      <c r="U250" s="246"/>
      <c r="V250" s="606" t="s">
        <v>432</v>
      </c>
      <c r="W250" s="246"/>
      <c r="X250" s="282"/>
      <c r="Y250" s="246"/>
      <c r="Z250" s="261"/>
      <c r="AA250" s="341"/>
      <c r="AB250" s="246"/>
      <c r="AC250" s="311" t="s">
        <v>432</v>
      </c>
      <c r="AD250" s="246"/>
      <c r="AE250" s="282"/>
      <c r="AF250" s="246"/>
      <c r="AG250" s="261"/>
      <c r="AH250" s="371"/>
      <c r="AI250" s="246"/>
      <c r="AJ250" s="251" t="s">
        <v>432</v>
      </c>
      <c r="AK250" s="246"/>
      <c r="AL250" s="282"/>
      <c r="AM250" s="246"/>
      <c r="AN250" s="261"/>
      <c r="AO250" s="279"/>
      <c r="AP250" s="246"/>
      <c r="AQ250" s="282"/>
      <c r="AR250" s="246"/>
      <c r="AS250" s="282"/>
      <c r="AT250" s="430"/>
      <c r="AU250" s="269"/>
      <c r="AV250" s="269"/>
    </row>
    <row r="251">
      <c r="A251" s="94"/>
      <c r="B251" s="429" t="s">
        <v>714</v>
      </c>
      <c r="C251" s="430"/>
      <c r="D251" s="323"/>
      <c r="E251" s="259"/>
      <c r="F251" s="432"/>
      <c r="G251" s="432"/>
      <c r="H251" s="432"/>
      <c r="I251" s="432"/>
      <c r="J251" s="432"/>
      <c r="K251" s="432"/>
      <c r="L251" s="261"/>
      <c r="M251" s="432"/>
      <c r="N251" s="433"/>
      <c r="O251" s="432"/>
      <c r="P251" s="432"/>
      <c r="Q251" s="432"/>
      <c r="R251" s="432"/>
      <c r="S251" s="261"/>
      <c r="T251" s="432"/>
      <c r="U251" s="433"/>
      <c r="V251" s="432"/>
      <c r="W251" s="432"/>
      <c r="X251" s="432"/>
      <c r="Y251" s="432"/>
      <c r="Z251" s="261"/>
      <c r="AA251" s="432"/>
      <c r="AB251" s="433"/>
      <c r="AC251" s="432"/>
      <c r="AD251" s="432"/>
      <c r="AE251" s="432"/>
      <c r="AF251" s="432"/>
      <c r="AG251" s="261"/>
      <c r="AH251" s="432"/>
      <c r="AI251" s="433"/>
      <c r="AJ251" s="432"/>
      <c r="AK251" s="432"/>
      <c r="AL251" s="432"/>
      <c r="AM251" s="432"/>
      <c r="AN251" s="261"/>
      <c r="AO251" s="432"/>
      <c r="AP251" s="433"/>
      <c r="AQ251" s="432"/>
      <c r="AR251" s="432"/>
      <c r="AS251" s="432"/>
      <c r="AT251" s="254" t="str">
        <f t="shared" ref="AT251:AT256" si="48">IF(COUNTIF($AO$89:$AT$91, AS252) &gt; 0, "X", "")</f>
        <v/>
      </c>
      <c r="AU251" s="269"/>
      <c r="AV251" s="269"/>
    </row>
    <row r="252">
      <c r="A252" s="94"/>
      <c r="B252" s="401" t="s">
        <v>715</v>
      </c>
      <c r="C252" s="412" t="s">
        <v>716</v>
      </c>
      <c r="D252" s="323"/>
      <c r="E252" s="259"/>
      <c r="F252" s="434" t="s">
        <v>465</v>
      </c>
      <c r="G252" s="246"/>
      <c r="H252" s="434" t="s">
        <v>403</v>
      </c>
      <c r="I252" s="246"/>
      <c r="J252" s="434"/>
      <c r="K252" s="246"/>
      <c r="L252" s="261"/>
      <c r="M252" s="434" t="s">
        <v>465</v>
      </c>
      <c r="N252" s="246"/>
      <c r="O252" s="434" t="s">
        <v>403</v>
      </c>
      <c r="P252" s="246"/>
      <c r="Q252" s="434"/>
      <c r="R252" s="246"/>
      <c r="S252" s="261"/>
      <c r="T252" s="434"/>
      <c r="U252" s="246"/>
      <c r="V252" s="434" t="s">
        <v>403</v>
      </c>
      <c r="W252" s="246"/>
      <c r="X252" s="434"/>
      <c r="Y252" s="246"/>
      <c r="Z252" s="261"/>
      <c r="AA252" s="434" t="s">
        <v>465</v>
      </c>
      <c r="AB252" s="246"/>
      <c r="AC252" s="434" t="s">
        <v>403</v>
      </c>
      <c r="AD252" s="246"/>
      <c r="AE252" s="434"/>
      <c r="AF252" s="246"/>
      <c r="AG252" s="261"/>
      <c r="AH252" s="434" t="s">
        <v>465</v>
      </c>
      <c r="AI252" s="246"/>
      <c r="AJ252" s="434"/>
      <c r="AK252" s="246"/>
      <c r="AL252" s="434"/>
      <c r="AM252" s="246"/>
      <c r="AN252" s="261"/>
      <c r="AO252" s="434" t="s">
        <v>465</v>
      </c>
      <c r="AP252" s="246"/>
      <c r="AQ252" s="434" t="s">
        <v>403</v>
      </c>
      <c r="AR252" s="246"/>
      <c r="AS252" s="434"/>
      <c r="AT252" s="254" t="str">
        <f t="shared" si="48"/>
        <v/>
      </c>
      <c r="AU252" s="269"/>
      <c r="AV252" s="269"/>
    </row>
    <row r="253">
      <c r="A253" s="94"/>
      <c r="B253" s="435" t="s">
        <v>717</v>
      </c>
      <c r="C253" s="415" t="s">
        <v>718</v>
      </c>
      <c r="D253" s="363"/>
      <c r="E253" s="259"/>
      <c r="F253" s="434"/>
      <c r="G253" s="246"/>
      <c r="H253" s="406" t="s">
        <v>463</v>
      </c>
      <c r="I253" s="246"/>
      <c r="J253" s="434"/>
      <c r="K253" s="246"/>
      <c r="L253" s="261"/>
      <c r="M253" s="434"/>
      <c r="N253" s="246"/>
      <c r="O253" s="406" t="s">
        <v>442</v>
      </c>
      <c r="P253" s="246"/>
      <c r="Q253" s="434"/>
      <c r="R253" s="246"/>
      <c r="S253" s="261"/>
      <c r="T253" s="434"/>
      <c r="U253" s="246"/>
      <c r="V253" s="406" t="s">
        <v>442</v>
      </c>
      <c r="W253" s="246"/>
      <c r="X253" s="434"/>
      <c r="Y253" s="246"/>
      <c r="Z253" s="261"/>
      <c r="AA253" s="434"/>
      <c r="AB253" s="246"/>
      <c r="AC253" s="849"/>
      <c r="AD253" s="246"/>
      <c r="AE253" s="434"/>
      <c r="AF253" s="246"/>
      <c r="AG253" s="261"/>
      <c r="AH253" s="434"/>
      <c r="AI253" s="246"/>
      <c r="AJ253" s="406" t="s">
        <v>442</v>
      </c>
      <c r="AK253" s="246"/>
      <c r="AL253" s="434"/>
      <c r="AM253" s="246"/>
      <c r="AN253" s="261"/>
      <c r="AO253" s="434"/>
      <c r="AP253" s="246"/>
      <c r="AQ253" s="406" t="s">
        <v>442</v>
      </c>
      <c r="AR253" s="246"/>
      <c r="AS253" s="434"/>
      <c r="AT253" s="254" t="str">
        <f t="shared" si="48"/>
        <v/>
      </c>
      <c r="AU253" s="269"/>
      <c r="AV253" s="269"/>
    </row>
    <row r="254">
      <c r="A254" s="94"/>
      <c r="B254" s="436" t="s">
        <v>719</v>
      </c>
      <c r="C254" s="437" t="s">
        <v>720</v>
      </c>
      <c r="D254" s="330"/>
      <c r="E254" s="259"/>
      <c r="F254" s="406"/>
      <c r="G254" s="246"/>
      <c r="H254" s="406" t="s">
        <v>460</v>
      </c>
      <c r="I254" s="246"/>
      <c r="J254" s="406"/>
      <c r="K254" s="246"/>
      <c r="L254" s="261"/>
      <c r="M254" s="406"/>
      <c r="N254" s="246"/>
      <c r="O254" s="406" t="s">
        <v>463</v>
      </c>
      <c r="P254" s="246"/>
      <c r="Q254" s="406"/>
      <c r="R254" s="246"/>
      <c r="S254" s="261"/>
      <c r="T254" s="406"/>
      <c r="U254" s="246"/>
      <c r="V254" s="406" t="s">
        <v>463</v>
      </c>
      <c r="W254" s="246"/>
      <c r="X254" s="406"/>
      <c r="Y254" s="246"/>
      <c r="Z254" s="261"/>
      <c r="AA254" s="406"/>
      <c r="AB254" s="246"/>
      <c r="AC254" s="406"/>
      <c r="AD254" s="246"/>
      <c r="AE254" s="406"/>
      <c r="AF254" s="246"/>
      <c r="AG254" s="261"/>
      <c r="AH254" s="406"/>
      <c r="AI254" s="246"/>
      <c r="AJ254" s="406"/>
      <c r="AK254" s="246"/>
      <c r="AL254" s="406"/>
      <c r="AM254" s="246"/>
      <c r="AN254" s="261"/>
      <c r="AO254" s="406"/>
      <c r="AP254" s="246"/>
      <c r="AQ254" s="406"/>
      <c r="AR254" s="246"/>
      <c r="AS254" s="406"/>
      <c r="AT254" s="254" t="str">
        <f t="shared" si="48"/>
        <v/>
      </c>
      <c r="AU254" s="269"/>
      <c r="AV254" s="269"/>
    </row>
    <row r="255">
      <c r="A255" s="94"/>
      <c r="B255" s="439" t="s">
        <v>721</v>
      </c>
      <c r="C255" s="440" t="s">
        <v>722</v>
      </c>
      <c r="D255" s="330"/>
      <c r="E255" s="259"/>
      <c r="F255" s="406"/>
      <c r="G255" s="246"/>
      <c r="H255" s="406" t="s">
        <v>454</v>
      </c>
      <c r="I255" s="246"/>
      <c r="J255" s="406"/>
      <c r="K255" s="246"/>
      <c r="L255" s="261"/>
      <c r="M255" s="406"/>
      <c r="N255" s="246"/>
      <c r="O255" s="406" t="s">
        <v>454</v>
      </c>
      <c r="P255" s="246"/>
      <c r="Q255" s="406"/>
      <c r="R255" s="246"/>
      <c r="S255" s="261"/>
      <c r="T255" s="406"/>
      <c r="U255" s="246"/>
      <c r="V255" s="406" t="s">
        <v>454</v>
      </c>
      <c r="W255" s="246"/>
      <c r="X255" s="406"/>
      <c r="Y255" s="246"/>
      <c r="Z255" s="261"/>
      <c r="AA255" s="406"/>
      <c r="AB255" s="246"/>
      <c r="AC255" s="406" t="s">
        <v>847</v>
      </c>
      <c r="AD255" s="246"/>
      <c r="AE255" s="406"/>
      <c r="AF255" s="246"/>
      <c r="AG255" s="261"/>
      <c r="AH255" s="406"/>
      <c r="AI255" s="246"/>
      <c r="AJ255" s="406" t="s">
        <v>847</v>
      </c>
      <c r="AK255" s="246"/>
      <c r="AL255" s="406"/>
      <c r="AM255" s="246"/>
      <c r="AN255" s="261"/>
      <c r="AO255" s="406"/>
      <c r="AP255" s="246"/>
      <c r="AQ255" s="406"/>
      <c r="AR255" s="246"/>
      <c r="AS255" s="406"/>
      <c r="AT255" s="254" t="str">
        <f t="shared" si="48"/>
        <v/>
      </c>
      <c r="AU255" s="269"/>
      <c r="AV255" s="269"/>
    </row>
    <row r="256">
      <c r="A256" s="94"/>
      <c r="B256" s="439" t="s">
        <v>723</v>
      </c>
      <c r="C256" s="440" t="s">
        <v>724</v>
      </c>
      <c r="D256" s="330"/>
      <c r="E256" s="259"/>
      <c r="F256" s="406"/>
      <c r="G256" s="246"/>
      <c r="H256" s="406" t="s">
        <v>946</v>
      </c>
      <c r="I256" s="246"/>
      <c r="J256" s="406" t="s">
        <v>957</v>
      </c>
      <c r="K256" s="246"/>
      <c r="L256" s="261"/>
      <c r="M256" s="406"/>
      <c r="N256" s="246"/>
      <c r="O256" s="406" t="s">
        <v>946</v>
      </c>
      <c r="P256" s="246"/>
      <c r="Q256" s="406" t="s">
        <v>957</v>
      </c>
      <c r="R256" s="246"/>
      <c r="S256" s="261"/>
      <c r="T256" s="406"/>
      <c r="U256" s="246"/>
      <c r="V256" s="406"/>
      <c r="W256" s="246"/>
      <c r="X256" s="406"/>
      <c r="Y256" s="246"/>
      <c r="Z256" s="261"/>
      <c r="AA256" s="406"/>
      <c r="AB256" s="246"/>
      <c r="AC256" s="406" t="s">
        <v>946</v>
      </c>
      <c r="AD256" s="246"/>
      <c r="AE256" s="406" t="s">
        <v>957</v>
      </c>
      <c r="AF256" s="246"/>
      <c r="AG256" s="261"/>
      <c r="AH256" s="406"/>
      <c r="AI256" s="246"/>
      <c r="AJ256" s="406" t="s">
        <v>463</v>
      </c>
      <c r="AK256" s="246"/>
      <c r="AL256" s="406"/>
      <c r="AM256" s="246"/>
      <c r="AN256" s="261"/>
      <c r="AO256" s="406"/>
      <c r="AP256" s="246"/>
      <c r="AQ256" s="406"/>
      <c r="AR256" s="246"/>
      <c r="AS256" s="406"/>
      <c r="AT256" s="254" t="str">
        <f t="shared" si="48"/>
        <v/>
      </c>
      <c r="AU256" s="269"/>
      <c r="AV256" s="269"/>
    </row>
    <row r="257">
      <c r="A257" s="94"/>
      <c r="B257" s="439" t="s">
        <v>725</v>
      </c>
      <c r="C257" s="442" t="s">
        <v>726</v>
      </c>
      <c r="D257" s="330"/>
      <c r="E257" s="259"/>
      <c r="F257" s="441"/>
      <c r="G257" s="246"/>
      <c r="H257" s="406" t="s">
        <v>845</v>
      </c>
      <c r="I257" s="246"/>
      <c r="J257" s="441"/>
      <c r="K257" s="246"/>
      <c r="L257" s="261"/>
      <c r="M257" s="441"/>
      <c r="N257" s="246"/>
      <c r="O257" s="406" t="s">
        <v>460</v>
      </c>
      <c r="P257" s="246"/>
      <c r="Q257" s="441"/>
      <c r="R257" s="246"/>
      <c r="S257" s="261"/>
      <c r="T257" s="441"/>
      <c r="U257" s="246"/>
      <c r="V257" s="406" t="s">
        <v>845</v>
      </c>
      <c r="W257" s="246"/>
      <c r="X257" s="441"/>
      <c r="Y257" s="246"/>
      <c r="Z257" s="261"/>
      <c r="AA257" s="441"/>
      <c r="AB257" s="246"/>
      <c r="AC257" s="406" t="s">
        <v>845</v>
      </c>
      <c r="AD257" s="246"/>
      <c r="AE257" s="441"/>
      <c r="AF257" s="246"/>
      <c r="AG257" s="261"/>
      <c r="AH257" s="441"/>
      <c r="AI257" s="246"/>
      <c r="AJ257" s="406" t="s">
        <v>845</v>
      </c>
      <c r="AK257" s="246"/>
      <c r="AL257" s="441"/>
      <c r="AM257" s="246"/>
      <c r="AN257" s="261"/>
      <c r="AO257" s="441"/>
      <c r="AP257" s="246"/>
      <c r="AQ257" s="406" t="s">
        <v>463</v>
      </c>
      <c r="AR257" s="246"/>
      <c r="AS257" s="441"/>
      <c r="AT257" s="254" t="str">
        <f>IF(COUNTIF($AO$89:$AT$91, #REF!) &gt; 0, "X", "")</f>
        <v/>
      </c>
      <c r="AU257" s="269"/>
      <c r="AV257" s="269"/>
    </row>
    <row r="258">
      <c r="A258" s="94"/>
      <c r="B258" s="447" t="s">
        <v>729</v>
      </c>
      <c r="C258" s="448" t="s">
        <v>730</v>
      </c>
      <c r="D258" s="330"/>
      <c r="E258" s="259"/>
      <c r="F258" s="441"/>
      <c r="G258" s="246"/>
      <c r="H258" s="441"/>
      <c r="I258" s="246"/>
      <c r="J258" s="441"/>
      <c r="K258" s="246"/>
      <c r="L258" s="261"/>
      <c r="M258" s="441"/>
      <c r="N258" s="246"/>
      <c r="O258" s="406" t="s">
        <v>845</v>
      </c>
      <c r="P258" s="246"/>
      <c r="Q258" s="441"/>
      <c r="R258" s="246"/>
      <c r="S258" s="261"/>
      <c r="T258" s="441"/>
      <c r="U258" s="246"/>
      <c r="V258" s="441"/>
      <c r="W258" s="246"/>
      <c r="X258" s="441"/>
      <c r="Y258" s="246"/>
      <c r="Z258" s="261"/>
      <c r="AA258" s="441"/>
      <c r="AB258" s="246"/>
      <c r="AC258" s="441"/>
      <c r="AD258" s="246"/>
      <c r="AE258" s="441"/>
      <c r="AF258" s="246"/>
      <c r="AG258" s="261"/>
      <c r="AH258" s="441"/>
      <c r="AI258" s="246"/>
      <c r="AJ258" s="441"/>
      <c r="AK258" s="246"/>
      <c r="AL258" s="441"/>
      <c r="AM258" s="246"/>
      <c r="AN258" s="261"/>
      <c r="AO258" s="441"/>
      <c r="AP258" s="246"/>
      <c r="AQ258" s="441"/>
      <c r="AR258" s="246"/>
      <c r="AS258" s="441"/>
      <c r="AT258" s="254" t="str">
        <f t="shared" ref="AT258:AT260" si="49">IF(COUNTIF($AO$89:$AT$91, AS258) &gt; 0, "X", "")</f>
        <v/>
      </c>
      <c r="AU258" s="269"/>
      <c r="AV258" s="269"/>
    </row>
    <row r="259">
      <c r="A259" s="94"/>
      <c r="B259" s="450" t="s">
        <v>731</v>
      </c>
      <c r="C259" s="451" t="s">
        <v>732</v>
      </c>
      <c r="D259" s="363"/>
      <c r="E259" s="259"/>
      <c r="F259" s="206"/>
      <c r="G259" s="246"/>
      <c r="H259" s="406" t="s">
        <v>847</v>
      </c>
      <c r="I259" s="246"/>
      <c r="J259" s="206"/>
      <c r="K259" s="246"/>
      <c r="L259" s="261"/>
      <c r="M259" s="206"/>
      <c r="N259" s="246"/>
      <c r="O259" s="406" t="s">
        <v>847</v>
      </c>
      <c r="P259" s="246"/>
      <c r="Q259" s="206"/>
      <c r="R259" s="246"/>
      <c r="S259" s="261"/>
      <c r="T259" s="206"/>
      <c r="U259" s="246"/>
      <c r="V259" s="206" t="s">
        <v>946</v>
      </c>
      <c r="W259" s="246"/>
      <c r="X259" s="206" t="s">
        <v>959</v>
      </c>
      <c r="Y259" s="246"/>
      <c r="Z259" s="261"/>
      <c r="AA259" s="206"/>
      <c r="AB259" s="246"/>
      <c r="AC259" s="406" t="s">
        <v>460</v>
      </c>
      <c r="AD259" s="246"/>
      <c r="AE259" s="206"/>
      <c r="AF259" s="246"/>
      <c r="AG259" s="261"/>
      <c r="AH259" s="206"/>
      <c r="AI259" s="246"/>
      <c r="AJ259" s="406" t="s">
        <v>460</v>
      </c>
      <c r="AK259" s="246"/>
      <c r="AL259" s="206"/>
      <c r="AM259" s="246"/>
      <c r="AN259" s="261"/>
      <c r="AO259" s="206"/>
      <c r="AP259" s="246"/>
      <c r="AQ259" s="206"/>
      <c r="AR259" s="246"/>
      <c r="AS259" s="206"/>
      <c r="AT259" s="254" t="str">
        <f t="shared" si="49"/>
        <v/>
      </c>
      <c r="AU259" s="269"/>
      <c r="AV259" s="269"/>
    </row>
    <row r="260">
      <c r="A260" s="94"/>
      <c r="B260" s="452" t="s">
        <v>733</v>
      </c>
      <c r="C260" s="453" t="s">
        <v>734</v>
      </c>
      <c r="D260" s="363"/>
      <c r="E260" s="259"/>
      <c r="F260" s="74"/>
      <c r="G260" s="246"/>
      <c r="H260" s="594" t="s">
        <v>395</v>
      </c>
      <c r="I260" s="246"/>
      <c r="J260" s="74"/>
      <c r="K260" s="246"/>
      <c r="L260" s="261"/>
      <c r="M260" s="74"/>
      <c r="N260" s="246"/>
      <c r="O260" s="594" t="s">
        <v>395</v>
      </c>
      <c r="P260" s="246"/>
      <c r="Q260" s="74"/>
      <c r="R260" s="246"/>
      <c r="S260" s="261"/>
      <c r="T260" s="74"/>
      <c r="U260" s="246"/>
      <c r="V260" s="594" t="s">
        <v>395</v>
      </c>
      <c r="W260" s="246"/>
      <c r="X260" s="74"/>
      <c r="Y260" s="246"/>
      <c r="Z260" s="261"/>
      <c r="AA260" s="74"/>
      <c r="AB260" s="246"/>
      <c r="AC260" s="594" t="s">
        <v>395</v>
      </c>
      <c r="AD260" s="246"/>
      <c r="AE260" s="74"/>
      <c r="AF260" s="246"/>
      <c r="AG260" s="261"/>
      <c r="AH260" s="74"/>
      <c r="AI260" s="246"/>
      <c r="AJ260" s="594" t="s">
        <v>395</v>
      </c>
      <c r="AK260" s="246"/>
      <c r="AL260" s="74"/>
      <c r="AM260" s="246"/>
      <c r="AN260" s="261"/>
      <c r="AO260" s="74"/>
      <c r="AP260" s="246"/>
      <c r="AQ260" s="406" t="s">
        <v>946</v>
      </c>
      <c r="AR260" s="246"/>
      <c r="AS260" s="654" t="s">
        <v>957</v>
      </c>
      <c r="AT260" s="254" t="str">
        <f t="shared" si="49"/>
        <v/>
      </c>
      <c r="AU260" s="269"/>
      <c r="AV260" s="269"/>
    </row>
    <row r="261">
      <c r="A261" s="94"/>
      <c r="B261" s="636"/>
      <c r="C261" s="637"/>
      <c r="D261" s="269"/>
      <c r="E261" s="638"/>
      <c r="F261" s="446"/>
      <c r="G261" s="246"/>
      <c r="H261" s="446"/>
      <c r="I261" s="246"/>
      <c r="J261" s="446"/>
      <c r="K261" s="246"/>
      <c r="L261" s="462"/>
      <c r="M261" s="446"/>
      <c r="N261" s="246"/>
      <c r="O261" s="446"/>
      <c r="P261" s="246"/>
      <c r="Q261" s="446"/>
      <c r="R261" s="246"/>
      <c r="S261" s="462"/>
      <c r="T261" s="446"/>
      <c r="U261" s="246"/>
      <c r="V261" s="446"/>
      <c r="W261" s="246"/>
      <c r="X261" s="446"/>
      <c r="Y261" s="246"/>
      <c r="Z261" s="462"/>
      <c r="AA261" s="446"/>
      <c r="AB261" s="246"/>
      <c r="AC261" s="446"/>
      <c r="AD261" s="246"/>
      <c r="AE261" s="446"/>
      <c r="AF261" s="246"/>
      <c r="AG261" s="462"/>
      <c r="AH261" s="446"/>
      <c r="AI261" s="246"/>
      <c r="AJ261" s="446"/>
      <c r="AK261" s="246"/>
      <c r="AL261" s="446"/>
      <c r="AM261" s="246"/>
      <c r="AN261" s="462"/>
      <c r="AO261" s="446"/>
      <c r="AP261" s="246"/>
      <c r="AQ261" s="446"/>
      <c r="AR261" s="246"/>
      <c r="AS261" s="446"/>
      <c r="AT261" s="254"/>
      <c r="AU261" s="269"/>
      <c r="AV261" s="269"/>
    </row>
    <row r="262">
      <c r="A262" s="94"/>
      <c r="B262" s="454" t="s">
        <v>735</v>
      </c>
      <c r="C262" s="455" t="s">
        <v>736</v>
      </c>
      <c r="D262" s="363"/>
      <c r="E262" s="259"/>
      <c r="F262" s="441"/>
      <c r="G262" s="246"/>
      <c r="H262" s="441"/>
      <c r="I262" s="246"/>
      <c r="J262" s="405" t="s">
        <v>462</v>
      </c>
      <c r="K262" s="246"/>
      <c r="L262" s="261"/>
      <c r="M262" s="441"/>
      <c r="N262" s="246"/>
      <c r="O262" s="441"/>
      <c r="P262" s="246"/>
      <c r="Q262" s="441"/>
      <c r="R262" s="246"/>
      <c r="S262" s="261"/>
      <c r="T262" s="441"/>
      <c r="U262" s="246"/>
      <c r="V262" s="441"/>
      <c r="W262" s="246"/>
      <c r="X262" s="405" t="s">
        <v>462</v>
      </c>
      <c r="Y262" s="246"/>
      <c r="Z262" s="261"/>
      <c r="AA262" s="441"/>
      <c r="AB262" s="246"/>
      <c r="AC262" s="441"/>
      <c r="AD262" s="246"/>
      <c r="AE262" s="441"/>
      <c r="AF262" s="246"/>
      <c r="AG262" s="261"/>
      <c r="AH262" s="441"/>
      <c r="AI262" s="246"/>
      <c r="AJ262" s="441"/>
      <c r="AK262" s="246"/>
      <c r="AL262" s="405" t="s">
        <v>462</v>
      </c>
      <c r="AM262" s="246"/>
      <c r="AN262" s="261"/>
      <c r="AO262" s="441"/>
      <c r="AP262" s="246"/>
      <c r="AQ262" s="441"/>
      <c r="AR262" s="246"/>
      <c r="AS262" s="441"/>
      <c r="AT262" s="254" t="str">
        <f t="shared" ref="AT262:AT264" si="50">IF(COUNTIF($AO$89:$AT$91, AS262) &gt; 0, "X", "")</f>
        <v/>
      </c>
      <c r="AU262" s="269"/>
      <c r="AV262" s="269"/>
    </row>
    <row r="263">
      <c r="A263" s="94"/>
      <c r="B263" s="454" t="s">
        <v>735</v>
      </c>
      <c r="C263" s="442" t="s">
        <v>736</v>
      </c>
      <c r="D263" s="363"/>
      <c r="E263" s="259"/>
      <c r="F263" s="456"/>
      <c r="G263" s="246"/>
      <c r="H263" s="456"/>
      <c r="I263" s="246"/>
      <c r="J263" s="456"/>
      <c r="K263" s="246"/>
      <c r="L263" s="261"/>
      <c r="M263" s="456"/>
      <c r="N263" s="246"/>
      <c r="O263" s="456"/>
      <c r="P263" s="246"/>
      <c r="Q263" s="456"/>
      <c r="R263" s="246"/>
      <c r="S263" s="261"/>
      <c r="T263" s="456"/>
      <c r="U263" s="246"/>
      <c r="V263" s="456"/>
      <c r="W263" s="246"/>
      <c r="X263" s="456"/>
      <c r="Y263" s="246"/>
      <c r="Z263" s="261"/>
      <c r="AA263" s="456"/>
      <c r="AB263" s="246"/>
      <c r="AC263" s="456"/>
      <c r="AD263" s="246"/>
      <c r="AE263" s="456"/>
      <c r="AF263" s="246"/>
      <c r="AG263" s="261"/>
      <c r="AH263" s="456"/>
      <c r="AI263" s="246"/>
      <c r="AJ263" s="456"/>
      <c r="AK263" s="246"/>
      <c r="AL263" s="456"/>
      <c r="AM263" s="246"/>
      <c r="AN263" s="261"/>
      <c r="AO263" s="456"/>
      <c r="AP263" s="246"/>
      <c r="AQ263" s="456"/>
      <c r="AR263" s="246"/>
      <c r="AS263" s="456"/>
      <c r="AT263" s="254" t="str">
        <f t="shared" si="50"/>
        <v/>
      </c>
      <c r="AU263" s="269"/>
      <c r="AV263" s="269"/>
    </row>
    <row r="264">
      <c r="A264" s="94"/>
      <c r="B264" s="457" t="s">
        <v>735</v>
      </c>
      <c r="C264" s="458" t="s">
        <v>737</v>
      </c>
      <c r="D264" s="363"/>
      <c r="E264" s="259"/>
      <c r="F264" s="406"/>
      <c r="G264" s="246"/>
      <c r="H264" s="406"/>
      <c r="I264" s="246"/>
      <c r="J264" s="406"/>
      <c r="K264" s="246"/>
      <c r="L264" s="261"/>
      <c r="M264" s="406"/>
      <c r="N264" s="246"/>
      <c r="O264" s="406"/>
      <c r="P264" s="246"/>
      <c r="Q264" s="406"/>
      <c r="R264" s="246"/>
      <c r="S264" s="261"/>
      <c r="T264" s="406"/>
      <c r="U264" s="246"/>
      <c r="V264" s="406"/>
      <c r="W264" s="246"/>
      <c r="X264" s="406"/>
      <c r="Y264" s="246"/>
      <c r="Z264" s="261"/>
      <c r="AA264" s="406"/>
      <c r="AB264" s="246"/>
      <c r="AC264" s="406"/>
      <c r="AD264" s="246"/>
      <c r="AE264" s="406"/>
      <c r="AF264" s="246"/>
      <c r="AG264" s="261"/>
      <c r="AH264" s="406"/>
      <c r="AI264" s="246"/>
      <c r="AJ264" s="406"/>
      <c r="AK264" s="246"/>
      <c r="AL264" s="406"/>
      <c r="AM264" s="246"/>
      <c r="AN264" s="261"/>
      <c r="AO264" s="406"/>
      <c r="AP264" s="246"/>
      <c r="AQ264" s="406"/>
      <c r="AR264" s="246"/>
      <c r="AS264" s="406"/>
      <c r="AT264" s="254" t="str">
        <f t="shared" si="50"/>
        <v/>
      </c>
      <c r="AU264" s="269"/>
      <c r="AV264" s="269"/>
    </row>
    <row r="265">
      <c r="A265" s="94"/>
      <c r="B265" s="459"/>
      <c r="C265" s="460" t="s">
        <v>738</v>
      </c>
      <c r="D265" s="363"/>
      <c r="E265" s="259"/>
      <c r="F265" s="461" t="s">
        <v>1185</v>
      </c>
      <c r="G265" s="246"/>
      <c r="H265" s="132"/>
      <c r="I265" s="246"/>
      <c r="J265" s="132"/>
      <c r="K265" s="246"/>
      <c r="L265" s="462"/>
      <c r="M265" s="461" t="s">
        <v>1186</v>
      </c>
      <c r="N265" s="246"/>
      <c r="O265" s="132"/>
      <c r="P265" s="246"/>
      <c r="Q265" s="132"/>
      <c r="R265" s="246"/>
      <c r="S265" s="462"/>
      <c r="T265" s="461" t="s">
        <v>1187</v>
      </c>
      <c r="U265" s="246"/>
      <c r="V265" s="132"/>
      <c r="W265" s="246"/>
      <c r="X265" s="132"/>
      <c r="Y265" s="246"/>
      <c r="Z265" s="462"/>
      <c r="AA265" s="461" t="s">
        <v>1188</v>
      </c>
      <c r="AB265" s="246"/>
      <c r="AC265" s="132"/>
      <c r="AD265" s="246"/>
      <c r="AE265" s="132"/>
      <c r="AF265" s="246"/>
      <c r="AG265" s="462"/>
      <c r="AH265" s="461" t="s">
        <v>1189</v>
      </c>
      <c r="AI265" s="246"/>
      <c r="AJ265" s="132"/>
      <c r="AK265" s="246"/>
      <c r="AL265" s="132"/>
      <c r="AM265" s="246"/>
      <c r="AN265" s="462"/>
      <c r="AO265" s="461" t="s">
        <v>1190</v>
      </c>
      <c r="AP265" s="246"/>
      <c r="AQ265" s="132"/>
      <c r="AR265" s="246"/>
      <c r="AS265" s="132"/>
      <c r="AT265" s="460"/>
      <c r="AU265" s="269"/>
      <c r="AV265" s="269"/>
    </row>
    <row r="266">
      <c r="A266" s="270"/>
      <c r="B266" s="459"/>
      <c r="C266" s="460" t="s">
        <v>738</v>
      </c>
      <c r="D266" s="363"/>
      <c r="E266" s="259"/>
      <c r="F266" s="461" t="s">
        <v>1191</v>
      </c>
      <c r="G266" s="246"/>
      <c r="H266" s="132"/>
      <c r="I266" s="246"/>
      <c r="J266" s="132"/>
      <c r="K266" s="246"/>
      <c r="L266" s="462"/>
      <c r="M266" s="461"/>
      <c r="N266" s="246"/>
      <c r="O266" s="132"/>
      <c r="P266" s="246"/>
      <c r="Q266" s="132"/>
      <c r="R266" s="246"/>
      <c r="S266" s="462"/>
      <c r="T266" s="461"/>
      <c r="U266" s="246"/>
      <c r="V266" s="132"/>
      <c r="W266" s="246"/>
      <c r="X266" s="132"/>
      <c r="Y266" s="246"/>
      <c r="Z266" s="462"/>
      <c r="AA266" s="461"/>
      <c r="AB266" s="246"/>
      <c r="AC266" s="132"/>
      <c r="AD266" s="246"/>
      <c r="AE266" s="132"/>
      <c r="AF266" s="246"/>
      <c r="AG266" s="462"/>
      <c r="AH266" s="461"/>
      <c r="AI266" s="246"/>
      <c r="AJ266" s="132"/>
      <c r="AK266" s="246"/>
      <c r="AL266" s="132"/>
      <c r="AM266" s="246"/>
      <c r="AN266" s="462"/>
      <c r="AO266" s="461" t="s">
        <v>493</v>
      </c>
      <c r="AP266" s="246"/>
      <c r="AQ266" s="132"/>
      <c r="AR266" s="246"/>
      <c r="AS266" s="132"/>
      <c r="AT266" s="460"/>
      <c r="AU266" s="236"/>
      <c r="AV266" s="236"/>
    </row>
    <row r="267">
      <c r="A267" s="236"/>
      <c r="B267" s="459"/>
      <c r="C267" s="460" t="s">
        <v>738</v>
      </c>
      <c r="D267" s="363"/>
      <c r="E267" s="259"/>
      <c r="F267" s="461"/>
      <c r="G267" s="246"/>
      <c r="H267" s="132"/>
      <c r="I267" s="246"/>
      <c r="J267" s="132"/>
      <c r="K267" s="246"/>
      <c r="L267" s="462"/>
      <c r="M267" s="132"/>
      <c r="N267" s="246"/>
      <c r="O267" s="132"/>
      <c r="P267" s="246"/>
      <c r="Q267" s="132"/>
      <c r="R267" s="246"/>
      <c r="S267" s="462"/>
      <c r="T267" s="132"/>
      <c r="U267" s="246"/>
      <c r="V267" s="132"/>
      <c r="W267" s="246"/>
      <c r="X267" s="132"/>
      <c r="Y267" s="246"/>
      <c r="Z267" s="462"/>
      <c r="AA267" s="461" t="s">
        <v>548</v>
      </c>
      <c r="AB267" s="246"/>
      <c r="AC267" s="132"/>
      <c r="AD267" s="246"/>
      <c r="AE267" s="132"/>
      <c r="AF267" s="246"/>
      <c r="AG267" s="462"/>
      <c r="AH267" s="461"/>
      <c r="AI267" s="246"/>
      <c r="AJ267" s="132"/>
      <c r="AK267" s="246"/>
      <c r="AL267" s="132"/>
      <c r="AM267" s="246"/>
      <c r="AN267" s="462"/>
      <c r="AO267" s="461"/>
      <c r="AP267" s="246"/>
      <c r="AQ267" s="132"/>
      <c r="AR267" s="246"/>
      <c r="AS267" s="132"/>
      <c r="AT267" s="460"/>
      <c r="AU267" s="236"/>
      <c r="AV267" s="236"/>
    </row>
    <row r="268">
      <c r="A268" s="236"/>
      <c r="B268" s="459"/>
      <c r="C268" s="460"/>
      <c r="D268" s="330"/>
      <c r="E268" s="844"/>
      <c r="F268" s="846"/>
      <c r="G268" s="823"/>
      <c r="H268" s="146"/>
      <c r="I268" s="823"/>
      <c r="J268" s="146"/>
      <c r="K268" s="823"/>
      <c r="L268" s="845"/>
      <c r="M268" s="146"/>
      <c r="N268" s="823"/>
      <c r="O268" s="146"/>
      <c r="P268" s="823"/>
      <c r="Q268" s="146"/>
      <c r="R268" s="823"/>
      <c r="S268" s="845"/>
      <c r="T268" s="146"/>
      <c r="U268" s="823"/>
      <c r="V268" s="146"/>
      <c r="W268" s="823"/>
      <c r="X268" s="146"/>
      <c r="Y268" s="823"/>
      <c r="Z268" s="845"/>
      <c r="AA268" s="846"/>
      <c r="AB268" s="823"/>
      <c r="AC268" s="146"/>
      <c r="AD268" s="823"/>
      <c r="AE268" s="146"/>
      <c r="AF268" s="823"/>
      <c r="AG268" s="845"/>
      <c r="AH268" s="846"/>
      <c r="AI268" s="823"/>
      <c r="AJ268" s="146"/>
      <c r="AK268" s="823"/>
      <c r="AL268" s="146"/>
      <c r="AM268" s="823"/>
      <c r="AN268" s="845"/>
      <c r="AO268" s="846"/>
      <c r="AP268" s="823"/>
      <c r="AQ268" s="146"/>
      <c r="AR268" s="823"/>
      <c r="AS268" s="146"/>
      <c r="AT268" s="460"/>
      <c r="AU268" s="236"/>
      <c r="AV268" s="236"/>
    </row>
    <row r="269">
      <c r="A269" s="182"/>
      <c r="B269" s="183" t="s">
        <v>791</v>
      </c>
      <c r="C269" s="184" t="s">
        <v>1148</v>
      </c>
      <c r="D269" s="185" t="s">
        <v>486</v>
      </c>
      <c r="E269" s="186"/>
      <c r="F269" s="185" t="s">
        <v>487</v>
      </c>
      <c r="M269" s="185" t="s">
        <v>488</v>
      </c>
      <c r="T269" s="185" t="s">
        <v>489</v>
      </c>
      <c r="AA269" s="185" t="s">
        <v>490</v>
      </c>
      <c r="AH269" s="185" t="s">
        <v>491</v>
      </c>
      <c r="AO269" s="185" t="s">
        <v>492</v>
      </c>
      <c r="AU269" s="182"/>
      <c r="AV269" s="182"/>
    </row>
    <row r="270">
      <c r="A270" s="182"/>
      <c r="B270" s="187"/>
      <c r="C270" s="187"/>
      <c r="D270" s="188">
        <f>AO182+1</f>
        <v>23</v>
      </c>
      <c r="E270" s="189"/>
      <c r="F270" s="188">
        <f>D270+1</f>
        <v>24</v>
      </c>
      <c r="M270" s="188">
        <f>F270+1</f>
        <v>25</v>
      </c>
      <c r="T270" s="188">
        <f>M270+1</f>
        <v>26</v>
      </c>
      <c r="AA270" s="188">
        <f>T270+1</f>
        <v>27</v>
      </c>
      <c r="AH270" s="188">
        <f>AA270+1</f>
        <v>28</v>
      </c>
      <c r="AO270" s="188">
        <f>AH270+1</f>
        <v>29</v>
      </c>
      <c r="AU270" s="182"/>
      <c r="AV270" s="182"/>
    </row>
    <row r="271">
      <c r="A271" s="182"/>
      <c r="B271" s="193" t="s">
        <v>608</v>
      </c>
      <c r="C271" s="193" t="s">
        <v>609</v>
      </c>
      <c r="D271" s="187"/>
      <c r="E271" s="189"/>
      <c r="F271" s="194" t="s">
        <v>610</v>
      </c>
      <c r="G271" s="195"/>
      <c r="H271" s="193" t="s">
        <v>611</v>
      </c>
      <c r="J271" s="194" t="s">
        <v>612</v>
      </c>
      <c r="M271" s="194" t="s">
        <v>610</v>
      </c>
      <c r="N271" s="195"/>
      <c r="O271" s="193" t="s">
        <v>611</v>
      </c>
      <c r="P271" s="195"/>
      <c r="Q271" s="194" t="s">
        <v>612</v>
      </c>
      <c r="S271" s="193"/>
      <c r="T271" s="194" t="s">
        <v>610</v>
      </c>
      <c r="U271" s="195"/>
      <c r="V271" s="193" t="s">
        <v>611</v>
      </c>
      <c r="W271" s="195"/>
      <c r="X271" s="194" t="s">
        <v>612</v>
      </c>
      <c r="Z271" s="193"/>
      <c r="AA271" s="194" t="s">
        <v>610</v>
      </c>
      <c r="AB271" s="195"/>
      <c r="AC271" s="193" t="s">
        <v>611</v>
      </c>
      <c r="AD271" s="195"/>
      <c r="AE271" s="194" t="s">
        <v>612</v>
      </c>
      <c r="AG271" s="193"/>
      <c r="AH271" s="194" t="s">
        <v>610</v>
      </c>
      <c r="AI271" s="195"/>
      <c r="AJ271" s="193" t="s">
        <v>611</v>
      </c>
      <c r="AK271" s="195"/>
      <c r="AL271" s="194" t="s">
        <v>612</v>
      </c>
      <c r="AN271" s="193"/>
      <c r="AO271" s="194" t="s">
        <v>610</v>
      </c>
      <c r="AP271" s="195"/>
      <c r="AQ271" s="193" t="s">
        <v>611</v>
      </c>
      <c r="AR271" s="195"/>
      <c r="AS271" s="194" t="s">
        <v>612</v>
      </c>
      <c r="AU271" s="182"/>
      <c r="AV271" s="182"/>
    </row>
    <row r="272">
      <c r="A272" s="199"/>
      <c r="B272" s="200" t="s">
        <v>620</v>
      </c>
      <c r="C272" s="201"/>
      <c r="D272" s="201"/>
      <c r="E272" s="202"/>
      <c r="F272" s="203"/>
      <c r="G272" s="204"/>
      <c r="H272" s="203"/>
      <c r="I272" s="204"/>
      <c r="J272" s="203"/>
      <c r="K272" s="204"/>
      <c r="L272" s="205"/>
      <c r="M272" s="203"/>
      <c r="N272" s="204"/>
      <c r="O272" s="203"/>
      <c r="P272" s="204"/>
      <c r="Q272" s="724" t="s">
        <v>779</v>
      </c>
      <c r="R272" s="204"/>
      <c r="S272" s="205"/>
      <c r="T272" s="203"/>
      <c r="U272" s="204"/>
      <c r="V272" s="203"/>
      <c r="W272" s="204"/>
      <c r="X272" s="203"/>
      <c r="Y272" s="204"/>
      <c r="Z272" s="205"/>
      <c r="AA272" s="203"/>
      <c r="AB272" s="204"/>
      <c r="AC272" s="203"/>
      <c r="AD272" s="204"/>
      <c r="AE272" s="682" t="s">
        <v>1192</v>
      </c>
      <c r="AF272" s="204"/>
      <c r="AG272" s="205"/>
      <c r="AH272" s="203"/>
      <c r="AI272" s="204"/>
      <c r="AJ272" s="203"/>
      <c r="AK272" s="204"/>
      <c r="AL272" s="203" t="s">
        <v>749</v>
      </c>
      <c r="AM272" s="204"/>
      <c r="AN272" s="205"/>
      <c r="AO272" s="203"/>
      <c r="AP272" s="204"/>
      <c r="AQ272" s="203"/>
      <c r="AR272" s="204"/>
      <c r="AS272" s="203"/>
      <c r="AT272" s="204"/>
      <c r="AU272" s="199"/>
      <c r="AV272" s="199"/>
    </row>
    <row r="273">
      <c r="A273" s="234"/>
      <c r="B273" s="235" t="s">
        <v>608</v>
      </c>
      <c r="C273" s="195" t="s">
        <v>609</v>
      </c>
      <c r="D273" s="236"/>
      <c r="E273" s="237"/>
      <c r="F273" s="238"/>
      <c r="G273" s="182"/>
      <c r="H273" s="238"/>
      <c r="I273" s="239"/>
      <c r="J273" s="238"/>
      <c r="K273" s="239"/>
      <c r="L273" s="237"/>
      <c r="M273" s="238"/>
      <c r="N273" s="182"/>
      <c r="O273" s="238"/>
      <c r="P273" s="239"/>
      <c r="Q273" s="238"/>
      <c r="R273" s="239"/>
      <c r="S273" s="237"/>
      <c r="T273" s="238"/>
      <c r="U273" s="182"/>
      <c r="V273" s="238"/>
      <c r="W273" s="239"/>
      <c r="X273" s="238"/>
      <c r="Y273" s="239"/>
      <c r="Z273" s="237"/>
      <c r="AA273" s="238"/>
      <c r="AB273" s="182"/>
      <c r="AC273" s="238"/>
      <c r="AD273" s="239"/>
      <c r="AE273" s="238"/>
      <c r="AF273" s="239"/>
      <c r="AG273" s="237"/>
      <c r="AH273" s="238"/>
      <c r="AI273" s="182"/>
      <c r="AJ273" s="238"/>
      <c r="AK273" s="239"/>
      <c r="AL273" s="238"/>
      <c r="AM273" s="239"/>
      <c r="AN273" s="237"/>
      <c r="AO273" s="238"/>
      <c r="AP273" s="182"/>
      <c r="AQ273" s="238"/>
      <c r="AR273" s="239"/>
      <c r="AS273" s="238"/>
      <c r="AT273" s="239"/>
      <c r="AU273" s="236"/>
      <c r="AV273" s="236"/>
    </row>
    <row r="274">
      <c r="A274" s="240"/>
      <c r="B274" s="241" t="s">
        <v>638</v>
      </c>
      <c r="C274" s="242" t="s">
        <v>639</v>
      </c>
      <c r="D274" s="243"/>
      <c r="E274" s="244"/>
      <c r="F274" s="371"/>
      <c r="G274" s="246"/>
      <c r="H274" s="274"/>
      <c r="I274" s="246"/>
      <c r="K274" s="246"/>
      <c r="L274" s="249"/>
      <c r="M274" s="250"/>
      <c r="N274" s="246"/>
      <c r="O274" s="282"/>
      <c r="P274" s="246"/>
      <c r="Q274" s="850" t="s">
        <v>421</v>
      </c>
      <c r="R274" s="246"/>
      <c r="S274" s="249"/>
      <c r="T274" s="250"/>
      <c r="U274" s="246"/>
      <c r="V274" s="282"/>
      <c r="W274" s="246"/>
      <c r="Y274" s="246"/>
      <c r="Z274" s="249"/>
      <c r="AA274" s="250"/>
      <c r="AB274" s="246"/>
      <c r="AC274" s="282"/>
      <c r="AD274" s="246"/>
      <c r="AF274" s="246"/>
      <c r="AG274" s="249"/>
      <c r="AH274" s="371"/>
      <c r="AI274" s="246"/>
      <c r="AJ274" s="282"/>
      <c r="AK274" s="246"/>
      <c r="AL274" s="660" t="s">
        <v>405</v>
      </c>
      <c r="AM274" s="246"/>
      <c r="AN274" s="249"/>
      <c r="AO274" s="250"/>
      <c r="AP274" s="246"/>
      <c r="AQ274" s="276"/>
      <c r="AR274" s="246"/>
      <c r="AS274" s="252"/>
      <c r="AT274" s="254" t="str">
        <f>IF(COUNTIF($AO$89:$AT$91, #REF!) &gt; 0, "X", "")</f>
        <v/>
      </c>
      <c r="AU274" s="255"/>
      <c r="AV274" s="255"/>
    </row>
    <row r="275">
      <c r="A275" s="94"/>
      <c r="B275" s="256" t="s">
        <v>638</v>
      </c>
      <c r="C275" s="257" t="s">
        <v>639</v>
      </c>
      <c r="D275" s="243"/>
      <c r="E275" s="259"/>
      <c r="F275" s="371"/>
      <c r="G275" s="246"/>
      <c r="H275" s="274"/>
      <c r="I275" s="246"/>
      <c r="K275" s="246"/>
      <c r="L275" s="249"/>
      <c r="M275" s="250"/>
      <c r="N275" s="246"/>
      <c r="O275" s="282"/>
      <c r="P275" s="246"/>
      <c r="Q275" s="692" t="s">
        <v>419</v>
      </c>
      <c r="R275" s="246"/>
      <c r="S275" s="249"/>
      <c r="T275" s="250"/>
      <c r="U275" s="246"/>
      <c r="V275" s="282"/>
      <c r="W275" s="246"/>
      <c r="Y275" s="246"/>
      <c r="Z275" s="249"/>
      <c r="AA275" s="250"/>
      <c r="AB275" s="246"/>
      <c r="AD275" s="246"/>
      <c r="AE275" s="660" t="s">
        <v>405</v>
      </c>
      <c r="AF275" s="246"/>
      <c r="AG275" s="249"/>
      <c r="AH275" s="371"/>
      <c r="AI275" s="246"/>
      <c r="AJ275" s="282"/>
      <c r="AK275" s="246"/>
      <c r="AL275" s="274" t="s">
        <v>414</v>
      </c>
      <c r="AM275" s="246"/>
      <c r="AN275" s="249"/>
      <c r="AO275" s="250"/>
      <c r="AP275" s="246"/>
      <c r="AQ275" s="276"/>
      <c r="AR275" s="246"/>
      <c r="AS275" s="252"/>
      <c r="AT275" s="254" t="str">
        <f>IF(COUNTIF($AO$89:$AT$91, AS281) &gt; 0, "X", "")</f>
        <v/>
      </c>
      <c r="AU275" s="269"/>
      <c r="AV275" s="269"/>
    </row>
    <row r="276">
      <c r="A276" s="270"/>
      <c r="B276" s="271" t="s">
        <v>642</v>
      </c>
      <c r="C276" s="272" t="s">
        <v>639</v>
      </c>
      <c r="D276" s="243"/>
      <c r="E276" s="259"/>
      <c r="F276" s="426"/>
      <c r="G276" s="246"/>
      <c r="H276" s="426"/>
      <c r="I276" s="246"/>
      <c r="J276" s="265"/>
      <c r="K276" s="246"/>
      <c r="L276" s="261"/>
      <c r="M276" s="262"/>
      <c r="N276" s="246"/>
      <c r="O276" s="265"/>
      <c r="P276" s="246"/>
      <c r="Q276" s="802" t="s">
        <v>414</v>
      </c>
      <c r="R276" s="246"/>
      <c r="S276" s="261"/>
      <c r="T276" s="262"/>
      <c r="U276" s="246"/>
      <c r="W276" s="246"/>
      <c r="X276" s="265"/>
      <c r="Y276" s="246"/>
      <c r="Z276" s="261"/>
      <c r="AA276" s="262"/>
      <c r="AB276" s="246"/>
      <c r="AD276" s="246"/>
      <c r="AF276" s="246"/>
      <c r="AG276" s="261"/>
      <c r="AH276" s="426"/>
      <c r="AI276" s="246"/>
      <c r="AK276" s="246"/>
      <c r="AL276" s="289"/>
      <c r="AM276" s="246"/>
      <c r="AN276" s="261"/>
      <c r="AO276" s="262"/>
      <c r="AP276" s="246"/>
      <c r="AQ276" s="598"/>
      <c r="AR276" s="246"/>
      <c r="AS276" s="598"/>
      <c r="AT276" s="254" t="str">
        <f>IF(COUNTIF($AO$89:$AT$91, #REF!) &gt; 0, "X", "")</f>
        <v/>
      </c>
      <c r="AU276" s="269"/>
      <c r="AV276" s="269"/>
    </row>
    <row r="277">
      <c r="A277" s="234"/>
      <c r="B277" s="277" t="s">
        <v>644</v>
      </c>
      <c r="C277" s="278" t="s">
        <v>645</v>
      </c>
      <c r="D277" s="243"/>
      <c r="E277" s="259"/>
      <c r="F277" s="281"/>
      <c r="G277" s="246"/>
      <c r="H277" s="280" t="s">
        <v>400</v>
      </c>
      <c r="I277" s="246"/>
      <c r="J277" s="282"/>
      <c r="K277" s="246"/>
      <c r="L277" s="261"/>
      <c r="M277" s="250"/>
      <c r="N277" s="246"/>
      <c r="O277" s="281"/>
      <c r="P277" s="246"/>
      <c r="Q277" s="802" t="s">
        <v>409</v>
      </c>
      <c r="R277" s="246"/>
      <c r="S277" s="261"/>
      <c r="T277" s="250"/>
      <c r="U277" s="246"/>
      <c r="W277" s="246"/>
      <c r="X277" s="280" t="s">
        <v>400</v>
      </c>
      <c r="Y277" s="246"/>
      <c r="Z277" s="261"/>
      <c r="AA277" s="250"/>
      <c r="AB277" s="246"/>
      <c r="AC277" s="281"/>
      <c r="AD277" s="246"/>
      <c r="AE277" s="280" t="s">
        <v>400</v>
      </c>
      <c r="AF277" s="246"/>
      <c r="AG277" s="261"/>
      <c r="AH277" s="282"/>
      <c r="AI277" s="246"/>
      <c r="AJ277" s="280" t="s">
        <v>400</v>
      </c>
      <c r="AK277" s="246"/>
      <c r="AL277" s="281"/>
      <c r="AM277" s="246"/>
      <c r="AN277" s="261"/>
      <c r="AO277" s="250"/>
      <c r="AP277" s="246"/>
      <c r="AQ277" s="276"/>
      <c r="AR277" s="246"/>
      <c r="AS277" s="276"/>
      <c r="AT277" s="254" t="str">
        <f t="shared" ref="AT277:AT279" si="51">IF(COUNTIF($AO$89:$AT$91, AS278) &gt; 0, "X", "")</f>
        <v/>
      </c>
      <c r="AU277" s="269"/>
      <c r="AV277" s="269"/>
    </row>
    <row r="278">
      <c r="A278" s="94"/>
      <c r="B278" s="256" t="s">
        <v>757</v>
      </c>
      <c r="C278" s="257" t="s">
        <v>645</v>
      </c>
      <c r="D278" s="243"/>
      <c r="E278" s="259"/>
      <c r="F278" s="371"/>
      <c r="G278" s="246"/>
      <c r="H278" s="371"/>
      <c r="I278" s="246"/>
      <c r="J278" s="371"/>
      <c r="K278" s="246"/>
      <c r="L278" s="261"/>
      <c r="M278" s="250"/>
      <c r="N278" s="246"/>
      <c r="O278" s="280" t="s">
        <v>400</v>
      </c>
      <c r="P278" s="246"/>
      <c r="R278" s="246"/>
      <c r="S278" s="261"/>
      <c r="T278" s="250"/>
      <c r="U278" s="246"/>
      <c r="V278" s="371"/>
      <c r="W278" s="246"/>
      <c r="X278" s="371"/>
      <c r="Y278" s="246"/>
      <c r="Z278" s="261"/>
      <c r="AA278" s="250"/>
      <c r="AB278" s="246"/>
      <c r="AC278" s="282"/>
      <c r="AD278" s="246"/>
      <c r="AF278" s="246"/>
      <c r="AG278" s="261"/>
      <c r="AH278" s="371"/>
      <c r="AI278" s="246"/>
      <c r="AJ278" s="371"/>
      <c r="AK278" s="246"/>
      <c r="AL278" s="371"/>
      <c r="AM278" s="246"/>
      <c r="AN278" s="261"/>
      <c r="AO278" s="250"/>
      <c r="AP278" s="246"/>
      <c r="AQ278" s="252"/>
      <c r="AR278" s="246"/>
      <c r="AS278" s="252"/>
      <c r="AT278" s="254" t="str">
        <f t="shared" si="51"/>
        <v/>
      </c>
      <c r="AU278" s="269"/>
      <c r="AV278" s="269"/>
    </row>
    <row r="279">
      <c r="A279" s="94"/>
      <c r="B279" s="284" t="s">
        <v>646</v>
      </c>
      <c r="C279" s="285" t="s">
        <v>647</v>
      </c>
      <c r="D279" s="243"/>
      <c r="E279" s="259"/>
      <c r="F279" s="251" t="s">
        <v>427</v>
      </c>
      <c r="G279" s="246"/>
      <c r="H279" s="399"/>
      <c r="I279" s="246"/>
      <c r="J279" s="399"/>
      <c r="K279" s="246"/>
      <c r="L279" s="261"/>
      <c r="M279" s="324"/>
      <c r="N279" s="246"/>
      <c r="O279" s="399"/>
      <c r="P279" s="246"/>
      <c r="Q279" s="251" t="s">
        <v>427</v>
      </c>
      <c r="R279" s="246"/>
      <c r="S279" s="261"/>
      <c r="T279" s="324"/>
      <c r="U279" s="246"/>
      <c r="W279" s="246"/>
      <c r="X279" s="251" t="s">
        <v>427</v>
      </c>
      <c r="Y279" s="246"/>
      <c r="Z279" s="261"/>
      <c r="AA279" s="251" t="s">
        <v>427</v>
      </c>
      <c r="AB279" s="246"/>
      <c r="AC279" s="282"/>
      <c r="AD279" s="246"/>
      <c r="AE279" s="851" t="s">
        <v>409</v>
      </c>
      <c r="AF279" s="246"/>
      <c r="AG279" s="261"/>
      <c r="AH279" s="251" t="s">
        <v>427</v>
      </c>
      <c r="AI279" s="246"/>
      <c r="AJ279" s="282"/>
      <c r="AK279" s="246"/>
      <c r="AL279" s="282"/>
      <c r="AM279" s="246"/>
      <c r="AN279" s="261"/>
      <c r="AO279" s="324"/>
      <c r="AP279" s="246"/>
      <c r="AQ279" s="252"/>
      <c r="AR279" s="246"/>
      <c r="AS279" s="252"/>
      <c r="AT279" s="254" t="str">
        <f t="shared" si="51"/>
        <v/>
      </c>
      <c r="AU279" s="269"/>
      <c r="AV279" s="269"/>
    </row>
    <row r="280">
      <c r="A280" s="270"/>
      <c r="B280" s="291" t="s">
        <v>648</v>
      </c>
      <c r="C280" s="292" t="s">
        <v>649</v>
      </c>
      <c r="D280" s="243"/>
      <c r="E280" s="259"/>
      <c r="F280" s="294"/>
      <c r="G280" s="246"/>
      <c r="H280" s="293" t="s">
        <v>418</v>
      </c>
      <c r="I280" s="246"/>
      <c r="J280" s="294"/>
      <c r="K280" s="246"/>
      <c r="L280" s="261"/>
      <c r="M280" s="250"/>
      <c r="N280" s="246"/>
      <c r="O280" s="293" t="s">
        <v>418</v>
      </c>
      <c r="P280" s="246"/>
      <c r="Q280" s="294"/>
      <c r="R280" s="246"/>
      <c r="S280" s="261"/>
      <c r="T280" s="250"/>
      <c r="U280" s="246"/>
      <c r="V280" s="294"/>
      <c r="W280" s="246"/>
      <c r="X280" s="293" t="s">
        <v>418</v>
      </c>
      <c r="Y280" s="246"/>
      <c r="Z280" s="261"/>
      <c r="AA280" s="250"/>
      <c r="AB280" s="246"/>
      <c r="AC280" s="294"/>
      <c r="AD280" s="246"/>
      <c r="AE280" s="293" t="s">
        <v>418</v>
      </c>
      <c r="AF280" s="246"/>
      <c r="AG280" s="261"/>
      <c r="AH280" s="294"/>
      <c r="AI280" s="246"/>
      <c r="AJ280" s="293" t="s">
        <v>418</v>
      </c>
      <c r="AK280" s="246"/>
      <c r="AL280" s="294"/>
      <c r="AM280" s="246"/>
      <c r="AN280" s="261"/>
      <c r="AO280" s="250"/>
      <c r="AP280" s="246"/>
      <c r="AQ280" s="294"/>
      <c r="AR280" s="246"/>
      <c r="AS280" s="294"/>
      <c r="AT280" s="254" t="str">
        <f t="shared" ref="AT280:AT281" si="52">IF(COUNTIF($AO$89:$AT$91, #REF!) &gt; 0, "X", "")</f>
        <v/>
      </c>
      <c r="AU280" s="269"/>
      <c r="AV280" s="269"/>
    </row>
    <row r="281">
      <c r="A281" s="94"/>
      <c r="B281" s="296" t="s">
        <v>650</v>
      </c>
      <c r="C281" s="297" t="s">
        <v>649</v>
      </c>
      <c r="D281" s="243"/>
      <c r="E281" s="259"/>
      <c r="F281" s="299"/>
      <c r="G281" s="298"/>
      <c r="H281" s="299"/>
      <c r="I281" s="298"/>
      <c r="J281" s="299"/>
      <c r="K281" s="298"/>
      <c r="L281" s="261"/>
      <c r="M281" s="250"/>
      <c r="N281" s="298"/>
      <c r="O281" s="299"/>
      <c r="P281" s="298"/>
      <c r="Q281" s="299"/>
      <c r="R281" s="298"/>
      <c r="S281" s="261"/>
      <c r="T281" s="250"/>
      <c r="U281" s="298"/>
      <c r="V281" s="299"/>
      <c r="W281" s="298"/>
      <c r="X281" s="299"/>
      <c r="Y281" s="298"/>
      <c r="Z281" s="261"/>
      <c r="AA281" s="250"/>
      <c r="AB281" s="298"/>
      <c r="AC281" s="299"/>
      <c r="AD281" s="298"/>
      <c r="AE281" s="353" t="s">
        <v>426</v>
      </c>
      <c r="AF281" s="298"/>
      <c r="AG281" s="261"/>
      <c r="AH281" s="299"/>
      <c r="AI281" s="298"/>
      <c r="AJ281" s="299"/>
      <c r="AK281" s="298"/>
      <c r="AL281" s="299"/>
      <c r="AM281" s="298"/>
      <c r="AN281" s="261"/>
      <c r="AO281" s="250"/>
      <c r="AP281" s="298"/>
      <c r="AQ281" s="300"/>
      <c r="AR281" s="298"/>
      <c r="AS281" s="300"/>
      <c r="AT281" s="254" t="str">
        <f t="shared" si="52"/>
        <v/>
      </c>
      <c r="AU281" s="269"/>
      <c r="AV281" s="269"/>
    </row>
    <row r="282">
      <c r="A282" s="94"/>
      <c r="B282" s="301" t="s">
        <v>651</v>
      </c>
      <c r="C282" s="302" t="s">
        <v>652</v>
      </c>
      <c r="D282" s="243"/>
      <c r="E282" s="259"/>
      <c r="F282" s="303"/>
      <c r="G282" s="298"/>
      <c r="H282" s="303"/>
      <c r="I282" s="298"/>
      <c r="J282" s="303"/>
      <c r="K282" s="298"/>
      <c r="L282" s="261"/>
      <c r="M282" s="250"/>
      <c r="N282" s="298"/>
      <c r="O282" s="303"/>
      <c r="P282" s="298"/>
      <c r="Q282" s="303"/>
      <c r="R282" s="298"/>
      <c r="S282" s="261"/>
      <c r="T282" s="250"/>
      <c r="U282" s="298"/>
      <c r="V282" s="303"/>
      <c r="W282" s="298"/>
      <c r="X282" s="303"/>
      <c r="Y282" s="298"/>
      <c r="Z282" s="261"/>
      <c r="AA282" s="250"/>
      <c r="AB282" s="298"/>
      <c r="AC282" s="303"/>
      <c r="AD282" s="298"/>
      <c r="AE282" s="303"/>
      <c r="AF282" s="298"/>
      <c r="AG282" s="261"/>
      <c r="AH282" s="303"/>
      <c r="AI282" s="298"/>
      <c r="AJ282" s="303"/>
      <c r="AK282" s="298"/>
      <c r="AL282" s="303"/>
      <c r="AM282" s="298"/>
      <c r="AN282" s="261"/>
      <c r="AO282" s="250"/>
      <c r="AP282" s="298"/>
      <c r="AQ282" s="304"/>
      <c r="AR282" s="298"/>
      <c r="AS282" s="304"/>
      <c r="AT282" s="254" t="str">
        <f t="shared" ref="AT282:AT283" si="53">IF(COUNTIF($AO$89:$AT$91, AS283) &gt; 0, "X", "")</f>
        <v/>
      </c>
      <c r="AU282" s="269"/>
      <c r="AV282" s="269"/>
    </row>
    <row r="283">
      <c r="A283" s="94"/>
      <c r="B283" s="305" t="s">
        <v>653</v>
      </c>
      <c r="C283" s="306" t="s">
        <v>654</v>
      </c>
      <c r="D283" s="243"/>
      <c r="E283" s="259"/>
      <c r="F283" s="307"/>
      <c r="G283" s="298"/>
      <c r="H283" s="307"/>
      <c r="I283" s="298"/>
      <c r="J283" s="307"/>
      <c r="K283" s="298"/>
      <c r="L283" s="261"/>
      <c r="M283" s="250"/>
      <c r="N283" s="298"/>
      <c r="O283" s="307"/>
      <c r="P283" s="298"/>
      <c r="Q283" s="307"/>
      <c r="R283" s="298"/>
      <c r="S283" s="261"/>
      <c r="T283" s="250"/>
      <c r="U283" s="298"/>
      <c r="V283" s="307"/>
      <c r="W283" s="298"/>
      <c r="X283" s="307"/>
      <c r="Y283" s="298"/>
      <c r="Z283" s="261"/>
      <c r="AA283" s="250"/>
      <c r="AB283" s="298"/>
      <c r="AC283" s="307"/>
      <c r="AD283" s="298"/>
      <c r="AE283" s="802" t="s">
        <v>414</v>
      </c>
      <c r="AF283" s="298"/>
      <c r="AG283" s="261"/>
      <c r="AH283" s="307"/>
      <c r="AI283" s="298"/>
      <c r="AJ283" s="307"/>
      <c r="AK283" s="298"/>
      <c r="AL283" s="307"/>
      <c r="AM283" s="298"/>
      <c r="AN283" s="261"/>
      <c r="AO283" s="250"/>
      <c r="AP283" s="298"/>
      <c r="AQ283" s="307"/>
      <c r="AR283" s="298"/>
      <c r="AS283" s="307"/>
      <c r="AT283" s="254" t="str">
        <f t="shared" si="53"/>
        <v/>
      </c>
      <c r="AU283" s="269"/>
      <c r="AV283" s="269"/>
    </row>
    <row r="284">
      <c r="A284" s="94"/>
      <c r="B284" s="310" t="s">
        <v>656</v>
      </c>
      <c r="C284" s="278" t="s">
        <v>657</v>
      </c>
      <c r="D284" s="243"/>
      <c r="E284" s="259"/>
      <c r="F284" s="281"/>
      <c r="G284" s="246"/>
      <c r="H284" s="282"/>
      <c r="I284" s="246"/>
      <c r="J284" s="282"/>
      <c r="K284" s="246"/>
      <c r="L284" s="261"/>
      <c r="M284" s="250"/>
      <c r="N284" s="246"/>
      <c r="O284" s="274" t="s">
        <v>458</v>
      </c>
      <c r="P284" s="246"/>
      <c r="R284" s="246"/>
      <c r="S284" s="261"/>
      <c r="T284" s="250"/>
      <c r="U284" s="246"/>
      <c r="V284" s="282"/>
      <c r="W284" s="246"/>
      <c r="X284" s="282"/>
      <c r="Y284" s="246"/>
      <c r="Z284" s="261"/>
      <c r="AA284" s="250"/>
      <c r="AB284" s="246"/>
      <c r="AC284" s="282"/>
      <c r="AD284" s="246"/>
      <c r="AE284" s="606" t="s">
        <v>434</v>
      </c>
      <c r="AF284" s="246"/>
      <c r="AG284" s="261"/>
      <c r="AH284" s="282"/>
      <c r="AI284" s="246"/>
      <c r="AJ284" s="282"/>
      <c r="AK284" s="246"/>
      <c r="AL284" s="282"/>
      <c r="AM284" s="246"/>
      <c r="AN284" s="261"/>
      <c r="AO284" s="250"/>
      <c r="AP284" s="246"/>
      <c r="AQ284" s="276"/>
      <c r="AR284" s="246"/>
      <c r="AS284" s="276"/>
      <c r="AT284" s="254" t="str">
        <f t="shared" ref="AT284:AT286" si="54">IF(COUNTIF($AO$89:$AT$91, #REF!) &gt; 0, "X", "")</f>
        <v/>
      </c>
      <c r="AU284" s="269"/>
      <c r="AV284" s="269"/>
    </row>
    <row r="285">
      <c r="A285" s="94"/>
      <c r="B285" s="277" t="s">
        <v>658</v>
      </c>
      <c r="C285" s="278" t="s">
        <v>657</v>
      </c>
      <c r="D285" s="243"/>
      <c r="E285" s="259"/>
      <c r="F285" s="282"/>
      <c r="G285" s="246"/>
      <c r="H285" s="282"/>
      <c r="I285" s="246"/>
      <c r="J285" s="282"/>
      <c r="K285" s="246"/>
      <c r="L285" s="261"/>
      <c r="M285" s="250"/>
      <c r="N285" s="246"/>
      <c r="O285" s="606" t="s">
        <v>459</v>
      </c>
      <c r="P285" s="246"/>
      <c r="R285" s="246"/>
      <c r="S285" s="261"/>
      <c r="T285" s="250"/>
      <c r="U285" s="246"/>
      <c r="V285" s="282"/>
      <c r="W285" s="246"/>
      <c r="X285" s="282"/>
      <c r="Y285" s="246"/>
      <c r="Z285" s="261"/>
      <c r="AA285" s="250"/>
      <c r="AB285" s="246"/>
      <c r="AD285" s="246"/>
      <c r="AE285" s="282"/>
      <c r="AF285" s="246"/>
      <c r="AG285" s="261"/>
      <c r="AH285" s="282"/>
      <c r="AI285" s="246"/>
      <c r="AK285" s="246"/>
      <c r="AL285" s="471" t="s">
        <v>419</v>
      </c>
      <c r="AM285" s="246"/>
      <c r="AN285" s="261"/>
      <c r="AO285" s="250"/>
      <c r="AP285" s="246"/>
      <c r="AQ285" s="276"/>
      <c r="AR285" s="246"/>
      <c r="AT285" s="254" t="str">
        <f t="shared" si="54"/>
        <v/>
      </c>
      <c r="AU285" s="269"/>
      <c r="AV285" s="269"/>
    </row>
    <row r="286">
      <c r="A286" s="94"/>
      <c r="B286" s="314" t="s">
        <v>660</v>
      </c>
      <c r="C286" s="315" t="s">
        <v>649</v>
      </c>
      <c r="D286" s="243"/>
      <c r="E286" s="259"/>
      <c r="F286" s="479"/>
      <c r="G286" s="246"/>
      <c r="H286" s="293" t="s">
        <v>416</v>
      </c>
      <c r="I286" s="246"/>
      <c r="J286" s="353" t="s">
        <v>421</v>
      </c>
      <c r="K286" s="246"/>
      <c r="L286" s="261"/>
      <c r="M286" s="316"/>
      <c r="N286" s="246"/>
      <c r="O286" s="806" t="s">
        <v>416</v>
      </c>
      <c r="P286" s="246"/>
      <c r="Q286" s="353" t="s">
        <v>424</v>
      </c>
      <c r="R286" s="246"/>
      <c r="S286" s="261"/>
      <c r="T286" s="316"/>
      <c r="U286" s="246"/>
      <c r="V286" s="806" t="s">
        <v>416</v>
      </c>
      <c r="W286" s="246"/>
      <c r="X286" s="293" t="s">
        <v>424</v>
      </c>
      <c r="Y286" s="246"/>
      <c r="Z286" s="261"/>
      <c r="AA286" s="356" t="s">
        <v>423</v>
      </c>
      <c r="AB286" s="246"/>
      <c r="AC286" s="806" t="s">
        <v>416</v>
      </c>
      <c r="AD286" s="246"/>
      <c r="AE286" s="852" t="s">
        <v>421</v>
      </c>
      <c r="AF286" s="246"/>
      <c r="AG286" s="261"/>
      <c r="AH286" s="317"/>
      <c r="AI286" s="246"/>
      <c r="AJ286" s="806" t="s">
        <v>416</v>
      </c>
      <c r="AK286" s="246"/>
      <c r="AL286" s="353" t="s">
        <v>421</v>
      </c>
      <c r="AM286" s="246"/>
      <c r="AN286" s="261"/>
      <c r="AO286" s="316"/>
      <c r="AP286" s="246"/>
      <c r="AR286" s="246"/>
      <c r="AT286" s="254" t="str">
        <f t="shared" si="54"/>
        <v/>
      </c>
      <c r="AU286" s="269"/>
      <c r="AV286" s="269"/>
    </row>
    <row r="287">
      <c r="A287" s="94"/>
      <c r="B287" s="807" t="s">
        <v>1149</v>
      </c>
      <c r="C287" s="808" t="s">
        <v>649</v>
      </c>
      <c r="D287" s="853" t="s">
        <v>758</v>
      </c>
      <c r="E287" s="259"/>
      <c r="F287" s="479"/>
      <c r="G287" s="246"/>
      <c r="H287" s="848"/>
      <c r="I287" s="246"/>
      <c r="J287" s="253" t="s">
        <v>417</v>
      </c>
      <c r="K287" s="246"/>
      <c r="L287" s="261"/>
      <c r="M287" s="316"/>
      <c r="N287" s="246"/>
      <c r="O287" s="848"/>
      <c r="P287" s="246"/>
      <c r="Q287" s="813" t="s">
        <v>1157</v>
      </c>
      <c r="R287" s="246"/>
      <c r="S287" s="261"/>
      <c r="T287" s="316"/>
      <c r="U287" s="246"/>
      <c r="V287" s="848"/>
      <c r="W287" s="246"/>
      <c r="X287" s="632" t="s">
        <v>423</v>
      </c>
      <c r="Y287" s="246"/>
      <c r="Z287" s="261"/>
      <c r="AA287" s="848"/>
      <c r="AB287" s="246"/>
      <c r="AC287" s="813" t="s">
        <v>1157</v>
      </c>
      <c r="AD287" s="246"/>
      <c r="AE287" s="854" t="s">
        <v>424</v>
      </c>
      <c r="AF287" s="246"/>
      <c r="AG287" s="261"/>
      <c r="AH287" s="317"/>
      <c r="AI287" s="246"/>
      <c r="AJ287" s="848"/>
      <c r="AK287" s="246"/>
      <c r="AL287" s="632" t="s">
        <v>423</v>
      </c>
      <c r="AM287" s="246"/>
      <c r="AN287" s="261"/>
      <c r="AO287" s="316"/>
      <c r="AP287" s="246"/>
      <c r="AQ287" s="632" t="s">
        <v>423</v>
      </c>
      <c r="AR287" s="246"/>
      <c r="AS287" s="806" t="s">
        <v>421</v>
      </c>
      <c r="AT287" s="254"/>
      <c r="AU287" s="269"/>
      <c r="AV287" s="269"/>
    </row>
    <row r="288">
      <c r="A288" s="94"/>
      <c r="B288" s="296" t="s">
        <v>650</v>
      </c>
      <c r="C288" s="297" t="s">
        <v>649</v>
      </c>
      <c r="D288" s="805" t="s">
        <v>397</v>
      </c>
      <c r="E288" s="259"/>
      <c r="F288" s="317"/>
      <c r="G288" s="298"/>
      <c r="H288" s="319"/>
      <c r="I288" s="298"/>
      <c r="J288" s="319"/>
      <c r="K288" s="298"/>
      <c r="L288" s="261"/>
      <c r="M288" s="250"/>
      <c r="N288" s="298"/>
      <c r="O288" s="300"/>
      <c r="P288" s="298"/>
      <c r="Q288" s="300"/>
      <c r="R288" s="298"/>
      <c r="S288" s="261"/>
      <c r="T288" s="250"/>
      <c r="U288" s="298"/>
      <c r="V288" s="300"/>
      <c r="W288" s="298"/>
      <c r="X288" s="300"/>
      <c r="Y288" s="298"/>
      <c r="Z288" s="261"/>
      <c r="AA288" s="319"/>
      <c r="AB288" s="298"/>
      <c r="AC288" s="319"/>
      <c r="AD288" s="298"/>
      <c r="AE288" s="855" t="s">
        <v>419</v>
      </c>
      <c r="AF288" s="298"/>
      <c r="AG288" s="261"/>
      <c r="AH288" s="317"/>
      <c r="AI288" s="298"/>
      <c r="AJ288" s="300"/>
      <c r="AK288" s="298"/>
      <c r="AL288" s="300"/>
      <c r="AM288" s="298"/>
      <c r="AN288" s="261"/>
      <c r="AO288" s="250"/>
      <c r="AP288" s="298"/>
      <c r="AQ288" s="300"/>
      <c r="AR288" s="298"/>
      <c r="AS288" s="856" t="s">
        <v>424</v>
      </c>
      <c r="AT288" s="254" t="str">
        <f>IF(COUNTIF($AO$89:$AT$91, AS289) &gt; 0, "X", "")</f>
        <v/>
      </c>
      <c r="AU288" s="269"/>
      <c r="AV288" s="269"/>
    </row>
    <row r="289">
      <c r="A289" s="94"/>
      <c r="B289" s="301" t="s">
        <v>651</v>
      </c>
      <c r="C289" s="302" t="s">
        <v>652</v>
      </c>
      <c r="D289" s="850" t="s">
        <v>422</v>
      </c>
      <c r="E289" s="259"/>
      <c r="F289" s="320"/>
      <c r="G289" s="298"/>
      <c r="H289" s="303"/>
      <c r="I289" s="298"/>
      <c r="J289" s="303"/>
      <c r="K289" s="298"/>
      <c r="L289" s="261"/>
      <c r="M289" s="250"/>
      <c r="N289" s="298"/>
      <c r="O289" s="303"/>
      <c r="P289" s="298"/>
      <c r="Q289" s="484"/>
      <c r="R289" s="298"/>
      <c r="S289" s="261"/>
      <c r="T289" s="250"/>
      <c r="U289" s="298"/>
      <c r="V289" s="303"/>
      <c r="W289" s="298"/>
      <c r="X289" s="484"/>
      <c r="Y289" s="298"/>
      <c r="Z289" s="261"/>
      <c r="AA289" s="303"/>
      <c r="AB289" s="298"/>
      <c r="AC289" s="303"/>
      <c r="AD289" s="298"/>
      <c r="AF289" s="298"/>
      <c r="AG289" s="261"/>
      <c r="AH289" s="320"/>
      <c r="AI289" s="298"/>
      <c r="AJ289" s="303"/>
      <c r="AK289" s="298"/>
      <c r="AL289" s="303"/>
      <c r="AM289" s="298"/>
      <c r="AN289" s="261"/>
      <c r="AO289" s="250"/>
      <c r="AP289" s="298"/>
      <c r="AQ289" s="303"/>
      <c r="AR289" s="298"/>
      <c r="AS289" s="303"/>
      <c r="AT289" s="254" t="str">
        <f t="shared" ref="AT289:AT290" si="55">IF(COUNTIF($AO$89:$AT$91, #REF!) &gt; 0, "X", "")</f>
        <v/>
      </c>
      <c r="AU289" s="269"/>
      <c r="AV289" s="269"/>
    </row>
    <row r="290">
      <c r="A290" s="94"/>
      <c r="B290" s="322" t="s">
        <v>662</v>
      </c>
      <c r="C290" s="306" t="s">
        <v>663</v>
      </c>
      <c r="D290" s="803" t="s">
        <v>398</v>
      </c>
      <c r="E290" s="259"/>
      <c r="F290" s="317"/>
      <c r="G290" s="298"/>
      <c r="H290" s="334" t="s">
        <v>450</v>
      </c>
      <c r="I290" s="298"/>
      <c r="J290" s="802" t="s">
        <v>414</v>
      </c>
      <c r="K290" s="298"/>
      <c r="L290" s="261"/>
      <c r="M290" s="324"/>
      <c r="N290" s="298"/>
      <c r="O290" s="334" t="s">
        <v>450</v>
      </c>
      <c r="P290" s="298"/>
      <c r="Q290" s="519" t="s">
        <v>415</v>
      </c>
      <c r="R290" s="298"/>
      <c r="S290" s="261"/>
      <c r="T290" s="324"/>
      <c r="U290" s="298"/>
      <c r="V290" s="307"/>
      <c r="W290" s="298"/>
      <c r="X290" s="802" t="s">
        <v>414</v>
      </c>
      <c r="Y290" s="298"/>
      <c r="Z290" s="261"/>
      <c r="AA290" s="307"/>
      <c r="AB290" s="298"/>
      <c r="AC290" s="307"/>
      <c r="AD290" s="298"/>
      <c r="AE290" s="320"/>
      <c r="AF290" s="298"/>
      <c r="AG290" s="261"/>
      <c r="AH290" s="317"/>
      <c r="AI290" s="298"/>
      <c r="AJ290" s="307"/>
      <c r="AK290" s="298"/>
      <c r="AL290" s="519" t="s">
        <v>415</v>
      </c>
      <c r="AM290" s="298"/>
      <c r="AN290" s="261"/>
      <c r="AO290" s="324"/>
      <c r="AP290" s="298"/>
      <c r="AQ290" s="519" t="s">
        <v>448</v>
      </c>
      <c r="AR290" s="298"/>
      <c r="AS290" s="307"/>
      <c r="AT290" s="254" t="str">
        <f t="shared" si="55"/>
        <v/>
      </c>
      <c r="AU290" s="269"/>
      <c r="AV290" s="269"/>
    </row>
    <row r="291">
      <c r="A291" s="94"/>
      <c r="B291" s="328" t="s">
        <v>665</v>
      </c>
      <c r="C291" s="338" t="s">
        <v>1150</v>
      </c>
      <c r="D291" s="330"/>
      <c r="E291" s="259"/>
      <c r="F291" s="479"/>
      <c r="G291" s="246"/>
      <c r="I291" s="246"/>
      <c r="J291" s="606" t="s">
        <v>434</v>
      </c>
      <c r="K291" s="246"/>
      <c r="L291" s="261"/>
      <c r="M291" s="333"/>
      <c r="N291" s="246"/>
      <c r="O291" s="311" t="s">
        <v>1115</v>
      </c>
      <c r="P291" s="246"/>
      <c r="Q291" s="311" t="s">
        <v>434</v>
      </c>
      <c r="R291" s="246"/>
      <c r="S291" s="261"/>
      <c r="T291" s="333"/>
      <c r="U291" s="246"/>
      <c r="V291" s="606" t="s">
        <v>1115</v>
      </c>
      <c r="W291" s="246"/>
      <c r="X291" s="311" t="s">
        <v>434</v>
      </c>
      <c r="Y291" s="246"/>
      <c r="Z291" s="261"/>
      <c r="AB291" s="246"/>
      <c r="AC291" s="311" t="s">
        <v>1115</v>
      </c>
      <c r="AD291" s="246"/>
      <c r="AE291" s="320"/>
      <c r="AF291" s="246"/>
      <c r="AG291" s="261"/>
      <c r="AH291" s="320"/>
      <c r="AI291" s="246"/>
      <c r="AK291" s="246"/>
      <c r="AL291" s="311" t="s">
        <v>434</v>
      </c>
      <c r="AM291" s="246"/>
      <c r="AN291" s="261"/>
      <c r="AO291" s="333"/>
      <c r="AP291" s="246"/>
      <c r="AR291" s="246"/>
      <c r="AS291" s="519" t="s">
        <v>443</v>
      </c>
      <c r="AT291" s="254" t="str">
        <f>IF(COUNTIF($AO$89:$AT$91, AL294) &gt; 0, "X", "")</f>
        <v/>
      </c>
      <c r="AU291" s="269"/>
      <c r="AV291" s="269"/>
    </row>
    <row r="292">
      <c r="A292" s="94"/>
      <c r="B292" s="337" t="s">
        <v>665</v>
      </c>
      <c r="C292" s="338" t="s">
        <v>1151</v>
      </c>
      <c r="D292" s="330"/>
      <c r="E292" s="259"/>
      <c r="F292" s="479"/>
      <c r="G292" s="246"/>
      <c r="H292" s="606" t="s">
        <v>1115</v>
      </c>
      <c r="I292" s="246"/>
      <c r="J292" s="688" t="s">
        <v>447</v>
      </c>
      <c r="K292" s="246"/>
      <c r="L292" s="261"/>
      <c r="M292" s="324"/>
      <c r="N292" s="246"/>
      <c r="O292" s="311" t="s">
        <v>1087</v>
      </c>
      <c r="P292" s="246"/>
      <c r="Q292" s="688" t="s">
        <v>447</v>
      </c>
      <c r="R292" s="246"/>
      <c r="S292" s="261"/>
      <c r="T292" s="324"/>
      <c r="U292" s="246"/>
      <c r="V292" s="274" t="s">
        <v>458</v>
      </c>
      <c r="W292" s="246"/>
      <c r="X292" s="688" t="s">
        <v>447</v>
      </c>
      <c r="Y292" s="246"/>
      <c r="Z292" s="261"/>
      <c r="AA292" s="688" t="s">
        <v>447</v>
      </c>
      <c r="AB292" s="246"/>
      <c r="AC292" s="311" t="s">
        <v>1087</v>
      </c>
      <c r="AD292" s="246"/>
      <c r="AE292" s="320"/>
      <c r="AF292" s="246"/>
      <c r="AG292" s="261"/>
      <c r="AH292" s="320"/>
      <c r="AI292" s="246"/>
      <c r="AJ292" s="311" t="s">
        <v>1115</v>
      </c>
      <c r="AK292" s="246"/>
      <c r="AL292" s="688" t="s">
        <v>447</v>
      </c>
      <c r="AM292" s="246"/>
      <c r="AN292" s="261"/>
      <c r="AO292" s="324"/>
      <c r="AP292" s="246"/>
      <c r="AQ292" s="606" t="s">
        <v>1087</v>
      </c>
      <c r="AR292" s="246"/>
      <c r="AS292" s="339" t="s">
        <v>431</v>
      </c>
      <c r="AT292" s="254" t="str">
        <f t="shared" ref="AT292:AT294" si="56">IF(COUNTIF($AO$89:$AT$91, #REF!) &gt; 0, "X", "")</f>
        <v/>
      </c>
      <c r="AU292" s="269"/>
      <c r="AV292" s="269"/>
    </row>
    <row r="293">
      <c r="A293" s="94"/>
      <c r="B293" s="256" t="s">
        <v>665</v>
      </c>
      <c r="C293" s="338" t="s">
        <v>1152</v>
      </c>
      <c r="D293" s="330"/>
      <c r="E293" s="259"/>
      <c r="F293" s="479"/>
      <c r="G293" s="246"/>
      <c r="H293" s="274" t="s">
        <v>458</v>
      </c>
      <c r="I293" s="246"/>
      <c r="J293" s="339" t="s">
        <v>431</v>
      </c>
      <c r="K293" s="246"/>
      <c r="L293" s="261"/>
      <c r="M293" s="341"/>
      <c r="N293" s="246"/>
      <c r="P293" s="246"/>
      <c r="Q293" s="274" t="s">
        <v>443</v>
      </c>
      <c r="R293" s="246"/>
      <c r="S293" s="261"/>
      <c r="T293" s="341"/>
      <c r="U293" s="246"/>
      <c r="V293" s="311" t="s">
        <v>459</v>
      </c>
      <c r="W293" s="246"/>
      <c r="X293" s="274" t="s">
        <v>443</v>
      </c>
      <c r="Y293" s="246"/>
      <c r="Z293" s="261"/>
      <c r="AA293" s="688" t="s">
        <v>468</v>
      </c>
      <c r="AB293" s="246"/>
      <c r="AC293" s="519" t="s">
        <v>458</v>
      </c>
      <c r="AD293" s="246"/>
      <c r="AE293" s="320"/>
      <c r="AF293" s="246"/>
      <c r="AG293" s="261"/>
      <c r="AH293" s="320"/>
      <c r="AI293" s="246"/>
      <c r="AJ293" s="311" t="s">
        <v>1087</v>
      </c>
      <c r="AK293" s="246"/>
      <c r="AL293" s="339" t="s">
        <v>431</v>
      </c>
      <c r="AM293" s="246"/>
      <c r="AN293" s="261"/>
      <c r="AO293" s="341"/>
      <c r="AP293" s="246"/>
      <c r="AQ293" s="274" t="s">
        <v>458</v>
      </c>
      <c r="AR293" s="246"/>
      <c r="AS293" s="519" t="s">
        <v>409</v>
      </c>
      <c r="AT293" s="254" t="str">
        <f t="shared" si="56"/>
        <v/>
      </c>
      <c r="AU293" s="269"/>
      <c r="AV293" s="269"/>
    </row>
    <row r="294">
      <c r="A294" s="94"/>
      <c r="B294" s="328" t="s">
        <v>665</v>
      </c>
      <c r="C294" s="338" t="s">
        <v>1153</v>
      </c>
      <c r="D294" s="323"/>
      <c r="E294" s="261"/>
      <c r="F294" s="479"/>
      <c r="G294" s="246"/>
      <c r="I294" s="246"/>
      <c r="J294" s="606" t="s">
        <v>1087</v>
      </c>
      <c r="K294" s="246"/>
      <c r="L294" s="261"/>
      <c r="M294" s="341"/>
      <c r="N294" s="246"/>
      <c r="O294" s="311" t="s">
        <v>439</v>
      </c>
      <c r="P294" s="246"/>
      <c r="Q294" s="688" t="s">
        <v>468</v>
      </c>
      <c r="R294" s="246"/>
      <c r="S294" s="261"/>
      <c r="T294" s="341"/>
      <c r="U294" s="246"/>
      <c r="V294" s="519" t="s">
        <v>439</v>
      </c>
      <c r="W294" s="246"/>
      <c r="X294" s="688" t="s">
        <v>431</v>
      </c>
      <c r="Y294" s="246"/>
      <c r="Z294" s="261"/>
      <c r="AB294" s="246"/>
      <c r="AC294" s="334" t="s">
        <v>450</v>
      </c>
      <c r="AD294" s="246"/>
      <c r="AE294" s="320"/>
      <c r="AF294" s="246"/>
      <c r="AG294" s="261"/>
      <c r="AH294" s="320"/>
      <c r="AI294" s="246"/>
      <c r="AJ294" s="311" t="s">
        <v>459</v>
      </c>
      <c r="AK294" s="246"/>
      <c r="AL294" s="274" t="s">
        <v>443</v>
      </c>
      <c r="AM294" s="246"/>
      <c r="AN294" s="261"/>
      <c r="AO294" s="341"/>
      <c r="AP294" s="246"/>
      <c r="AR294" s="246"/>
      <c r="AT294" s="254" t="str">
        <f t="shared" si="56"/>
        <v/>
      </c>
      <c r="AU294" s="269"/>
      <c r="AV294" s="269"/>
    </row>
    <row r="295">
      <c r="A295" s="94"/>
      <c r="B295" s="328" t="s">
        <v>665</v>
      </c>
      <c r="C295" s="811" t="s">
        <v>1154</v>
      </c>
      <c r="D295" s="363"/>
      <c r="E295" s="259"/>
      <c r="F295" s="479"/>
      <c r="G295" s="246"/>
      <c r="H295" s="311" t="s">
        <v>459</v>
      </c>
      <c r="I295" s="246"/>
      <c r="J295" s="280" t="s">
        <v>448</v>
      </c>
      <c r="K295" s="246"/>
      <c r="L295" s="261"/>
      <c r="M295" s="341"/>
      <c r="N295" s="246"/>
      <c r="P295" s="246"/>
      <c r="Q295" s="274" t="s">
        <v>448</v>
      </c>
      <c r="R295" s="246"/>
      <c r="S295" s="261"/>
      <c r="T295" s="812"/>
      <c r="U295" s="246"/>
      <c r="V295" s="336" t="s">
        <v>450</v>
      </c>
      <c r="W295" s="246"/>
      <c r="X295" s="519" t="s">
        <v>448</v>
      </c>
      <c r="Y295" s="246"/>
      <c r="Z295" s="261"/>
      <c r="AA295" s="274" t="s">
        <v>415</v>
      </c>
      <c r="AB295" s="246"/>
      <c r="AC295" s="274" t="s">
        <v>448</v>
      </c>
      <c r="AD295" s="246"/>
      <c r="AE295" s="320"/>
      <c r="AF295" s="246"/>
      <c r="AG295" s="261"/>
      <c r="AH295" s="320"/>
      <c r="AI295" s="246"/>
      <c r="AJ295" s="334" t="s">
        <v>450</v>
      </c>
      <c r="AK295" s="246"/>
      <c r="AL295" s="688" t="s">
        <v>468</v>
      </c>
      <c r="AM295" s="246"/>
      <c r="AN295" s="261"/>
      <c r="AO295" s="341"/>
      <c r="AP295" s="246"/>
      <c r="AQ295" s="606" t="s">
        <v>459</v>
      </c>
      <c r="AR295" s="246"/>
      <c r="AS295" s="519" t="s">
        <v>415</v>
      </c>
      <c r="AT295" s="254"/>
      <c r="AU295" s="269"/>
      <c r="AV295" s="269"/>
    </row>
    <row r="296">
      <c r="A296" s="94"/>
      <c r="B296" s="328" t="s">
        <v>665</v>
      </c>
      <c r="C296" s="338" t="s">
        <v>1155</v>
      </c>
      <c r="D296" s="363"/>
      <c r="E296" s="259"/>
      <c r="F296" s="479"/>
      <c r="G296" s="246"/>
      <c r="H296" s="311"/>
      <c r="I296" s="246"/>
      <c r="K296" s="246"/>
      <c r="L296" s="261"/>
      <c r="M296" s="341"/>
      <c r="N296" s="246"/>
      <c r="O296" s="311"/>
      <c r="P296" s="246"/>
      <c r="R296" s="246"/>
      <c r="S296" s="261"/>
      <c r="T296" s="812"/>
      <c r="U296" s="246"/>
      <c r="V296" s="311"/>
      <c r="W296" s="246"/>
      <c r="X296" s="519" t="s">
        <v>409</v>
      </c>
      <c r="Y296" s="246"/>
      <c r="Z296" s="261"/>
      <c r="AA296" s="274"/>
      <c r="AB296" s="246"/>
      <c r="AD296" s="246"/>
      <c r="AE296" s="320"/>
      <c r="AF296" s="246"/>
      <c r="AG296" s="261"/>
      <c r="AH296" s="320"/>
      <c r="AI296" s="246"/>
      <c r="AK296" s="246"/>
      <c r="AL296" s="519" t="s">
        <v>409</v>
      </c>
      <c r="AM296" s="246"/>
      <c r="AN296" s="261"/>
      <c r="AO296" s="341"/>
      <c r="AP296" s="246"/>
      <c r="AR296" s="246"/>
      <c r="AT296" s="254"/>
      <c r="AU296" s="269"/>
      <c r="AV296" s="269"/>
    </row>
    <row r="297">
      <c r="A297" s="94"/>
      <c r="B297" s="342" t="s">
        <v>667</v>
      </c>
      <c r="C297" s="343" t="s">
        <v>657</v>
      </c>
      <c r="D297" s="351"/>
      <c r="E297" s="259"/>
      <c r="F297" s="345" t="s">
        <v>401</v>
      </c>
      <c r="G297" s="246"/>
      <c r="I297" s="246"/>
      <c r="K297" s="246"/>
      <c r="L297" s="261"/>
      <c r="M297" s="346"/>
      <c r="N297" s="246"/>
      <c r="O297" s="345" t="s">
        <v>401</v>
      </c>
      <c r="P297" s="246"/>
      <c r="R297" s="246"/>
      <c r="S297" s="261"/>
      <c r="T297" s="347" t="s">
        <v>401</v>
      </c>
      <c r="U297" s="246"/>
      <c r="W297" s="246"/>
      <c r="Y297" s="246"/>
      <c r="Z297" s="261"/>
      <c r="AA297" s="346"/>
      <c r="AB297" s="246"/>
      <c r="AC297" s="347" t="s">
        <v>401</v>
      </c>
      <c r="AD297" s="246"/>
      <c r="AE297" s="320"/>
      <c r="AF297" s="246"/>
      <c r="AG297" s="261"/>
      <c r="AH297" s="345" t="s">
        <v>401</v>
      </c>
      <c r="AI297" s="246"/>
      <c r="AK297" s="246"/>
      <c r="AM297" s="246"/>
      <c r="AN297" s="261"/>
      <c r="AO297" s="346"/>
      <c r="AP297" s="246"/>
      <c r="AQ297" s="345" t="s">
        <v>401</v>
      </c>
      <c r="AR297" s="246"/>
      <c r="AT297" s="254" t="str">
        <f t="shared" ref="AT297:AT298" si="57">IF(COUNTIF($AO$89:$AT$91, #REF!) &gt; 0, "X", "")</f>
        <v/>
      </c>
      <c r="AU297" s="269"/>
      <c r="AV297" s="269"/>
    </row>
    <row r="298">
      <c r="A298" s="94"/>
      <c r="B298" s="349" t="s">
        <v>669</v>
      </c>
      <c r="C298" s="350" t="s">
        <v>649</v>
      </c>
      <c r="D298" s="323"/>
      <c r="E298" s="259"/>
      <c r="F298" s="293" t="s">
        <v>426</v>
      </c>
      <c r="G298" s="246"/>
      <c r="H298" s="633" t="s">
        <v>420</v>
      </c>
      <c r="I298" s="246"/>
      <c r="J298" s="293" t="s">
        <v>424</v>
      </c>
      <c r="K298" s="246"/>
      <c r="L298" s="261"/>
      <c r="M298" s="354"/>
      <c r="N298" s="246"/>
      <c r="O298" s="633" t="s">
        <v>420</v>
      </c>
      <c r="P298" s="246"/>
      <c r="Q298" s="293" t="s">
        <v>426</v>
      </c>
      <c r="R298" s="246"/>
      <c r="S298" s="261"/>
      <c r="T298" s="354"/>
      <c r="U298" s="246"/>
      <c r="V298" s="253" t="s">
        <v>417</v>
      </c>
      <c r="W298" s="246"/>
      <c r="X298" s="355" t="s">
        <v>670</v>
      </c>
      <c r="Y298" s="246"/>
      <c r="Z298" s="261"/>
      <c r="AA298" s="354"/>
      <c r="AB298" s="246"/>
      <c r="AC298" s="633" t="s">
        <v>420</v>
      </c>
      <c r="AD298" s="246"/>
      <c r="AE298" s="353" t="s">
        <v>422</v>
      </c>
      <c r="AF298" s="246"/>
      <c r="AG298" s="261"/>
      <c r="AH298" s="353" t="s">
        <v>426</v>
      </c>
      <c r="AI298" s="246"/>
      <c r="AJ298" s="633" t="s">
        <v>420</v>
      </c>
      <c r="AK298" s="246"/>
      <c r="AL298" s="353" t="s">
        <v>422</v>
      </c>
      <c r="AM298" s="246"/>
      <c r="AN298" s="261"/>
      <c r="AO298" s="354"/>
      <c r="AP298" s="246"/>
      <c r="AQ298" s="253" t="s">
        <v>417</v>
      </c>
      <c r="AR298" s="246"/>
      <c r="AS298" s="353" t="s">
        <v>422</v>
      </c>
      <c r="AT298" s="254" t="str">
        <f t="shared" si="57"/>
        <v/>
      </c>
      <c r="AU298" s="269"/>
      <c r="AV298" s="269"/>
    </row>
    <row r="299">
      <c r="A299" s="94"/>
      <c r="B299" s="807" t="s">
        <v>1156</v>
      </c>
      <c r="C299" s="808" t="s">
        <v>649</v>
      </c>
      <c r="D299" s="330"/>
      <c r="E299" s="259"/>
      <c r="F299" s="848"/>
      <c r="G299" s="246"/>
      <c r="H299" s="813" t="s">
        <v>1157</v>
      </c>
      <c r="I299" s="246"/>
      <c r="J299" s="848"/>
      <c r="K299" s="246"/>
      <c r="L299" s="261"/>
      <c r="M299" s="354"/>
      <c r="N299" s="246"/>
      <c r="O299" s="253" t="s">
        <v>417</v>
      </c>
      <c r="P299" s="246"/>
      <c r="Q299" s="848"/>
      <c r="R299" s="246"/>
      <c r="S299" s="261"/>
      <c r="T299" s="354"/>
      <c r="U299" s="246"/>
      <c r="V299" s="848"/>
      <c r="W299" s="246"/>
      <c r="X299" s="813" t="s">
        <v>1157</v>
      </c>
      <c r="Y299" s="246"/>
      <c r="Z299" s="261"/>
      <c r="AA299" s="354"/>
      <c r="AB299" s="246"/>
      <c r="AC299" s="253" t="s">
        <v>417</v>
      </c>
      <c r="AD299" s="246"/>
      <c r="AE299" s="848"/>
      <c r="AF299" s="246"/>
      <c r="AG299" s="261"/>
      <c r="AH299" s="848"/>
      <c r="AI299" s="246"/>
      <c r="AJ299" s="813" t="s">
        <v>1157</v>
      </c>
      <c r="AK299" s="246"/>
      <c r="AL299" s="848"/>
      <c r="AM299" s="246"/>
      <c r="AN299" s="261"/>
      <c r="AO299" s="354"/>
      <c r="AP299" s="246"/>
      <c r="AQ299" s="848"/>
      <c r="AR299" s="246"/>
      <c r="AS299" s="848"/>
      <c r="AT299" s="254"/>
      <c r="AU299" s="269"/>
      <c r="AV299" s="269"/>
    </row>
    <row r="300">
      <c r="A300" s="234"/>
      <c r="B300" s="296" t="s">
        <v>650</v>
      </c>
      <c r="C300" s="297" t="s">
        <v>649</v>
      </c>
      <c r="D300" s="330"/>
      <c r="E300" s="259"/>
      <c r="F300" s="319"/>
      <c r="G300" s="298"/>
      <c r="H300" s="319"/>
      <c r="I300" s="298"/>
      <c r="J300" s="299"/>
      <c r="K300" s="298"/>
      <c r="L300" s="261"/>
      <c r="M300" s="324"/>
      <c r="N300" s="298"/>
      <c r="O300" s="649" t="s">
        <v>397</v>
      </c>
      <c r="P300" s="298"/>
      <c r="Q300" s="300"/>
      <c r="R300" s="298"/>
      <c r="S300" s="261"/>
      <c r="T300" s="324"/>
      <c r="U300" s="298"/>
      <c r="V300" s="300"/>
      <c r="W300" s="298"/>
      <c r="X300" s="649" t="s">
        <v>397</v>
      </c>
      <c r="Y300" s="298"/>
      <c r="Z300" s="261"/>
      <c r="AA300" s="324"/>
      <c r="AB300" s="298"/>
      <c r="AC300" s="649" t="s">
        <v>397</v>
      </c>
      <c r="AD300" s="298"/>
      <c r="AE300" s="358"/>
      <c r="AF300" s="298"/>
      <c r="AG300" s="261"/>
      <c r="AH300" s="319"/>
      <c r="AI300" s="298"/>
      <c r="AJ300" s="649" t="s">
        <v>397</v>
      </c>
      <c r="AK300" s="298"/>
      <c r="AL300" s="319"/>
      <c r="AM300" s="298"/>
      <c r="AN300" s="261"/>
      <c r="AO300" s="324"/>
      <c r="AP300" s="298"/>
      <c r="AQ300" s="359"/>
      <c r="AR300" s="298"/>
      <c r="AS300" s="359"/>
      <c r="AT300" s="254" t="str">
        <f>IF(COUNTIF($AO$89:$AT$91, AS301) &gt; 0, "X", "")</f>
        <v/>
      </c>
      <c r="AU300" s="269"/>
      <c r="AV300" s="269"/>
    </row>
    <row r="301">
      <c r="A301" s="94"/>
      <c r="B301" s="301" t="s">
        <v>651</v>
      </c>
      <c r="C301" s="302" t="s">
        <v>652</v>
      </c>
      <c r="D301" s="363"/>
      <c r="E301" s="259"/>
      <c r="F301" s="303"/>
      <c r="G301" s="298"/>
      <c r="H301" s="304"/>
      <c r="I301" s="298"/>
      <c r="J301" s="303"/>
      <c r="K301" s="298"/>
      <c r="L301" s="261"/>
      <c r="M301" s="250"/>
      <c r="N301" s="298"/>
      <c r="O301" s="304"/>
      <c r="P301" s="298"/>
      <c r="Q301" s="303"/>
      <c r="R301" s="298"/>
      <c r="S301" s="261"/>
      <c r="T301" s="250"/>
      <c r="U301" s="298"/>
      <c r="V301" s="303"/>
      <c r="W301" s="298"/>
      <c r="X301" s="303"/>
      <c r="Y301" s="298"/>
      <c r="Z301" s="261"/>
      <c r="AA301" s="250"/>
      <c r="AB301" s="298"/>
      <c r="AC301" s="304"/>
      <c r="AD301" s="298"/>
      <c r="AE301" s="303"/>
      <c r="AF301" s="298"/>
      <c r="AG301" s="261"/>
      <c r="AH301" s="303"/>
      <c r="AI301" s="298"/>
      <c r="AJ301" s="304"/>
      <c r="AK301" s="298"/>
      <c r="AL301" s="484"/>
      <c r="AM301" s="298"/>
      <c r="AN301" s="261"/>
      <c r="AO301" s="250"/>
      <c r="AP301" s="298"/>
      <c r="AQ301" s="303"/>
      <c r="AR301" s="298"/>
      <c r="AS301" s="303"/>
      <c r="AT301" s="254" t="str">
        <f t="shared" ref="AT301:AT302" si="58">IF(COUNTIF($AO$89:$AT$91, #REF!) &gt; 0, "X", "")</f>
        <v/>
      </c>
      <c r="AU301" s="269"/>
      <c r="AV301" s="269"/>
    </row>
    <row r="302">
      <c r="A302" s="94"/>
      <c r="B302" s="361" t="s">
        <v>673</v>
      </c>
      <c r="C302" s="362" t="s">
        <v>674</v>
      </c>
      <c r="D302" s="369"/>
      <c r="E302" s="259"/>
      <c r="F302" s="251" t="s">
        <v>433</v>
      </c>
      <c r="G302" s="298"/>
      <c r="H302" s="336" t="s">
        <v>412</v>
      </c>
      <c r="I302" s="298"/>
      <c r="J302" s="311" t="s">
        <v>394</v>
      </c>
      <c r="K302" s="298"/>
      <c r="L302" s="261"/>
      <c r="M302" s="324"/>
      <c r="N302" s="298"/>
      <c r="O302" s="336" t="s">
        <v>412</v>
      </c>
      <c r="P302" s="298"/>
      <c r="Q302" s="365" t="s">
        <v>433</v>
      </c>
      <c r="R302" s="298"/>
      <c r="S302" s="261"/>
      <c r="T302" s="324"/>
      <c r="U302" s="298"/>
      <c r="V302" s="336" t="s">
        <v>412</v>
      </c>
      <c r="W302" s="298"/>
      <c r="X302" s="311" t="s">
        <v>394</v>
      </c>
      <c r="Y302" s="298"/>
      <c r="Z302" s="261"/>
      <c r="AA302" s="324"/>
      <c r="AB302" s="298"/>
      <c r="AC302" s="334" t="s">
        <v>412</v>
      </c>
      <c r="AD302" s="298"/>
      <c r="AE302" s="251" t="s">
        <v>457</v>
      </c>
      <c r="AF302" s="298"/>
      <c r="AG302" s="261"/>
      <c r="AH302" s="365" t="s">
        <v>433</v>
      </c>
      <c r="AI302" s="298"/>
      <c r="AJ302" s="334" t="s">
        <v>412</v>
      </c>
      <c r="AK302" s="298"/>
      <c r="AL302" s="660" t="s">
        <v>457</v>
      </c>
      <c r="AM302" s="298"/>
      <c r="AN302" s="261"/>
      <c r="AO302" s="324"/>
      <c r="AP302" s="298"/>
      <c r="AQ302" s="251" t="s">
        <v>457</v>
      </c>
      <c r="AR302" s="298"/>
      <c r="AS302" s="365" t="s">
        <v>433</v>
      </c>
      <c r="AT302" s="254" t="str">
        <f t="shared" si="58"/>
        <v/>
      </c>
      <c r="AU302" s="269"/>
      <c r="AV302" s="269"/>
    </row>
    <row r="303">
      <c r="A303" s="94"/>
      <c r="B303" s="367" t="s">
        <v>677</v>
      </c>
      <c r="C303" s="368" t="s">
        <v>674</v>
      </c>
      <c r="D303" s="330"/>
      <c r="E303" s="259"/>
      <c r="F303" s="282"/>
      <c r="G303" s="246"/>
      <c r="H303" s="282"/>
      <c r="I303" s="246"/>
      <c r="J303" s="688" t="s">
        <v>931</v>
      </c>
      <c r="K303" s="246"/>
      <c r="L303" s="261"/>
      <c r="M303" s="250"/>
      <c r="N303" s="246"/>
      <c r="P303" s="246"/>
      <c r="R303" s="246"/>
      <c r="S303" s="261"/>
      <c r="T303" s="250"/>
      <c r="U303" s="246"/>
      <c r="V303" s="282"/>
      <c r="W303" s="246"/>
      <c r="Y303" s="246"/>
      <c r="Z303" s="261"/>
      <c r="AA303" s="250"/>
      <c r="AB303" s="246"/>
      <c r="AD303" s="246"/>
      <c r="AE303" s="688" t="s">
        <v>931</v>
      </c>
      <c r="AF303" s="246"/>
      <c r="AG303" s="261"/>
      <c r="AI303" s="246"/>
      <c r="AJ303" s="282"/>
      <c r="AK303" s="246"/>
      <c r="AM303" s="246"/>
      <c r="AN303" s="261"/>
      <c r="AO303" s="250"/>
      <c r="AP303" s="246"/>
      <c r="AQ303" s="282"/>
      <c r="AR303" s="246"/>
      <c r="AS303" s="688" t="s">
        <v>931</v>
      </c>
      <c r="AT303" s="254" t="str">
        <f>IF(COUNTIF($AO$89:$AT$91, AS303) &gt; 0, "X", "")</f>
        <v/>
      </c>
      <c r="AU303" s="269"/>
      <c r="AV303" s="269"/>
    </row>
    <row r="304">
      <c r="A304" s="94"/>
      <c r="B304" s="256" t="s">
        <v>679</v>
      </c>
      <c r="C304" s="257" t="s">
        <v>680</v>
      </c>
      <c r="D304" s="330"/>
      <c r="E304" s="259"/>
      <c r="F304" s="311" t="s">
        <v>393</v>
      </c>
      <c r="G304" s="246"/>
      <c r="H304" s="374" t="s">
        <v>436</v>
      </c>
      <c r="I304" s="246"/>
      <c r="J304" s="274" t="s">
        <v>437</v>
      </c>
      <c r="K304" s="246"/>
      <c r="L304" s="261"/>
      <c r="M304" s="333"/>
      <c r="N304" s="246"/>
      <c r="O304" s="374" t="s">
        <v>436</v>
      </c>
      <c r="P304" s="246"/>
      <c r="Q304" s="606" t="s">
        <v>394</v>
      </c>
      <c r="R304" s="246"/>
      <c r="S304" s="261"/>
      <c r="T304" s="333"/>
      <c r="U304" s="246"/>
      <c r="V304" s="311" t="s">
        <v>436</v>
      </c>
      <c r="W304" s="246"/>
      <c r="X304" s="688" t="s">
        <v>468</v>
      </c>
      <c r="Y304" s="246"/>
      <c r="Z304" s="261"/>
      <c r="AA304" s="333"/>
      <c r="AB304" s="246"/>
      <c r="AC304" s="519" t="s">
        <v>406</v>
      </c>
      <c r="AD304" s="246"/>
      <c r="AE304" s="365" t="s">
        <v>433</v>
      </c>
      <c r="AF304" s="246"/>
      <c r="AG304" s="261"/>
      <c r="AH304" s="606" t="s">
        <v>393</v>
      </c>
      <c r="AI304" s="246"/>
      <c r="AJ304" s="519" t="s">
        <v>439</v>
      </c>
      <c r="AK304" s="246"/>
      <c r="AL304" s="274" t="s">
        <v>437</v>
      </c>
      <c r="AM304" s="246"/>
      <c r="AN304" s="261"/>
      <c r="AO304" s="333"/>
      <c r="AP304" s="246"/>
      <c r="AQ304" s="251" t="s">
        <v>407</v>
      </c>
      <c r="AR304" s="246"/>
      <c r="AS304" s="519" t="s">
        <v>437</v>
      </c>
      <c r="AT304" s="254" t="str">
        <f t="shared" ref="AT304:AT306" si="59">IF(COUNTIF($AO$89:$AT$91, #REF!) &gt; 0, "X", "")</f>
        <v/>
      </c>
      <c r="AU304" s="269"/>
      <c r="AV304" s="269"/>
    </row>
    <row r="305">
      <c r="A305" s="372"/>
      <c r="B305" s="328" t="s">
        <v>679</v>
      </c>
      <c r="C305" s="329" t="s">
        <v>652</v>
      </c>
      <c r="D305" s="330"/>
      <c r="E305" s="259"/>
      <c r="F305" s="282"/>
      <c r="G305" s="246"/>
      <c r="I305" s="246"/>
      <c r="J305" s="282"/>
      <c r="K305" s="246"/>
      <c r="L305" s="261"/>
      <c r="M305" s="346"/>
      <c r="N305" s="246"/>
      <c r="P305" s="246"/>
      <c r="Q305" s="688" t="s">
        <v>931</v>
      </c>
      <c r="R305" s="246"/>
      <c r="S305" s="261"/>
      <c r="T305" s="346"/>
      <c r="U305" s="246"/>
      <c r="W305" s="246"/>
      <c r="X305" s="688" t="s">
        <v>931</v>
      </c>
      <c r="Y305" s="246"/>
      <c r="Z305" s="261"/>
      <c r="AA305" s="346"/>
      <c r="AB305" s="246"/>
      <c r="AD305" s="246"/>
      <c r="AF305" s="246"/>
      <c r="AG305" s="261"/>
      <c r="AH305" s="282"/>
      <c r="AI305" s="246"/>
      <c r="AK305" s="246"/>
      <c r="AM305" s="246"/>
      <c r="AN305" s="261"/>
      <c r="AO305" s="346"/>
      <c r="AP305" s="246"/>
      <c r="AR305" s="246"/>
      <c r="AT305" s="254" t="str">
        <f t="shared" si="59"/>
        <v/>
      </c>
      <c r="AU305" s="269"/>
      <c r="AV305" s="269"/>
    </row>
    <row r="306">
      <c r="A306" s="94"/>
      <c r="B306" s="328" t="s">
        <v>679</v>
      </c>
      <c r="C306" s="329" t="s">
        <v>683</v>
      </c>
      <c r="D306" s="379"/>
      <c r="E306" s="380"/>
      <c r="F306" s="519" t="s">
        <v>443</v>
      </c>
      <c r="G306" s="246"/>
      <c r="H306" s="606" t="s">
        <v>439</v>
      </c>
      <c r="I306" s="246"/>
      <c r="J306" s="282"/>
      <c r="K306" s="246"/>
      <c r="L306" s="261"/>
      <c r="M306" s="341"/>
      <c r="N306" s="246"/>
      <c r="O306" s="519" t="s">
        <v>406</v>
      </c>
      <c r="P306" s="246"/>
      <c r="R306" s="246"/>
      <c r="S306" s="261"/>
      <c r="T306" s="341"/>
      <c r="U306" s="246"/>
      <c r="V306" s="519" t="s">
        <v>406</v>
      </c>
      <c r="W306" s="246"/>
      <c r="Y306" s="246"/>
      <c r="Z306" s="261"/>
      <c r="AA306" s="341"/>
      <c r="AB306" s="246"/>
      <c r="AC306" s="606" t="s">
        <v>436</v>
      </c>
      <c r="AD306" s="246"/>
      <c r="AF306" s="246"/>
      <c r="AG306" s="261"/>
      <c r="AH306" s="376" t="s">
        <v>466</v>
      </c>
      <c r="AI306" s="246"/>
      <c r="AJ306" s="606" t="s">
        <v>436</v>
      </c>
      <c r="AK306" s="246"/>
      <c r="AM306" s="246"/>
      <c r="AN306" s="261"/>
      <c r="AO306" s="341"/>
      <c r="AP306" s="246"/>
      <c r="AQ306" s="274" t="s">
        <v>406</v>
      </c>
      <c r="AR306" s="246"/>
      <c r="AT306" s="254" t="str">
        <f t="shared" si="59"/>
        <v/>
      </c>
      <c r="AU306" s="269"/>
      <c r="AV306" s="269"/>
    </row>
    <row r="307">
      <c r="A307" s="94"/>
      <c r="B307" s="328" t="s">
        <v>679</v>
      </c>
      <c r="C307" s="338" t="s">
        <v>1158</v>
      </c>
      <c r="D307" s="729"/>
      <c r="E307" s="380"/>
      <c r="F307" s="282"/>
      <c r="G307" s="246"/>
      <c r="H307" s="274"/>
      <c r="I307" s="246"/>
      <c r="J307" s="688" t="s">
        <v>468</v>
      </c>
      <c r="K307" s="246"/>
      <c r="L307" s="261"/>
      <c r="M307" s="341"/>
      <c r="N307" s="246"/>
      <c r="P307" s="246"/>
      <c r="Q307" s="606" t="s">
        <v>455</v>
      </c>
      <c r="R307" s="246"/>
      <c r="S307" s="261"/>
      <c r="T307" s="341"/>
      <c r="U307" s="246"/>
      <c r="V307" s="730"/>
      <c r="W307" s="246"/>
      <c r="X307" s="606" t="s">
        <v>455</v>
      </c>
      <c r="Y307" s="246"/>
      <c r="Z307" s="261"/>
      <c r="AA307" s="341"/>
      <c r="AB307" s="246"/>
      <c r="AC307" s="311"/>
      <c r="AD307" s="246"/>
      <c r="AE307" s="519" t="s">
        <v>439</v>
      </c>
      <c r="AF307" s="246"/>
      <c r="AG307" s="261"/>
      <c r="AH307" s="282"/>
      <c r="AI307" s="246"/>
      <c r="AK307" s="246"/>
      <c r="AL307" s="334" t="s">
        <v>398</v>
      </c>
      <c r="AM307" s="246"/>
      <c r="AN307" s="261"/>
      <c r="AO307" s="341"/>
      <c r="AP307" s="246"/>
      <c r="AQ307" s="730"/>
      <c r="AR307" s="246"/>
      <c r="AS307" s="606" t="s">
        <v>394</v>
      </c>
      <c r="AT307" s="254"/>
      <c r="AU307" s="269"/>
      <c r="AV307" s="269"/>
    </row>
    <row r="308">
      <c r="A308" s="94"/>
      <c r="B308" s="328"/>
      <c r="C308" s="329"/>
      <c r="D308" s="729"/>
      <c r="E308" s="380"/>
      <c r="F308" s="282"/>
      <c r="G308" s="246"/>
      <c r="H308" s="274"/>
      <c r="I308" s="246"/>
      <c r="K308" s="246"/>
      <c r="L308" s="261"/>
      <c r="M308" s="341"/>
      <c r="N308" s="246"/>
      <c r="P308" s="246"/>
      <c r="R308" s="246"/>
      <c r="S308" s="261"/>
      <c r="T308" s="341"/>
      <c r="U308" s="246"/>
      <c r="W308" s="246"/>
      <c r="Y308" s="246"/>
      <c r="Z308" s="261"/>
      <c r="AA308" s="341"/>
      <c r="AB308" s="246"/>
      <c r="AD308" s="246"/>
      <c r="AF308" s="246"/>
      <c r="AG308" s="261"/>
      <c r="AH308" s="282"/>
      <c r="AI308" s="246"/>
      <c r="AK308" s="246"/>
      <c r="AM308" s="246"/>
      <c r="AN308" s="261"/>
      <c r="AO308" s="341"/>
      <c r="AP308" s="246"/>
      <c r="AQ308" s="730"/>
      <c r="AR308" s="246"/>
      <c r="AS308" s="282"/>
      <c r="AT308" s="254"/>
      <c r="AU308" s="269"/>
      <c r="AV308" s="269"/>
    </row>
    <row r="309">
      <c r="A309" s="94"/>
      <c r="B309" s="377" t="s">
        <v>684</v>
      </c>
      <c r="C309" s="378" t="s">
        <v>685</v>
      </c>
      <c r="D309" s="363"/>
      <c r="E309" s="259"/>
      <c r="F309" s="282"/>
      <c r="G309" s="246"/>
      <c r="H309" s="660" t="s">
        <v>405</v>
      </c>
      <c r="I309" s="246"/>
      <c r="J309" s="282"/>
      <c r="K309" s="246"/>
      <c r="L309" s="381"/>
      <c r="M309" s="341"/>
      <c r="N309" s="246"/>
      <c r="P309" s="246"/>
      <c r="Q309" s="660" t="s">
        <v>405</v>
      </c>
      <c r="R309" s="246"/>
      <c r="S309" s="381"/>
      <c r="T309" s="341"/>
      <c r="U309" s="246"/>
      <c r="W309" s="246"/>
      <c r="X309" s="251" t="s">
        <v>405</v>
      </c>
      <c r="Y309" s="246"/>
      <c r="Z309" s="381"/>
      <c r="AA309" s="341"/>
      <c r="AB309" s="246"/>
      <c r="AD309" s="246"/>
      <c r="AF309" s="246"/>
      <c r="AG309" s="381"/>
      <c r="AI309" s="246"/>
      <c r="AK309" s="246"/>
      <c r="AM309" s="246"/>
      <c r="AN309" s="381"/>
      <c r="AO309" s="341"/>
      <c r="AP309" s="246"/>
      <c r="AQ309" s="282"/>
      <c r="AR309" s="246"/>
      <c r="AS309" s="282"/>
      <c r="AT309" s="254" t="str">
        <f t="shared" ref="AT309:AT310" si="60">IF(COUNTIF($AO$89:$AT$91, #REF!) &gt; 0, "X", "")</f>
        <v/>
      </c>
      <c r="AU309" s="269"/>
      <c r="AV309" s="269"/>
    </row>
    <row r="310">
      <c r="A310" s="270"/>
      <c r="B310" s="382" t="s">
        <v>686</v>
      </c>
      <c r="C310" s="242" t="s">
        <v>652</v>
      </c>
      <c r="D310" s="330"/>
      <c r="E310" s="259"/>
      <c r="F310" s="602" t="s">
        <v>453</v>
      </c>
      <c r="G310" s="246"/>
      <c r="H310" s="251" t="s">
        <v>435</v>
      </c>
      <c r="I310" s="246"/>
      <c r="J310" s="660" t="s">
        <v>429</v>
      </c>
      <c r="K310" s="246"/>
      <c r="L310" s="261"/>
      <c r="M310" s="341"/>
      <c r="N310" s="246"/>
      <c r="O310" s="385" t="s">
        <v>428</v>
      </c>
      <c r="P310" s="246"/>
      <c r="Q310" s="376" t="s">
        <v>466</v>
      </c>
      <c r="R310" s="246"/>
      <c r="S310" s="261"/>
      <c r="T310" s="341"/>
      <c r="U310" s="246"/>
      <c r="V310" s="251" t="s">
        <v>435</v>
      </c>
      <c r="W310" s="246"/>
      <c r="X310" s="376" t="s">
        <v>453</v>
      </c>
      <c r="Y310" s="246"/>
      <c r="Z310" s="261"/>
      <c r="AA310" s="341"/>
      <c r="AB310" s="246"/>
      <c r="AC310" s="660" t="s">
        <v>435</v>
      </c>
      <c r="AD310" s="246"/>
      <c r="AE310" s="251" t="s">
        <v>429</v>
      </c>
      <c r="AF310" s="246"/>
      <c r="AG310" s="261"/>
      <c r="AH310" s="376" t="s">
        <v>453</v>
      </c>
      <c r="AI310" s="246"/>
      <c r="AJ310" s="385" t="s">
        <v>428</v>
      </c>
      <c r="AK310" s="246"/>
      <c r="AL310" s="251" t="s">
        <v>429</v>
      </c>
      <c r="AM310" s="246"/>
      <c r="AN310" s="261"/>
      <c r="AO310" s="341"/>
      <c r="AP310" s="246"/>
      <c r="AQ310" s="385" t="s">
        <v>428</v>
      </c>
      <c r="AR310" s="246"/>
      <c r="AS310" s="251" t="s">
        <v>429</v>
      </c>
      <c r="AT310" s="254" t="str">
        <f t="shared" si="60"/>
        <v/>
      </c>
      <c r="AU310" s="269"/>
      <c r="AV310" s="269"/>
    </row>
    <row r="311">
      <c r="A311" s="234"/>
      <c r="B311" s="337" t="s">
        <v>686</v>
      </c>
      <c r="C311" s="338" t="s">
        <v>687</v>
      </c>
      <c r="D311" s="330"/>
      <c r="E311" s="259"/>
      <c r="G311" s="246"/>
      <c r="H311" s="385" t="s">
        <v>428</v>
      </c>
      <c r="I311" s="246"/>
      <c r="J311" s="311" t="s">
        <v>455</v>
      </c>
      <c r="K311" s="246"/>
      <c r="L311" s="261"/>
      <c r="M311" s="250"/>
      <c r="N311" s="246"/>
      <c r="O311" s="251" t="s">
        <v>435</v>
      </c>
      <c r="P311" s="246"/>
      <c r="Q311" s="251" t="s">
        <v>429</v>
      </c>
      <c r="R311" s="246"/>
      <c r="S311" s="261"/>
      <c r="T311" s="250"/>
      <c r="U311" s="246"/>
      <c r="V311" s="376" t="s">
        <v>466</v>
      </c>
      <c r="W311" s="246"/>
      <c r="X311" s="660" t="s">
        <v>429</v>
      </c>
      <c r="Y311" s="246"/>
      <c r="Z311" s="261"/>
      <c r="AA311" s="250"/>
      <c r="AB311" s="246"/>
      <c r="AC311" s="840" t="s">
        <v>428</v>
      </c>
      <c r="AD311" s="246"/>
      <c r="AE311" s="602" t="s">
        <v>466</v>
      </c>
      <c r="AF311" s="246"/>
      <c r="AG311" s="261"/>
      <c r="AH311" s="282"/>
      <c r="AI311" s="246"/>
      <c r="AJ311" s="274" t="s">
        <v>435</v>
      </c>
      <c r="AK311" s="246"/>
      <c r="AL311" s="311" t="s">
        <v>455</v>
      </c>
      <c r="AM311" s="246"/>
      <c r="AN311" s="261"/>
      <c r="AO311" s="250"/>
      <c r="AP311" s="246"/>
      <c r="AQ311" s="376" t="s">
        <v>466</v>
      </c>
      <c r="AR311" s="246"/>
      <c r="AS311" s="376" t="s">
        <v>453</v>
      </c>
      <c r="AT311" s="254" t="str">
        <f>IF(COUNTIF($AO$89:$AT$91, AS310) &gt; 0, "X", "")</f>
        <v/>
      </c>
      <c r="AU311" s="269"/>
      <c r="AV311" s="269"/>
    </row>
    <row r="312">
      <c r="A312" s="94"/>
      <c r="B312" s="337" t="s">
        <v>688</v>
      </c>
      <c r="C312" s="285" t="s">
        <v>687</v>
      </c>
      <c r="D312" s="389"/>
      <c r="E312" s="259"/>
      <c r="F312" s="265"/>
      <c r="G312" s="246"/>
      <c r="H312" s="265"/>
      <c r="I312" s="246"/>
      <c r="J312" s="265"/>
      <c r="K312" s="246"/>
      <c r="L312" s="261"/>
      <c r="M312" s="262"/>
      <c r="N312" s="246"/>
      <c r="O312" s="265"/>
      <c r="P312" s="246"/>
      <c r="Q312" s="265"/>
      <c r="R312" s="246"/>
      <c r="S312" s="261"/>
      <c r="T312" s="262"/>
      <c r="U312" s="246"/>
      <c r="W312" s="246"/>
      <c r="X312" s="265"/>
      <c r="Y312" s="246"/>
      <c r="Z312" s="261"/>
      <c r="AA312" s="262"/>
      <c r="AB312" s="246"/>
      <c r="AC312" s="265"/>
      <c r="AD312" s="246"/>
      <c r="AE312" s="265"/>
      <c r="AF312" s="246"/>
      <c r="AG312" s="261"/>
      <c r="AH312" s="265"/>
      <c r="AI312" s="246"/>
      <c r="AJ312" s="265"/>
      <c r="AK312" s="246"/>
      <c r="AL312" s="265"/>
      <c r="AM312" s="246"/>
      <c r="AN312" s="261"/>
      <c r="AO312" s="262"/>
      <c r="AP312" s="246"/>
      <c r="AQ312" s="265"/>
      <c r="AR312" s="246"/>
      <c r="AT312" s="254" t="str">
        <f>IF(COUNTIF($AO$89:$AT$91, #REF!) &gt; 0, "X", "")</f>
        <v/>
      </c>
      <c r="AU312" s="269"/>
      <c r="AV312" s="269"/>
    </row>
    <row r="313">
      <c r="A313" s="94"/>
      <c r="B313" s="387" t="s">
        <v>690</v>
      </c>
      <c r="C313" s="388" t="s">
        <v>649</v>
      </c>
      <c r="D313" s="323"/>
      <c r="E313" s="259"/>
      <c r="F313" s="390"/>
      <c r="G313" s="246"/>
      <c r="H313" s="390"/>
      <c r="I313" s="246"/>
      <c r="J313" s="390"/>
      <c r="K313" s="246"/>
      <c r="L313" s="261"/>
      <c r="M313" s="250"/>
      <c r="N313" s="246"/>
      <c r="O313" s="357" t="s">
        <v>670</v>
      </c>
      <c r="P313" s="246"/>
      <c r="Q313" s="390"/>
      <c r="R313" s="246"/>
      <c r="S313" s="261"/>
      <c r="T313" s="250"/>
      <c r="U313" s="246"/>
      <c r="V313" s="357"/>
      <c r="W313" s="246"/>
      <c r="X313" s="633" t="s">
        <v>420</v>
      </c>
      <c r="Y313" s="246"/>
      <c r="Z313" s="261"/>
      <c r="AA313" s="250"/>
      <c r="AB313" s="246"/>
      <c r="AC313" s="355" t="s">
        <v>670</v>
      </c>
      <c r="AD313" s="246"/>
      <c r="AE313" s="390"/>
      <c r="AF313" s="246"/>
      <c r="AG313" s="261"/>
      <c r="AH313" s="390"/>
      <c r="AI313" s="246"/>
      <c r="AJ313" s="390"/>
      <c r="AK313" s="246"/>
      <c r="AL313" s="390"/>
      <c r="AM313" s="246"/>
      <c r="AN313" s="261"/>
      <c r="AO313" s="250"/>
      <c r="AP313" s="246"/>
      <c r="AQ313" s="390"/>
      <c r="AR313" s="246"/>
      <c r="AS313" s="390"/>
      <c r="AT313" s="254" t="str">
        <f t="shared" ref="AT313:AT320" si="61">IF(COUNTIF($AO$89:$AT$91, AS314) &gt; 0, "X", "")</f>
        <v/>
      </c>
      <c r="AU313" s="269"/>
      <c r="AV313" s="269"/>
    </row>
    <row r="314">
      <c r="A314" s="94"/>
      <c r="B314" s="296" t="s">
        <v>650</v>
      </c>
      <c r="C314" s="297" t="s">
        <v>649</v>
      </c>
      <c r="D314" s="323"/>
      <c r="E314" s="261"/>
      <c r="F314" s="300"/>
      <c r="G314" s="246"/>
      <c r="H314" s="319"/>
      <c r="I314" s="246"/>
      <c r="J314" s="300"/>
      <c r="K314" s="246"/>
      <c r="L314" s="261"/>
      <c r="M314" s="250"/>
      <c r="N314" s="246"/>
      <c r="O314" s="300"/>
      <c r="P314" s="246"/>
      <c r="Q314" s="300"/>
      <c r="R314" s="246"/>
      <c r="S314" s="261"/>
      <c r="T314" s="250"/>
      <c r="U314" s="246"/>
      <c r="V314" s="300"/>
      <c r="W314" s="246"/>
      <c r="X314" s="300"/>
      <c r="Y314" s="246"/>
      <c r="Z314" s="261"/>
      <c r="AA314" s="250"/>
      <c r="AB314" s="246"/>
      <c r="AC314" s="300"/>
      <c r="AD314" s="246"/>
      <c r="AE314" s="300"/>
      <c r="AF314" s="246"/>
      <c r="AG314" s="261"/>
      <c r="AH314" s="300"/>
      <c r="AI314" s="246"/>
      <c r="AJ314" s="300"/>
      <c r="AK314" s="246"/>
      <c r="AL314" s="300"/>
      <c r="AM314" s="246"/>
      <c r="AN314" s="261"/>
      <c r="AO314" s="250"/>
      <c r="AP314" s="246"/>
      <c r="AQ314" s="300"/>
      <c r="AR314" s="246"/>
      <c r="AS314" s="300"/>
      <c r="AT314" s="254" t="str">
        <f t="shared" si="61"/>
        <v/>
      </c>
      <c r="AU314" s="269"/>
      <c r="AV314" s="269"/>
    </row>
    <row r="315">
      <c r="A315" s="94"/>
      <c r="B315" s="301" t="s">
        <v>651</v>
      </c>
      <c r="C315" s="391" t="s">
        <v>652</v>
      </c>
      <c r="D315" s="323"/>
      <c r="E315" s="259"/>
      <c r="F315" s="304"/>
      <c r="G315" s="246"/>
      <c r="H315" s="304"/>
      <c r="I315" s="246"/>
      <c r="J315" s="304"/>
      <c r="K315" s="246"/>
      <c r="L315" s="261"/>
      <c r="M315" s="250"/>
      <c r="N315" s="246"/>
      <c r="O315" s="304"/>
      <c r="P315" s="246"/>
      <c r="Q315" s="304"/>
      <c r="R315" s="246"/>
      <c r="S315" s="261"/>
      <c r="T315" s="250"/>
      <c r="U315" s="246"/>
      <c r="V315" s="304"/>
      <c r="W315" s="246"/>
      <c r="X315" s="304"/>
      <c r="Y315" s="246"/>
      <c r="Z315" s="261"/>
      <c r="AA315" s="250"/>
      <c r="AB315" s="246"/>
      <c r="AC315" s="304"/>
      <c r="AD315" s="246"/>
      <c r="AE315" s="304"/>
      <c r="AF315" s="246"/>
      <c r="AG315" s="261"/>
      <c r="AH315" s="304"/>
      <c r="AI315" s="246"/>
      <c r="AJ315" s="304"/>
      <c r="AK315" s="246"/>
      <c r="AL315" s="304"/>
      <c r="AM315" s="246"/>
      <c r="AN315" s="261"/>
      <c r="AO315" s="250"/>
      <c r="AP315" s="246"/>
      <c r="AQ315" s="304"/>
      <c r="AR315" s="246"/>
      <c r="AS315" s="304"/>
      <c r="AT315" s="254" t="str">
        <f t="shared" si="61"/>
        <v/>
      </c>
      <c r="AU315" s="269"/>
      <c r="AV315" s="269"/>
    </row>
    <row r="316">
      <c r="A316" s="94"/>
      <c r="B316" s="392" t="s">
        <v>691</v>
      </c>
      <c r="C316" s="393" t="s">
        <v>652</v>
      </c>
      <c r="D316" s="330"/>
      <c r="E316" s="259"/>
      <c r="F316" s="307"/>
      <c r="G316" s="246"/>
      <c r="H316" s="307"/>
      <c r="I316" s="246"/>
      <c r="J316" s="307"/>
      <c r="K316" s="246"/>
      <c r="L316" s="261"/>
      <c r="M316" s="250"/>
      <c r="N316" s="246"/>
      <c r="O316" s="395" t="s">
        <v>398</v>
      </c>
      <c r="P316" s="246"/>
      <c r="Q316" s="307"/>
      <c r="R316" s="246"/>
      <c r="S316" s="261"/>
      <c r="T316" s="250"/>
      <c r="U316" s="246"/>
      <c r="V316" s="307"/>
      <c r="W316" s="246"/>
      <c r="X316" s="334" t="s">
        <v>398</v>
      </c>
      <c r="Y316" s="246"/>
      <c r="Z316" s="261"/>
      <c r="AA316" s="250"/>
      <c r="AB316" s="246"/>
      <c r="AC316" s="334" t="s">
        <v>398</v>
      </c>
      <c r="AD316" s="246"/>
      <c r="AE316" s="307"/>
      <c r="AF316" s="246"/>
      <c r="AG316" s="261"/>
      <c r="AH316" s="307"/>
      <c r="AI316" s="246"/>
      <c r="AJ316" s="307"/>
      <c r="AK316" s="246"/>
      <c r="AL316" s="307"/>
      <c r="AM316" s="246"/>
      <c r="AN316" s="261"/>
      <c r="AO316" s="250"/>
      <c r="AP316" s="246"/>
      <c r="AQ316" s="307"/>
      <c r="AR316" s="246"/>
      <c r="AS316" s="307"/>
      <c r="AT316" s="254" t="str">
        <f t="shared" si="61"/>
        <v/>
      </c>
      <c r="AU316" s="269"/>
      <c r="AV316" s="269"/>
    </row>
    <row r="317">
      <c r="A317" s="94"/>
      <c r="B317" s="328" t="s">
        <v>692</v>
      </c>
      <c r="C317" s="329" t="s">
        <v>652</v>
      </c>
      <c r="D317" s="369"/>
      <c r="E317" s="259"/>
      <c r="F317" s="371"/>
      <c r="G317" s="246"/>
      <c r="H317" s="371"/>
      <c r="I317" s="246"/>
      <c r="J317" s="282"/>
      <c r="K317" s="246"/>
      <c r="L317" s="261"/>
      <c r="M317" s="250"/>
      <c r="N317" s="246"/>
      <c r="O317" s="371"/>
      <c r="P317" s="246"/>
      <c r="R317" s="246"/>
      <c r="S317" s="261"/>
      <c r="T317" s="250"/>
      <c r="U317" s="246"/>
      <c r="V317" s="282"/>
      <c r="W317" s="246"/>
      <c r="X317" s="371"/>
      <c r="Y317" s="246"/>
      <c r="Z317" s="261"/>
      <c r="AA317" s="250"/>
      <c r="AB317" s="246"/>
      <c r="AC317" s="371"/>
      <c r="AD317" s="246"/>
      <c r="AE317" s="371"/>
      <c r="AF317" s="246"/>
      <c r="AG317" s="261"/>
      <c r="AH317" s="371"/>
      <c r="AI317" s="246"/>
      <c r="AJ317" s="371"/>
      <c r="AK317" s="246"/>
      <c r="AL317" s="371"/>
      <c r="AM317" s="246"/>
      <c r="AN317" s="261"/>
      <c r="AO317" s="250"/>
      <c r="AP317" s="246"/>
      <c r="AQ317" s="371"/>
      <c r="AR317" s="246"/>
      <c r="AS317" s="282"/>
      <c r="AT317" s="254" t="str">
        <f t="shared" si="61"/>
        <v/>
      </c>
      <c r="AU317" s="269"/>
      <c r="AV317" s="269"/>
    </row>
    <row r="318">
      <c r="A318" s="94"/>
      <c r="B318" s="397" t="s">
        <v>692</v>
      </c>
      <c r="C318" s="398" t="s">
        <v>687</v>
      </c>
      <c r="D318" s="389"/>
      <c r="E318" s="259"/>
      <c r="F318" s="399"/>
      <c r="G318" s="246"/>
      <c r="H318" s="399"/>
      <c r="I318" s="246"/>
      <c r="J318" s="399"/>
      <c r="K318" s="246"/>
      <c r="L318" s="261"/>
      <c r="M318" s="250"/>
      <c r="N318" s="246"/>
      <c r="O318" s="282"/>
      <c r="P318" s="246"/>
      <c r="R318" s="246"/>
      <c r="S318" s="261"/>
      <c r="T318" s="250"/>
      <c r="U318" s="246"/>
      <c r="V318" s="282"/>
      <c r="W318" s="246"/>
      <c r="Y318" s="246"/>
      <c r="Z318" s="261"/>
      <c r="AA318" s="250"/>
      <c r="AB318" s="246"/>
      <c r="AC318" s="399"/>
      <c r="AD318" s="246"/>
      <c r="AE318" s="399"/>
      <c r="AF318" s="246"/>
      <c r="AG318" s="261"/>
      <c r="AH318" s="399"/>
      <c r="AI318" s="246"/>
      <c r="AJ318" s="399"/>
      <c r="AK318" s="246"/>
      <c r="AL318" s="399"/>
      <c r="AM318" s="246"/>
      <c r="AN318" s="261"/>
      <c r="AO318" s="250"/>
      <c r="AP318" s="246"/>
      <c r="AQ318" s="399"/>
      <c r="AR318" s="246"/>
      <c r="AS318" s="399"/>
      <c r="AT318" s="254" t="str">
        <f t="shared" si="61"/>
        <v/>
      </c>
      <c r="AU318" s="269"/>
      <c r="AV318" s="269"/>
    </row>
    <row r="319">
      <c r="A319" s="94"/>
      <c r="B319" s="387" t="s">
        <v>694</v>
      </c>
      <c r="C319" s="388" t="s">
        <v>649</v>
      </c>
      <c r="D319" s="323"/>
      <c r="E319" s="259"/>
      <c r="F319" s="390"/>
      <c r="G319" s="246"/>
      <c r="H319" s="390"/>
      <c r="I319" s="246"/>
      <c r="J319" s="390"/>
      <c r="K319" s="246"/>
      <c r="L319" s="261"/>
      <c r="M319" s="250"/>
      <c r="N319" s="246"/>
      <c r="O319" s="390"/>
      <c r="P319" s="246"/>
      <c r="Q319" s="357"/>
      <c r="R319" s="246"/>
      <c r="S319" s="261"/>
      <c r="T319" s="250"/>
      <c r="U319" s="246"/>
      <c r="V319" s="390"/>
      <c r="W319" s="246"/>
      <c r="X319" s="390"/>
      <c r="Y319" s="246"/>
      <c r="Z319" s="261"/>
      <c r="AA319" s="250"/>
      <c r="AB319" s="246"/>
      <c r="AC319" s="390"/>
      <c r="AD319" s="246"/>
      <c r="AE319" s="390"/>
      <c r="AF319" s="246"/>
      <c r="AG319" s="261"/>
      <c r="AH319" s="390"/>
      <c r="AI319" s="246"/>
      <c r="AJ319" s="390"/>
      <c r="AK319" s="246"/>
      <c r="AL319" s="390"/>
      <c r="AM319" s="246"/>
      <c r="AN319" s="261"/>
      <c r="AO319" s="250"/>
      <c r="AP319" s="246"/>
      <c r="AQ319" s="390"/>
      <c r="AR319" s="246"/>
      <c r="AS319" s="390"/>
      <c r="AT319" s="254" t="str">
        <f t="shared" si="61"/>
        <v/>
      </c>
      <c r="AU319" s="269"/>
      <c r="AV319" s="269"/>
    </row>
    <row r="320">
      <c r="A320" s="94"/>
      <c r="B320" s="296" t="s">
        <v>650</v>
      </c>
      <c r="C320" s="297" t="s">
        <v>649</v>
      </c>
      <c r="D320" s="323"/>
      <c r="E320" s="261"/>
      <c r="F320" s="300"/>
      <c r="G320" s="298"/>
      <c r="H320" s="300"/>
      <c r="I320" s="298"/>
      <c r="J320" s="300"/>
      <c r="K320" s="298"/>
      <c r="L320" s="261"/>
      <c r="M320" s="250"/>
      <c r="N320" s="298"/>
      <c r="O320" s="300"/>
      <c r="P320" s="298"/>
      <c r="Q320" s="319"/>
      <c r="R320" s="298"/>
      <c r="S320" s="261"/>
      <c r="T320" s="250"/>
      <c r="U320" s="298"/>
      <c r="V320" s="300"/>
      <c r="W320" s="298"/>
      <c r="X320" s="300"/>
      <c r="Y320" s="298"/>
      <c r="Z320" s="261"/>
      <c r="AA320" s="250"/>
      <c r="AB320" s="298"/>
      <c r="AC320" s="300"/>
      <c r="AD320" s="298"/>
      <c r="AE320" s="300"/>
      <c r="AF320" s="298"/>
      <c r="AG320" s="261"/>
      <c r="AH320" s="300"/>
      <c r="AI320" s="298"/>
      <c r="AJ320" s="300"/>
      <c r="AK320" s="298"/>
      <c r="AL320" s="300"/>
      <c r="AM320" s="298"/>
      <c r="AN320" s="261"/>
      <c r="AO320" s="250"/>
      <c r="AP320" s="298"/>
      <c r="AQ320" s="300"/>
      <c r="AR320" s="298"/>
      <c r="AS320" s="300"/>
      <c r="AT320" s="254" t="str">
        <f t="shared" si="61"/>
        <v/>
      </c>
      <c r="AU320" s="269"/>
      <c r="AV320" s="269"/>
    </row>
    <row r="321">
      <c r="A321" s="94"/>
      <c r="B321" s="301" t="s">
        <v>651</v>
      </c>
      <c r="C321" s="391" t="s">
        <v>652</v>
      </c>
      <c r="D321" s="323"/>
      <c r="E321" s="259"/>
      <c r="F321" s="304"/>
      <c r="G321" s="298"/>
      <c r="H321" s="304"/>
      <c r="I321" s="298"/>
      <c r="J321" s="304"/>
      <c r="K321" s="298"/>
      <c r="L321" s="261"/>
      <c r="M321" s="250"/>
      <c r="N321" s="298"/>
      <c r="O321" s="304"/>
      <c r="P321" s="298"/>
      <c r="Q321" s="304"/>
      <c r="R321" s="298"/>
      <c r="S321" s="261"/>
      <c r="T321" s="250"/>
      <c r="U321" s="298"/>
      <c r="V321" s="304"/>
      <c r="W321" s="298"/>
      <c r="X321" s="304"/>
      <c r="Y321" s="298"/>
      <c r="Z321" s="261"/>
      <c r="AA321" s="250"/>
      <c r="AB321" s="298"/>
      <c r="AC321" s="304"/>
      <c r="AD321" s="298"/>
      <c r="AE321" s="304"/>
      <c r="AF321" s="298"/>
      <c r="AG321" s="261"/>
      <c r="AH321" s="304"/>
      <c r="AI321" s="298"/>
      <c r="AJ321" s="304"/>
      <c r="AK321" s="298"/>
      <c r="AL321" s="304"/>
      <c r="AM321" s="298"/>
      <c r="AN321" s="261"/>
      <c r="AO321" s="250"/>
      <c r="AP321" s="298"/>
      <c r="AQ321" s="304"/>
      <c r="AR321" s="298"/>
      <c r="AS321" s="304"/>
      <c r="AT321" s="254" t="str">
        <f t="shared" ref="AT321:AT322" si="62">IF(COUNTIF($AO$89:$AT$91, #REF!) &gt; 0, "X", "")</f>
        <v/>
      </c>
      <c r="AU321" s="269"/>
      <c r="AV321" s="269"/>
    </row>
    <row r="322">
      <c r="A322" s="94"/>
      <c r="B322" s="392" t="s">
        <v>691</v>
      </c>
      <c r="C322" s="393" t="s">
        <v>652</v>
      </c>
      <c r="D322" s="330"/>
      <c r="E322" s="259"/>
      <c r="F322" s="307"/>
      <c r="G322" s="298"/>
      <c r="H322" s="307"/>
      <c r="I322" s="298"/>
      <c r="J322" s="307"/>
      <c r="K322" s="298"/>
      <c r="L322" s="261"/>
      <c r="M322" s="250"/>
      <c r="N322" s="298"/>
      <c r="O322" s="307"/>
      <c r="P322" s="298"/>
      <c r="R322" s="298"/>
      <c r="S322" s="261"/>
      <c r="T322" s="250"/>
      <c r="U322" s="298"/>
      <c r="V322" s="307"/>
      <c r="W322" s="298"/>
      <c r="X322" s="307"/>
      <c r="Y322" s="298"/>
      <c r="Z322" s="261"/>
      <c r="AA322" s="250"/>
      <c r="AB322" s="298"/>
      <c r="AC322" s="307"/>
      <c r="AD322" s="298"/>
      <c r="AE322" s="307"/>
      <c r="AF322" s="298"/>
      <c r="AG322" s="261"/>
      <c r="AH322" s="307"/>
      <c r="AI322" s="298"/>
      <c r="AJ322" s="307"/>
      <c r="AK322" s="298"/>
      <c r="AL322" s="307"/>
      <c r="AM322" s="298"/>
      <c r="AN322" s="261"/>
      <c r="AO322" s="250"/>
      <c r="AP322" s="298"/>
      <c r="AQ322" s="307"/>
      <c r="AR322" s="298"/>
      <c r="AS322" s="307"/>
      <c r="AT322" s="254" t="str">
        <f t="shared" si="62"/>
        <v/>
      </c>
      <c r="AU322" s="269"/>
      <c r="AV322" s="269"/>
    </row>
    <row r="323">
      <c r="A323" s="94"/>
      <c r="B323" s="328" t="s">
        <v>692</v>
      </c>
      <c r="C323" s="329" t="s">
        <v>652</v>
      </c>
      <c r="D323" s="369"/>
      <c r="E323" s="259"/>
      <c r="F323" s="371"/>
      <c r="G323" s="246"/>
      <c r="H323" s="371"/>
      <c r="I323" s="246"/>
      <c r="J323" s="371"/>
      <c r="K323" s="246"/>
      <c r="L323" s="261"/>
      <c r="M323" s="250"/>
      <c r="N323" s="246"/>
      <c r="O323" s="371"/>
      <c r="P323" s="246"/>
      <c r="Q323" s="371"/>
      <c r="R323" s="246"/>
      <c r="S323" s="261"/>
      <c r="T323" s="250"/>
      <c r="U323" s="246"/>
      <c r="V323" s="371"/>
      <c r="W323" s="246"/>
      <c r="X323" s="282"/>
      <c r="Y323" s="246"/>
      <c r="Z323" s="261"/>
      <c r="AA323" s="250"/>
      <c r="AB323" s="246"/>
      <c r="AC323" s="282"/>
      <c r="AD323" s="246"/>
      <c r="AE323" s="584"/>
      <c r="AF323" s="246"/>
      <c r="AG323" s="261"/>
      <c r="AH323" s="371"/>
      <c r="AI323" s="246"/>
      <c r="AJ323" s="371"/>
      <c r="AK323" s="246"/>
      <c r="AL323" s="282"/>
      <c r="AM323" s="246"/>
      <c r="AN323" s="261"/>
      <c r="AO323" s="250"/>
      <c r="AP323" s="246"/>
      <c r="AQ323" s="371"/>
      <c r="AR323" s="246"/>
      <c r="AS323" s="282"/>
      <c r="AT323" s="254" t="str">
        <f t="shared" ref="AT323:AT326" si="63">IF(COUNTIF($AO$89:$AT$91, AS324) &gt; 0, "X", "")</f>
        <v/>
      </c>
      <c r="AU323" s="269"/>
      <c r="AV323" s="269"/>
    </row>
    <row r="324">
      <c r="A324" s="94"/>
      <c r="B324" s="397" t="s">
        <v>692</v>
      </c>
      <c r="C324" s="398" t="s">
        <v>687</v>
      </c>
      <c r="D324" s="404"/>
      <c r="E324" s="259"/>
      <c r="F324" s="399"/>
      <c r="G324" s="246"/>
      <c r="H324" s="399"/>
      <c r="I324" s="246"/>
      <c r="J324" s="399"/>
      <c r="K324" s="246"/>
      <c r="L324" s="261"/>
      <c r="M324" s="250"/>
      <c r="N324" s="246"/>
      <c r="O324" s="399"/>
      <c r="P324" s="246"/>
      <c r="Q324" s="282"/>
      <c r="R324" s="246"/>
      <c r="S324" s="261"/>
      <c r="T324" s="250"/>
      <c r="U324" s="246"/>
      <c r="V324" s="399"/>
      <c r="W324" s="246"/>
      <c r="X324" s="399"/>
      <c r="Y324" s="246"/>
      <c r="Z324" s="261"/>
      <c r="AA324" s="250"/>
      <c r="AB324" s="246"/>
      <c r="AC324" s="282"/>
      <c r="AD324" s="246"/>
      <c r="AE324" s="399"/>
      <c r="AF324" s="246"/>
      <c r="AG324" s="261"/>
      <c r="AH324" s="399"/>
      <c r="AI324" s="246"/>
      <c r="AJ324" s="399"/>
      <c r="AK324" s="246"/>
      <c r="AL324" s="399"/>
      <c r="AM324" s="246"/>
      <c r="AN324" s="261"/>
      <c r="AO324" s="250"/>
      <c r="AP324" s="246"/>
      <c r="AQ324" s="399"/>
      <c r="AR324" s="246"/>
      <c r="AS324" s="399"/>
      <c r="AT324" s="254" t="str">
        <f t="shared" si="63"/>
        <v/>
      </c>
      <c r="AU324" s="269"/>
      <c r="AV324" s="269"/>
    </row>
    <row r="325">
      <c r="A325" s="270"/>
      <c r="B325" s="402" t="s">
        <v>699</v>
      </c>
      <c r="C325" s="403" t="s">
        <v>649</v>
      </c>
      <c r="D325" s="330"/>
      <c r="E325" s="259"/>
      <c r="F325" s="294"/>
      <c r="G325" s="246"/>
      <c r="H325" s="294"/>
      <c r="I325" s="246"/>
      <c r="J325" s="294"/>
      <c r="K325" s="246"/>
      <c r="L325" s="261"/>
      <c r="M325" s="250"/>
      <c r="N325" s="246"/>
      <c r="O325" s="294"/>
      <c r="P325" s="246"/>
      <c r="Q325" s="353" t="s">
        <v>422</v>
      </c>
      <c r="R325" s="246"/>
      <c r="S325" s="261"/>
      <c r="T325" s="250"/>
      <c r="U325" s="246"/>
      <c r="V325" s="294"/>
      <c r="W325" s="246"/>
      <c r="X325" s="294"/>
      <c r="Y325" s="246"/>
      <c r="Z325" s="261"/>
      <c r="AA325" s="250"/>
      <c r="AB325" s="246"/>
      <c r="AC325" s="294"/>
      <c r="AD325" s="246"/>
      <c r="AE325" s="293" t="s">
        <v>426</v>
      </c>
      <c r="AF325" s="246"/>
      <c r="AG325" s="261"/>
      <c r="AH325" s="294"/>
      <c r="AI325" s="246"/>
      <c r="AJ325" s="294"/>
      <c r="AK325" s="246"/>
      <c r="AL325" s="294"/>
      <c r="AM325" s="246"/>
      <c r="AN325" s="261"/>
      <c r="AO325" s="250"/>
      <c r="AP325" s="246"/>
      <c r="AQ325" s="294"/>
      <c r="AR325" s="246"/>
      <c r="AS325" s="294"/>
      <c r="AT325" s="254" t="str">
        <f t="shared" si="63"/>
        <v/>
      </c>
      <c r="AU325" s="269"/>
      <c r="AV325" s="269"/>
    </row>
    <row r="326">
      <c r="A326" s="94"/>
      <c r="B326" s="328" t="s">
        <v>700</v>
      </c>
      <c r="C326" s="329" t="s">
        <v>657</v>
      </c>
      <c r="D326" s="330"/>
      <c r="E326" s="259"/>
      <c r="F326" s="371"/>
      <c r="G326" s="246"/>
      <c r="H326" s="282"/>
      <c r="I326" s="246"/>
      <c r="J326" s="371"/>
      <c r="K326" s="246"/>
      <c r="L326" s="261"/>
      <c r="M326" s="250"/>
      <c r="N326" s="246"/>
      <c r="O326" s="371"/>
      <c r="P326" s="246"/>
      <c r="Q326" s="274" t="s">
        <v>437</v>
      </c>
      <c r="R326" s="246"/>
      <c r="S326" s="261"/>
      <c r="T326" s="250"/>
      <c r="U326" s="246"/>
      <c r="V326" s="371"/>
      <c r="W326" s="246"/>
      <c r="X326" s="371"/>
      <c r="Y326" s="246"/>
      <c r="Z326" s="261"/>
      <c r="AA326" s="250"/>
      <c r="AB326" s="246"/>
      <c r="AC326" s="371"/>
      <c r="AD326" s="246"/>
      <c r="AE326" s="519" t="s">
        <v>437</v>
      </c>
      <c r="AF326" s="246"/>
      <c r="AG326" s="261"/>
      <c r="AH326" s="371"/>
      <c r="AI326" s="246"/>
      <c r="AJ326" s="371"/>
      <c r="AK326" s="246"/>
      <c r="AL326" s="371"/>
      <c r="AM326" s="246"/>
      <c r="AN326" s="261"/>
      <c r="AO326" s="250"/>
      <c r="AP326" s="246"/>
      <c r="AQ326" s="282"/>
      <c r="AR326" s="246"/>
      <c r="AS326" s="371"/>
      <c r="AT326" s="254" t="str">
        <f t="shared" si="63"/>
        <v/>
      </c>
      <c r="AU326" s="269"/>
      <c r="AV326" s="269"/>
    </row>
    <row r="327">
      <c r="A327" s="94"/>
      <c r="B327" s="328" t="s">
        <v>700</v>
      </c>
      <c r="C327" s="329" t="s">
        <v>657</v>
      </c>
      <c r="D327" s="330"/>
      <c r="E327" s="259"/>
      <c r="F327" s="264"/>
      <c r="G327" s="246"/>
      <c r="H327" s="265"/>
      <c r="I327" s="246"/>
      <c r="J327" s="371"/>
      <c r="K327" s="246"/>
      <c r="L327" s="261"/>
      <c r="M327" s="262"/>
      <c r="N327" s="246"/>
      <c r="P327" s="246"/>
      <c r="Q327" s="405" t="s">
        <v>462</v>
      </c>
      <c r="R327" s="246"/>
      <c r="S327" s="261"/>
      <c r="T327" s="262"/>
      <c r="U327" s="246"/>
      <c r="V327" s="264"/>
      <c r="W327" s="246"/>
      <c r="Y327" s="246"/>
      <c r="Z327" s="261"/>
      <c r="AA327" s="262"/>
      <c r="AB327" s="246"/>
      <c r="AC327" s="264"/>
      <c r="AD327" s="246"/>
      <c r="AE327" s="311" t="s">
        <v>455</v>
      </c>
      <c r="AF327" s="246"/>
      <c r="AG327" s="261"/>
      <c r="AH327" s="264"/>
      <c r="AI327" s="246"/>
      <c r="AJ327" s="264"/>
      <c r="AK327" s="246"/>
      <c r="AM327" s="246"/>
      <c r="AN327" s="261"/>
      <c r="AO327" s="262"/>
      <c r="AP327" s="246"/>
      <c r="AQ327" s="264"/>
      <c r="AR327" s="246"/>
      <c r="AS327" s="264"/>
      <c r="AT327" s="254" t="str">
        <f>IF(COUNTIF($AO$89:$AT$91, #REF!) &gt; 0, "X", "")</f>
        <v/>
      </c>
      <c r="AU327" s="269"/>
      <c r="AV327" s="269"/>
    </row>
    <row r="328">
      <c r="A328" s="94"/>
      <c r="B328" s="328" t="s">
        <v>700</v>
      </c>
      <c r="C328" s="329" t="s">
        <v>657</v>
      </c>
      <c r="D328" s="351"/>
      <c r="E328" s="259"/>
      <c r="F328" s="282"/>
      <c r="G328" s="246"/>
      <c r="H328" s="282"/>
      <c r="I328" s="246"/>
      <c r="K328" s="246"/>
      <c r="L328" s="261"/>
      <c r="M328" s="250"/>
      <c r="N328" s="246"/>
      <c r="O328" s="282"/>
      <c r="P328" s="246"/>
      <c r="Q328" s="282"/>
      <c r="R328" s="246"/>
      <c r="S328" s="261"/>
      <c r="T328" s="250"/>
      <c r="U328" s="246"/>
      <c r="V328" s="282"/>
      <c r="W328" s="246"/>
      <c r="Y328" s="246"/>
      <c r="Z328" s="261"/>
      <c r="AA328" s="250"/>
      <c r="AB328" s="246"/>
      <c r="AC328" s="282"/>
      <c r="AD328" s="246"/>
      <c r="AE328" s="282"/>
      <c r="AF328" s="246"/>
      <c r="AG328" s="261"/>
      <c r="AH328" s="371"/>
      <c r="AI328" s="246"/>
      <c r="AJ328" s="282"/>
      <c r="AK328" s="246"/>
      <c r="AM328" s="246"/>
      <c r="AN328" s="261"/>
      <c r="AO328" s="250"/>
      <c r="AP328" s="246"/>
      <c r="AQ328" s="371"/>
      <c r="AR328" s="246"/>
      <c r="AS328" s="282"/>
      <c r="AT328" s="254" t="str">
        <f t="shared" ref="AT328:AT329" si="64">IF(COUNTIF($AO$89:$AT$91, AS329) &gt; 0, "X", "")</f>
        <v/>
      </c>
      <c r="AU328" s="269"/>
      <c r="AV328" s="269"/>
    </row>
    <row r="329">
      <c r="A329" s="94"/>
      <c r="B329" s="408" t="s">
        <v>702</v>
      </c>
      <c r="C329" s="409" t="s">
        <v>652</v>
      </c>
      <c r="D329" s="323"/>
      <c r="E329" s="259"/>
      <c r="F329" s="411"/>
      <c r="G329" s="246"/>
      <c r="H329" s="411"/>
      <c r="I329" s="246"/>
      <c r="J329" s="411"/>
      <c r="K329" s="246"/>
      <c r="L329" s="261"/>
      <c r="M329" s="262"/>
      <c r="N329" s="246"/>
      <c r="O329" s="411"/>
      <c r="P329" s="246"/>
      <c r="Q329" s="411"/>
      <c r="R329" s="246"/>
      <c r="S329" s="261"/>
      <c r="T329" s="262"/>
      <c r="U329" s="246"/>
      <c r="V329" s="411"/>
      <c r="W329" s="246"/>
      <c r="X329" s="411"/>
      <c r="Y329" s="246"/>
      <c r="Z329" s="261"/>
      <c r="AA329" s="262"/>
      <c r="AB329" s="246"/>
      <c r="AC329" s="411"/>
      <c r="AD329" s="246"/>
      <c r="AE329" s="411"/>
      <c r="AF329" s="246"/>
      <c r="AG329" s="261"/>
      <c r="AH329" s="411"/>
      <c r="AI329" s="246"/>
      <c r="AJ329" s="411"/>
      <c r="AK329" s="246"/>
      <c r="AL329" s="411"/>
      <c r="AM329" s="246"/>
      <c r="AN329" s="261"/>
      <c r="AO329" s="262"/>
      <c r="AP329" s="246"/>
      <c r="AQ329" s="411"/>
      <c r="AR329" s="246"/>
      <c r="AS329" s="411"/>
      <c r="AT329" s="254" t="str">
        <f t="shared" si="64"/>
        <v/>
      </c>
      <c r="AU329" s="269"/>
      <c r="AV329" s="269"/>
    </row>
    <row r="330">
      <c r="A330" s="234"/>
      <c r="B330" s="401"/>
      <c r="C330" s="412"/>
      <c r="D330" s="330"/>
      <c r="E330" s="259"/>
      <c r="F330" s="413"/>
      <c r="G330" s="246"/>
      <c r="H330" s="413"/>
      <c r="I330" s="246"/>
      <c r="J330" s="413"/>
      <c r="K330" s="246"/>
      <c r="L330" s="261"/>
      <c r="M330" s="262"/>
      <c r="N330" s="246"/>
      <c r="O330" s="413"/>
      <c r="P330" s="246"/>
      <c r="Q330" s="413"/>
      <c r="R330" s="246"/>
      <c r="S330" s="261"/>
      <c r="T330" s="262"/>
      <c r="U330" s="246"/>
      <c r="V330" s="413"/>
      <c r="W330" s="246"/>
      <c r="X330" s="413"/>
      <c r="Y330" s="246"/>
      <c r="Z330" s="261"/>
      <c r="AA330" s="262"/>
      <c r="AB330" s="246"/>
      <c r="AC330" s="413"/>
      <c r="AD330" s="246"/>
      <c r="AE330" s="413"/>
      <c r="AF330" s="246"/>
      <c r="AG330" s="261"/>
      <c r="AH330" s="413"/>
      <c r="AI330" s="246"/>
      <c r="AJ330" s="413"/>
      <c r="AK330" s="246"/>
      <c r="AL330" s="413"/>
      <c r="AM330" s="246"/>
      <c r="AN330" s="261"/>
      <c r="AO330" s="262"/>
      <c r="AP330" s="246"/>
      <c r="AQ330" s="413"/>
      <c r="AR330" s="246"/>
      <c r="AS330" s="413"/>
      <c r="AT330" s="254" t="str">
        <f t="shared" ref="AT330:AT332" si="65">IF(COUNTIF($AO$89:$AT$91, #REF!) &gt; 0, "X", "")</f>
        <v/>
      </c>
      <c r="AU330" s="269"/>
      <c r="AV330" s="269"/>
    </row>
    <row r="331">
      <c r="A331" s="234"/>
      <c r="B331" s="414" t="s">
        <v>705</v>
      </c>
      <c r="C331" s="415" t="s">
        <v>704</v>
      </c>
      <c r="D331" s="330"/>
      <c r="E331" s="259"/>
      <c r="F331" s="586" t="s">
        <v>452</v>
      </c>
      <c r="G331" s="246"/>
      <c r="H331" s="660" t="s">
        <v>407</v>
      </c>
      <c r="I331" s="246"/>
      <c r="J331" s="311" t="s">
        <v>467</v>
      </c>
      <c r="K331" s="246"/>
      <c r="L331" s="261"/>
      <c r="M331" s="341"/>
      <c r="N331" s="246"/>
      <c r="O331" s="660" t="s">
        <v>407</v>
      </c>
      <c r="P331" s="246"/>
      <c r="Q331" s="311" t="s">
        <v>410</v>
      </c>
      <c r="R331" s="246"/>
      <c r="S331" s="261"/>
      <c r="T331" s="341"/>
      <c r="U331" s="246"/>
      <c r="V331" s="251" t="s">
        <v>407</v>
      </c>
      <c r="W331" s="246"/>
      <c r="X331" s="311" t="s">
        <v>467</v>
      </c>
      <c r="Y331" s="246"/>
      <c r="Z331" s="261"/>
      <c r="AA331" s="251" t="s">
        <v>410</v>
      </c>
      <c r="AB331" s="246"/>
      <c r="AC331" s="251" t="s">
        <v>407</v>
      </c>
      <c r="AD331" s="246"/>
      <c r="AE331" s="311" t="s">
        <v>467</v>
      </c>
      <c r="AF331" s="246"/>
      <c r="AG331" s="261"/>
      <c r="AH331" s="311" t="s">
        <v>467</v>
      </c>
      <c r="AI331" s="246"/>
      <c r="AJ331" s="519" t="s">
        <v>406</v>
      </c>
      <c r="AK331" s="246"/>
      <c r="AL331" s="586" t="s">
        <v>452</v>
      </c>
      <c r="AM331" s="246"/>
      <c r="AN331" s="261"/>
      <c r="AO331" s="341"/>
      <c r="AP331" s="246"/>
      <c r="AQ331" s="311" t="s">
        <v>438</v>
      </c>
      <c r="AR331" s="246"/>
      <c r="AS331" s="374" t="s">
        <v>410</v>
      </c>
      <c r="AT331" s="254" t="str">
        <f t="shared" si="65"/>
        <v/>
      </c>
      <c r="AU331" s="269"/>
      <c r="AV331" s="269"/>
    </row>
    <row r="332">
      <c r="A332" s="94"/>
      <c r="B332" s="328" t="s">
        <v>705</v>
      </c>
      <c r="C332" s="257" t="s">
        <v>657</v>
      </c>
      <c r="D332" s="330"/>
      <c r="E332" s="259"/>
      <c r="F332" s="311" t="s">
        <v>470</v>
      </c>
      <c r="G332" s="246"/>
      <c r="H332" s="688" t="s">
        <v>404</v>
      </c>
      <c r="I332" s="246"/>
      <c r="J332" s="311" t="s">
        <v>410</v>
      </c>
      <c r="K332" s="246"/>
      <c r="L332" s="261"/>
      <c r="M332" s="341"/>
      <c r="N332" s="246"/>
      <c r="O332" s="688" t="s">
        <v>404</v>
      </c>
      <c r="P332" s="246"/>
      <c r="Q332" s="688" t="s">
        <v>472</v>
      </c>
      <c r="R332" s="246"/>
      <c r="S332" s="261"/>
      <c r="T332" s="341"/>
      <c r="U332" s="246"/>
      <c r="V332" s="688" t="s">
        <v>472</v>
      </c>
      <c r="W332" s="246"/>
      <c r="X332" s="688" t="s">
        <v>1033</v>
      </c>
      <c r="Y332" s="246"/>
      <c r="Z332" s="261"/>
      <c r="AA332" s="341"/>
      <c r="AB332" s="246"/>
      <c r="AC332" s="251" t="s">
        <v>440</v>
      </c>
      <c r="AD332" s="246"/>
      <c r="AE332" s="602" t="s">
        <v>453</v>
      </c>
      <c r="AF332" s="246"/>
      <c r="AG332" s="261"/>
      <c r="AH332" s="311" t="s">
        <v>470</v>
      </c>
      <c r="AI332" s="246"/>
      <c r="AJ332" s="660" t="s">
        <v>440</v>
      </c>
      <c r="AK332" s="246"/>
      <c r="AL332" s="606" t="s">
        <v>410</v>
      </c>
      <c r="AM332" s="246"/>
      <c r="AN332" s="261"/>
      <c r="AO332" s="341"/>
      <c r="AP332" s="246"/>
      <c r="AQ332" s="688" t="s">
        <v>404</v>
      </c>
      <c r="AR332" s="246"/>
      <c r="AS332" s="339" t="s">
        <v>472</v>
      </c>
      <c r="AT332" s="254" t="str">
        <f t="shared" si="65"/>
        <v/>
      </c>
      <c r="AU332" s="269"/>
      <c r="AV332" s="269"/>
    </row>
    <row r="333">
      <c r="A333" s="94"/>
      <c r="B333" s="277" t="s">
        <v>705</v>
      </c>
      <c r="C333" s="329" t="s">
        <v>685</v>
      </c>
      <c r="D333" s="369"/>
      <c r="E333" s="259"/>
      <c r="G333" s="246"/>
      <c r="H333" s="339" t="s">
        <v>472</v>
      </c>
      <c r="I333" s="246"/>
      <c r="J333" s="688" t="s">
        <v>1033</v>
      </c>
      <c r="K333" s="246"/>
      <c r="L333" s="261"/>
      <c r="M333" s="341"/>
      <c r="N333" s="246"/>
      <c r="O333" s="660" t="s">
        <v>440</v>
      </c>
      <c r="P333" s="246"/>
      <c r="Q333" s="688" t="s">
        <v>1033</v>
      </c>
      <c r="R333" s="246"/>
      <c r="S333" s="261"/>
      <c r="T333" s="341"/>
      <c r="U333" s="246"/>
      <c r="V333" s="311" t="s">
        <v>470</v>
      </c>
      <c r="W333" s="246"/>
      <c r="X333" s="586" t="s">
        <v>452</v>
      </c>
      <c r="Y333" s="246"/>
      <c r="Z333" s="261"/>
      <c r="AA333" s="341"/>
      <c r="AB333" s="246"/>
      <c r="AC333" s="311" t="s">
        <v>470</v>
      </c>
      <c r="AD333" s="246"/>
      <c r="AE333" s="688" t="s">
        <v>1033</v>
      </c>
      <c r="AF333" s="246"/>
      <c r="AG333" s="261"/>
      <c r="AI333" s="246"/>
      <c r="AJ333" s="339" t="s">
        <v>472</v>
      </c>
      <c r="AK333" s="246"/>
      <c r="AL333" s="606" t="s">
        <v>394</v>
      </c>
      <c r="AM333" s="246"/>
      <c r="AN333" s="261"/>
      <c r="AO333" s="341"/>
      <c r="AP333" s="246"/>
      <c r="AQ333" s="311" t="s">
        <v>470</v>
      </c>
      <c r="AR333" s="246"/>
      <c r="AS333" s="586" t="s">
        <v>452</v>
      </c>
      <c r="AT333" s="254" t="str">
        <f>IF(COUNTIF($AO$89:$AT$91, AO333) &gt; 0, "X", "")</f>
        <v/>
      </c>
      <c r="AU333" s="269"/>
      <c r="AV333" s="269"/>
    </row>
    <row r="334">
      <c r="A334" s="94"/>
      <c r="B334" s="271" t="s">
        <v>705</v>
      </c>
      <c r="C334" s="272" t="s">
        <v>687</v>
      </c>
      <c r="D334" s="330"/>
      <c r="E334" s="259"/>
      <c r="G334" s="246"/>
      <c r="I334" s="246"/>
      <c r="K334" s="246"/>
      <c r="L334" s="261"/>
      <c r="M334" s="341"/>
      <c r="N334" s="246"/>
      <c r="P334" s="246"/>
      <c r="R334" s="246"/>
      <c r="S334" s="261"/>
      <c r="T334" s="341"/>
      <c r="U334" s="246"/>
      <c r="W334" s="246"/>
      <c r="Y334" s="246"/>
      <c r="Z334" s="261"/>
      <c r="AA334" s="341"/>
      <c r="AB334" s="246"/>
      <c r="AC334" s="282"/>
      <c r="AD334" s="246"/>
      <c r="AF334" s="246"/>
      <c r="AG334" s="261"/>
      <c r="AH334" s="282"/>
      <c r="AI334" s="246"/>
      <c r="AK334" s="246"/>
      <c r="AM334" s="246"/>
      <c r="AN334" s="261"/>
      <c r="AO334" s="341"/>
      <c r="AP334" s="246"/>
      <c r="AQ334" s="282"/>
      <c r="AR334" s="246"/>
      <c r="AT334" s="254" t="str">
        <f>IF(COUNTIF($AO$89:$AT$91, #REF!) &gt; 0, "X", "")</f>
        <v/>
      </c>
      <c r="AU334" s="269"/>
      <c r="AV334" s="269"/>
    </row>
    <row r="335">
      <c r="A335" s="94"/>
      <c r="B335" s="271"/>
      <c r="C335" s="272"/>
      <c r="D335" s="330"/>
      <c r="E335" s="259"/>
      <c r="F335" s="282"/>
      <c r="G335" s="246"/>
      <c r="H335" s="339"/>
      <c r="I335" s="246"/>
      <c r="J335" s="281"/>
      <c r="K335" s="246"/>
      <c r="L335" s="261"/>
      <c r="M335" s="341"/>
      <c r="N335" s="246"/>
      <c r="P335" s="246"/>
      <c r="Q335" s="281"/>
      <c r="R335" s="246"/>
      <c r="S335" s="261"/>
      <c r="T335" s="341"/>
      <c r="U335" s="246"/>
      <c r="V335" s="339"/>
      <c r="W335" s="246"/>
      <c r="X335" s="282"/>
      <c r="Y335" s="246"/>
      <c r="Z335" s="261"/>
      <c r="AA335" s="341"/>
      <c r="AB335" s="246"/>
      <c r="AC335" s="282"/>
      <c r="AD335" s="246"/>
      <c r="AF335" s="246"/>
      <c r="AG335" s="261"/>
      <c r="AH335" s="282"/>
      <c r="AI335" s="246"/>
      <c r="AJ335" s="339"/>
      <c r="AK335" s="246"/>
      <c r="AL335" s="282"/>
      <c r="AM335" s="246"/>
      <c r="AN335" s="261"/>
      <c r="AO335" s="341"/>
      <c r="AP335" s="246"/>
      <c r="AQ335" s="282"/>
      <c r="AR335" s="246"/>
      <c r="AT335" s="254"/>
      <c r="AU335" s="269"/>
      <c r="AV335" s="269"/>
    </row>
    <row r="336">
      <c r="A336" s="270"/>
      <c r="B336" s="397" t="s">
        <v>708</v>
      </c>
      <c r="C336" s="398" t="s">
        <v>654</v>
      </c>
      <c r="D336" s="330"/>
      <c r="E336" s="259"/>
      <c r="F336" s="275"/>
      <c r="G336" s="246"/>
      <c r="H336" s="311" t="s">
        <v>441</v>
      </c>
      <c r="I336" s="246"/>
      <c r="J336" s="374" t="s">
        <v>446</v>
      </c>
      <c r="K336" s="246"/>
      <c r="L336" s="261"/>
      <c r="M336" s="341"/>
      <c r="N336" s="246"/>
      <c r="O336" s="311" t="s">
        <v>441</v>
      </c>
      <c r="P336" s="246"/>
      <c r="Q336" s="374" t="s">
        <v>446</v>
      </c>
      <c r="R336" s="246"/>
      <c r="S336" s="261"/>
      <c r="T336" s="341"/>
      <c r="U336" s="246"/>
      <c r="V336" s="365" t="s">
        <v>469</v>
      </c>
      <c r="W336" s="246"/>
      <c r="X336" s="311" t="s">
        <v>441</v>
      </c>
      <c r="Y336" s="246"/>
      <c r="Z336" s="261"/>
      <c r="AA336" s="341"/>
      <c r="AB336" s="246"/>
      <c r="AC336" s="311" t="s">
        <v>441</v>
      </c>
      <c r="AD336" s="246"/>
      <c r="AE336" s="311" t="s">
        <v>446</v>
      </c>
      <c r="AF336" s="246"/>
      <c r="AG336" s="261"/>
      <c r="AH336" s="275"/>
      <c r="AI336" s="246"/>
      <c r="AJ336" s="311" t="s">
        <v>441</v>
      </c>
      <c r="AK336" s="246"/>
      <c r="AL336" s="374" t="s">
        <v>446</v>
      </c>
      <c r="AM336" s="246"/>
      <c r="AN336" s="261"/>
      <c r="AO336" s="341"/>
      <c r="AP336" s="246"/>
      <c r="AQ336" s="365" t="s">
        <v>469</v>
      </c>
      <c r="AR336" s="246"/>
      <c r="AS336" s="374" t="s">
        <v>446</v>
      </c>
      <c r="AT336" s="254" t="str">
        <f>IF(COUNTIF($AO$89:$AT$91, #REF!) &gt; 0, "X", "")</f>
        <v/>
      </c>
      <c r="AU336" s="269"/>
      <c r="AV336" s="269"/>
    </row>
    <row r="337">
      <c r="A337" s="94"/>
      <c r="B337" s="796" t="s">
        <v>1116</v>
      </c>
      <c r="C337" s="278" t="s">
        <v>710</v>
      </c>
      <c r="D337" s="323"/>
      <c r="E337" s="259"/>
      <c r="F337" s="281"/>
      <c r="G337" s="246"/>
      <c r="H337" s="251" t="s">
        <v>440</v>
      </c>
      <c r="I337" s="246"/>
      <c r="J337" s="281"/>
      <c r="K337" s="246"/>
      <c r="L337" s="261"/>
      <c r="M337" s="286"/>
      <c r="N337" s="246"/>
      <c r="P337" s="246"/>
      <c r="Q337" s="282"/>
      <c r="R337" s="246"/>
      <c r="S337" s="261"/>
      <c r="T337" s="286"/>
      <c r="U337" s="246"/>
      <c r="V337" s="660" t="s">
        <v>440</v>
      </c>
      <c r="W337" s="246"/>
      <c r="X337" s="282"/>
      <c r="Y337" s="246"/>
      <c r="Z337" s="261"/>
      <c r="AA337" s="286"/>
      <c r="AB337" s="246"/>
      <c r="AC337" s="282"/>
      <c r="AD337" s="246"/>
      <c r="AE337" s="282"/>
      <c r="AF337" s="246"/>
      <c r="AG337" s="261"/>
      <c r="AH337" s="281"/>
      <c r="AI337" s="246"/>
      <c r="AJ337" s="281"/>
      <c r="AK337" s="246"/>
      <c r="AL337" s="282"/>
      <c r="AM337" s="246"/>
      <c r="AN337" s="261"/>
      <c r="AO337" s="286"/>
      <c r="AP337" s="246"/>
      <c r="AQ337" s="281"/>
      <c r="AR337" s="246"/>
      <c r="AT337" s="254" t="str">
        <f>IF(COUNTIF($AO$89:$AT$91, AS338) &gt; 0, "X", "")</f>
        <v/>
      </c>
      <c r="AU337" s="269"/>
      <c r="AV337" s="269"/>
    </row>
    <row r="338">
      <c r="A338" s="94"/>
      <c r="B338" s="673" t="s">
        <v>944</v>
      </c>
      <c r="C338" s="272" t="s">
        <v>639</v>
      </c>
      <c r="D338" s="431"/>
      <c r="E338" s="259"/>
      <c r="F338" s="282"/>
      <c r="G338" s="246"/>
      <c r="H338" s="251" t="s">
        <v>432</v>
      </c>
      <c r="I338" s="246"/>
      <c r="J338" s="282"/>
      <c r="K338" s="246"/>
      <c r="L338" s="261"/>
      <c r="M338" s="341"/>
      <c r="N338" s="246"/>
      <c r="O338" s="290" t="s">
        <v>432</v>
      </c>
      <c r="P338" s="246"/>
      <c r="Q338" s="282"/>
      <c r="R338" s="246"/>
      <c r="S338" s="261"/>
      <c r="T338" s="341"/>
      <c r="U338" s="246"/>
      <c r="V338" s="290" t="s">
        <v>432</v>
      </c>
      <c r="W338" s="246"/>
      <c r="X338" s="282"/>
      <c r="Y338" s="246"/>
      <c r="Z338" s="261"/>
      <c r="AA338" s="341"/>
      <c r="AB338" s="246"/>
      <c r="AC338" s="660" t="s">
        <v>432</v>
      </c>
      <c r="AD338" s="246"/>
      <c r="AE338" s="282"/>
      <c r="AF338" s="246"/>
      <c r="AG338" s="261"/>
      <c r="AH338" s="282"/>
      <c r="AI338" s="246"/>
      <c r="AJ338" s="660" t="s">
        <v>432</v>
      </c>
      <c r="AK338" s="246"/>
      <c r="AL338" s="282"/>
      <c r="AM338" s="246"/>
      <c r="AN338" s="261"/>
      <c r="AO338" s="341"/>
      <c r="AP338" s="246"/>
      <c r="AQ338" s="282"/>
      <c r="AR338" s="246"/>
      <c r="AS338" s="282"/>
      <c r="AT338" s="430"/>
      <c r="AU338" s="269"/>
      <c r="AV338" s="269"/>
    </row>
    <row r="339">
      <c r="A339" s="94"/>
      <c r="B339" s="429" t="s">
        <v>714</v>
      </c>
      <c r="C339" s="430"/>
      <c r="D339" s="323"/>
      <c r="E339" s="259"/>
      <c r="F339" s="432"/>
      <c r="G339" s="432"/>
      <c r="H339" s="432"/>
      <c r="I339" s="432"/>
      <c r="J339" s="432"/>
      <c r="K339" s="432"/>
      <c r="L339" s="261"/>
      <c r="M339" s="432"/>
      <c r="N339" s="433"/>
      <c r="O339" s="432"/>
      <c r="P339" s="432"/>
      <c r="Q339" s="432"/>
      <c r="R339" s="432"/>
      <c r="S339" s="261"/>
      <c r="T339" s="432"/>
      <c r="U339" s="433"/>
      <c r="V339" s="432"/>
      <c r="W339" s="432"/>
      <c r="X339" s="432"/>
      <c r="Y339" s="432"/>
      <c r="Z339" s="261"/>
      <c r="AA339" s="432"/>
      <c r="AB339" s="433"/>
      <c r="AC339" s="432"/>
      <c r="AD339" s="432"/>
      <c r="AE339" s="432"/>
      <c r="AF339" s="432"/>
      <c r="AG339" s="261"/>
      <c r="AH339" s="432"/>
      <c r="AI339" s="433"/>
      <c r="AJ339" s="432"/>
      <c r="AK339" s="432"/>
      <c r="AL339" s="432"/>
      <c r="AM339" s="432"/>
      <c r="AN339" s="261"/>
      <c r="AO339" s="432"/>
      <c r="AP339" s="433"/>
      <c r="AQ339" s="432"/>
      <c r="AR339" s="432"/>
      <c r="AS339" s="432"/>
      <c r="AT339" s="254" t="str">
        <f t="shared" ref="AT339:AT344" si="66">IF(COUNTIF($AO$89:$AT$91, AS340) &gt; 0, "X", "")</f>
        <v/>
      </c>
      <c r="AU339" s="269"/>
      <c r="AV339" s="269"/>
    </row>
    <row r="340">
      <c r="A340" s="94"/>
      <c r="B340" s="401" t="s">
        <v>715</v>
      </c>
      <c r="C340" s="412" t="s">
        <v>716</v>
      </c>
      <c r="D340" s="323"/>
      <c r="E340" s="259"/>
      <c r="F340" s="434"/>
      <c r="G340" s="246"/>
      <c r="H340" s="434" t="s">
        <v>403</v>
      </c>
      <c r="I340" s="246"/>
      <c r="J340" s="434"/>
      <c r="K340" s="246"/>
      <c r="L340" s="261"/>
      <c r="M340" s="434"/>
      <c r="N340" s="246"/>
      <c r="O340" s="434" t="s">
        <v>403</v>
      </c>
      <c r="P340" s="246"/>
      <c r="Q340" s="434"/>
      <c r="R340" s="246"/>
      <c r="S340" s="261"/>
      <c r="T340" s="434"/>
      <c r="U340" s="246"/>
      <c r="V340" s="434" t="s">
        <v>403</v>
      </c>
      <c r="W340" s="246"/>
      <c r="X340" s="434"/>
      <c r="Y340" s="246"/>
      <c r="Z340" s="261"/>
      <c r="AA340" s="434"/>
      <c r="AB340" s="246"/>
      <c r="AC340" s="434" t="s">
        <v>403</v>
      </c>
      <c r="AD340" s="246"/>
      <c r="AE340" s="434"/>
      <c r="AF340" s="246"/>
      <c r="AG340" s="261"/>
      <c r="AH340" s="434"/>
      <c r="AI340" s="246"/>
      <c r="AJ340" s="434"/>
      <c r="AK340" s="246"/>
      <c r="AL340" s="434"/>
      <c r="AM340" s="246"/>
      <c r="AN340" s="261"/>
      <c r="AO340" s="434"/>
      <c r="AP340" s="246"/>
      <c r="AQ340" s="434"/>
      <c r="AR340" s="246"/>
      <c r="AS340" s="434"/>
      <c r="AT340" s="254" t="str">
        <f t="shared" si="66"/>
        <v/>
      </c>
      <c r="AU340" s="269"/>
      <c r="AV340" s="269"/>
    </row>
    <row r="341">
      <c r="A341" s="94"/>
      <c r="B341" s="435" t="s">
        <v>717</v>
      </c>
      <c r="C341" s="415" t="s">
        <v>718</v>
      </c>
      <c r="D341" s="363"/>
      <c r="E341" s="259"/>
      <c r="F341" s="434"/>
      <c r="G341" s="246"/>
      <c r="H341" s="406" t="s">
        <v>442</v>
      </c>
      <c r="I341" s="246"/>
      <c r="J341" s="434"/>
      <c r="K341" s="246"/>
      <c r="L341" s="261"/>
      <c r="M341" s="434"/>
      <c r="N341" s="246"/>
      <c r="O341" s="406" t="s">
        <v>442</v>
      </c>
      <c r="P341" s="246"/>
      <c r="Q341" s="434"/>
      <c r="R341" s="246"/>
      <c r="S341" s="261"/>
      <c r="T341" s="434"/>
      <c r="U341" s="246"/>
      <c r="V341" s="406" t="s">
        <v>442</v>
      </c>
      <c r="W341" s="246"/>
      <c r="X341" s="434"/>
      <c r="Y341" s="246"/>
      <c r="Z341" s="261"/>
      <c r="AA341" s="434"/>
      <c r="AB341" s="246"/>
      <c r="AC341" s="406" t="s">
        <v>442</v>
      </c>
      <c r="AD341" s="246"/>
      <c r="AE341" s="434"/>
      <c r="AF341" s="246"/>
      <c r="AG341" s="261"/>
      <c r="AH341" s="434"/>
      <c r="AI341" s="246"/>
      <c r="AJ341" s="406" t="s">
        <v>442</v>
      </c>
      <c r="AK341" s="246"/>
      <c r="AL341" s="434"/>
      <c r="AM341" s="246"/>
      <c r="AN341" s="261"/>
      <c r="AO341" s="434"/>
      <c r="AP341" s="246"/>
      <c r="AQ341" s="406" t="s">
        <v>463</v>
      </c>
      <c r="AR341" s="246"/>
      <c r="AS341" s="434"/>
      <c r="AT341" s="254" t="str">
        <f t="shared" si="66"/>
        <v/>
      </c>
      <c r="AU341" s="269"/>
      <c r="AV341" s="269"/>
    </row>
    <row r="342">
      <c r="A342" s="94"/>
      <c r="B342" s="436" t="s">
        <v>719</v>
      </c>
      <c r="C342" s="437" t="s">
        <v>720</v>
      </c>
      <c r="D342" s="330"/>
      <c r="E342" s="259"/>
      <c r="F342" s="406"/>
      <c r="G342" s="246"/>
      <c r="H342" s="406" t="s">
        <v>463</v>
      </c>
      <c r="I342" s="246"/>
      <c r="J342" s="406"/>
      <c r="K342" s="246"/>
      <c r="L342" s="261"/>
      <c r="M342" s="406"/>
      <c r="N342" s="246"/>
      <c r="O342" s="406" t="s">
        <v>463</v>
      </c>
      <c r="P342" s="246"/>
      <c r="Q342" s="406"/>
      <c r="R342" s="246"/>
      <c r="S342" s="261"/>
      <c r="T342" s="406"/>
      <c r="U342" s="246"/>
      <c r="V342" s="406" t="s">
        <v>463</v>
      </c>
      <c r="W342" s="246"/>
      <c r="X342" s="406"/>
      <c r="Y342" s="246"/>
      <c r="Z342" s="261"/>
      <c r="AA342" s="406"/>
      <c r="AB342" s="246"/>
      <c r="AC342" s="406"/>
      <c r="AD342" s="246"/>
      <c r="AE342" s="406"/>
      <c r="AF342" s="246"/>
      <c r="AG342" s="261"/>
      <c r="AH342" s="406"/>
      <c r="AI342" s="246"/>
      <c r="AJ342" s="406" t="s">
        <v>847</v>
      </c>
      <c r="AK342" s="246"/>
      <c r="AL342" s="406"/>
      <c r="AM342" s="246"/>
      <c r="AN342" s="261"/>
      <c r="AO342" s="406"/>
      <c r="AP342" s="246"/>
      <c r="AQ342" s="406"/>
      <c r="AR342" s="246"/>
      <c r="AS342" s="406"/>
      <c r="AT342" s="254" t="str">
        <f t="shared" si="66"/>
        <v/>
      </c>
      <c r="AU342" s="269"/>
      <c r="AV342" s="269"/>
    </row>
    <row r="343">
      <c r="A343" s="94"/>
      <c r="B343" s="439" t="s">
        <v>721</v>
      </c>
      <c r="C343" s="440" t="s">
        <v>722</v>
      </c>
      <c r="D343" s="330"/>
      <c r="E343" s="259"/>
      <c r="F343" s="406"/>
      <c r="G343" s="246"/>
      <c r="H343" s="406" t="s">
        <v>454</v>
      </c>
      <c r="I343" s="246"/>
      <c r="J343" s="406"/>
      <c r="K343" s="246"/>
      <c r="L343" s="261"/>
      <c r="M343" s="406"/>
      <c r="N343" s="246"/>
      <c r="O343" s="406" t="s">
        <v>454</v>
      </c>
      <c r="P343" s="246"/>
      <c r="Q343" s="406"/>
      <c r="R343" s="246"/>
      <c r="S343" s="261"/>
      <c r="T343" s="406"/>
      <c r="U343" s="246"/>
      <c r="V343" s="406" t="s">
        <v>847</v>
      </c>
      <c r="W343" s="246"/>
      <c r="X343" s="406"/>
      <c r="Y343" s="246"/>
      <c r="Z343" s="261"/>
      <c r="AA343" s="406"/>
      <c r="AB343" s="246"/>
      <c r="AC343" s="406" t="s">
        <v>454</v>
      </c>
      <c r="AD343" s="246"/>
      <c r="AE343" s="406"/>
      <c r="AF343" s="246"/>
      <c r="AG343" s="261"/>
      <c r="AH343" s="406"/>
      <c r="AI343" s="246"/>
      <c r="AJ343" s="406" t="s">
        <v>454</v>
      </c>
      <c r="AK343" s="246"/>
      <c r="AL343" s="406"/>
      <c r="AM343" s="246"/>
      <c r="AN343" s="261"/>
      <c r="AO343" s="406"/>
      <c r="AP343" s="246"/>
      <c r="AQ343" s="406"/>
      <c r="AR343" s="246"/>
      <c r="AS343" s="406"/>
      <c r="AT343" s="254" t="str">
        <f t="shared" si="66"/>
        <v/>
      </c>
      <c r="AU343" s="269"/>
      <c r="AV343" s="269"/>
    </row>
    <row r="344">
      <c r="A344" s="94"/>
      <c r="B344" s="439" t="s">
        <v>723</v>
      </c>
      <c r="C344" s="440" t="s">
        <v>724</v>
      </c>
      <c r="D344" s="330"/>
      <c r="E344" s="259"/>
      <c r="F344" s="406"/>
      <c r="G344" s="246"/>
      <c r="H344" s="406" t="s">
        <v>460</v>
      </c>
      <c r="I344" s="246"/>
      <c r="J344" s="406"/>
      <c r="K344" s="246"/>
      <c r="L344" s="261"/>
      <c r="M344" s="406"/>
      <c r="N344" s="246"/>
      <c r="O344" s="406" t="s">
        <v>946</v>
      </c>
      <c r="P344" s="246"/>
      <c r="Q344" s="406"/>
      <c r="R344" s="246"/>
      <c r="S344" s="261"/>
      <c r="T344" s="406"/>
      <c r="U344" s="246"/>
      <c r="V344" s="406" t="s">
        <v>576</v>
      </c>
      <c r="W344" s="246"/>
      <c r="X344" s="406"/>
      <c r="Y344" s="246"/>
      <c r="Z344" s="261"/>
      <c r="AA344" s="406"/>
      <c r="AB344" s="246"/>
      <c r="AC344" s="406" t="s">
        <v>946</v>
      </c>
      <c r="AD344" s="246"/>
      <c r="AE344" s="406"/>
      <c r="AF344" s="246"/>
      <c r="AG344" s="261"/>
      <c r="AH344" s="406"/>
      <c r="AI344" s="246"/>
      <c r="AJ344" s="406" t="s">
        <v>463</v>
      </c>
      <c r="AK344" s="246"/>
      <c r="AL344" s="406"/>
      <c r="AM344" s="246"/>
      <c r="AN344" s="261"/>
      <c r="AO344" s="406"/>
      <c r="AP344" s="246"/>
      <c r="AQ344" s="406" t="s">
        <v>454</v>
      </c>
      <c r="AR344" s="246"/>
      <c r="AS344" s="406"/>
      <c r="AT344" s="254" t="str">
        <f t="shared" si="66"/>
        <v/>
      </c>
      <c r="AU344" s="269"/>
      <c r="AV344" s="269"/>
    </row>
    <row r="345">
      <c r="A345" s="94"/>
      <c r="B345" s="439" t="s">
        <v>725</v>
      </c>
      <c r="C345" s="442" t="s">
        <v>726</v>
      </c>
      <c r="D345" s="330"/>
      <c r="E345" s="259"/>
      <c r="F345" s="441"/>
      <c r="G345" s="246"/>
      <c r="H345" s="406" t="s">
        <v>946</v>
      </c>
      <c r="I345" s="246"/>
      <c r="J345" s="441"/>
      <c r="K345" s="246"/>
      <c r="L345" s="261"/>
      <c r="M345" s="441"/>
      <c r="N345" s="246"/>
      <c r="O345" s="406" t="s">
        <v>460</v>
      </c>
      <c r="P345" s="246"/>
      <c r="Q345" s="441"/>
      <c r="R345" s="246"/>
      <c r="S345" s="261"/>
      <c r="T345" s="441"/>
      <c r="U345" s="246"/>
      <c r="V345" s="406" t="s">
        <v>845</v>
      </c>
      <c r="W345" s="246"/>
      <c r="X345" s="441"/>
      <c r="Y345" s="246"/>
      <c r="Z345" s="261"/>
      <c r="AA345" s="441"/>
      <c r="AB345" s="246"/>
      <c r="AC345" s="406" t="s">
        <v>845</v>
      </c>
      <c r="AD345" s="246"/>
      <c r="AE345" s="441"/>
      <c r="AF345" s="246"/>
      <c r="AG345" s="261"/>
      <c r="AH345" s="441"/>
      <c r="AI345" s="246"/>
      <c r="AJ345" s="406" t="s">
        <v>946</v>
      </c>
      <c r="AK345" s="246"/>
      <c r="AL345" s="441"/>
      <c r="AM345" s="246"/>
      <c r="AN345" s="261"/>
      <c r="AO345" s="441"/>
      <c r="AP345" s="246"/>
      <c r="AQ345" s="406" t="s">
        <v>460</v>
      </c>
      <c r="AR345" s="246"/>
      <c r="AS345" s="441"/>
      <c r="AT345" s="254" t="str">
        <f>IF(COUNTIF($AO$89:$AT$91, #REF!) &gt; 0, "X", "")</f>
        <v/>
      </c>
      <c r="AU345" s="269"/>
      <c r="AV345" s="269"/>
    </row>
    <row r="346">
      <c r="A346" s="94"/>
      <c r="B346" s="447" t="s">
        <v>729</v>
      </c>
      <c r="C346" s="448" t="s">
        <v>730</v>
      </c>
      <c r="D346" s="330"/>
      <c r="E346" s="259"/>
      <c r="F346" s="441"/>
      <c r="G346" s="246"/>
      <c r="H346" s="406" t="s">
        <v>845</v>
      </c>
      <c r="I346" s="246"/>
      <c r="J346" s="441"/>
      <c r="K346" s="246"/>
      <c r="L346" s="261"/>
      <c r="M346" s="441"/>
      <c r="N346" s="246"/>
      <c r="O346" s="406" t="s">
        <v>845</v>
      </c>
      <c r="P346" s="246"/>
      <c r="Q346" s="441"/>
      <c r="R346" s="246"/>
      <c r="S346" s="261"/>
      <c r="T346" s="441"/>
      <c r="U346" s="246"/>
      <c r="V346" s="441"/>
      <c r="W346" s="246"/>
      <c r="X346" s="441"/>
      <c r="Y346" s="246"/>
      <c r="Z346" s="261"/>
      <c r="AA346" s="441"/>
      <c r="AB346" s="246"/>
      <c r="AC346" s="441"/>
      <c r="AD346" s="246"/>
      <c r="AE346" s="441"/>
      <c r="AF346" s="246"/>
      <c r="AG346" s="261"/>
      <c r="AH346" s="441"/>
      <c r="AI346" s="246"/>
      <c r="AJ346" s="406" t="s">
        <v>845</v>
      </c>
      <c r="AK346" s="246"/>
      <c r="AL346" s="441"/>
      <c r="AM346" s="246"/>
      <c r="AN346" s="261"/>
      <c r="AO346" s="441"/>
      <c r="AP346" s="246"/>
      <c r="AQ346" s="441"/>
      <c r="AR346" s="246"/>
      <c r="AS346" s="441"/>
      <c r="AT346" s="254" t="str">
        <f t="shared" ref="AT346:AT348" si="67">IF(COUNTIF($AO$89:$AT$91, AS346) &gt; 0, "X", "")</f>
        <v/>
      </c>
      <c r="AU346" s="269"/>
      <c r="AV346" s="269"/>
    </row>
    <row r="347">
      <c r="A347" s="94"/>
      <c r="B347" s="450" t="s">
        <v>731</v>
      </c>
      <c r="C347" s="451" t="s">
        <v>732</v>
      </c>
      <c r="D347" s="363"/>
      <c r="E347" s="259"/>
      <c r="F347" s="206"/>
      <c r="G347" s="246"/>
      <c r="H347" s="406" t="s">
        <v>847</v>
      </c>
      <c r="I347" s="246"/>
      <c r="J347" s="206"/>
      <c r="K347" s="246"/>
      <c r="L347" s="261"/>
      <c r="M347" s="206"/>
      <c r="N347" s="246"/>
      <c r="O347" s="406" t="s">
        <v>847</v>
      </c>
      <c r="P347" s="246"/>
      <c r="Q347" s="206"/>
      <c r="R347" s="246"/>
      <c r="S347" s="261"/>
      <c r="T347" s="206"/>
      <c r="U347" s="246"/>
      <c r="V347" s="406" t="s">
        <v>946</v>
      </c>
      <c r="W347" s="246"/>
      <c r="X347" s="206"/>
      <c r="Y347" s="246"/>
      <c r="Z347" s="261"/>
      <c r="AA347" s="206"/>
      <c r="AB347" s="246"/>
      <c r="AC347" s="206" t="s">
        <v>460</v>
      </c>
      <c r="AD347" s="246"/>
      <c r="AE347" s="206"/>
      <c r="AF347" s="246"/>
      <c r="AG347" s="261"/>
      <c r="AH347" s="206"/>
      <c r="AI347" s="246"/>
      <c r="AJ347" s="206"/>
      <c r="AK347" s="246"/>
      <c r="AL347" s="206"/>
      <c r="AM347" s="246"/>
      <c r="AN347" s="261"/>
      <c r="AO347" s="206"/>
      <c r="AP347" s="246"/>
      <c r="AQ347" s="206"/>
      <c r="AR347" s="246"/>
      <c r="AS347" s="206"/>
      <c r="AT347" s="254" t="str">
        <f t="shared" si="67"/>
        <v/>
      </c>
      <c r="AU347" s="269"/>
      <c r="AV347" s="269"/>
    </row>
    <row r="348">
      <c r="A348" s="94"/>
      <c r="B348" s="452" t="s">
        <v>733</v>
      </c>
      <c r="C348" s="453" t="s">
        <v>734</v>
      </c>
      <c r="D348" s="363"/>
      <c r="E348" s="259"/>
      <c r="F348" s="74"/>
      <c r="G348" s="246"/>
      <c r="H348" s="594" t="s">
        <v>395</v>
      </c>
      <c r="I348" s="246"/>
      <c r="J348" s="74"/>
      <c r="K348" s="246"/>
      <c r="L348" s="261"/>
      <c r="M348" s="74"/>
      <c r="N348" s="246"/>
      <c r="O348" s="594" t="s">
        <v>395</v>
      </c>
      <c r="P348" s="246"/>
      <c r="Q348" s="74"/>
      <c r="R348" s="246"/>
      <c r="S348" s="261"/>
      <c r="T348" s="74"/>
      <c r="U348" s="246"/>
      <c r="V348" s="594" t="s">
        <v>395</v>
      </c>
      <c r="W348" s="246"/>
      <c r="X348" s="74"/>
      <c r="Y348" s="246"/>
      <c r="Z348" s="261"/>
      <c r="AA348" s="74"/>
      <c r="AB348" s="246"/>
      <c r="AC348" s="594" t="s">
        <v>395</v>
      </c>
      <c r="AD348" s="246"/>
      <c r="AE348" s="74"/>
      <c r="AF348" s="246"/>
      <c r="AG348" s="261"/>
      <c r="AH348" s="74"/>
      <c r="AI348" s="246"/>
      <c r="AJ348" s="594" t="s">
        <v>395</v>
      </c>
      <c r="AK348" s="246"/>
      <c r="AL348" s="74"/>
      <c r="AM348" s="246"/>
      <c r="AN348" s="261"/>
      <c r="AO348" s="74"/>
      <c r="AP348" s="246"/>
      <c r="AQ348" s="434" t="s">
        <v>403</v>
      </c>
      <c r="AR348" s="246"/>
      <c r="AS348" s="74"/>
      <c r="AT348" s="254" t="str">
        <f t="shared" si="67"/>
        <v/>
      </c>
      <c r="AU348" s="269"/>
      <c r="AV348" s="269"/>
    </row>
    <row r="349">
      <c r="A349" s="94"/>
      <c r="B349" s="636"/>
      <c r="C349" s="637"/>
      <c r="D349" s="269"/>
      <c r="E349" s="638"/>
      <c r="F349" s="446"/>
      <c r="G349" s="246"/>
      <c r="H349" s="446"/>
      <c r="I349" s="246"/>
      <c r="J349" s="446"/>
      <c r="K349" s="246"/>
      <c r="L349" s="462"/>
      <c r="M349" s="446"/>
      <c r="N349" s="246"/>
      <c r="O349" s="446"/>
      <c r="P349" s="246"/>
      <c r="Q349" s="446"/>
      <c r="R349" s="246"/>
      <c r="S349" s="462"/>
      <c r="T349" s="446"/>
      <c r="U349" s="246"/>
      <c r="V349" s="446"/>
      <c r="W349" s="246"/>
      <c r="X349" s="446"/>
      <c r="Y349" s="246"/>
      <c r="Z349" s="462"/>
      <c r="AA349" s="446"/>
      <c r="AB349" s="246"/>
      <c r="AC349" s="446"/>
      <c r="AD349" s="246"/>
      <c r="AE349" s="446"/>
      <c r="AF349" s="246"/>
      <c r="AG349" s="462"/>
      <c r="AH349" s="446"/>
      <c r="AI349" s="246"/>
      <c r="AJ349" s="446"/>
      <c r="AK349" s="246"/>
      <c r="AL349" s="446"/>
      <c r="AM349" s="246"/>
      <c r="AN349" s="462"/>
      <c r="AO349" s="446"/>
      <c r="AP349" s="246"/>
      <c r="AQ349" s="446"/>
      <c r="AR349" s="246"/>
      <c r="AS349" s="446"/>
      <c r="AT349" s="254"/>
      <c r="AU349" s="269"/>
      <c r="AV349" s="269"/>
    </row>
    <row r="350">
      <c r="A350" s="94"/>
      <c r="B350" s="454" t="s">
        <v>735</v>
      </c>
      <c r="C350" s="455" t="s">
        <v>736</v>
      </c>
      <c r="D350" s="363"/>
      <c r="E350" s="259"/>
      <c r="F350" s="441"/>
      <c r="G350" s="246"/>
      <c r="H350" s="441"/>
      <c r="I350" s="246"/>
      <c r="J350" s="405" t="s">
        <v>462</v>
      </c>
      <c r="K350" s="246"/>
      <c r="L350" s="261"/>
      <c r="M350" s="441"/>
      <c r="N350" s="246"/>
      <c r="O350" s="441"/>
      <c r="P350" s="246"/>
      <c r="Q350" s="441"/>
      <c r="R350" s="246"/>
      <c r="S350" s="261"/>
      <c r="T350" s="441"/>
      <c r="U350" s="246"/>
      <c r="V350" s="441"/>
      <c r="W350" s="246"/>
      <c r="X350" s="405" t="s">
        <v>462</v>
      </c>
      <c r="Y350" s="246"/>
      <c r="Z350" s="261"/>
      <c r="AA350" s="441"/>
      <c r="AB350" s="246"/>
      <c r="AC350" s="441"/>
      <c r="AD350" s="246"/>
      <c r="AE350" s="441"/>
      <c r="AF350" s="246"/>
      <c r="AG350" s="261"/>
      <c r="AH350" s="441"/>
      <c r="AI350" s="246"/>
      <c r="AJ350" s="441"/>
      <c r="AK350" s="246"/>
      <c r="AL350" s="405" t="s">
        <v>462</v>
      </c>
      <c r="AM350" s="246"/>
      <c r="AN350" s="261"/>
      <c r="AO350" s="441"/>
      <c r="AP350" s="246"/>
      <c r="AQ350" s="441"/>
      <c r="AR350" s="246"/>
      <c r="AS350" s="441"/>
      <c r="AT350" s="254" t="str">
        <f t="shared" ref="AT350:AT352" si="68">IF(COUNTIF($AO$89:$AT$91, AS350) &gt; 0, "X", "")</f>
        <v/>
      </c>
      <c r="AU350" s="269"/>
      <c r="AV350" s="269"/>
    </row>
    <row r="351">
      <c r="A351" s="94"/>
      <c r="B351" s="454" t="s">
        <v>735</v>
      </c>
      <c r="C351" s="442" t="s">
        <v>736</v>
      </c>
      <c r="D351" s="363"/>
      <c r="E351" s="259"/>
      <c r="F351" s="456"/>
      <c r="G351" s="246"/>
      <c r="H351" s="456"/>
      <c r="I351" s="246"/>
      <c r="J351" s="456"/>
      <c r="K351" s="246"/>
      <c r="L351" s="261"/>
      <c r="M351" s="456"/>
      <c r="N351" s="246"/>
      <c r="O351" s="456"/>
      <c r="P351" s="246"/>
      <c r="Q351" s="456"/>
      <c r="R351" s="246"/>
      <c r="S351" s="261"/>
      <c r="T351" s="456"/>
      <c r="U351" s="246"/>
      <c r="V351" s="456"/>
      <c r="W351" s="246"/>
      <c r="X351" s="456"/>
      <c r="Y351" s="246"/>
      <c r="Z351" s="261"/>
      <c r="AA351" s="456"/>
      <c r="AB351" s="246"/>
      <c r="AC351" s="456"/>
      <c r="AD351" s="246"/>
      <c r="AE351" s="456"/>
      <c r="AF351" s="246"/>
      <c r="AG351" s="261"/>
      <c r="AH351" s="456"/>
      <c r="AI351" s="246"/>
      <c r="AJ351" s="456"/>
      <c r="AK351" s="246"/>
      <c r="AL351" s="456"/>
      <c r="AM351" s="246"/>
      <c r="AN351" s="261"/>
      <c r="AO351" s="456"/>
      <c r="AP351" s="246"/>
      <c r="AQ351" s="456"/>
      <c r="AR351" s="246"/>
      <c r="AS351" s="456"/>
      <c r="AT351" s="254" t="str">
        <f t="shared" si="68"/>
        <v/>
      </c>
      <c r="AU351" s="269"/>
      <c r="AV351" s="269"/>
    </row>
    <row r="352">
      <c r="A352" s="94"/>
      <c r="B352" s="457" t="s">
        <v>735</v>
      </c>
      <c r="C352" s="458" t="s">
        <v>737</v>
      </c>
      <c r="D352" s="363"/>
      <c r="E352" s="259"/>
      <c r="F352" s="406"/>
      <c r="G352" s="246"/>
      <c r="H352" s="406"/>
      <c r="I352" s="246"/>
      <c r="J352" s="406"/>
      <c r="K352" s="246"/>
      <c r="L352" s="261"/>
      <c r="M352" s="406"/>
      <c r="N352" s="246"/>
      <c r="O352" s="406"/>
      <c r="P352" s="246"/>
      <c r="Q352" s="406"/>
      <c r="R352" s="246"/>
      <c r="S352" s="261"/>
      <c r="T352" s="406"/>
      <c r="U352" s="246"/>
      <c r="V352" s="406"/>
      <c r="W352" s="246"/>
      <c r="X352" s="406"/>
      <c r="Y352" s="246"/>
      <c r="Z352" s="261"/>
      <c r="AA352" s="406"/>
      <c r="AB352" s="246"/>
      <c r="AC352" s="406"/>
      <c r="AD352" s="246"/>
      <c r="AE352" s="406"/>
      <c r="AF352" s="246"/>
      <c r="AG352" s="261"/>
      <c r="AH352" s="406"/>
      <c r="AI352" s="246"/>
      <c r="AJ352" s="406"/>
      <c r="AK352" s="246"/>
      <c r="AL352" s="406"/>
      <c r="AM352" s="246"/>
      <c r="AN352" s="261"/>
      <c r="AO352" s="406"/>
      <c r="AP352" s="246"/>
      <c r="AQ352" s="406"/>
      <c r="AR352" s="246"/>
      <c r="AS352" s="406"/>
      <c r="AT352" s="254" t="str">
        <f t="shared" si="68"/>
        <v/>
      </c>
      <c r="AU352" s="269"/>
      <c r="AV352" s="269"/>
    </row>
    <row r="353">
      <c r="A353" s="94"/>
      <c r="B353" s="459"/>
      <c r="C353" s="460" t="s">
        <v>738</v>
      </c>
      <c r="D353" s="363"/>
      <c r="E353" s="259"/>
      <c r="F353" s="461" t="s">
        <v>1193</v>
      </c>
      <c r="G353" s="246"/>
      <c r="H353" s="132"/>
      <c r="I353" s="246"/>
      <c r="J353" s="132"/>
      <c r="K353" s="246"/>
      <c r="L353" s="462"/>
      <c r="M353" s="461" t="s">
        <v>1194</v>
      </c>
      <c r="N353" s="246"/>
      <c r="O353" s="132"/>
      <c r="P353" s="246"/>
      <c r="Q353" s="132"/>
      <c r="R353" s="246"/>
      <c r="S353" s="462"/>
      <c r="T353" s="461" t="s">
        <v>1195</v>
      </c>
      <c r="U353" s="246"/>
      <c r="V353" s="132"/>
      <c r="W353" s="246"/>
      <c r="X353" s="132"/>
      <c r="Y353" s="246"/>
      <c r="Z353" s="462"/>
      <c r="AA353" s="461" t="s">
        <v>1196</v>
      </c>
      <c r="AB353" s="246"/>
      <c r="AC353" s="132"/>
      <c r="AD353" s="246"/>
      <c r="AE353" s="132"/>
      <c r="AF353" s="246"/>
      <c r="AG353" s="462"/>
      <c r="AH353" s="461" t="s">
        <v>1197</v>
      </c>
      <c r="AI353" s="246"/>
      <c r="AJ353" s="132"/>
      <c r="AK353" s="246"/>
      <c r="AL353" s="132"/>
      <c r="AM353" s="246"/>
      <c r="AN353" s="462"/>
      <c r="AO353" s="461" t="s">
        <v>1198</v>
      </c>
      <c r="AP353" s="246"/>
      <c r="AQ353" s="132"/>
      <c r="AR353" s="246"/>
      <c r="AS353" s="132"/>
      <c r="AT353" s="460"/>
      <c r="AU353" s="269"/>
      <c r="AV353" s="269"/>
    </row>
    <row r="354">
      <c r="A354" s="270"/>
      <c r="B354" s="459"/>
      <c r="C354" s="460" t="s">
        <v>738</v>
      </c>
      <c r="D354" s="363"/>
      <c r="E354" s="259"/>
      <c r="F354" s="461" t="s">
        <v>570</v>
      </c>
      <c r="G354" s="246"/>
      <c r="H354" s="132"/>
      <c r="I354" s="246"/>
      <c r="J354" s="132"/>
      <c r="K354" s="246"/>
      <c r="L354" s="462"/>
      <c r="M354" s="461" t="s">
        <v>570</v>
      </c>
      <c r="N354" s="246"/>
      <c r="O354" s="132"/>
      <c r="P354" s="246"/>
      <c r="Q354" s="132"/>
      <c r="R354" s="246"/>
      <c r="S354" s="462"/>
      <c r="T354" s="461" t="s">
        <v>570</v>
      </c>
      <c r="U354" s="246"/>
      <c r="V354" s="132"/>
      <c r="W354" s="246"/>
      <c r="X354" s="132"/>
      <c r="Y354" s="246"/>
      <c r="Z354" s="462"/>
      <c r="AA354" s="461" t="s">
        <v>570</v>
      </c>
      <c r="AB354" s="246"/>
      <c r="AC354" s="132"/>
      <c r="AD354" s="246"/>
      <c r="AE354" s="132"/>
      <c r="AF354" s="246"/>
      <c r="AG354" s="462"/>
      <c r="AH354" s="461" t="s">
        <v>570</v>
      </c>
      <c r="AI354" s="246"/>
      <c r="AJ354" s="132"/>
      <c r="AK354" s="246"/>
      <c r="AL354" s="132"/>
      <c r="AM354" s="246"/>
      <c r="AN354" s="462"/>
      <c r="AO354" s="461"/>
      <c r="AP354" s="246"/>
      <c r="AQ354" s="132"/>
      <c r="AR354" s="246"/>
      <c r="AS354" s="132"/>
      <c r="AT354" s="460"/>
      <c r="AU354" s="236"/>
      <c r="AV354" s="236"/>
    </row>
    <row r="355">
      <c r="A355" s="236"/>
      <c r="B355" s="459"/>
      <c r="C355" s="460" t="s">
        <v>738</v>
      </c>
      <c r="D355" s="363"/>
      <c r="E355" s="259"/>
      <c r="F355" s="132"/>
      <c r="G355" s="246"/>
      <c r="H355" s="132"/>
      <c r="I355" s="246"/>
      <c r="J355" s="132"/>
      <c r="K355" s="246"/>
      <c r="L355" s="462"/>
      <c r="M355" s="132"/>
      <c r="N355" s="246"/>
      <c r="O355" s="132"/>
      <c r="P355" s="246"/>
      <c r="Q355" s="132"/>
      <c r="R355" s="246"/>
      <c r="S355" s="462"/>
      <c r="T355" s="461"/>
      <c r="U355" s="246"/>
      <c r="V355" s="132"/>
      <c r="W355" s="246"/>
      <c r="X355" s="132"/>
      <c r="Y355" s="246"/>
      <c r="Z355" s="462"/>
      <c r="AA355" s="461" t="s">
        <v>562</v>
      </c>
      <c r="AB355" s="246"/>
      <c r="AC355" s="132"/>
      <c r="AD355" s="246"/>
      <c r="AE355" s="132"/>
      <c r="AF355" s="246"/>
      <c r="AG355" s="462"/>
      <c r="AH355" s="461" t="s">
        <v>562</v>
      </c>
      <c r="AI355" s="246"/>
      <c r="AJ355" s="132"/>
      <c r="AK355" s="246"/>
      <c r="AL355" s="132"/>
      <c r="AM355" s="246"/>
      <c r="AN355" s="462"/>
      <c r="AO355" s="461"/>
      <c r="AP355" s="246"/>
      <c r="AQ355" s="132"/>
      <c r="AR355" s="246"/>
      <c r="AS355" s="132"/>
      <c r="AT355" s="460"/>
      <c r="AU355" s="236"/>
      <c r="AV355" s="236"/>
    </row>
    <row r="356">
      <c r="A356" s="236"/>
      <c r="B356" s="459"/>
      <c r="C356" s="460"/>
      <c r="D356" s="330"/>
      <c r="E356" s="844"/>
      <c r="F356" s="146"/>
      <c r="G356" s="823"/>
      <c r="H356" s="146"/>
      <c r="I356" s="823"/>
      <c r="J356" s="146"/>
      <c r="K356" s="823"/>
      <c r="L356" s="845"/>
      <c r="M356" s="146"/>
      <c r="N356" s="823"/>
      <c r="O356" s="146"/>
      <c r="P356" s="823"/>
      <c r="Q356" s="146"/>
      <c r="R356" s="823"/>
      <c r="S356" s="845"/>
      <c r="T356" s="846"/>
      <c r="U356" s="823"/>
      <c r="V356" s="146"/>
      <c r="W356" s="823"/>
      <c r="X356" s="146"/>
      <c r="Y356" s="823"/>
      <c r="Z356" s="845"/>
      <c r="AA356" s="846"/>
      <c r="AB356" s="823"/>
      <c r="AC356" s="146"/>
      <c r="AD356" s="823"/>
      <c r="AE356" s="146"/>
      <c r="AF356" s="823"/>
      <c r="AG356" s="845"/>
      <c r="AH356" s="846"/>
      <c r="AI356" s="823"/>
      <c r="AJ356" s="146"/>
      <c r="AK356" s="823"/>
      <c r="AL356" s="146"/>
      <c r="AM356" s="823"/>
      <c r="AN356" s="845"/>
      <c r="AO356" s="846"/>
      <c r="AP356" s="823"/>
      <c r="AQ356" s="146"/>
      <c r="AR356" s="823"/>
      <c r="AS356" s="146"/>
      <c r="AT356" s="460"/>
      <c r="AU356" s="236"/>
      <c r="AV356" s="236"/>
    </row>
    <row r="357">
      <c r="A357" s="182"/>
      <c r="B357" s="183" t="s">
        <v>808</v>
      </c>
      <c r="C357" s="184" t="s">
        <v>809</v>
      </c>
      <c r="D357" s="185" t="s">
        <v>486</v>
      </c>
      <c r="E357" s="186"/>
      <c r="F357" s="185" t="s">
        <v>487</v>
      </c>
      <c r="M357" s="185" t="s">
        <v>488</v>
      </c>
      <c r="T357" s="185" t="s">
        <v>489</v>
      </c>
      <c r="AA357" s="185" t="s">
        <v>490</v>
      </c>
      <c r="AH357" s="185" t="s">
        <v>491</v>
      </c>
      <c r="AO357" s="185" t="s">
        <v>492</v>
      </c>
      <c r="AU357" s="182"/>
      <c r="AV357" s="182"/>
    </row>
    <row r="358">
      <c r="A358" s="182"/>
      <c r="B358" s="187"/>
      <c r="C358" s="187"/>
      <c r="D358" s="188">
        <v>26.0</v>
      </c>
      <c r="E358" s="189"/>
      <c r="F358" s="188"/>
      <c r="M358" s="188"/>
      <c r="T358" s="188"/>
      <c r="AA358" s="188"/>
      <c r="AH358" s="188"/>
      <c r="AO358" s="188"/>
      <c r="AU358" s="182"/>
      <c r="AV358" s="182"/>
    </row>
    <row r="359">
      <c r="A359" s="182"/>
      <c r="B359" s="193" t="s">
        <v>608</v>
      </c>
      <c r="C359" s="193" t="s">
        <v>609</v>
      </c>
      <c r="D359" s="187"/>
      <c r="E359" s="189"/>
      <c r="F359" s="194" t="s">
        <v>610</v>
      </c>
      <c r="G359" s="195"/>
      <c r="H359" s="193" t="s">
        <v>611</v>
      </c>
      <c r="J359" s="194" t="s">
        <v>612</v>
      </c>
      <c r="M359" s="194" t="s">
        <v>610</v>
      </c>
      <c r="N359" s="195"/>
      <c r="O359" s="193" t="s">
        <v>611</v>
      </c>
      <c r="P359" s="195"/>
      <c r="Q359" s="194" t="s">
        <v>612</v>
      </c>
      <c r="S359" s="193"/>
      <c r="T359" s="194" t="s">
        <v>610</v>
      </c>
      <c r="U359" s="195"/>
      <c r="V359" s="193" t="s">
        <v>611</v>
      </c>
      <c r="W359" s="195"/>
      <c r="X359" s="194" t="s">
        <v>612</v>
      </c>
      <c r="Z359" s="193"/>
      <c r="AA359" s="194" t="s">
        <v>610</v>
      </c>
      <c r="AB359" s="195"/>
      <c r="AC359" s="193" t="s">
        <v>611</v>
      </c>
      <c r="AD359" s="195"/>
      <c r="AE359" s="194" t="s">
        <v>612</v>
      </c>
      <c r="AG359" s="193"/>
      <c r="AH359" s="194" t="s">
        <v>610</v>
      </c>
      <c r="AI359" s="195"/>
      <c r="AJ359" s="193" t="s">
        <v>611</v>
      </c>
      <c r="AK359" s="195"/>
      <c r="AL359" s="194" t="s">
        <v>612</v>
      </c>
      <c r="AN359" s="193"/>
      <c r="AO359" s="194" t="s">
        <v>610</v>
      </c>
      <c r="AP359" s="195"/>
      <c r="AQ359" s="193" t="s">
        <v>611</v>
      </c>
      <c r="AR359" s="195"/>
      <c r="AS359" s="194" t="s">
        <v>612</v>
      </c>
      <c r="AU359" s="182"/>
      <c r="AV359" s="182"/>
    </row>
    <row r="360">
      <c r="A360" s="199"/>
      <c r="B360" s="200" t="s">
        <v>620</v>
      </c>
      <c r="C360" s="201"/>
      <c r="D360" s="201"/>
      <c r="E360" s="202"/>
      <c r="F360" s="203"/>
      <c r="G360" s="204"/>
      <c r="H360" s="203"/>
      <c r="I360" s="204"/>
      <c r="J360" s="203"/>
      <c r="K360" s="204"/>
      <c r="L360" s="205"/>
      <c r="M360" s="203"/>
      <c r="N360" s="204"/>
      <c r="O360" s="203"/>
      <c r="P360" s="204"/>
      <c r="Q360" s="203"/>
      <c r="R360" s="204"/>
      <c r="S360" s="205"/>
      <c r="T360" s="203"/>
      <c r="U360" s="204"/>
      <c r="V360" s="203"/>
      <c r="W360" s="204"/>
      <c r="X360" s="203"/>
      <c r="Y360" s="204"/>
      <c r="Z360" s="205"/>
      <c r="AA360" s="203"/>
      <c r="AB360" s="204"/>
      <c r="AC360" s="203"/>
      <c r="AD360" s="204"/>
      <c r="AE360" s="203"/>
      <c r="AF360" s="204"/>
      <c r="AG360" s="205"/>
      <c r="AH360" s="203"/>
      <c r="AI360" s="204"/>
      <c r="AJ360" s="203"/>
      <c r="AK360" s="204"/>
      <c r="AL360" s="203"/>
      <c r="AM360" s="204"/>
      <c r="AN360" s="205"/>
      <c r="AO360" s="203"/>
      <c r="AP360" s="204"/>
      <c r="AQ360" s="203"/>
      <c r="AR360" s="204"/>
      <c r="AS360" s="203"/>
      <c r="AT360" s="204"/>
      <c r="AU360" s="199"/>
      <c r="AV360" s="199"/>
    </row>
    <row r="361">
      <c r="A361" s="199"/>
      <c r="B361" s="213" t="s">
        <v>623</v>
      </c>
      <c r="C361" s="214"/>
      <c r="D361" s="215"/>
      <c r="E361" s="216"/>
      <c r="F361" s="561"/>
      <c r="G361" s="218"/>
      <c r="H361" s="223" t="s">
        <v>628</v>
      </c>
      <c r="I361" s="220"/>
      <c r="J361" s="215"/>
      <c r="K361" s="221"/>
      <c r="L361" s="216"/>
      <c r="M361" s="217"/>
      <c r="N361" s="218"/>
      <c r="O361" s="222" t="s">
        <v>625</v>
      </c>
      <c r="P361" s="220"/>
      <c r="Q361" s="217"/>
      <c r="R361" s="221"/>
      <c r="S361" s="216"/>
      <c r="T361" s="217"/>
      <c r="U361" s="218"/>
      <c r="V361" s="223" t="s">
        <v>628</v>
      </c>
      <c r="W361" s="220"/>
      <c r="X361" s="217"/>
      <c r="Y361" s="221"/>
      <c r="Z361" s="216"/>
      <c r="AA361" s="217"/>
      <c r="AB361" s="218"/>
      <c r="AC361" s="222" t="s">
        <v>625</v>
      </c>
      <c r="AD361" s="220"/>
      <c r="AE361" s="217"/>
      <c r="AF361" s="221"/>
      <c r="AG361" s="216"/>
      <c r="AH361" s="217"/>
      <c r="AI361" s="218"/>
      <c r="AJ361" s="223" t="s">
        <v>628</v>
      </c>
      <c r="AK361" s="220"/>
      <c r="AL361" s="217"/>
      <c r="AM361" s="221"/>
      <c r="AN361" s="216"/>
      <c r="AO361" s="217"/>
      <c r="AP361" s="218"/>
      <c r="AQ361" s="222" t="s">
        <v>625</v>
      </c>
      <c r="AR361" s="220"/>
      <c r="AS361" s="217"/>
      <c r="AT361" s="221"/>
      <c r="AU361" s="225">
        <f>counta(F361:AT361)*20</f>
        <v>120</v>
      </c>
    </row>
    <row r="362">
      <c r="A362" s="199"/>
      <c r="B362" s="226" t="s">
        <v>629</v>
      </c>
      <c r="C362" s="214"/>
      <c r="D362" s="215"/>
      <c r="E362" s="216"/>
      <c r="F362" s="227"/>
      <c r="G362" s="218"/>
      <c r="H362" s="227"/>
      <c r="I362" s="220"/>
      <c r="J362" s="215"/>
      <c r="K362" s="221"/>
      <c r="L362" s="216"/>
      <c r="M362" s="227"/>
      <c r="N362" s="218"/>
      <c r="O362" s="215"/>
      <c r="P362" s="220"/>
      <c r="Q362" s="227"/>
      <c r="R362" s="221"/>
      <c r="S362" s="216"/>
      <c r="T362" s="227"/>
      <c r="U362" s="218"/>
      <c r="V362" s="215"/>
      <c r="W362" s="220"/>
      <c r="X362" s="227"/>
      <c r="Y362" s="221"/>
      <c r="Z362" s="216"/>
      <c r="AA362" s="227"/>
      <c r="AB362" s="218"/>
      <c r="AC362" s="215"/>
      <c r="AD362" s="220"/>
      <c r="AE362" s="227"/>
      <c r="AF362" s="221"/>
      <c r="AG362" s="216"/>
      <c r="AH362" s="227"/>
      <c r="AI362" s="218"/>
      <c r="AJ362" s="215"/>
      <c r="AK362" s="220"/>
      <c r="AL362" s="227"/>
      <c r="AM362" s="221"/>
      <c r="AN362" s="216"/>
      <c r="AO362" s="227"/>
      <c r="AP362" s="218"/>
      <c r="AQ362" s="227"/>
      <c r="AR362" s="220"/>
      <c r="AS362" s="227"/>
      <c r="AT362" s="221"/>
      <c r="AU362" s="225">
        <f>sum(F362:AK362)</f>
        <v>0</v>
      </c>
    </row>
    <row r="363">
      <c r="A363" s="199"/>
      <c r="B363" s="213" t="s">
        <v>630</v>
      </c>
      <c r="C363" s="214"/>
      <c r="D363" s="215"/>
      <c r="E363" s="216"/>
      <c r="F363" s="215"/>
      <c r="G363" s="218"/>
      <c r="H363" s="215"/>
      <c r="I363" s="220"/>
      <c r="J363" s="215"/>
      <c r="K363" s="221"/>
      <c r="L363" s="216"/>
      <c r="M363" s="215"/>
      <c r="N363" s="218"/>
      <c r="O363" s="215"/>
      <c r="P363" s="220"/>
      <c r="Q363" s="215"/>
      <c r="R363" s="221"/>
      <c r="S363" s="216"/>
      <c r="T363" s="215"/>
      <c r="U363" s="218"/>
      <c r="V363" s="215"/>
      <c r="W363" s="220"/>
      <c r="X363" s="215"/>
      <c r="Y363" s="221"/>
      <c r="Z363" s="216"/>
      <c r="AA363" s="215"/>
      <c r="AB363" s="218"/>
      <c r="AC363" s="215"/>
      <c r="AD363" s="220"/>
      <c r="AE363" s="215"/>
      <c r="AF363" s="221"/>
      <c r="AG363" s="216"/>
      <c r="AH363" s="215"/>
      <c r="AI363" s="218"/>
      <c r="AJ363" s="215"/>
      <c r="AK363" s="220"/>
      <c r="AL363" s="215"/>
      <c r="AM363" s="221"/>
      <c r="AN363" s="216"/>
      <c r="AO363" s="215"/>
      <c r="AP363" s="218"/>
      <c r="AQ363" s="215"/>
      <c r="AR363" s="220"/>
      <c r="AS363" s="215"/>
      <c r="AT363" s="221"/>
      <c r="AU363" s="225">
        <f>countA(F363:AJ363)*5</f>
        <v>0</v>
      </c>
    </row>
    <row r="364">
      <c r="A364" s="199"/>
      <c r="B364" s="229" t="s">
        <v>632</v>
      </c>
      <c r="C364" s="214"/>
      <c r="D364" s="215"/>
      <c r="E364" s="216"/>
      <c r="F364" s="215"/>
      <c r="G364" s="221"/>
      <c r="H364" s="215"/>
      <c r="I364" s="220"/>
      <c r="J364" s="215"/>
      <c r="K364" s="221"/>
      <c r="L364" s="216"/>
      <c r="M364" s="215"/>
      <c r="N364" s="221"/>
      <c r="O364" s="215"/>
      <c r="P364" s="220"/>
      <c r="Q364" s="215"/>
      <c r="R364" s="221"/>
      <c r="S364" s="216"/>
      <c r="T364" s="215"/>
      <c r="U364" s="221"/>
      <c r="V364" s="215"/>
      <c r="W364" s="220"/>
      <c r="X364" s="215"/>
      <c r="Y364" s="221"/>
      <c r="Z364" s="216"/>
      <c r="AA364" s="215"/>
      <c r="AB364" s="221"/>
      <c r="AC364" s="215"/>
      <c r="AD364" s="220"/>
      <c r="AE364" s="215"/>
      <c r="AF364" s="221"/>
      <c r="AG364" s="216"/>
      <c r="AH364" s="215"/>
      <c r="AI364" s="221"/>
      <c r="AJ364" s="215"/>
      <c r="AK364" s="220"/>
      <c r="AL364" s="215"/>
      <c r="AM364" s="221"/>
      <c r="AN364" s="216"/>
      <c r="AO364" s="215"/>
      <c r="AP364" s="221"/>
      <c r="AQ364" s="215"/>
      <c r="AR364" s="220"/>
      <c r="AS364" s="215"/>
      <c r="AT364" s="221"/>
      <c r="AU364" s="225">
        <f>countA(F364:AK364)*12</f>
        <v>0</v>
      </c>
    </row>
    <row r="365">
      <c r="A365" s="199"/>
      <c r="B365" s="213" t="s">
        <v>633</v>
      </c>
      <c r="C365" s="214"/>
      <c r="D365" s="215"/>
      <c r="E365" s="216"/>
      <c r="F365" s="215"/>
      <c r="G365" s="230"/>
      <c r="H365" s="215"/>
      <c r="I365" s="231"/>
      <c r="J365" s="215"/>
      <c r="K365" s="216"/>
      <c r="L365" s="216"/>
      <c r="M365" s="215"/>
      <c r="N365" s="230"/>
      <c r="O365" s="215"/>
      <c r="P365" s="231"/>
      <c r="Q365" s="215"/>
      <c r="R365" s="216"/>
      <c r="S365" s="216"/>
      <c r="T365" s="215"/>
      <c r="U365" s="230"/>
      <c r="V365" s="215"/>
      <c r="W365" s="231"/>
      <c r="X365" s="215"/>
      <c r="Y365" s="216"/>
      <c r="Z365" s="216"/>
      <c r="AA365" s="215"/>
      <c r="AB365" s="230"/>
      <c r="AC365" s="215"/>
      <c r="AD365" s="231"/>
      <c r="AE365" s="215"/>
      <c r="AF365" s="216"/>
      <c r="AG365" s="216"/>
      <c r="AH365" s="215"/>
      <c r="AI365" s="230"/>
      <c r="AJ365" s="215"/>
      <c r="AK365" s="231"/>
      <c r="AL365" s="215"/>
      <c r="AM365" s="216"/>
      <c r="AN365" s="216"/>
      <c r="AO365" s="215"/>
      <c r="AP365" s="230"/>
      <c r="AQ365" s="215"/>
      <c r="AR365" s="231"/>
      <c r="AS365" s="215"/>
      <c r="AT365" s="216"/>
      <c r="AU365" s="225">
        <f>counta(F365:AT365)*4</f>
        <v>0</v>
      </c>
    </row>
    <row r="366">
      <c r="A366" s="199"/>
      <c r="B366" s="213" t="s">
        <v>637</v>
      </c>
      <c r="C366" s="214"/>
      <c r="D366" s="215"/>
      <c r="E366" s="216"/>
      <c r="F366" s="215"/>
      <c r="G366" s="230"/>
      <c r="H366" s="215"/>
      <c r="I366" s="231"/>
      <c r="J366" s="215"/>
      <c r="K366" s="216"/>
      <c r="L366" s="216"/>
      <c r="M366" s="215"/>
      <c r="N366" s="230"/>
      <c r="O366" s="215"/>
      <c r="P366" s="231"/>
      <c r="Q366" s="215"/>
      <c r="R366" s="216"/>
      <c r="S366" s="216"/>
      <c r="T366" s="215"/>
      <c r="U366" s="230"/>
      <c r="V366" s="215"/>
      <c r="W366" s="231"/>
      <c r="X366" s="215"/>
      <c r="Y366" s="216"/>
      <c r="Z366" s="216"/>
      <c r="AA366" s="215"/>
      <c r="AB366" s="230"/>
      <c r="AC366" s="215"/>
      <c r="AD366" s="231"/>
      <c r="AE366" s="215"/>
      <c r="AF366" s="216"/>
      <c r="AG366" s="216"/>
      <c r="AH366" s="215"/>
      <c r="AI366" s="230"/>
      <c r="AJ366" s="215"/>
      <c r="AK366" s="231"/>
      <c r="AL366" s="215"/>
      <c r="AM366" s="216"/>
      <c r="AN366" s="216"/>
      <c r="AO366" s="215"/>
      <c r="AP366" s="230"/>
      <c r="AQ366" s="215"/>
      <c r="AR366" s="231"/>
      <c r="AS366" s="215"/>
      <c r="AT366" s="216"/>
      <c r="AU366" s="225">
        <f>sum(F366:AT366)</f>
        <v>0</v>
      </c>
    </row>
    <row r="367">
      <c r="A367" s="234"/>
      <c r="B367" s="235" t="s">
        <v>608</v>
      </c>
      <c r="C367" s="195" t="s">
        <v>609</v>
      </c>
      <c r="D367" s="236"/>
      <c r="E367" s="237"/>
      <c r="F367" s="238"/>
      <c r="G367" s="182"/>
      <c r="H367" s="238"/>
      <c r="I367" s="239"/>
      <c r="J367" s="238"/>
      <c r="K367" s="239"/>
      <c r="L367" s="237"/>
      <c r="M367" s="238"/>
      <c r="N367" s="182"/>
      <c r="O367" s="238"/>
      <c r="P367" s="239"/>
      <c r="Q367" s="238"/>
      <c r="R367" s="239"/>
      <c r="S367" s="237"/>
      <c r="T367" s="238"/>
      <c r="U367" s="182"/>
      <c r="V367" s="238"/>
      <c r="W367" s="239"/>
      <c r="X367" s="238"/>
      <c r="Y367" s="239"/>
      <c r="Z367" s="237"/>
      <c r="AA367" s="238"/>
      <c r="AB367" s="182"/>
      <c r="AC367" s="238"/>
      <c r="AD367" s="239"/>
      <c r="AE367" s="238"/>
      <c r="AF367" s="239"/>
      <c r="AG367" s="237"/>
      <c r="AH367" s="238"/>
      <c r="AI367" s="182"/>
      <c r="AJ367" s="238"/>
      <c r="AK367" s="239"/>
      <c r="AL367" s="238"/>
      <c r="AM367" s="239"/>
      <c r="AN367" s="237"/>
      <c r="AO367" s="238"/>
      <c r="AP367" s="182"/>
      <c r="AQ367" s="238"/>
      <c r="AR367" s="239"/>
      <c r="AS367" s="238"/>
      <c r="AT367" s="239"/>
      <c r="AU367" s="236"/>
      <c r="AV367" s="236"/>
    </row>
    <row r="368">
      <c r="A368" s="240"/>
      <c r="B368" s="241" t="s">
        <v>638</v>
      </c>
      <c r="C368" s="242" t="s">
        <v>639</v>
      </c>
      <c r="D368" s="243"/>
      <c r="E368" s="244"/>
      <c r="F368" s="741"/>
      <c r="G368" s="246"/>
      <c r="H368" s="741"/>
      <c r="I368" s="246"/>
      <c r="J368" s="741"/>
      <c r="K368" s="246"/>
      <c r="L368" s="249"/>
      <c r="M368" s="741"/>
      <c r="N368" s="246"/>
      <c r="O368" s="741"/>
      <c r="P368" s="246"/>
      <c r="Q368" s="741"/>
      <c r="R368" s="246"/>
      <c r="S368" s="249"/>
      <c r="T368" s="741"/>
      <c r="U368" s="246"/>
      <c r="V368" s="741"/>
      <c r="W368" s="246"/>
      <c r="X368" s="741"/>
      <c r="Y368" s="246"/>
      <c r="Z368" s="249"/>
      <c r="AA368" s="741"/>
      <c r="AB368" s="246"/>
      <c r="AC368" s="741"/>
      <c r="AD368" s="246"/>
      <c r="AE368" s="741"/>
      <c r="AF368" s="246"/>
      <c r="AG368" s="249"/>
      <c r="AH368" s="741"/>
      <c r="AI368" s="246"/>
      <c r="AJ368" s="741"/>
      <c r="AK368" s="246"/>
      <c r="AL368" s="741"/>
      <c r="AM368" s="246"/>
      <c r="AN368" s="249"/>
      <c r="AO368" s="741"/>
      <c r="AP368" s="246"/>
      <c r="AQ368" s="741"/>
      <c r="AR368" s="246"/>
      <c r="AS368" s="741"/>
      <c r="AT368" s="254" t="str">
        <f>IF(COUNTIF($AO$89:$AT$91, #REF!) &gt; 0, "X", "")</f>
        <v/>
      </c>
      <c r="AU368" s="255"/>
      <c r="AV368" s="255"/>
    </row>
    <row r="369">
      <c r="A369" s="94"/>
      <c r="B369" s="256" t="s">
        <v>638</v>
      </c>
      <c r="C369" s="257" t="s">
        <v>639</v>
      </c>
      <c r="D369" s="258"/>
      <c r="E369" s="259"/>
      <c r="F369" s="741"/>
      <c r="G369" s="246"/>
      <c r="H369" s="741"/>
      <c r="I369" s="246"/>
      <c r="J369" s="741"/>
      <c r="K369" s="246"/>
      <c r="L369" s="249"/>
      <c r="M369" s="741"/>
      <c r="N369" s="246"/>
      <c r="O369" s="741"/>
      <c r="P369" s="246"/>
      <c r="Q369" s="741"/>
      <c r="R369" s="246"/>
      <c r="S369" s="249"/>
      <c r="T369" s="741"/>
      <c r="U369" s="246"/>
      <c r="V369" s="741"/>
      <c r="W369" s="246"/>
      <c r="X369" s="741"/>
      <c r="Y369" s="246"/>
      <c r="Z369" s="249"/>
      <c r="AA369" s="741"/>
      <c r="AB369" s="246"/>
      <c r="AC369" s="741"/>
      <c r="AD369" s="246"/>
      <c r="AE369" s="741"/>
      <c r="AF369" s="246"/>
      <c r="AG369" s="249"/>
      <c r="AH369" s="741"/>
      <c r="AI369" s="246"/>
      <c r="AJ369" s="741"/>
      <c r="AK369" s="246"/>
      <c r="AL369" s="741"/>
      <c r="AM369" s="246"/>
      <c r="AN369" s="249"/>
      <c r="AO369" s="741"/>
      <c r="AP369" s="246"/>
      <c r="AQ369" s="741"/>
      <c r="AR369" s="246"/>
      <c r="AS369" s="741"/>
      <c r="AT369" s="254" t="str">
        <f>IF(COUNTIF($AO$89:$AT$91, AS375) &gt; 0, "X", "")</f>
        <v/>
      </c>
      <c r="AU369" s="269"/>
      <c r="AV369" s="269"/>
    </row>
    <row r="370">
      <c r="A370" s="270"/>
      <c r="B370" s="271" t="s">
        <v>642</v>
      </c>
      <c r="C370" s="272" t="s">
        <v>639</v>
      </c>
      <c r="D370" s="258"/>
      <c r="E370" s="259"/>
      <c r="F370" s="589"/>
      <c r="G370" s="246"/>
      <c r="H370" s="589"/>
      <c r="I370" s="246"/>
      <c r="J370" s="589"/>
      <c r="K370" s="246"/>
      <c r="L370" s="261"/>
      <c r="M370" s="589"/>
      <c r="N370" s="246"/>
      <c r="O370" s="589"/>
      <c r="P370" s="246"/>
      <c r="Q370" s="589"/>
      <c r="R370" s="246"/>
      <c r="S370" s="261"/>
      <c r="T370" s="589"/>
      <c r="U370" s="246"/>
      <c r="V370" s="589"/>
      <c r="W370" s="246"/>
      <c r="X370" s="589"/>
      <c r="Y370" s="246"/>
      <c r="Z370" s="261"/>
      <c r="AA370" s="589"/>
      <c r="AB370" s="246"/>
      <c r="AC370" s="589"/>
      <c r="AD370" s="246"/>
      <c r="AE370" s="589"/>
      <c r="AF370" s="246"/>
      <c r="AG370" s="261"/>
      <c r="AH370" s="589"/>
      <c r="AI370" s="246"/>
      <c r="AJ370" s="589"/>
      <c r="AK370" s="246"/>
      <c r="AL370" s="589"/>
      <c r="AM370" s="246"/>
      <c r="AN370" s="261"/>
      <c r="AO370" s="589"/>
      <c r="AP370" s="246"/>
      <c r="AQ370" s="589"/>
      <c r="AR370" s="246"/>
      <c r="AS370" s="589"/>
      <c r="AT370" s="254" t="str">
        <f>IF(COUNTIF($AO$89:$AT$91, #REF!) &gt; 0, "X", "")</f>
        <v/>
      </c>
      <c r="AU370" s="269"/>
      <c r="AV370" s="269"/>
    </row>
    <row r="371">
      <c r="A371" s="234"/>
      <c r="B371" s="277" t="s">
        <v>644</v>
      </c>
      <c r="C371" s="278" t="s">
        <v>645</v>
      </c>
      <c r="D371" s="243"/>
      <c r="E371" s="259"/>
      <c r="F371" s="741"/>
      <c r="G371" s="246"/>
      <c r="H371" s="741"/>
      <c r="I371" s="246"/>
      <c r="J371" s="741"/>
      <c r="K371" s="246"/>
      <c r="L371" s="261"/>
      <c r="M371" s="741"/>
      <c r="N371" s="246"/>
      <c r="O371" s="741"/>
      <c r="P371" s="246"/>
      <c r="Q371" s="741"/>
      <c r="R371" s="246"/>
      <c r="S371" s="261"/>
      <c r="T371" s="741"/>
      <c r="U371" s="246"/>
      <c r="V371" s="741"/>
      <c r="W371" s="246"/>
      <c r="X371" s="741"/>
      <c r="Y371" s="246"/>
      <c r="Z371" s="261"/>
      <c r="AA371" s="741"/>
      <c r="AB371" s="246"/>
      <c r="AC371" s="741"/>
      <c r="AD371" s="246"/>
      <c r="AE371" s="741"/>
      <c r="AF371" s="246"/>
      <c r="AG371" s="261"/>
      <c r="AH371" s="741"/>
      <c r="AI371" s="246"/>
      <c r="AJ371" s="741"/>
      <c r="AK371" s="246"/>
      <c r="AL371" s="741"/>
      <c r="AM371" s="246"/>
      <c r="AN371" s="261"/>
      <c r="AO371" s="741"/>
      <c r="AP371" s="246"/>
      <c r="AQ371" s="741"/>
      <c r="AR371" s="246"/>
      <c r="AS371" s="741"/>
      <c r="AT371" s="254" t="str">
        <f t="shared" ref="AT371:AT373" si="69">IF(COUNTIF($AO$89:$AT$91, AS372) &gt; 0, "X", "")</f>
        <v/>
      </c>
      <c r="AU371" s="269"/>
      <c r="AV371" s="269"/>
    </row>
    <row r="372">
      <c r="A372" s="94"/>
      <c r="B372" s="256" t="s">
        <v>757</v>
      </c>
      <c r="C372" s="257" t="s">
        <v>645</v>
      </c>
      <c r="D372" s="243"/>
      <c r="E372" s="259"/>
      <c r="F372" s="741"/>
      <c r="G372" s="246"/>
      <c r="H372" s="741"/>
      <c r="I372" s="246"/>
      <c r="J372" s="741"/>
      <c r="K372" s="246"/>
      <c r="L372" s="261"/>
      <c r="M372" s="741"/>
      <c r="N372" s="246"/>
      <c r="O372" s="741"/>
      <c r="P372" s="246"/>
      <c r="Q372" s="741"/>
      <c r="R372" s="246"/>
      <c r="S372" s="261"/>
      <c r="T372" s="741"/>
      <c r="U372" s="246"/>
      <c r="V372" s="741"/>
      <c r="W372" s="246"/>
      <c r="X372" s="741"/>
      <c r="Y372" s="246"/>
      <c r="Z372" s="261"/>
      <c r="AA372" s="741"/>
      <c r="AB372" s="246"/>
      <c r="AC372" s="741"/>
      <c r="AD372" s="246"/>
      <c r="AE372" s="741"/>
      <c r="AF372" s="246"/>
      <c r="AG372" s="261"/>
      <c r="AH372" s="741"/>
      <c r="AI372" s="246"/>
      <c r="AJ372" s="741"/>
      <c r="AK372" s="246"/>
      <c r="AL372" s="741"/>
      <c r="AM372" s="246"/>
      <c r="AN372" s="261"/>
      <c r="AO372" s="741"/>
      <c r="AP372" s="246"/>
      <c r="AQ372" s="741"/>
      <c r="AR372" s="246"/>
      <c r="AS372" s="741"/>
      <c r="AT372" s="254" t="str">
        <f t="shared" si="69"/>
        <v/>
      </c>
      <c r="AU372" s="269"/>
      <c r="AV372" s="269"/>
    </row>
    <row r="373">
      <c r="A373" s="94"/>
      <c r="B373" s="284" t="s">
        <v>646</v>
      </c>
      <c r="C373" s="285" t="s">
        <v>647</v>
      </c>
      <c r="D373" s="243"/>
      <c r="E373" s="259"/>
      <c r="F373" s="743"/>
      <c r="G373" s="246"/>
      <c r="H373" s="743"/>
      <c r="I373" s="246"/>
      <c r="J373" s="743"/>
      <c r="K373" s="246"/>
      <c r="L373" s="261"/>
      <c r="M373" s="743"/>
      <c r="N373" s="246"/>
      <c r="O373" s="743"/>
      <c r="P373" s="246"/>
      <c r="Q373" s="743"/>
      <c r="R373" s="246"/>
      <c r="S373" s="261"/>
      <c r="T373" s="743"/>
      <c r="U373" s="246"/>
      <c r="V373" s="743"/>
      <c r="W373" s="246"/>
      <c r="X373" s="743"/>
      <c r="Y373" s="246"/>
      <c r="Z373" s="261"/>
      <c r="AA373" s="743"/>
      <c r="AB373" s="246"/>
      <c r="AC373" s="743"/>
      <c r="AD373" s="246"/>
      <c r="AE373" s="743"/>
      <c r="AF373" s="246"/>
      <c r="AG373" s="261"/>
      <c r="AH373" s="743"/>
      <c r="AI373" s="246"/>
      <c r="AJ373" s="743"/>
      <c r="AK373" s="246"/>
      <c r="AL373" s="743"/>
      <c r="AM373" s="246"/>
      <c r="AN373" s="261"/>
      <c r="AO373" s="743"/>
      <c r="AP373" s="246"/>
      <c r="AQ373" s="743"/>
      <c r="AR373" s="246"/>
      <c r="AS373" s="743"/>
      <c r="AT373" s="254" t="str">
        <f t="shared" si="69"/>
        <v/>
      </c>
      <c r="AU373" s="269"/>
      <c r="AV373" s="269"/>
    </row>
    <row r="374">
      <c r="A374" s="270"/>
      <c r="B374" s="291" t="s">
        <v>648</v>
      </c>
      <c r="C374" s="292" t="s">
        <v>649</v>
      </c>
      <c r="D374" s="243"/>
      <c r="E374" s="259"/>
      <c r="F374" s="298"/>
      <c r="G374" s="246"/>
      <c r="H374" s="298"/>
      <c r="I374" s="246"/>
      <c r="J374" s="298"/>
      <c r="K374" s="246"/>
      <c r="L374" s="261"/>
      <c r="M374" s="298"/>
      <c r="N374" s="246"/>
      <c r="O374" s="298"/>
      <c r="P374" s="246"/>
      <c r="Q374" s="298"/>
      <c r="R374" s="246"/>
      <c r="S374" s="261"/>
      <c r="T374" s="298"/>
      <c r="U374" s="246"/>
      <c r="V374" s="298"/>
      <c r="W374" s="246"/>
      <c r="X374" s="298"/>
      <c r="Y374" s="246"/>
      <c r="Z374" s="261"/>
      <c r="AA374" s="298"/>
      <c r="AB374" s="246"/>
      <c r="AC374" s="298"/>
      <c r="AD374" s="246"/>
      <c r="AE374" s="298"/>
      <c r="AF374" s="246"/>
      <c r="AG374" s="261"/>
      <c r="AH374" s="298"/>
      <c r="AI374" s="246"/>
      <c r="AJ374" s="298"/>
      <c r="AK374" s="246"/>
      <c r="AL374" s="298"/>
      <c r="AM374" s="246"/>
      <c r="AN374" s="261"/>
      <c r="AO374" s="298"/>
      <c r="AP374" s="246"/>
      <c r="AQ374" s="298"/>
      <c r="AR374" s="246"/>
      <c r="AS374" s="298"/>
      <c r="AT374" s="254" t="str">
        <f t="shared" ref="AT374:AT375" si="70">IF(COUNTIF($AO$89:$AT$91, #REF!) &gt; 0, "X", "")</f>
        <v/>
      </c>
      <c r="AU374" s="269"/>
      <c r="AV374" s="269"/>
    </row>
    <row r="375">
      <c r="A375" s="94"/>
      <c r="B375" s="296" t="s">
        <v>650</v>
      </c>
      <c r="C375" s="297" t="s">
        <v>649</v>
      </c>
      <c r="D375" s="243"/>
      <c r="E375" s="259"/>
      <c r="F375" s="745"/>
      <c r="G375" s="298"/>
      <c r="H375" s="745"/>
      <c r="I375" s="298"/>
      <c r="J375" s="745"/>
      <c r="K375" s="298"/>
      <c r="L375" s="261"/>
      <c r="M375" s="745"/>
      <c r="N375" s="298"/>
      <c r="O375" s="745"/>
      <c r="P375" s="298"/>
      <c r="Q375" s="745"/>
      <c r="R375" s="298"/>
      <c r="S375" s="261"/>
      <c r="T375" s="745"/>
      <c r="U375" s="298"/>
      <c r="V375" s="745"/>
      <c r="W375" s="298"/>
      <c r="X375" s="745"/>
      <c r="Y375" s="298"/>
      <c r="Z375" s="261"/>
      <c r="AA375" s="745"/>
      <c r="AB375" s="298"/>
      <c r="AC375" s="745"/>
      <c r="AD375" s="298"/>
      <c r="AE375" s="745"/>
      <c r="AF375" s="298"/>
      <c r="AG375" s="261"/>
      <c r="AH375" s="745"/>
      <c r="AI375" s="298"/>
      <c r="AJ375" s="745"/>
      <c r="AK375" s="298"/>
      <c r="AL375" s="745"/>
      <c r="AM375" s="298"/>
      <c r="AN375" s="261"/>
      <c r="AO375" s="745"/>
      <c r="AP375" s="298"/>
      <c r="AQ375" s="745"/>
      <c r="AR375" s="298"/>
      <c r="AS375" s="745"/>
      <c r="AT375" s="254" t="str">
        <f t="shared" si="70"/>
        <v/>
      </c>
      <c r="AU375" s="269"/>
      <c r="AV375" s="269"/>
    </row>
    <row r="376">
      <c r="A376" s="94"/>
      <c r="B376" s="301" t="s">
        <v>651</v>
      </c>
      <c r="C376" s="302" t="s">
        <v>652</v>
      </c>
      <c r="D376" s="243"/>
      <c r="E376" s="259"/>
      <c r="F376" s="741"/>
      <c r="G376" s="298"/>
      <c r="H376" s="741"/>
      <c r="I376" s="298"/>
      <c r="J376" s="741"/>
      <c r="K376" s="298"/>
      <c r="L376" s="261"/>
      <c r="M376" s="741"/>
      <c r="N376" s="298"/>
      <c r="O376" s="741"/>
      <c r="P376" s="298"/>
      <c r="Q376" s="741"/>
      <c r="R376" s="298"/>
      <c r="S376" s="261"/>
      <c r="T376" s="741"/>
      <c r="U376" s="298"/>
      <c r="V376" s="741"/>
      <c r="W376" s="298"/>
      <c r="X376" s="741"/>
      <c r="Y376" s="298"/>
      <c r="Z376" s="261"/>
      <c r="AA376" s="741"/>
      <c r="AB376" s="298"/>
      <c r="AC376" s="741"/>
      <c r="AD376" s="298"/>
      <c r="AE376" s="741"/>
      <c r="AF376" s="298"/>
      <c r="AG376" s="261"/>
      <c r="AH376" s="741"/>
      <c r="AI376" s="298"/>
      <c r="AJ376" s="741"/>
      <c r="AK376" s="298"/>
      <c r="AL376" s="741"/>
      <c r="AM376" s="298"/>
      <c r="AN376" s="261"/>
      <c r="AO376" s="741"/>
      <c r="AP376" s="298"/>
      <c r="AQ376" s="741"/>
      <c r="AR376" s="298"/>
      <c r="AS376" s="741"/>
      <c r="AT376" s="254" t="str">
        <f t="shared" ref="AT376:AT377" si="71">IF(COUNTIF($AO$89:$AT$91, AS377) &gt; 0, "X", "")</f>
        <v/>
      </c>
      <c r="AU376" s="269"/>
      <c r="AV376" s="269"/>
    </row>
    <row r="377">
      <c r="A377" s="94"/>
      <c r="B377" s="305" t="s">
        <v>653</v>
      </c>
      <c r="C377" s="306" t="s">
        <v>654</v>
      </c>
      <c r="D377" s="243"/>
      <c r="E377" s="259"/>
      <c r="F377" s="298"/>
      <c r="G377" s="298"/>
      <c r="H377" s="298"/>
      <c r="I377" s="298"/>
      <c r="J377" s="298"/>
      <c r="K377" s="298"/>
      <c r="L377" s="261"/>
      <c r="M377" s="298"/>
      <c r="N377" s="298"/>
      <c r="O377" s="298"/>
      <c r="P377" s="298"/>
      <c r="Q377" s="298"/>
      <c r="R377" s="298"/>
      <c r="S377" s="261"/>
      <c r="T377" s="298"/>
      <c r="U377" s="298"/>
      <c r="V377" s="298"/>
      <c r="W377" s="298"/>
      <c r="X377" s="298"/>
      <c r="Y377" s="298"/>
      <c r="Z377" s="261"/>
      <c r="AA377" s="298"/>
      <c r="AB377" s="298"/>
      <c r="AC377" s="298"/>
      <c r="AD377" s="298"/>
      <c r="AE377" s="298"/>
      <c r="AF377" s="298"/>
      <c r="AG377" s="261"/>
      <c r="AH377" s="298"/>
      <c r="AI377" s="298"/>
      <c r="AJ377" s="298"/>
      <c r="AK377" s="298"/>
      <c r="AL377" s="298"/>
      <c r="AM377" s="298"/>
      <c r="AN377" s="261"/>
      <c r="AO377" s="298"/>
      <c r="AP377" s="298"/>
      <c r="AQ377" s="298"/>
      <c r="AR377" s="298"/>
      <c r="AS377" s="298"/>
      <c r="AT377" s="254" t="str">
        <f t="shared" si="71"/>
        <v/>
      </c>
      <c r="AU377" s="269"/>
      <c r="AV377" s="269"/>
    </row>
    <row r="378">
      <c r="A378" s="94"/>
      <c r="B378" s="310" t="s">
        <v>656</v>
      </c>
      <c r="C378" s="278" t="s">
        <v>657</v>
      </c>
      <c r="D378" s="243"/>
      <c r="E378" s="259"/>
      <c r="F378" s="741"/>
      <c r="G378" s="246"/>
      <c r="H378" s="741"/>
      <c r="I378" s="246"/>
      <c r="J378" s="741"/>
      <c r="K378" s="246"/>
      <c r="L378" s="261"/>
      <c r="M378" s="741"/>
      <c r="N378" s="246"/>
      <c r="O378" s="741"/>
      <c r="P378" s="246"/>
      <c r="Q378" s="741"/>
      <c r="R378" s="246"/>
      <c r="S378" s="261"/>
      <c r="T378" s="741"/>
      <c r="U378" s="246"/>
      <c r="V378" s="741"/>
      <c r="W378" s="246"/>
      <c r="X378" s="741"/>
      <c r="Y378" s="246"/>
      <c r="Z378" s="261"/>
      <c r="AA378" s="741"/>
      <c r="AB378" s="246"/>
      <c r="AC378" s="741"/>
      <c r="AD378" s="246"/>
      <c r="AE378" s="741"/>
      <c r="AF378" s="246"/>
      <c r="AG378" s="261"/>
      <c r="AH378" s="741"/>
      <c r="AI378" s="246"/>
      <c r="AJ378" s="741"/>
      <c r="AK378" s="246"/>
      <c r="AL378" s="741"/>
      <c r="AM378" s="246"/>
      <c r="AN378" s="261"/>
      <c r="AO378" s="741"/>
      <c r="AP378" s="246"/>
      <c r="AQ378" s="741"/>
      <c r="AR378" s="246"/>
      <c r="AS378" s="741"/>
      <c r="AT378" s="254" t="str">
        <f t="shared" ref="AT378:AT380" si="72">IF(COUNTIF($AO$89:$AT$91, #REF!) &gt; 0, "X", "")</f>
        <v/>
      </c>
      <c r="AU378" s="269"/>
      <c r="AV378" s="269"/>
    </row>
    <row r="379">
      <c r="A379" s="94"/>
      <c r="B379" s="277" t="s">
        <v>658</v>
      </c>
      <c r="C379" s="278" t="s">
        <v>657</v>
      </c>
      <c r="D379" s="243"/>
      <c r="E379" s="259"/>
      <c r="F379" s="590"/>
      <c r="G379" s="246"/>
      <c r="H379" s="590"/>
      <c r="I379" s="246"/>
      <c r="J379" s="590"/>
      <c r="K379" s="246"/>
      <c r="L379" s="261"/>
      <c r="M379" s="590"/>
      <c r="N379" s="246"/>
      <c r="O379" s="590"/>
      <c r="P379" s="246"/>
      <c r="Q379" s="590"/>
      <c r="R379" s="246"/>
      <c r="S379" s="261"/>
      <c r="T379" s="590"/>
      <c r="U379" s="246"/>
      <c r="V379" s="590"/>
      <c r="W379" s="246"/>
      <c r="X379" s="590"/>
      <c r="Y379" s="246"/>
      <c r="Z379" s="261"/>
      <c r="AA379" s="590"/>
      <c r="AB379" s="246"/>
      <c r="AC379" s="590"/>
      <c r="AD379" s="246"/>
      <c r="AE379" s="590"/>
      <c r="AF379" s="246"/>
      <c r="AG379" s="261"/>
      <c r="AH379" s="590"/>
      <c r="AI379" s="246"/>
      <c r="AJ379" s="590"/>
      <c r="AK379" s="246"/>
      <c r="AL379" s="590"/>
      <c r="AM379" s="246"/>
      <c r="AN379" s="261"/>
      <c r="AO379" s="590"/>
      <c r="AP379" s="246"/>
      <c r="AQ379" s="590"/>
      <c r="AR379" s="246"/>
      <c r="AS379" s="590"/>
      <c r="AT379" s="254" t="str">
        <f t="shared" si="72"/>
        <v/>
      </c>
      <c r="AU379" s="269"/>
      <c r="AV379" s="269"/>
    </row>
    <row r="380">
      <c r="A380" s="94"/>
      <c r="B380" s="314" t="s">
        <v>660</v>
      </c>
      <c r="C380" s="315" t="s">
        <v>649</v>
      </c>
      <c r="D380" s="243"/>
      <c r="E380" s="259"/>
      <c r="F380" s="746"/>
      <c r="G380" s="246"/>
      <c r="H380" s="746"/>
      <c r="I380" s="246"/>
      <c r="J380" s="746"/>
      <c r="K380" s="246"/>
      <c r="L380" s="261"/>
      <c r="M380" s="746"/>
      <c r="N380" s="246"/>
      <c r="O380" s="746"/>
      <c r="P380" s="246"/>
      <c r="Q380" s="746"/>
      <c r="R380" s="246"/>
      <c r="S380" s="261"/>
      <c r="T380" s="746"/>
      <c r="U380" s="246"/>
      <c r="V380" s="746"/>
      <c r="W380" s="246"/>
      <c r="X380" s="746"/>
      <c r="Y380" s="246"/>
      <c r="Z380" s="261"/>
      <c r="AA380" s="746"/>
      <c r="AB380" s="246"/>
      <c r="AC380" s="746"/>
      <c r="AD380" s="246"/>
      <c r="AE380" s="746"/>
      <c r="AF380" s="246"/>
      <c r="AG380" s="261"/>
      <c r="AH380" s="746"/>
      <c r="AI380" s="246"/>
      <c r="AJ380" s="746"/>
      <c r="AK380" s="246"/>
      <c r="AL380" s="746"/>
      <c r="AM380" s="246"/>
      <c r="AN380" s="261"/>
      <c r="AO380" s="746"/>
      <c r="AP380" s="246"/>
      <c r="AQ380" s="746"/>
      <c r="AR380" s="246"/>
      <c r="AS380" s="746"/>
      <c r="AT380" s="254" t="str">
        <f t="shared" si="72"/>
        <v/>
      </c>
      <c r="AU380" s="269"/>
      <c r="AV380" s="269"/>
    </row>
    <row r="381">
      <c r="A381" s="94"/>
      <c r="B381" s="296" t="s">
        <v>650</v>
      </c>
      <c r="C381" s="297" t="s">
        <v>649</v>
      </c>
      <c r="D381" s="243"/>
      <c r="E381" s="259"/>
      <c r="F381" s="298"/>
      <c r="G381" s="298"/>
      <c r="H381" s="298"/>
      <c r="I381" s="298"/>
      <c r="J381" s="298"/>
      <c r="K381" s="298"/>
      <c r="L381" s="261"/>
      <c r="M381" s="298"/>
      <c r="N381" s="298"/>
      <c r="O381" s="298"/>
      <c r="P381" s="298"/>
      <c r="Q381" s="298"/>
      <c r="R381" s="298"/>
      <c r="S381" s="261"/>
      <c r="T381" s="298"/>
      <c r="U381" s="298"/>
      <c r="V381" s="298"/>
      <c r="W381" s="298"/>
      <c r="X381" s="298"/>
      <c r="Y381" s="298"/>
      <c r="Z381" s="261"/>
      <c r="AA381" s="298"/>
      <c r="AB381" s="298"/>
      <c r="AC381" s="298"/>
      <c r="AD381" s="298"/>
      <c r="AE381" s="298"/>
      <c r="AF381" s="298"/>
      <c r="AG381" s="261"/>
      <c r="AH381" s="298"/>
      <c r="AI381" s="298"/>
      <c r="AJ381" s="298"/>
      <c r="AK381" s="298"/>
      <c r="AL381" s="298"/>
      <c r="AM381" s="298"/>
      <c r="AN381" s="261"/>
      <c r="AO381" s="298"/>
      <c r="AP381" s="298"/>
      <c r="AQ381" s="298"/>
      <c r="AR381" s="298"/>
      <c r="AS381" s="298"/>
      <c r="AT381" s="254" t="str">
        <f>IF(COUNTIF($AO$89:$AT$91, AS382) &gt; 0, "X", "")</f>
        <v/>
      </c>
      <c r="AU381" s="269"/>
      <c r="AV381" s="269"/>
    </row>
    <row r="382">
      <c r="A382" s="94"/>
      <c r="B382" s="301" t="s">
        <v>651</v>
      </c>
      <c r="C382" s="302" t="s">
        <v>652</v>
      </c>
      <c r="D382" s="323"/>
      <c r="E382" s="259"/>
      <c r="F382" s="741"/>
      <c r="G382" s="298"/>
      <c r="H382" s="741"/>
      <c r="I382" s="298"/>
      <c r="J382" s="741"/>
      <c r="K382" s="298"/>
      <c r="L382" s="261"/>
      <c r="M382" s="741"/>
      <c r="N382" s="298"/>
      <c r="O382" s="741"/>
      <c r="P382" s="298"/>
      <c r="Q382" s="741"/>
      <c r="R382" s="298"/>
      <c r="S382" s="261"/>
      <c r="T382" s="741"/>
      <c r="U382" s="298"/>
      <c r="V382" s="741"/>
      <c r="W382" s="298"/>
      <c r="X382" s="741"/>
      <c r="Y382" s="298"/>
      <c r="Z382" s="261"/>
      <c r="AA382" s="741"/>
      <c r="AB382" s="298"/>
      <c r="AC382" s="741"/>
      <c r="AD382" s="298"/>
      <c r="AE382" s="741"/>
      <c r="AF382" s="298"/>
      <c r="AG382" s="261"/>
      <c r="AH382" s="741"/>
      <c r="AI382" s="298"/>
      <c r="AJ382" s="741"/>
      <c r="AK382" s="298"/>
      <c r="AL382" s="741"/>
      <c r="AM382" s="298"/>
      <c r="AN382" s="261"/>
      <c r="AO382" s="741"/>
      <c r="AP382" s="298"/>
      <c r="AQ382" s="741"/>
      <c r="AR382" s="298"/>
      <c r="AS382" s="741"/>
      <c r="AT382" s="254" t="str">
        <f t="shared" ref="AT382:AT383" si="73">IF(COUNTIF($AO$89:$AT$91, #REF!) &gt; 0, "X", "")</f>
        <v/>
      </c>
      <c r="AU382" s="269"/>
      <c r="AV382" s="269"/>
    </row>
    <row r="383">
      <c r="A383" s="94"/>
      <c r="B383" s="322" t="s">
        <v>662</v>
      </c>
      <c r="C383" s="306" t="s">
        <v>663</v>
      </c>
      <c r="D383" s="330"/>
      <c r="E383" s="259"/>
      <c r="F383" s="298"/>
      <c r="G383" s="298"/>
      <c r="H383" s="298"/>
      <c r="I383" s="298"/>
      <c r="J383" s="298"/>
      <c r="K383" s="298"/>
      <c r="L383" s="261"/>
      <c r="M383" s="298"/>
      <c r="N383" s="298"/>
      <c r="O383" s="298"/>
      <c r="P383" s="298"/>
      <c r="Q383" s="298"/>
      <c r="R383" s="298"/>
      <c r="S383" s="261"/>
      <c r="T383" s="298"/>
      <c r="U383" s="298"/>
      <c r="V383" s="298"/>
      <c r="W383" s="298"/>
      <c r="X383" s="298"/>
      <c r="Y383" s="298"/>
      <c r="Z383" s="261"/>
      <c r="AA383" s="298"/>
      <c r="AB383" s="298"/>
      <c r="AC383" s="298"/>
      <c r="AD383" s="298"/>
      <c r="AE383" s="298"/>
      <c r="AF383" s="298"/>
      <c r="AG383" s="261"/>
      <c r="AH383" s="298"/>
      <c r="AI383" s="298"/>
      <c r="AJ383" s="298"/>
      <c r="AK383" s="298"/>
      <c r="AL383" s="298"/>
      <c r="AM383" s="298"/>
      <c r="AN383" s="261"/>
      <c r="AO383" s="298"/>
      <c r="AP383" s="298"/>
      <c r="AQ383" s="298"/>
      <c r="AR383" s="298"/>
      <c r="AS383" s="298"/>
      <c r="AT383" s="254" t="str">
        <f t="shared" si="73"/>
        <v/>
      </c>
      <c r="AU383" s="269"/>
      <c r="AV383" s="269"/>
    </row>
    <row r="384">
      <c r="A384" s="94"/>
      <c r="B384" s="328" t="s">
        <v>665</v>
      </c>
      <c r="C384" s="329" t="s">
        <v>654</v>
      </c>
      <c r="D384" s="330"/>
      <c r="E384" s="259"/>
      <c r="F384" s="742"/>
      <c r="G384" s="246"/>
      <c r="H384" s="742"/>
      <c r="I384" s="246"/>
      <c r="J384" s="742"/>
      <c r="K384" s="246"/>
      <c r="L384" s="261"/>
      <c r="M384" s="742"/>
      <c r="N384" s="246"/>
      <c r="O384" s="742"/>
      <c r="P384" s="246"/>
      <c r="Q384" s="742"/>
      <c r="R384" s="246"/>
      <c r="S384" s="261"/>
      <c r="T384" s="742"/>
      <c r="U384" s="246"/>
      <c r="V384" s="742"/>
      <c r="W384" s="246"/>
      <c r="X384" s="742"/>
      <c r="Y384" s="246"/>
      <c r="Z384" s="261"/>
      <c r="AA384" s="742"/>
      <c r="AB384" s="246"/>
      <c r="AC384" s="742"/>
      <c r="AD384" s="246"/>
      <c r="AE384" s="742"/>
      <c r="AF384" s="246"/>
      <c r="AG384" s="261"/>
      <c r="AH384" s="742"/>
      <c r="AI384" s="246"/>
      <c r="AJ384" s="742"/>
      <c r="AK384" s="246"/>
      <c r="AL384" s="742"/>
      <c r="AM384" s="246"/>
      <c r="AN384" s="261"/>
      <c r="AO384" s="742"/>
      <c r="AP384" s="246"/>
      <c r="AQ384" s="742"/>
      <c r="AR384" s="246"/>
      <c r="AS384" s="742"/>
      <c r="AT384" s="254" t="str">
        <f>IF(COUNTIF($AO$89:$AT$91, AL396) &gt; 0, "X", "")</f>
        <v/>
      </c>
      <c r="AU384" s="269"/>
      <c r="AV384" s="269"/>
    </row>
    <row r="385">
      <c r="A385" s="94"/>
      <c r="B385" s="337" t="s">
        <v>665</v>
      </c>
      <c r="C385" s="338" t="s">
        <v>657</v>
      </c>
      <c r="D385" s="330"/>
      <c r="E385" s="259"/>
      <c r="F385" s="747"/>
      <c r="G385" s="246"/>
      <c r="H385" s="747"/>
      <c r="I385" s="246"/>
      <c r="J385" s="747"/>
      <c r="K385" s="246"/>
      <c r="L385" s="261"/>
      <c r="M385" s="747"/>
      <c r="N385" s="246"/>
      <c r="O385" s="747"/>
      <c r="P385" s="246"/>
      <c r="Q385" s="747"/>
      <c r="R385" s="246"/>
      <c r="S385" s="261"/>
      <c r="T385" s="747"/>
      <c r="U385" s="246"/>
      <c r="V385" s="747"/>
      <c r="W385" s="246"/>
      <c r="X385" s="747"/>
      <c r="Y385" s="246"/>
      <c r="Z385" s="261"/>
      <c r="AA385" s="747"/>
      <c r="AB385" s="246"/>
      <c r="AC385" s="747"/>
      <c r="AD385" s="246"/>
      <c r="AE385" s="747"/>
      <c r="AF385" s="246"/>
      <c r="AG385" s="261"/>
      <c r="AH385" s="747"/>
      <c r="AI385" s="246"/>
      <c r="AJ385" s="747"/>
      <c r="AK385" s="246"/>
      <c r="AL385" s="747"/>
      <c r="AM385" s="246"/>
      <c r="AN385" s="261"/>
      <c r="AO385" s="747"/>
      <c r="AP385" s="246"/>
      <c r="AQ385" s="747"/>
      <c r="AR385" s="246"/>
      <c r="AS385" s="747"/>
      <c r="AT385" s="254" t="str">
        <f t="shared" ref="AT385:AT389" si="74">IF(COUNTIF($AO$89:$AT$91, #REF!) &gt; 0, "X", "")</f>
        <v/>
      </c>
      <c r="AU385" s="269"/>
      <c r="AV385" s="269"/>
    </row>
    <row r="386">
      <c r="A386" s="94"/>
      <c r="B386" s="256" t="s">
        <v>665</v>
      </c>
      <c r="C386" s="257" t="s">
        <v>663</v>
      </c>
      <c r="D386" s="330"/>
      <c r="E386" s="259"/>
      <c r="F386" s="607"/>
      <c r="G386" s="246"/>
      <c r="H386" s="607"/>
      <c r="I386" s="246"/>
      <c r="J386" s="607"/>
      <c r="K386" s="246"/>
      <c r="L386" s="261"/>
      <c r="M386" s="607"/>
      <c r="N386" s="246"/>
      <c r="O386" s="607"/>
      <c r="P386" s="246"/>
      <c r="Q386" s="607"/>
      <c r="R386" s="246"/>
      <c r="S386" s="261"/>
      <c r="T386" s="607"/>
      <c r="U386" s="246"/>
      <c r="V386" s="607"/>
      <c r="W386" s="246"/>
      <c r="X386" s="607"/>
      <c r="Y386" s="246"/>
      <c r="Z386" s="261"/>
      <c r="AA386" s="607"/>
      <c r="AB386" s="246"/>
      <c r="AC386" s="607"/>
      <c r="AD386" s="246"/>
      <c r="AE386" s="607"/>
      <c r="AF386" s="246"/>
      <c r="AG386" s="261"/>
      <c r="AH386" s="607"/>
      <c r="AI386" s="246"/>
      <c r="AJ386" s="607"/>
      <c r="AK386" s="246"/>
      <c r="AL386" s="607"/>
      <c r="AM386" s="246"/>
      <c r="AN386" s="261"/>
      <c r="AO386" s="607"/>
      <c r="AP386" s="246"/>
      <c r="AQ386" s="607"/>
      <c r="AR386" s="246"/>
      <c r="AS386" s="607"/>
      <c r="AT386" s="254" t="str">
        <f t="shared" si="74"/>
        <v/>
      </c>
      <c r="AU386" s="269"/>
      <c r="AV386" s="269"/>
    </row>
    <row r="387">
      <c r="A387" s="94"/>
      <c r="B387" s="328" t="s">
        <v>665</v>
      </c>
      <c r="C387" s="329" t="s">
        <v>645</v>
      </c>
      <c r="D387" s="323"/>
      <c r="E387" s="261"/>
      <c r="F387" s="742"/>
      <c r="G387" s="246"/>
      <c r="H387" s="742"/>
      <c r="I387" s="246"/>
      <c r="J387" s="742"/>
      <c r="K387" s="246"/>
      <c r="L387" s="261"/>
      <c r="M387" s="742"/>
      <c r="N387" s="246"/>
      <c r="O387" s="742"/>
      <c r="P387" s="246"/>
      <c r="Q387" s="742"/>
      <c r="R387" s="246"/>
      <c r="S387" s="261"/>
      <c r="T387" s="742"/>
      <c r="U387" s="246"/>
      <c r="V387" s="742"/>
      <c r="W387" s="246"/>
      <c r="X387" s="742"/>
      <c r="Y387" s="246"/>
      <c r="Z387" s="261"/>
      <c r="AA387" s="742"/>
      <c r="AB387" s="246"/>
      <c r="AC387" s="742"/>
      <c r="AD387" s="246"/>
      <c r="AE387" s="742"/>
      <c r="AF387" s="246"/>
      <c r="AG387" s="261"/>
      <c r="AH387" s="742"/>
      <c r="AI387" s="246"/>
      <c r="AJ387" s="742"/>
      <c r="AK387" s="246"/>
      <c r="AL387" s="742"/>
      <c r="AM387" s="246"/>
      <c r="AN387" s="261"/>
      <c r="AO387" s="742"/>
      <c r="AP387" s="246"/>
      <c r="AQ387" s="742"/>
      <c r="AR387" s="246"/>
      <c r="AS387" s="742"/>
      <c r="AT387" s="254" t="str">
        <f t="shared" si="74"/>
        <v/>
      </c>
      <c r="AU387" s="269"/>
      <c r="AV387" s="269"/>
    </row>
    <row r="388">
      <c r="A388" s="94"/>
      <c r="B388" s="342" t="s">
        <v>667</v>
      </c>
      <c r="C388" s="343" t="s">
        <v>657</v>
      </c>
      <c r="D388" s="351"/>
      <c r="E388" s="259"/>
      <c r="F388" s="749"/>
      <c r="G388" s="246"/>
      <c r="H388" s="749"/>
      <c r="I388" s="246"/>
      <c r="J388" s="749"/>
      <c r="K388" s="246"/>
      <c r="L388" s="261"/>
      <c r="M388" s="749"/>
      <c r="N388" s="246"/>
      <c r="O388" s="749"/>
      <c r="P388" s="246"/>
      <c r="Q388" s="749"/>
      <c r="R388" s="246"/>
      <c r="S388" s="261"/>
      <c r="T388" s="749"/>
      <c r="U388" s="246"/>
      <c r="V388" s="749"/>
      <c r="W388" s="246"/>
      <c r="X388" s="749"/>
      <c r="Y388" s="246"/>
      <c r="Z388" s="261"/>
      <c r="AA388" s="749"/>
      <c r="AB388" s="246"/>
      <c r="AC388" s="749"/>
      <c r="AD388" s="246"/>
      <c r="AE388" s="749"/>
      <c r="AF388" s="246"/>
      <c r="AG388" s="261"/>
      <c r="AH388" s="749"/>
      <c r="AI388" s="246"/>
      <c r="AJ388" s="749"/>
      <c r="AK388" s="246"/>
      <c r="AL388" s="749"/>
      <c r="AM388" s="246"/>
      <c r="AN388" s="261"/>
      <c r="AO388" s="749"/>
      <c r="AP388" s="246"/>
      <c r="AQ388" s="749"/>
      <c r="AR388" s="246"/>
      <c r="AS388" s="749"/>
      <c r="AT388" s="254" t="str">
        <f t="shared" si="74"/>
        <v/>
      </c>
      <c r="AU388" s="269"/>
      <c r="AV388" s="269"/>
    </row>
    <row r="389">
      <c r="A389" s="94"/>
      <c r="B389" s="349" t="s">
        <v>669</v>
      </c>
      <c r="C389" s="350" t="s">
        <v>649</v>
      </c>
      <c r="D389" s="323"/>
      <c r="E389" s="259"/>
      <c r="F389" s="750"/>
      <c r="G389" s="246"/>
      <c r="H389" s="750"/>
      <c r="I389" s="246"/>
      <c r="J389" s="750"/>
      <c r="K389" s="246"/>
      <c r="L389" s="261"/>
      <c r="M389" s="750"/>
      <c r="N389" s="246"/>
      <c r="O389" s="750"/>
      <c r="P389" s="246"/>
      <c r="Q389" s="750"/>
      <c r="R389" s="246"/>
      <c r="S389" s="261"/>
      <c r="T389" s="750"/>
      <c r="U389" s="246"/>
      <c r="V389" s="750"/>
      <c r="W389" s="246"/>
      <c r="X389" s="750"/>
      <c r="Y389" s="246"/>
      <c r="Z389" s="261"/>
      <c r="AA389" s="750"/>
      <c r="AB389" s="246"/>
      <c r="AC389" s="750"/>
      <c r="AD389" s="246"/>
      <c r="AE389" s="750"/>
      <c r="AF389" s="246"/>
      <c r="AG389" s="261"/>
      <c r="AH389" s="750"/>
      <c r="AI389" s="246"/>
      <c r="AJ389" s="750"/>
      <c r="AK389" s="246"/>
      <c r="AL389" s="750"/>
      <c r="AM389" s="246"/>
      <c r="AN389" s="261"/>
      <c r="AO389" s="750"/>
      <c r="AP389" s="246"/>
      <c r="AQ389" s="750"/>
      <c r="AR389" s="246"/>
      <c r="AS389" s="750"/>
      <c r="AT389" s="254" t="str">
        <f t="shared" si="74"/>
        <v/>
      </c>
      <c r="AU389" s="269"/>
      <c r="AV389" s="269"/>
    </row>
    <row r="390">
      <c r="A390" s="234"/>
      <c r="B390" s="296" t="s">
        <v>650</v>
      </c>
      <c r="C390" s="297" t="s">
        <v>649</v>
      </c>
      <c r="D390" s="330"/>
      <c r="E390" s="259"/>
      <c r="F390" s="745"/>
      <c r="G390" s="298"/>
      <c r="H390" s="745"/>
      <c r="I390" s="298"/>
      <c r="J390" s="745"/>
      <c r="K390" s="298"/>
      <c r="L390" s="261"/>
      <c r="M390" s="745"/>
      <c r="N390" s="298"/>
      <c r="O390" s="745"/>
      <c r="P390" s="298"/>
      <c r="Q390" s="745"/>
      <c r="R390" s="298"/>
      <c r="S390" s="261"/>
      <c r="T390" s="745"/>
      <c r="U390" s="298"/>
      <c r="V390" s="745"/>
      <c r="W390" s="298"/>
      <c r="X390" s="745"/>
      <c r="Y390" s="298"/>
      <c r="Z390" s="261"/>
      <c r="AA390" s="745"/>
      <c r="AB390" s="298"/>
      <c r="AC390" s="745"/>
      <c r="AD390" s="298"/>
      <c r="AE390" s="745"/>
      <c r="AF390" s="298"/>
      <c r="AG390" s="261"/>
      <c r="AH390" s="745"/>
      <c r="AI390" s="298"/>
      <c r="AJ390" s="745"/>
      <c r="AK390" s="298"/>
      <c r="AL390" s="745"/>
      <c r="AM390" s="298"/>
      <c r="AN390" s="261"/>
      <c r="AO390" s="745"/>
      <c r="AP390" s="298"/>
      <c r="AQ390" s="745"/>
      <c r="AR390" s="298"/>
      <c r="AS390" s="745"/>
      <c r="AT390" s="254" t="str">
        <f>IF(COUNTIF($AO$89:$AT$91, AS391) &gt; 0, "X", "")</f>
        <v/>
      </c>
      <c r="AU390" s="269"/>
      <c r="AV390" s="269"/>
    </row>
    <row r="391">
      <c r="A391" s="94"/>
      <c r="B391" s="301" t="s">
        <v>651</v>
      </c>
      <c r="C391" s="302" t="s">
        <v>652</v>
      </c>
      <c r="D391" s="363"/>
      <c r="E391" s="259"/>
      <c r="F391" s="741"/>
      <c r="G391" s="298"/>
      <c r="H391" s="741"/>
      <c r="I391" s="298"/>
      <c r="J391" s="741"/>
      <c r="K391" s="298"/>
      <c r="L391" s="261"/>
      <c r="M391" s="741"/>
      <c r="N391" s="298"/>
      <c r="O391" s="741"/>
      <c r="P391" s="298"/>
      <c r="Q391" s="741"/>
      <c r="R391" s="298"/>
      <c r="S391" s="261"/>
      <c r="T391" s="741"/>
      <c r="U391" s="298"/>
      <c r="V391" s="741"/>
      <c r="W391" s="298"/>
      <c r="X391" s="741"/>
      <c r="Y391" s="298"/>
      <c r="Z391" s="261"/>
      <c r="AA391" s="741"/>
      <c r="AB391" s="298"/>
      <c r="AC391" s="741"/>
      <c r="AD391" s="298"/>
      <c r="AE391" s="741"/>
      <c r="AF391" s="298"/>
      <c r="AG391" s="261"/>
      <c r="AH391" s="741"/>
      <c r="AI391" s="298"/>
      <c r="AJ391" s="741"/>
      <c r="AK391" s="298"/>
      <c r="AL391" s="741"/>
      <c r="AM391" s="298"/>
      <c r="AN391" s="261"/>
      <c r="AO391" s="741"/>
      <c r="AP391" s="298"/>
      <c r="AQ391" s="741"/>
      <c r="AR391" s="298"/>
      <c r="AS391" s="741"/>
      <c r="AT391" s="254" t="str">
        <f t="shared" ref="AT391:AT392" si="75">IF(COUNTIF($AO$89:$AT$91, #REF!) &gt; 0, "X", "")</f>
        <v/>
      </c>
      <c r="AU391" s="269"/>
      <c r="AV391" s="269"/>
    </row>
    <row r="392">
      <c r="A392" s="94"/>
      <c r="B392" s="361" t="s">
        <v>673</v>
      </c>
      <c r="C392" s="362" t="s">
        <v>674</v>
      </c>
      <c r="D392" s="369"/>
      <c r="E392" s="259"/>
      <c r="F392" s="743"/>
      <c r="G392" s="298"/>
      <c r="H392" s="743"/>
      <c r="I392" s="298"/>
      <c r="J392" s="743"/>
      <c r="K392" s="298"/>
      <c r="L392" s="261"/>
      <c r="M392" s="743"/>
      <c r="N392" s="298"/>
      <c r="O392" s="743"/>
      <c r="P392" s="298"/>
      <c r="Q392" s="743"/>
      <c r="R392" s="298"/>
      <c r="S392" s="261"/>
      <c r="T392" s="743"/>
      <c r="U392" s="298"/>
      <c r="V392" s="743"/>
      <c r="W392" s="298"/>
      <c r="X392" s="743"/>
      <c r="Y392" s="298"/>
      <c r="Z392" s="261"/>
      <c r="AA392" s="743"/>
      <c r="AB392" s="298"/>
      <c r="AC392" s="743"/>
      <c r="AD392" s="298"/>
      <c r="AE392" s="743"/>
      <c r="AF392" s="298"/>
      <c r="AG392" s="261"/>
      <c r="AH392" s="743"/>
      <c r="AI392" s="298"/>
      <c r="AJ392" s="743"/>
      <c r="AK392" s="298"/>
      <c r="AL392" s="743"/>
      <c r="AM392" s="298"/>
      <c r="AN392" s="261"/>
      <c r="AO392" s="743"/>
      <c r="AP392" s="298"/>
      <c r="AQ392" s="743"/>
      <c r="AR392" s="298"/>
      <c r="AS392" s="743"/>
      <c r="AT392" s="254" t="str">
        <f t="shared" si="75"/>
        <v/>
      </c>
      <c r="AU392" s="269"/>
      <c r="AV392" s="269"/>
    </row>
    <row r="393">
      <c r="A393" s="94"/>
      <c r="B393" s="367" t="s">
        <v>677</v>
      </c>
      <c r="C393" s="368" t="s">
        <v>674</v>
      </c>
      <c r="D393" s="330"/>
      <c r="E393" s="259"/>
      <c r="F393" s="590"/>
      <c r="G393" s="246"/>
      <c r="H393" s="590"/>
      <c r="I393" s="246"/>
      <c r="J393" s="590"/>
      <c r="K393" s="246"/>
      <c r="L393" s="261"/>
      <c r="M393" s="590"/>
      <c r="N393" s="246"/>
      <c r="O393" s="590"/>
      <c r="P393" s="246"/>
      <c r="Q393" s="590"/>
      <c r="R393" s="246"/>
      <c r="S393" s="261"/>
      <c r="T393" s="590"/>
      <c r="U393" s="246"/>
      <c r="V393" s="590"/>
      <c r="W393" s="246"/>
      <c r="X393" s="590"/>
      <c r="Y393" s="246"/>
      <c r="Z393" s="261"/>
      <c r="AA393" s="590"/>
      <c r="AB393" s="246"/>
      <c r="AC393" s="590"/>
      <c r="AD393" s="246"/>
      <c r="AE393" s="590"/>
      <c r="AF393" s="246"/>
      <c r="AG393" s="261"/>
      <c r="AH393" s="590"/>
      <c r="AI393" s="246"/>
      <c r="AJ393" s="590"/>
      <c r="AK393" s="246"/>
      <c r="AL393" s="590"/>
      <c r="AM393" s="246"/>
      <c r="AN393" s="261"/>
      <c r="AO393" s="590"/>
      <c r="AP393" s="246"/>
      <c r="AQ393" s="590"/>
      <c r="AR393" s="246"/>
      <c r="AS393" s="590"/>
      <c r="AT393" s="254" t="str">
        <f>IF(COUNTIF($AO$89:$AT$91, AS393) &gt; 0, "X", "")</f>
        <v/>
      </c>
      <c r="AU393" s="269"/>
      <c r="AV393" s="269"/>
    </row>
    <row r="394">
      <c r="A394" s="94"/>
      <c r="B394" s="256" t="s">
        <v>679</v>
      </c>
      <c r="C394" s="257" t="s">
        <v>680</v>
      </c>
      <c r="D394" s="330"/>
      <c r="E394" s="259"/>
      <c r="F394" s="747"/>
      <c r="G394" s="246"/>
      <c r="H394" s="747"/>
      <c r="I394" s="246"/>
      <c r="J394" s="747"/>
      <c r="K394" s="246"/>
      <c r="L394" s="261"/>
      <c r="M394" s="747"/>
      <c r="N394" s="246"/>
      <c r="O394" s="747"/>
      <c r="P394" s="246"/>
      <c r="Q394" s="747"/>
      <c r="R394" s="246"/>
      <c r="S394" s="261"/>
      <c r="T394" s="747"/>
      <c r="U394" s="246"/>
      <c r="V394" s="747"/>
      <c r="W394" s="246"/>
      <c r="X394" s="747"/>
      <c r="Y394" s="246"/>
      <c r="Z394" s="261"/>
      <c r="AA394" s="747"/>
      <c r="AB394" s="246"/>
      <c r="AC394" s="747"/>
      <c r="AD394" s="246"/>
      <c r="AE394" s="747"/>
      <c r="AF394" s="246"/>
      <c r="AG394" s="261"/>
      <c r="AH394" s="747"/>
      <c r="AI394" s="246"/>
      <c r="AJ394" s="747"/>
      <c r="AK394" s="246"/>
      <c r="AL394" s="747"/>
      <c r="AM394" s="246"/>
      <c r="AN394" s="261"/>
      <c r="AO394" s="747"/>
      <c r="AP394" s="246"/>
      <c r="AQ394" s="747"/>
      <c r="AR394" s="246"/>
      <c r="AS394" s="747"/>
      <c r="AT394" s="254" t="str">
        <f t="shared" ref="AT394:AT398" si="76">IF(COUNTIF($AO$89:$AT$91, #REF!) &gt; 0, "X", "")</f>
        <v/>
      </c>
      <c r="AU394" s="269"/>
      <c r="AV394" s="269"/>
    </row>
    <row r="395">
      <c r="A395" s="372"/>
      <c r="B395" s="328" t="s">
        <v>679</v>
      </c>
      <c r="C395" s="329" t="s">
        <v>652</v>
      </c>
      <c r="D395" s="330"/>
      <c r="E395" s="259"/>
      <c r="F395" s="590"/>
      <c r="G395" s="246"/>
      <c r="H395" s="590"/>
      <c r="I395" s="246"/>
      <c r="J395" s="590"/>
      <c r="K395" s="246"/>
      <c r="L395" s="261"/>
      <c r="M395" s="590"/>
      <c r="N395" s="246"/>
      <c r="O395" s="590"/>
      <c r="P395" s="246"/>
      <c r="Q395" s="590"/>
      <c r="R395" s="246"/>
      <c r="S395" s="261"/>
      <c r="T395" s="590"/>
      <c r="U395" s="246"/>
      <c r="V395" s="590"/>
      <c r="W395" s="246"/>
      <c r="X395" s="590"/>
      <c r="Y395" s="246"/>
      <c r="Z395" s="261"/>
      <c r="AA395" s="590"/>
      <c r="AB395" s="246"/>
      <c r="AC395" s="590"/>
      <c r="AD395" s="246"/>
      <c r="AE395" s="590"/>
      <c r="AF395" s="246"/>
      <c r="AG395" s="261"/>
      <c r="AH395" s="590"/>
      <c r="AI395" s="246"/>
      <c r="AJ395" s="590"/>
      <c r="AK395" s="246"/>
      <c r="AL395" s="590"/>
      <c r="AM395" s="246"/>
      <c r="AN395" s="261"/>
      <c r="AO395" s="590"/>
      <c r="AP395" s="246"/>
      <c r="AQ395" s="590"/>
      <c r="AR395" s="246"/>
      <c r="AS395" s="590"/>
      <c r="AT395" s="254" t="str">
        <f t="shared" si="76"/>
        <v/>
      </c>
      <c r="AU395" s="269"/>
      <c r="AV395" s="269"/>
    </row>
    <row r="396">
      <c r="A396" s="94"/>
      <c r="B396" s="328" t="s">
        <v>679</v>
      </c>
      <c r="C396" s="329" t="s">
        <v>683</v>
      </c>
      <c r="D396" s="379"/>
      <c r="E396" s="380"/>
      <c r="F396" s="754"/>
      <c r="G396" s="246"/>
      <c r="H396" s="754"/>
      <c r="I396" s="246"/>
      <c r="J396" s="754"/>
      <c r="K396" s="246"/>
      <c r="L396" s="261"/>
      <c r="M396" s="754"/>
      <c r="N396" s="246"/>
      <c r="O396" s="754"/>
      <c r="P396" s="246"/>
      <c r="Q396" s="754"/>
      <c r="R396" s="246"/>
      <c r="S396" s="261"/>
      <c r="T396" s="754"/>
      <c r="U396" s="246"/>
      <c r="V396" s="754"/>
      <c r="W396" s="246"/>
      <c r="X396" s="754"/>
      <c r="Y396" s="246"/>
      <c r="Z396" s="261"/>
      <c r="AA396" s="754"/>
      <c r="AB396" s="246"/>
      <c r="AC396" s="754"/>
      <c r="AD396" s="246"/>
      <c r="AE396" s="754"/>
      <c r="AF396" s="246"/>
      <c r="AG396" s="261"/>
      <c r="AH396" s="754"/>
      <c r="AI396" s="246"/>
      <c r="AJ396" s="754"/>
      <c r="AK396" s="246"/>
      <c r="AL396" s="754"/>
      <c r="AM396" s="246"/>
      <c r="AN396" s="261"/>
      <c r="AO396" s="754"/>
      <c r="AP396" s="246"/>
      <c r="AQ396" s="754"/>
      <c r="AR396" s="246"/>
      <c r="AS396" s="754"/>
      <c r="AT396" s="254" t="str">
        <f t="shared" si="76"/>
        <v/>
      </c>
      <c r="AU396" s="269"/>
      <c r="AV396" s="269"/>
    </row>
    <row r="397">
      <c r="A397" s="94"/>
      <c r="B397" s="377" t="s">
        <v>684</v>
      </c>
      <c r="C397" s="378" t="s">
        <v>685</v>
      </c>
      <c r="D397" s="363"/>
      <c r="E397" s="259"/>
      <c r="F397" s="743"/>
      <c r="G397" s="246"/>
      <c r="H397" s="743"/>
      <c r="I397" s="246"/>
      <c r="J397" s="743"/>
      <c r="K397" s="246"/>
      <c r="L397" s="381"/>
      <c r="M397" s="743"/>
      <c r="N397" s="246"/>
      <c r="O397" s="743"/>
      <c r="P397" s="246"/>
      <c r="Q397" s="743"/>
      <c r="R397" s="246"/>
      <c r="S397" s="381"/>
      <c r="T397" s="743"/>
      <c r="U397" s="246"/>
      <c r="V397" s="743"/>
      <c r="W397" s="246"/>
      <c r="X397" s="743"/>
      <c r="Y397" s="246"/>
      <c r="Z397" s="381"/>
      <c r="AA397" s="743"/>
      <c r="AB397" s="246"/>
      <c r="AC397" s="743"/>
      <c r="AD397" s="246"/>
      <c r="AE397" s="743"/>
      <c r="AF397" s="246"/>
      <c r="AG397" s="381"/>
      <c r="AH397" s="743"/>
      <c r="AI397" s="246"/>
      <c r="AJ397" s="743"/>
      <c r="AK397" s="246"/>
      <c r="AL397" s="743"/>
      <c r="AM397" s="246"/>
      <c r="AN397" s="381"/>
      <c r="AO397" s="743"/>
      <c r="AP397" s="246"/>
      <c r="AQ397" s="743"/>
      <c r="AR397" s="246"/>
      <c r="AS397" s="743"/>
      <c r="AT397" s="254" t="str">
        <f t="shared" si="76"/>
        <v/>
      </c>
      <c r="AU397" s="269"/>
      <c r="AV397" s="269"/>
    </row>
    <row r="398">
      <c r="A398" s="270"/>
      <c r="B398" s="382" t="s">
        <v>686</v>
      </c>
      <c r="C398" s="242" t="s">
        <v>652</v>
      </c>
      <c r="D398" s="330"/>
      <c r="E398" s="259"/>
      <c r="F398" s="743"/>
      <c r="G398" s="246"/>
      <c r="H398" s="743"/>
      <c r="I398" s="246"/>
      <c r="J398" s="743"/>
      <c r="K398" s="246"/>
      <c r="L398" s="261"/>
      <c r="M398" s="743"/>
      <c r="N398" s="246"/>
      <c r="O398" s="743"/>
      <c r="P398" s="246"/>
      <c r="Q398" s="743"/>
      <c r="R398" s="246"/>
      <c r="S398" s="261"/>
      <c r="T398" s="743"/>
      <c r="U398" s="246"/>
      <c r="V398" s="743"/>
      <c r="W398" s="246"/>
      <c r="X398" s="743"/>
      <c r="Y398" s="246"/>
      <c r="Z398" s="261"/>
      <c r="AA398" s="743"/>
      <c r="AB398" s="246"/>
      <c r="AC398" s="743"/>
      <c r="AD398" s="246"/>
      <c r="AE398" s="743"/>
      <c r="AF398" s="246"/>
      <c r="AG398" s="261"/>
      <c r="AH398" s="743"/>
      <c r="AI398" s="246"/>
      <c r="AJ398" s="743"/>
      <c r="AK398" s="246"/>
      <c r="AL398" s="743"/>
      <c r="AM398" s="246"/>
      <c r="AN398" s="261"/>
      <c r="AO398" s="743"/>
      <c r="AP398" s="246"/>
      <c r="AQ398" s="743"/>
      <c r="AR398" s="246"/>
      <c r="AS398" s="743"/>
      <c r="AT398" s="254" t="str">
        <f t="shared" si="76"/>
        <v/>
      </c>
      <c r="AU398" s="269"/>
      <c r="AV398" s="269"/>
    </row>
    <row r="399">
      <c r="A399" s="234"/>
      <c r="B399" s="337" t="s">
        <v>686</v>
      </c>
      <c r="C399" s="338" t="s">
        <v>687</v>
      </c>
      <c r="D399" s="330"/>
      <c r="E399" s="259"/>
      <c r="F399" s="607"/>
      <c r="G399" s="246"/>
      <c r="H399" s="607"/>
      <c r="I399" s="246"/>
      <c r="J399" s="607"/>
      <c r="K399" s="246"/>
      <c r="L399" s="261"/>
      <c r="M399" s="607"/>
      <c r="N399" s="246"/>
      <c r="O399" s="607"/>
      <c r="P399" s="246"/>
      <c r="Q399" s="607"/>
      <c r="R399" s="246"/>
      <c r="S399" s="261"/>
      <c r="T399" s="607"/>
      <c r="U399" s="246"/>
      <c r="V399" s="607"/>
      <c r="W399" s="246"/>
      <c r="X399" s="607"/>
      <c r="Y399" s="246"/>
      <c r="Z399" s="261"/>
      <c r="AA399" s="607"/>
      <c r="AB399" s="246"/>
      <c r="AC399" s="607"/>
      <c r="AD399" s="246"/>
      <c r="AE399" s="607"/>
      <c r="AF399" s="246"/>
      <c r="AG399" s="261"/>
      <c r="AH399" s="607"/>
      <c r="AI399" s="246"/>
      <c r="AJ399" s="607"/>
      <c r="AK399" s="246"/>
      <c r="AL399" s="607"/>
      <c r="AM399" s="246"/>
      <c r="AN399" s="261"/>
      <c r="AO399" s="607"/>
      <c r="AP399" s="246"/>
      <c r="AQ399" s="607"/>
      <c r="AR399" s="246"/>
      <c r="AS399" s="607"/>
      <c r="AT399" s="254" t="str">
        <f>IF(COUNTIF($AO$89:$AT$91, AS398) &gt; 0, "X", "")</f>
        <v/>
      </c>
      <c r="AU399" s="269"/>
      <c r="AV399" s="269"/>
    </row>
    <row r="400">
      <c r="A400" s="94"/>
      <c r="B400" s="337" t="s">
        <v>688</v>
      </c>
      <c r="C400" s="285" t="s">
        <v>687</v>
      </c>
      <c r="D400" s="389"/>
      <c r="E400" s="259"/>
      <c r="F400" s="5"/>
      <c r="G400" s="246"/>
      <c r="H400" s="5"/>
      <c r="I400" s="246"/>
      <c r="J400" s="5"/>
      <c r="K400" s="246"/>
      <c r="L400" s="261"/>
      <c r="M400" s="5"/>
      <c r="N400" s="246"/>
      <c r="O400" s="5"/>
      <c r="P400" s="246"/>
      <c r="Q400" s="5"/>
      <c r="R400" s="246"/>
      <c r="S400" s="261"/>
      <c r="T400" s="5"/>
      <c r="U400" s="246"/>
      <c r="V400" s="5"/>
      <c r="W400" s="246"/>
      <c r="X400" s="5"/>
      <c r="Y400" s="246"/>
      <c r="Z400" s="261"/>
      <c r="AA400" s="5"/>
      <c r="AB400" s="246"/>
      <c r="AC400" s="5"/>
      <c r="AD400" s="246"/>
      <c r="AE400" s="5"/>
      <c r="AF400" s="246"/>
      <c r="AG400" s="261"/>
      <c r="AH400" s="5"/>
      <c r="AI400" s="246"/>
      <c r="AJ400" s="5"/>
      <c r="AK400" s="246"/>
      <c r="AL400" s="5"/>
      <c r="AM400" s="246"/>
      <c r="AN400" s="261"/>
      <c r="AO400" s="5"/>
      <c r="AP400" s="246"/>
      <c r="AQ400" s="5"/>
      <c r="AR400" s="246"/>
      <c r="AS400" s="5"/>
      <c r="AT400" s="254" t="str">
        <f>IF(COUNTIF($AO$89:$AT$91, #REF!) &gt; 0, "X", "")</f>
        <v/>
      </c>
      <c r="AU400" s="269"/>
      <c r="AV400" s="269"/>
    </row>
    <row r="401">
      <c r="A401" s="94"/>
      <c r="B401" s="387" t="s">
        <v>690</v>
      </c>
      <c r="C401" s="388" t="s">
        <v>649</v>
      </c>
      <c r="D401" s="323"/>
      <c r="E401" s="259"/>
      <c r="F401" s="741"/>
      <c r="G401" s="246"/>
      <c r="H401" s="741"/>
      <c r="I401" s="246"/>
      <c r="J401" s="741"/>
      <c r="K401" s="246"/>
      <c r="L401" s="261"/>
      <c r="M401" s="741"/>
      <c r="N401" s="246"/>
      <c r="O401" s="741"/>
      <c r="P401" s="246"/>
      <c r="Q401" s="741"/>
      <c r="R401" s="246"/>
      <c r="S401" s="261"/>
      <c r="T401" s="741"/>
      <c r="U401" s="246"/>
      <c r="V401" s="741"/>
      <c r="W401" s="246"/>
      <c r="X401" s="741"/>
      <c r="Y401" s="246"/>
      <c r="Z401" s="261"/>
      <c r="AA401" s="741"/>
      <c r="AB401" s="246"/>
      <c r="AC401" s="741"/>
      <c r="AD401" s="246"/>
      <c r="AE401" s="741"/>
      <c r="AF401" s="246"/>
      <c r="AG401" s="261"/>
      <c r="AH401" s="741"/>
      <c r="AI401" s="246"/>
      <c r="AJ401" s="741"/>
      <c r="AK401" s="246"/>
      <c r="AL401" s="741"/>
      <c r="AM401" s="246"/>
      <c r="AN401" s="261"/>
      <c r="AO401" s="741"/>
      <c r="AP401" s="246"/>
      <c r="AQ401" s="741"/>
      <c r="AR401" s="246"/>
      <c r="AS401" s="741"/>
      <c r="AT401" s="254" t="str">
        <f t="shared" ref="AT401:AT408" si="77">IF(COUNTIF($AO$89:$AT$91, AS402) &gt; 0, "X", "")</f>
        <v/>
      </c>
      <c r="AU401" s="269"/>
      <c r="AV401" s="269"/>
    </row>
    <row r="402">
      <c r="A402" s="94"/>
      <c r="B402" s="296" t="s">
        <v>650</v>
      </c>
      <c r="C402" s="297" t="s">
        <v>649</v>
      </c>
      <c r="D402" s="323"/>
      <c r="E402" s="261"/>
      <c r="F402" s="298"/>
      <c r="G402" s="246"/>
      <c r="H402" s="298"/>
      <c r="I402" s="246"/>
      <c r="J402" s="298"/>
      <c r="K402" s="246"/>
      <c r="L402" s="261"/>
      <c r="M402" s="298"/>
      <c r="N402" s="246"/>
      <c r="O402" s="298"/>
      <c r="P402" s="246"/>
      <c r="Q402" s="298"/>
      <c r="R402" s="246"/>
      <c r="S402" s="261"/>
      <c r="T402" s="298"/>
      <c r="U402" s="246"/>
      <c r="V402" s="298"/>
      <c r="W402" s="246"/>
      <c r="X402" s="298"/>
      <c r="Y402" s="246"/>
      <c r="Z402" s="261"/>
      <c r="AA402" s="298"/>
      <c r="AB402" s="246"/>
      <c r="AC402" s="298"/>
      <c r="AD402" s="246"/>
      <c r="AE402" s="298"/>
      <c r="AF402" s="246"/>
      <c r="AG402" s="261"/>
      <c r="AH402" s="298"/>
      <c r="AI402" s="246"/>
      <c r="AJ402" s="298"/>
      <c r="AK402" s="246"/>
      <c r="AL402" s="298"/>
      <c r="AM402" s="246"/>
      <c r="AN402" s="261"/>
      <c r="AO402" s="298"/>
      <c r="AP402" s="246"/>
      <c r="AQ402" s="298"/>
      <c r="AR402" s="246"/>
      <c r="AS402" s="298"/>
      <c r="AT402" s="254" t="str">
        <f t="shared" si="77"/>
        <v/>
      </c>
      <c r="AU402" s="269"/>
      <c r="AV402" s="269"/>
    </row>
    <row r="403">
      <c r="A403" s="94"/>
      <c r="B403" s="301" t="s">
        <v>651</v>
      </c>
      <c r="C403" s="391" t="s">
        <v>652</v>
      </c>
      <c r="D403" s="323"/>
      <c r="E403" s="259"/>
      <c r="F403" s="298"/>
      <c r="G403" s="246"/>
      <c r="H403" s="298"/>
      <c r="I403" s="246"/>
      <c r="J403" s="298"/>
      <c r="K403" s="246"/>
      <c r="L403" s="261"/>
      <c r="M403" s="298"/>
      <c r="N403" s="246"/>
      <c r="O403" s="298"/>
      <c r="P403" s="246"/>
      <c r="Q403" s="298"/>
      <c r="R403" s="246"/>
      <c r="S403" s="261"/>
      <c r="T403" s="298"/>
      <c r="U403" s="246"/>
      <c r="V403" s="298"/>
      <c r="W403" s="246"/>
      <c r="X403" s="298"/>
      <c r="Y403" s="246"/>
      <c r="Z403" s="261"/>
      <c r="AA403" s="298"/>
      <c r="AB403" s="246"/>
      <c r="AC403" s="298"/>
      <c r="AD403" s="246"/>
      <c r="AE403" s="298"/>
      <c r="AF403" s="246"/>
      <c r="AG403" s="261"/>
      <c r="AH403" s="298"/>
      <c r="AI403" s="246"/>
      <c r="AJ403" s="298"/>
      <c r="AK403" s="246"/>
      <c r="AL403" s="298"/>
      <c r="AM403" s="246"/>
      <c r="AN403" s="261"/>
      <c r="AO403" s="298"/>
      <c r="AP403" s="246"/>
      <c r="AQ403" s="298"/>
      <c r="AR403" s="246"/>
      <c r="AS403" s="298"/>
      <c r="AT403" s="254" t="str">
        <f t="shared" si="77"/>
        <v/>
      </c>
      <c r="AU403" s="269"/>
      <c r="AV403" s="269"/>
    </row>
    <row r="404">
      <c r="A404" s="94"/>
      <c r="B404" s="392" t="s">
        <v>691</v>
      </c>
      <c r="C404" s="393" t="s">
        <v>652</v>
      </c>
      <c r="D404" s="330"/>
      <c r="E404" s="259"/>
      <c r="F404" s="298"/>
      <c r="G404" s="246"/>
      <c r="H404" s="298"/>
      <c r="I404" s="246"/>
      <c r="J404" s="298"/>
      <c r="K404" s="246"/>
      <c r="L404" s="261"/>
      <c r="M404" s="298"/>
      <c r="N404" s="246"/>
      <c r="O404" s="298"/>
      <c r="P404" s="246"/>
      <c r="Q404" s="298"/>
      <c r="R404" s="246"/>
      <c r="S404" s="261"/>
      <c r="T404" s="298"/>
      <c r="U404" s="246"/>
      <c r="V404" s="298"/>
      <c r="W404" s="246"/>
      <c r="X404" s="298"/>
      <c r="Y404" s="246"/>
      <c r="Z404" s="261"/>
      <c r="AA404" s="298"/>
      <c r="AB404" s="246"/>
      <c r="AC404" s="298"/>
      <c r="AD404" s="246"/>
      <c r="AE404" s="298"/>
      <c r="AF404" s="246"/>
      <c r="AG404" s="261"/>
      <c r="AH404" s="298"/>
      <c r="AI404" s="246"/>
      <c r="AJ404" s="298"/>
      <c r="AK404" s="246"/>
      <c r="AL404" s="298"/>
      <c r="AM404" s="246"/>
      <c r="AN404" s="261"/>
      <c r="AO404" s="298"/>
      <c r="AP404" s="246"/>
      <c r="AQ404" s="298"/>
      <c r="AR404" s="246"/>
      <c r="AS404" s="298"/>
      <c r="AT404" s="254" t="str">
        <f t="shared" si="77"/>
        <v/>
      </c>
      <c r="AU404" s="269"/>
      <c r="AV404" s="269"/>
    </row>
    <row r="405">
      <c r="A405" s="94"/>
      <c r="B405" s="328" t="s">
        <v>692</v>
      </c>
      <c r="C405" s="329" t="s">
        <v>652</v>
      </c>
      <c r="D405" s="369"/>
      <c r="E405" s="259"/>
      <c r="F405" s="741"/>
      <c r="G405" s="246"/>
      <c r="H405" s="741"/>
      <c r="I405" s="246"/>
      <c r="J405" s="741"/>
      <c r="K405" s="246"/>
      <c r="L405" s="261"/>
      <c r="M405" s="741"/>
      <c r="N405" s="246"/>
      <c r="O405" s="741"/>
      <c r="P405" s="246"/>
      <c r="Q405" s="741"/>
      <c r="R405" s="246"/>
      <c r="S405" s="261"/>
      <c r="T405" s="741"/>
      <c r="U405" s="246"/>
      <c r="V405" s="741"/>
      <c r="W405" s="246"/>
      <c r="X405" s="741"/>
      <c r="Y405" s="246"/>
      <c r="Z405" s="261"/>
      <c r="AA405" s="741"/>
      <c r="AB405" s="246"/>
      <c r="AC405" s="741"/>
      <c r="AD405" s="246"/>
      <c r="AE405" s="741"/>
      <c r="AF405" s="246"/>
      <c r="AG405" s="261"/>
      <c r="AH405" s="741"/>
      <c r="AI405" s="246"/>
      <c r="AJ405" s="741"/>
      <c r="AK405" s="246"/>
      <c r="AL405" s="741"/>
      <c r="AM405" s="246"/>
      <c r="AN405" s="261"/>
      <c r="AO405" s="741"/>
      <c r="AP405" s="246"/>
      <c r="AQ405" s="741"/>
      <c r="AR405" s="246"/>
      <c r="AS405" s="741"/>
      <c r="AT405" s="254" t="str">
        <f t="shared" si="77"/>
        <v/>
      </c>
      <c r="AU405" s="269"/>
      <c r="AV405" s="269"/>
    </row>
    <row r="406">
      <c r="A406" s="94"/>
      <c r="B406" s="397" t="s">
        <v>692</v>
      </c>
      <c r="C406" s="398" t="s">
        <v>687</v>
      </c>
      <c r="D406" s="389"/>
      <c r="E406" s="259"/>
      <c r="F406" s="744"/>
      <c r="G406" s="246"/>
      <c r="H406" s="744"/>
      <c r="I406" s="246"/>
      <c r="J406" s="744"/>
      <c r="K406" s="246"/>
      <c r="L406" s="261"/>
      <c r="M406" s="744"/>
      <c r="N406" s="246"/>
      <c r="O406" s="744"/>
      <c r="P406" s="246"/>
      <c r="Q406" s="744"/>
      <c r="R406" s="246"/>
      <c r="S406" s="261"/>
      <c r="T406" s="744"/>
      <c r="U406" s="246"/>
      <c r="V406" s="744"/>
      <c r="W406" s="246"/>
      <c r="X406" s="744"/>
      <c r="Y406" s="246"/>
      <c r="Z406" s="261"/>
      <c r="AA406" s="744"/>
      <c r="AB406" s="246"/>
      <c r="AC406" s="744"/>
      <c r="AD406" s="246"/>
      <c r="AE406" s="744"/>
      <c r="AF406" s="246"/>
      <c r="AG406" s="261"/>
      <c r="AH406" s="744"/>
      <c r="AI406" s="246"/>
      <c r="AJ406" s="744"/>
      <c r="AK406" s="246"/>
      <c r="AL406" s="744"/>
      <c r="AM406" s="246"/>
      <c r="AN406" s="261"/>
      <c r="AO406" s="744"/>
      <c r="AP406" s="246"/>
      <c r="AQ406" s="744"/>
      <c r="AR406" s="246"/>
      <c r="AS406" s="744"/>
      <c r="AT406" s="254" t="str">
        <f t="shared" si="77"/>
        <v/>
      </c>
      <c r="AU406" s="269"/>
      <c r="AV406" s="269"/>
    </row>
    <row r="407">
      <c r="A407" s="94"/>
      <c r="B407" s="387" t="s">
        <v>694</v>
      </c>
      <c r="C407" s="388" t="s">
        <v>649</v>
      </c>
      <c r="D407" s="323"/>
      <c r="E407" s="259"/>
      <c r="F407" s="741"/>
      <c r="G407" s="246"/>
      <c r="H407" s="741"/>
      <c r="I407" s="246"/>
      <c r="J407" s="741"/>
      <c r="K407" s="246"/>
      <c r="L407" s="261"/>
      <c r="M407" s="741"/>
      <c r="N407" s="246"/>
      <c r="O407" s="741"/>
      <c r="P407" s="246"/>
      <c r="Q407" s="741"/>
      <c r="R407" s="246"/>
      <c r="S407" s="261"/>
      <c r="T407" s="741"/>
      <c r="U407" s="246"/>
      <c r="V407" s="741"/>
      <c r="W407" s="246"/>
      <c r="X407" s="741"/>
      <c r="Y407" s="246"/>
      <c r="Z407" s="261"/>
      <c r="AA407" s="741"/>
      <c r="AB407" s="246"/>
      <c r="AC407" s="741"/>
      <c r="AD407" s="246"/>
      <c r="AE407" s="741"/>
      <c r="AF407" s="246"/>
      <c r="AG407" s="261"/>
      <c r="AH407" s="741"/>
      <c r="AI407" s="246"/>
      <c r="AJ407" s="741"/>
      <c r="AK407" s="246"/>
      <c r="AL407" s="741"/>
      <c r="AM407" s="246"/>
      <c r="AN407" s="261"/>
      <c r="AO407" s="741"/>
      <c r="AP407" s="246"/>
      <c r="AQ407" s="741"/>
      <c r="AR407" s="246"/>
      <c r="AS407" s="741"/>
      <c r="AT407" s="254" t="str">
        <f t="shared" si="77"/>
        <v/>
      </c>
      <c r="AU407" s="269"/>
      <c r="AV407" s="269"/>
    </row>
    <row r="408">
      <c r="A408" s="94"/>
      <c r="B408" s="296" t="s">
        <v>650</v>
      </c>
      <c r="C408" s="297" t="s">
        <v>649</v>
      </c>
      <c r="D408" s="323"/>
      <c r="E408" s="261"/>
      <c r="F408" s="298"/>
      <c r="G408" s="298"/>
      <c r="H408" s="298"/>
      <c r="I408" s="298"/>
      <c r="J408" s="298"/>
      <c r="K408" s="298"/>
      <c r="L408" s="261"/>
      <c r="M408" s="298"/>
      <c r="N408" s="298"/>
      <c r="O408" s="298"/>
      <c r="P408" s="298"/>
      <c r="Q408" s="298"/>
      <c r="R408" s="298"/>
      <c r="S408" s="261"/>
      <c r="T408" s="298"/>
      <c r="U408" s="298"/>
      <c r="V408" s="298"/>
      <c r="W408" s="298"/>
      <c r="X408" s="298"/>
      <c r="Y408" s="298"/>
      <c r="Z408" s="261"/>
      <c r="AA408" s="298"/>
      <c r="AB408" s="298"/>
      <c r="AC408" s="298"/>
      <c r="AD408" s="298"/>
      <c r="AE408" s="298"/>
      <c r="AF408" s="298"/>
      <c r="AG408" s="261"/>
      <c r="AH408" s="298"/>
      <c r="AI408" s="298"/>
      <c r="AJ408" s="298"/>
      <c r="AK408" s="298"/>
      <c r="AL408" s="298"/>
      <c r="AM408" s="298"/>
      <c r="AN408" s="261"/>
      <c r="AO408" s="298"/>
      <c r="AP408" s="298"/>
      <c r="AQ408" s="298"/>
      <c r="AR408" s="298"/>
      <c r="AS408" s="298"/>
      <c r="AT408" s="254" t="str">
        <f t="shared" si="77"/>
        <v/>
      </c>
      <c r="AU408" s="269"/>
      <c r="AV408" s="269"/>
    </row>
    <row r="409">
      <c r="A409" s="94"/>
      <c r="B409" s="301" t="s">
        <v>651</v>
      </c>
      <c r="C409" s="391" t="s">
        <v>652</v>
      </c>
      <c r="D409" s="323"/>
      <c r="E409" s="259"/>
      <c r="F409" s="298"/>
      <c r="G409" s="298"/>
      <c r="H409" s="298"/>
      <c r="I409" s="298"/>
      <c r="J409" s="298"/>
      <c r="K409" s="298"/>
      <c r="L409" s="261"/>
      <c r="M409" s="298"/>
      <c r="N409" s="298"/>
      <c r="O409" s="298"/>
      <c r="P409" s="298"/>
      <c r="Q409" s="298"/>
      <c r="R409" s="298"/>
      <c r="S409" s="261"/>
      <c r="T409" s="298"/>
      <c r="U409" s="298"/>
      <c r="V409" s="298"/>
      <c r="W409" s="298"/>
      <c r="X409" s="298"/>
      <c r="Y409" s="298"/>
      <c r="Z409" s="261"/>
      <c r="AA409" s="298"/>
      <c r="AB409" s="298"/>
      <c r="AC409" s="298"/>
      <c r="AD409" s="298"/>
      <c r="AE409" s="298"/>
      <c r="AF409" s="298"/>
      <c r="AG409" s="261"/>
      <c r="AH409" s="298"/>
      <c r="AI409" s="298"/>
      <c r="AJ409" s="298"/>
      <c r="AK409" s="298"/>
      <c r="AL409" s="298"/>
      <c r="AM409" s="298"/>
      <c r="AN409" s="261"/>
      <c r="AO409" s="298"/>
      <c r="AP409" s="298"/>
      <c r="AQ409" s="298"/>
      <c r="AR409" s="298"/>
      <c r="AS409" s="298"/>
      <c r="AT409" s="254" t="str">
        <f t="shared" ref="AT409:AT410" si="78">IF(COUNTIF($AO$89:$AT$91, #REF!) &gt; 0, "X", "")</f>
        <v/>
      </c>
      <c r="AU409" s="269"/>
      <c r="AV409" s="269"/>
    </row>
    <row r="410">
      <c r="A410" s="94"/>
      <c r="B410" s="392" t="s">
        <v>691</v>
      </c>
      <c r="C410" s="393" t="s">
        <v>652</v>
      </c>
      <c r="D410" s="330"/>
      <c r="E410" s="259"/>
      <c r="F410" s="298"/>
      <c r="G410" s="298"/>
      <c r="H410" s="298"/>
      <c r="I410" s="298"/>
      <c r="J410" s="298"/>
      <c r="K410" s="298"/>
      <c r="L410" s="261"/>
      <c r="M410" s="298"/>
      <c r="N410" s="298"/>
      <c r="O410" s="298"/>
      <c r="P410" s="298"/>
      <c r="Q410" s="298"/>
      <c r="R410" s="298"/>
      <c r="S410" s="261"/>
      <c r="T410" s="298"/>
      <c r="U410" s="298"/>
      <c r="V410" s="298"/>
      <c r="W410" s="298"/>
      <c r="X410" s="298"/>
      <c r="Y410" s="298"/>
      <c r="Z410" s="261"/>
      <c r="AA410" s="298"/>
      <c r="AB410" s="298"/>
      <c r="AC410" s="298"/>
      <c r="AD410" s="298"/>
      <c r="AE410" s="298"/>
      <c r="AF410" s="298"/>
      <c r="AG410" s="261"/>
      <c r="AH410" s="298"/>
      <c r="AI410" s="298"/>
      <c r="AJ410" s="298"/>
      <c r="AK410" s="298"/>
      <c r="AL410" s="298"/>
      <c r="AM410" s="298"/>
      <c r="AN410" s="261"/>
      <c r="AO410" s="298"/>
      <c r="AP410" s="298"/>
      <c r="AQ410" s="298"/>
      <c r="AR410" s="298"/>
      <c r="AS410" s="298"/>
      <c r="AT410" s="254" t="str">
        <f t="shared" si="78"/>
        <v/>
      </c>
      <c r="AU410" s="269"/>
      <c r="AV410" s="269"/>
    </row>
    <row r="411">
      <c r="A411" s="94"/>
      <c r="B411" s="328" t="s">
        <v>692</v>
      </c>
      <c r="C411" s="329" t="s">
        <v>652</v>
      </c>
      <c r="D411" s="369"/>
      <c r="E411" s="259"/>
      <c r="F411" s="741"/>
      <c r="G411" s="246"/>
      <c r="H411" s="741"/>
      <c r="I411" s="246"/>
      <c r="J411" s="741"/>
      <c r="K411" s="246"/>
      <c r="L411" s="261"/>
      <c r="M411" s="741"/>
      <c r="N411" s="246"/>
      <c r="O411" s="741"/>
      <c r="P411" s="246"/>
      <c r="Q411" s="741"/>
      <c r="R411" s="246"/>
      <c r="S411" s="261"/>
      <c r="T411" s="741"/>
      <c r="U411" s="246"/>
      <c r="V411" s="741"/>
      <c r="W411" s="246"/>
      <c r="X411" s="741"/>
      <c r="Y411" s="246"/>
      <c r="Z411" s="261"/>
      <c r="AA411" s="741"/>
      <c r="AB411" s="246"/>
      <c r="AC411" s="741"/>
      <c r="AD411" s="246"/>
      <c r="AE411" s="741"/>
      <c r="AF411" s="246"/>
      <c r="AG411" s="261"/>
      <c r="AH411" s="741"/>
      <c r="AI411" s="246"/>
      <c r="AJ411" s="741"/>
      <c r="AK411" s="246"/>
      <c r="AL411" s="741"/>
      <c r="AM411" s="246"/>
      <c r="AN411" s="261"/>
      <c r="AO411" s="741"/>
      <c r="AP411" s="246"/>
      <c r="AQ411" s="741"/>
      <c r="AR411" s="246"/>
      <c r="AS411" s="741"/>
      <c r="AT411" s="254" t="str">
        <f t="shared" ref="AT411:AT414" si="79">IF(COUNTIF($AO$89:$AT$91, AS412) &gt; 0, "X", "")</f>
        <v/>
      </c>
      <c r="AU411" s="269"/>
      <c r="AV411" s="269"/>
    </row>
    <row r="412">
      <c r="A412" s="94"/>
      <c r="B412" s="397" t="s">
        <v>692</v>
      </c>
      <c r="C412" s="398" t="s">
        <v>687</v>
      </c>
      <c r="D412" s="404"/>
      <c r="E412" s="259"/>
      <c r="F412" s="744"/>
      <c r="G412" s="246"/>
      <c r="H412" s="744"/>
      <c r="I412" s="246"/>
      <c r="J412" s="744"/>
      <c r="K412" s="246"/>
      <c r="L412" s="261"/>
      <c r="M412" s="744"/>
      <c r="N412" s="246"/>
      <c r="O412" s="744"/>
      <c r="P412" s="246"/>
      <c r="Q412" s="744"/>
      <c r="R412" s="246"/>
      <c r="S412" s="261"/>
      <c r="T412" s="744"/>
      <c r="U412" s="246"/>
      <c r="V412" s="744"/>
      <c r="W412" s="246"/>
      <c r="X412" s="744"/>
      <c r="Y412" s="246"/>
      <c r="Z412" s="261"/>
      <c r="AA412" s="744"/>
      <c r="AB412" s="246"/>
      <c r="AC412" s="744"/>
      <c r="AD412" s="246"/>
      <c r="AE412" s="744"/>
      <c r="AF412" s="246"/>
      <c r="AG412" s="261"/>
      <c r="AH412" s="744"/>
      <c r="AI412" s="246"/>
      <c r="AJ412" s="744"/>
      <c r="AK412" s="246"/>
      <c r="AL412" s="744"/>
      <c r="AM412" s="246"/>
      <c r="AN412" s="261"/>
      <c r="AO412" s="744"/>
      <c r="AP412" s="246"/>
      <c r="AQ412" s="744"/>
      <c r="AR412" s="246"/>
      <c r="AS412" s="744"/>
      <c r="AT412" s="254" t="str">
        <f t="shared" si="79"/>
        <v/>
      </c>
      <c r="AU412" s="269"/>
      <c r="AV412" s="269"/>
    </row>
    <row r="413">
      <c r="A413" s="270"/>
      <c r="B413" s="402" t="s">
        <v>699</v>
      </c>
      <c r="C413" s="403" t="s">
        <v>649</v>
      </c>
      <c r="D413" s="330"/>
      <c r="E413" s="259"/>
      <c r="F413" s="298"/>
      <c r="G413" s="246"/>
      <c r="H413" s="298"/>
      <c r="I413" s="246"/>
      <c r="J413" s="298"/>
      <c r="K413" s="246"/>
      <c r="L413" s="261"/>
      <c r="M413" s="298"/>
      <c r="N413" s="246"/>
      <c r="O413" s="298"/>
      <c r="P413" s="246"/>
      <c r="Q413" s="298"/>
      <c r="R413" s="246"/>
      <c r="S413" s="261"/>
      <c r="T413" s="298"/>
      <c r="U413" s="246"/>
      <c r="V413" s="298"/>
      <c r="W413" s="246"/>
      <c r="X413" s="298"/>
      <c r="Y413" s="246"/>
      <c r="Z413" s="261"/>
      <c r="AA413" s="298"/>
      <c r="AB413" s="246"/>
      <c r="AC413" s="298"/>
      <c r="AD413" s="246"/>
      <c r="AE413" s="298"/>
      <c r="AF413" s="246"/>
      <c r="AG413" s="261"/>
      <c r="AH413" s="298"/>
      <c r="AI413" s="246"/>
      <c r="AJ413" s="298"/>
      <c r="AK413" s="246"/>
      <c r="AL413" s="298"/>
      <c r="AM413" s="246"/>
      <c r="AN413" s="261"/>
      <c r="AO413" s="298"/>
      <c r="AP413" s="246"/>
      <c r="AQ413" s="298"/>
      <c r="AR413" s="246"/>
      <c r="AS413" s="298"/>
      <c r="AT413" s="254" t="str">
        <f t="shared" si="79"/>
        <v/>
      </c>
      <c r="AU413" s="269"/>
      <c r="AV413" s="269"/>
    </row>
    <row r="414">
      <c r="A414" s="94"/>
      <c r="B414" s="328" t="s">
        <v>700</v>
      </c>
      <c r="C414" s="329" t="s">
        <v>657</v>
      </c>
      <c r="D414" s="330"/>
      <c r="E414" s="259"/>
      <c r="F414" s="741"/>
      <c r="G414" s="246"/>
      <c r="H414" s="741"/>
      <c r="I414" s="246"/>
      <c r="J414" s="741"/>
      <c r="K414" s="246"/>
      <c r="L414" s="261"/>
      <c r="M414" s="741"/>
      <c r="N414" s="246"/>
      <c r="O414" s="741"/>
      <c r="P414" s="246"/>
      <c r="Q414" s="741"/>
      <c r="R414" s="246"/>
      <c r="S414" s="261"/>
      <c r="T414" s="741"/>
      <c r="U414" s="246"/>
      <c r="V414" s="741"/>
      <c r="W414" s="246"/>
      <c r="X414" s="741"/>
      <c r="Y414" s="246"/>
      <c r="Z414" s="261"/>
      <c r="AA414" s="741"/>
      <c r="AB414" s="246"/>
      <c r="AC414" s="741"/>
      <c r="AD414" s="246"/>
      <c r="AE414" s="741"/>
      <c r="AF414" s="246"/>
      <c r="AG414" s="261"/>
      <c r="AH414" s="741"/>
      <c r="AI414" s="246"/>
      <c r="AJ414" s="741"/>
      <c r="AK414" s="246"/>
      <c r="AL414" s="741"/>
      <c r="AM414" s="246"/>
      <c r="AN414" s="261"/>
      <c r="AO414" s="741"/>
      <c r="AP414" s="246"/>
      <c r="AQ414" s="741"/>
      <c r="AR414" s="246"/>
      <c r="AS414" s="741"/>
      <c r="AT414" s="254" t="str">
        <f t="shared" si="79"/>
        <v/>
      </c>
      <c r="AU414" s="269"/>
      <c r="AV414" s="269"/>
    </row>
    <row r="415">
      <c r="A415" s="94"/>
      <c r="B415" s="328" t="s">
        <v>700</v>
      </c>
      <c r="C415" s="329" t="s">
        <v>657</v>
      </c>
      <c r="D415" s="330"/>
      <c r="E415" s="259"/>
      <c r="F415" s="591"/>
      <c r="G415" s="246"/>
      <c r="H415" s="591"/>
      <c r="I415" s="246"/>
      <c r="J415" s="591"/>
      <c r="K415" s="246"/>
      <c r="L415" s="261"/>
      <c r="M415" s="591"/>
      <c r="N415" s="246"/>
      <c r="O415" s="591"/>
      <c r="P415" s="246"/>
      <c r="Q415" s="591"/>
      <c r="R415" s="246"/>
      <c r="S415" s="261"/>
      <c r="T415" s="591"/>
      <c r="U415" s="246"/>
      <c r="V415" s="591"/>
      <c r="W415" s="246"/>
      <c r="X415" s="591"/>
      <c r="Y415" s="246"/>
      <c r="Z415" s="261"/>
      <c r="AA415" s="591"/>
      <c r="AB415" s="246"/>
      <c r="AC415" s="591"/>
      <c r="AD415" s="246"/>
      <c r="AE415" s="591"/>
      <c r="AF415" s="246"/>
      <c r="AG415" s="261"/>
      <c r="AH415" s="591"/>
      <c r="AI415" s="246"/>
      <c r="AJ415" s="591"/>
      <c r="AK415" s="246"/>
      <c r="AL415" s="591"/>
      <c r="AM415" s="246"/>
      <c r="AN415" s="261"/>
      <c r="AO415" s="591"/>
      <c r="AP415" s="246"/>
      <c r="AQ415" s="591"/>
      <c r="AR415" s="246"/>
      <c r="AS415" s="591"/>
      <c r="AT415" s="254" t="str">
        <f>IF(COUNTIF($AO$89:$AT$91, #REF!) &gt; 0, "X", "")</f>
        <v/>
      </c>
      <c r="AU415" s="269"/>
      <c r="AV415" s="269"/>
    </row>
    <row r="416">
      <c r="A416" s="94"/>
      <c r="B416" s="328" t="s">
        <v>700</v>
      </c>
      <c r="C416" s="329" t="s">
        <v>657</v>
      </c>
      <c r="D416" s="351"/>
      <c r="E416" s="259"/>
      <c r="F416" s="590"/>
      <c r="G416" s="246"/>
      <c r="H416" s="590"/>
      <c r="I416" s="246"/>
      <c r="J416" s="590"/>
      <c r="K416" s="246"/>
      <c r="L416" s="261"/>
      <c r="M416" s="590"/>
      <c r="N416" s="246"/>
      <c r="O416" s="590"/>
      <c r="P416" s="246"/>
      <c r="Q416" s="590"/>
      <c r="R416" s="246"/>
      <c r="S416" s="261"/>
      <c r="T416" s="590"/>
      <c r="U416" s="246"/>
      <c r="V416" s="590"/>
      <c r="W416" s="246"/>
      <c r="X416" s="590"/>
      <c r="Y416" s="246"/>
      <c r="Z416" s="261"/>
      <c r="AA416" s="590"/>
      <c r="AB416" s="246"/>
      <c r="AC416" s="590"/>
      <c r="AD416" s="246"/>
      <c r="AE416" s="590"/>
      <c r="AF416" s="246"/>
      <c r="AG416" s="261"/>
      <c r="AH416" s="590"/>
      <c r="AI416" s="246"/>
      <c r="AJ416" s="590"/>
      <c r="AK416" s="246"/>
      <c r="AL416" s="590"/>
      <c r="AM416" s="246"/>
      <c r="AN416" s="261"/>
      <c r="AO416" s="590"/>
      <c r="AP416" s="246"/>
      <c r="AQ416" s="590"/>
      <c r="AR416" s="246"/>
      <c r="AS416" s="590"/>
      <c r="AT416" s="254" t="str">
        <f t="shared" ref="AT416:AT417" si="80">IF(COUNTIF($AO$89:$AT$91, AS417) &gt; 0, "X", "")</f>
        <v/>
      </c>
      <c r="AU416" s="269"/>
      <c r="AV416" s="269"/>
    </row>
    <row r="417">
      <c r="A417" s="94"/>
      <c r="B417" s="408" t="s">
        <v>702</v>
      </c>
      <c r="C417" s="409" t="s">
        <v>652</v>
      </c>
      <c r="D417" s="323"/>
      <c r="E417" s="259"/>
      <c r="F417" s="756"/>
      <c r="G417" s="246"/>
      <c r="H417" s="756"/>
      <c r="I417" s="246"/>
      <c r="J417" s="756"/>
      <c r="K417" s="246"/>
      <c r="L417" s="261"/>
      <c r="M417" s="756"/>
      <c r="N417" s="246"/>
      <c r="O417" s="756"/>
      <c r="P417" s="246"/>
      <c r="Q417" s="756"/>
      <c r="R417" s="246"/>
      <c r="S417" s="261"/>
      <c r="T417" s="756"/>
      <c r="U417" s="246"/>
      <c r="V417" s="756"/>
      <c r="W417" s="246"/>
      <c r="X417" s="756"/>
      <c r="Y417" s="246"/>
      <c r="Z417" s="261"/>
      <c r="AA417" s="756"/>
      <c r="AB417" s="246"/>
      <c r="AC417" s="756"/>
      <c r="AD417" s="246"/>
      <c r="AE417" s="756"/>
      <c r="AF417" s="246"/>
      <c r="AG417" s="261"/>
      <c r="AH417" s="756"/>
      <c r="AI417" s="246"/>
      <c r="AJ417" s="756"/>
      <c r="AK417" s="246"/>
      <c r="AL417" s="756"/>
      <c r="AM417" s="246"/>
      <c r="AN417" s="261"/>
      <c r="AO417" s="756"/>
      <c r="AP417" s="246"/>
      <c r="AQ417" s="756"/>
      <c r="AR417" s="246"/>
      <c r="AS417" s="756"/>
      <c r="AT417" s="254" t="str">
        <f t="shared" si="80"/>
        <v/>
      </c>
      <c r="AU417" s="269"/>
      <c r="AV417" s="269"/>
    </row>
    <row r="418">
      <c r="A418" s="234"/>
      <c r="B418" s="401" t="s">
        <v>703</v>
      </c>
      <c r="C418" s="412" t="s">
        <v>704</v>
      </c>
      <c r="D418" s="330"/>
      <c r="E418" s="259"/>
      <c r="F418" s="540"/>
      <c r="G418" s="246"/>
      <c r="H418" s="540"/>
      <c r="I418" s="246"/>
      <c r="J418" s="540"/>
      <c r="K418" s="246"/>
      <c r="L418" s="261"/>
      <c r="M418" s="540"/>
      <c r="N418" s="246"/>
      <c r="O418" s="540"/>
      <c r="P418" s="246"/>
      <c r="Q418" s="540"/>
      <c r="R418" s="246"/>
      <c r="S418" s="261"/>
      <c r="T418" s="540"/>
      <c r="U418" s="246"/>
      <c r="V418" s="540"/>
      <c r="W418" s="246"/>
      <c r="X418" s="540"/>
      <c r="Y418" s="246"/>
      <c r="Z418" s="261"/>
      <c r="AA418" s="540"/>
      <c r="AB418" s="246"/>
      <c r="AC418" s="540"/>
      <c r="AD418" s="246"/>
      <c r="AE418" s="540"/>
      <c r="AF418" s="246"/>
      <c r="AG418" s="261"/>
      <c r="AH418" s="540"/>
      <c r="AI418" s="246"/>
      <c r="AJ418" s="540"/>
      <c r="AK418" s="246"/>
      <c r="AL418" s="540"/>
      <c r="AM418" s="246"/>
      <c r="AN418" s="261"/>
      <c r="AO418" s="540"/>
      <c r="AP418" s="246"/>
      <c r="AQ418" s="540"/>
      <c r="AR418" s="246"/>
      <c r="AS418" s="540"/>
      <c r="AT418" s="254" t="str">
        <f t="shared" ref="AT418:AT420" si="81">IF(COUNTIF($AO$89:$AT$91, #REF!) &gt; 0, "X", "")</f>
        <v/>
      </c>
      <c r="AU418" s="269"/>
      <c r="AV418" s="269"/>
    </row>
    <row r="419">
      <c r="A419" s="234"/>
      <c r="B419" s="414" t="s">
        <v>705</v>
      </c>
      <c r="C419" s="415" t="s">
        <v>704</v>
      </c>
      <c r="D419" s="330"/>
      <c r="E419" s="259"/>
      <c r="F419" s="747"/>
      <c r="G419" s="246"/>
      <c r="H419" s="747"/>
      <c r="I419" s="246"/>
      <c r="J419" s="747"/>
      <c r="K419" s="246"/>
      <c r="L419" s="261"/>
      <c r="M419" s="747"/>
      <c r="N419" s="246"/>
      <c r="O419" s="747"/>
      <c r="P419" s="246"/>
      <c r="Q419" s="747"/>
      <c r="R419" s="246"/>
      <c r="S419" s="261"/>
      <c r="T419" s="747"/>
      <c r="U419" s="246"/>
      <c r="V419" s="747"/>
      <c r="W419" s="246"/>
      <c r="X419" s="747"/>
      <c r="Y419" s="246"/>
      <c r="Z419" s="261"/>
      <c r="AA419" s="747"/>
      <c r="AB419" s="246"/>
      <c r="AC419" s="747"/>
      <c r="AD419" s="246"/>
      <c r="AE419" s="747"/>
      <c r="AF419" s="246"/>
      <c r="AG419" s="261"/>
      <c r="AH419" s="747"/>
      <c r="AI419" s="246"/>
      <c r="AJ419" s="747"/>
      <c r="AK419" s="246"/>
      <c r="AL419" s="747"/>
      <c r="AM419" s="246"/>
      <c r="AN419" s="261"/>
      <c r="AO419" s="747"/>
      <c r="AP419" s="246"/>
      <c r="AQ419" s="747"/>
      <c r="AR419" s="246"/>
      <c r="AS419" s="747"/>
      <c r="AT419" s="254" t="str">
        <f t="shared" si="81"/>
        <v/>
      </c>
      <c r="AU419" s="269"/>
      <c r="AV419" s="269"/>
    </row>
    <row r="420">
      <c r="A420" s="94"/>
      <c r="B420" s="328" t="s">
        <v>705</v>
      </c>
      <c r="C420" s="257" t="s">
        <v>657</v>
      </c>
      <c r="D420" s="330"/>
      <c r="E420" s="259"/>
      <c r="F420" s="757"/>
      <c r="G420" s="246"/>
      <c r="H420" s="757"/>
      <c r="I420" s="246"/>
      <c r="J420" s="757"/>
      <c r="K420" s="246"/>
      <c r="L420" s="261"/>
      <c r="M420" s="757"/>
      <c r="N420" s="246"/>
      <c r="O420" s="757"/>
      <c r="P420" s="246"/>
      <c r="Q420" s="757"/>
      <c r="R420" s="246"/>
      <c r="S420" s="261"/>
      <c r="T420" s="757"/>
      <c r="U420" s="246"/>
      <c r="V420" s="757"/>
      <c r="W420" s="246"/>
      <c r="X420" s="757"/>
      <c r="Y420" s="246"/>
      <c r="Z420" s="261"/>
      <c r="AA420" s="757"/>
      <c r="AB420" s="246"/>
      <c r="AC420" s="757"/>
      <c r="AD420" s="246"/>
      <c r="AE420" s="757"/>
      <c r="AF420" s="246"/>
      <c r="AG420" s="261"/>
      <c r="AH420" s="757"/>
      <c r="AI420" s="246"/>
      <c r="AJ420" s="757"/>
      <c r="AK420" s="246"/>
      <c r="AL420" s="757"/>
      <c r="AM420" s="246"/>
      <c r="AN420" s="261"/>
      <c r="AO420" s="757"/>
      <c r="AP420" s="246"/>
      <c r="AQ420" s="757"/>
      <c r="AR420" s="246"/>
      <c r="AS420" s="757"/>
      <c r="AT420" s="254" t="str">
        <f t="shared" si="81"/>
        <v/>
      </c>
      <c r="AU420" s="269"/>
      <c r="AV420" s="269"/>
    </row>
    <row r="421">
      <c r="A421" s="94"/>
      <c r="B421" s="277" t="s">
        <v>705</v>
      </c>
      <c r="C421" s="329" t="s">
        <v>685</v>
      </c>
      <c r="D421" s="369"/>
      <c r="E421" s="259"/>
      <c r="F421" s="747"/>
      <c r="G421" s="246"/>
      <c r="H421" s="747"/>
      <c r="I421" s="246"/>
      <c r="J421" s="747"/>
      <c r="K421" s="246"/>
      <c r="L421" s="261"/>
      <c r="M421" s="747"/>
      <c r="N421" s="246"/>
      <c r="O421" s="747"/>
      <c r="P421" s="246"/>
      <c r="Q421" s="747"/>
      <c r="R421" s="246"/>
      <c r="S421" s="261"/>
      <c r="T421" s="747"/>
      <c r="U421" s="246"/>
      <c r="V421" s="747"/>
      <c r="W421" s="246"/>
      <c r="X421" s="747"/>
      <c r="Y421" s="246"/>
      <c r="Z421" s="261"/>
      <c r="AA421" s="747"/>
      <c r="AB421" s="246"/>
      <c r="AC421" s="747"/>
      <c r="AD421" s="246"/>
      <c r="AE421" s="747"/>
      <c r="AF421" s="246"/>
      <c r="AG421" s="261"/>
      <c r="AH421" s="747"/>
      <c r="AI421" s="246"/>
      <c r="AJ421" s="747"/>
      <c r="AK421" s="246"/>
      <c r="AL421" s="747"/>
      <c r="AM421" s="246"/>
      <c r="AN421" s="261"/>
      <c r="AO421" s="747"/>
      <c r="AP421" s="246"/>
      <c r="AQ421" s="747"/>
      <c r="AR421" s="246"/>
      <c r="AS421" s="747"/>
      <c r="AT421" s="254" t="str">
        <f>IF(COUNTIF($AO$89:$AT$91, AO421) &gt; 0, "X", "")</f>
        <v/>
      </c>
      <c r="AU421" s="269"/>
      <c r="AV421" s="269"/>
    </row>
    <row r="422">
      <c r="A422" s="94"/>
      <c r="B422" s="271" t="s">
        <v>705</v>
      </c>
      <c r="C422" s="272" t="s">
        <v>687</v>
      </c>
      <c r="D422" s="330"/>
      <c r="E422" s="259"/>
      <c r="F422" s="607"/>
      <c r="G422" s="246"/>
      <c r="H422" s="607"/>
      <c r="I422" s="246"/>
      <c r="J422" s="607"/>
      <c r="K422" s="246"/>
      <c r="L422" s="261"/>
      <c r="M422" s="607"/>
      <c r="N422" s="246"/>
      <c r="O422" s="607"/>
      <c r="P422" s="246"/>
      <c r="Q422" s="607"/>
      <c r="R422" s="246"/>
      <c r="S422" s="261"/>
      <c r="T422" s="607"/>
      <c r="U422" s="246"/>
      <c r="V422" s="607"/>
      <c r="W422" s="246"/>
      <c r="X422" s="607"/>
      <c r="Y422" s="246"/>
      <c r="Z422" s="261"/>
      <c r="AA422" s="607"/>
      <c r="AB422" s="246"/>
      <c r="AC422" s="607"/>
      <c r="AD422" s="246"/>
      <c r="AE422" s="607"/>
      <c r="AF422" s="246"/>
      <c r="AG422" s="261"/>
      <c r="AH422" s="607"/>
      <c r="AI422" s="246"/>
      <c r="AJ422" s="607"/>
      <c r="AK422" s="246"/>
      <c r="AL422" s="607"/>
      <c r="AM422" s="246"/>
      <c r="AN422" s="261"/>
      <c r="AO422" s="607"/>
      <c r="AP422" s="246"/>
      <c r="AQ422" s="607"/>
      <c r="AR422" s="246"/>
      <c r="AS422" s="607"/>
      <c r="AT422" s="254" t="str">
        <f>IF(COUNTIF($AO$89:$AT$91, #REF!) &gt; 0, "X", "")</f>
        <v/>
      </c>
      <c r="AU422" s="269"/>
      <c r="AV422" s="269"/>
    </row>
    <row r="423">
      <c r="A423" s="270"/>
      <c r="B423" s="397" t="s">
        <v>708</v>
      </c>
      <c r="C423" s="398" t="s">
        <v>654</v>
      </c>
      <c r="D423" s="330"/>
      <c r="E423" s="259"/>
      <c r="F423" s="744"/>
      <c r="G423" s="246"/>
      <c r="H423" s="744"/>
      <c r="I423" s="246"/>
      <c r="J423" s="744"/>
      <c r="K423" s="246"/>
      <c r="L423" s="261"/>
      <c r="M423" s="744"/>
      <c r="N423" s="246"/>
      <c r="O423" s="744"/>
      <c r="P423" s="246"/>
      <c r="Q423" s="744"/>
      <c r="R423" s="246"/>
      <c r="S423" s="261"/>
      <c r="T423" s="744"/>
      <c r="U423" s="246"/>
      <c r="V423" s="744"/>
      <c r="W423" s="246"/>
      <c r="X423" s="744"/>
      <c r="Y423" s="246"/>
      <c r="Z423" s="261"/>
      <c r="AA423" s="744"/>
      <c r="AB423" s="246"/>
      <c r="AC423" s="744"/>
      <c r="AD423" s="246"/>
      <c r="AE423" s="744"/>
      <c r="AF423" s="246"/>
      <c r="AG423" s="261"/>
      <c r="AH423" s="744"/>
      <c r="AI423" s="246"/>
      <c r="AJ423" s="744"/>
      <c r="AK423" s="246"/>
      <c r="AL423" s="744"/>
      <c r="AM423" s="246"/>
      <c r="AN423" s="261"/>
      <c r="AO423" s="744"/>
      <c r="AP423" s="246"/>
      <c r="AQ423" s="744"/>
      <c r="AR423" s="246"/>
      <c r="AS423" s="744"/>
      <c r="AT423" s="254" t="str">
        <f t="shared" ref="AT423:AT424" si="82">IF(COUNTIF($AO$89:$AT$91, AS424) &gt; 0, "X", "")</f>
        <v/>
      </c>
      <c r="AU423" s="269"/>
      <c r="AV423" s="269"/>
    </row>
    <row r="424">
      <c r="A424" s="94"/>
      <c r="B424" s="277" t="s">
        <v>709</v>
      </c>
      <c r="C424" s="278" t="s">
        <v>710</v>
      </c>
      <c r="D424" s="323"/>
      <c r="E424" s="259"/>
      <c r="F424" s="741"/>
      <c r="G424" s="246"/>
      <c r="H424" s="741"/>
      <c r="I424" s="246"/>
      <c r="J424" s="741"/>
      <c r="K424" s="246"/>
      <c r="L424" s="261"/>
      <c r="M424" s="741"/>
      <c r="N424" s="246"/>
      <c r="O424" s="741"/>
      <c r="P424" s="246"/>
      <c r="Q424" s="741"/>
      <c r="R424" s="246"/>
      <c r="S424" s="261"/>
      <c r="T424" s="741"/>
      <c r="U424" s="246"/>
      <c r="V424" s="741"/>
      <c r="W424" s="246"/>
      <c r="X424" s="741"/>
      <c r="Y424" s="246"/>
      <c r="Z424" s="261"/>
      <c r="AA424" s="741"/>
      <c r="AB424" s="246"/>
      <c r="AC424" s="741"/>
      <c r="AD424" s="246"/>
      <c r="AE424" s="741"/>
      <c r="AF424" s="246"/>
      <c r="AG424" s="261"/>
      <c r="AH424" s="741"/>
      <c r="AI424" s="246"/>
      <c r="AJ424" s="741"/>
      <c r="AK424" s="246"/>
      <c r="AL424" s="741"/>
      <c r="AM424" s="246"/>
      <c r="AN424" s="261"/>
      <c r="AO424" s="741"/>
      <c r="AP424" s="246"/>
      <c r="AQ424" s="741"/>
      <c r="AR424" s="246"/>
      <c r="AS424" s="741"/>
      <c r="AT424" s="254" t="str">
        <f t="shared" si="82"/>
        <v/>
      </c>
      <c r="AU424" s="269"/>
      <c r="AV424" s="269"/>
    </row>
    <row r="425">
      <c r="A425" s="94"/>
      <c r="B425" s="673" t="s">
        <v>944</v>
      </c>
      <c r="C425" s="272" t="s">
        <v>639</v>
      </c>
      <c r="D425" s="431"/>
      <c r="E425" s="259"/>
      <c r="F425" s="590"/>
      <c r="G425" s="246"/>
      <c r="H425" s="590"/>
      <c r="I425" s="246"/>
      <c r="J425" s="590"/>
      <c r="K425" s="246"/>
      <c r="L425" s="261"/>
      <c r="M425" s="590"/>
      <c r="N425" s="246"/>
      <c r="O425" s="590"/>
      <c r="P425" s="246"/>
      <c r="Q425" s="590"/>
      <c r="R425" s="246"/>
      <c r="S425" s="261"/>
      <c r="T425" s="590"/>
      <c r="U425" s="246"/>
      <c r="V425" s="590"/>
      <c r="W425" s="246"/>
      <c r="X425" s="590"/>
      <c r="Y425" s="246"/>
      <c r="Z425" s="261"/>
      <c r="AA425" s="590"/>
      <c r="AB425" s="246"/>
      <c r="AC425" s="590"/>
      <c r="AD425" s="246"/>
      <c r="AE425" s="590"/>
      <c r="AF425" s="246"/>
      <c r="AG425" s="261"/>
      <c r="AH425" s="590"/>
      <c r="AI425" s="246"/>
      <c r="AJ425" s="590"/>
      <c r="AK425" s="246"/>
      <c r="AL425" s="590"/>
      <c r="AM425" s="246"/>
      <c r="AN425" s="261"/>
      <c r="AO425" s="590"/>
      <c r="AP425" s="246"/>
      <c r="AQ425" s="590"/>
      <c r="AR425" s="246"/>
      <c r="AS425" s="590"/>
      <c r="AT425" s="430"/>
      <c r="AU425" s="269"/>
      <c r="AV425" s="269"/>
    </row>
    <row r="426">
      <c r="A426" s="94"/>
      <c r="B426" s="698" t="s">
        <v>714</v>
      </c>
      <c r="C426" s="699"/>
      <c r="D426" s="323"/>
      <c r="E426" s="259"/>
      <c r="F426" s="432"/>
      <c r="G426" s="432"/>
      <c r="H426" s="432"/>
      <c r="I426" s="432"/>
      <c r="J426" s="432"/>
      <c r="K426" s="432"/>
      <c r="L426" s="261"/>
      <c r="M426" s="432"/>
      <c r="N426" s="433"/>
      <c r="O426" s="432"/>
      <c r="P426" s="432"/>
      <c r="Q426" s="432"/>
      <c r="R426" s="432"/>
      <c r="S426" s="261"/>
      <c r="T426" s="432"/>
      <c r="U426" s="433"/>
      <c r="V426" s="432"/>
      <c r="W426" s="432"/>
      <c r="X426" s="432"/>
      <c r="Y426" s="432"/>
      <c r="Z426" s="261"/>
      <c r="AA426" s="432"/>
      <c r="AB426" s="433"/>
      <c r="AC426" s="432"/>
      <c r="AD426" s="432"/>
      <c r="AE426" s="432"/>
      <c r="AF426" s="432"/>
      <c r="AG426" s="261"/>
      <c r="AH426" s="432"/>
      <c r="AI426" s="433"/>
      <c r="AJ426" s="432"/>
      <c r="AK426" s="432"/>
      <c r="AL426" s="432"/>
      <c r="AM426" s="432"/>
      <c r="AN426" s="261"/>
      <c r="AO426" s="432"/>
      <c r="AP426" s="433"/>
      <c r="AQ426" s="432"/>
      <c r="AR426" s="432"/>
      <c r="AS426" s="432"/>
      <c r="AT426" s="254" t="str">
        <f t="shared" ref="AT426:AT431" si="83">IF(COUNTIF($AO$89:$AT$91, AS427) &gt; 0, "X", "")</f>
        <v/>
      </c>
      <c r="AU426" s="269"/>
      <c r="AV426" s="269"/>
    </row>
    <row r="427">
      <c r="A427" s="94"/>
      <c r="B427" s="700" t="s">
        <v>715</v>
      </c>
      <c r="C427" s="701" t="s">
        <v>716</v>
      </c>
      <c r="D427" s="323"/>
      <c r="E427" s="259"/>
      <c r="F427" s="132"/>
      <c r="G427" s="246"/>
      <c r="H427" s="132"/>
      <c r="I427" s="246"/>
      <c r="J427" s="132"/>
      <c r="K427" s="246"/>
      <c r="L427" s="261"/>
      <c r="M427" s="132"/>
      <c r="N427" s="246"/>
      <c r="O427" s="132"/>
      <c r="P427" s="246"/>
      <c r="Q427" s="132"/>
      <c r="R427" s="246"/>
      <c r="S427" s="261"/>
      <c r="T427" s="132"/>
      <c r="U427" s="246"/>
      <c r="V427" s="132"/>
      <c r="W427" s="246"/>
      <c r="X427" s="132"/>
      <c r="Y427" s="246"/>
      <c r="Z427" s="261"/>
      <c r="AA427" s="132"/>
      <c r="AB427" s="246"/>
      <c r="AC427" s="132"/>
      <c r="AD427" s="246"/>
      <c r="AE427" s="132"/>
      <c r="AF427" s="246"/>
      <c r="AG427" s="261"/>
      <c r="AH427" s="132"/>
      <c r="AI427" s="246"/>
      <c r="AJ427" s="132"/>
      <c r="AK427" s="246"/>
      <c r="AL427" s="132"/>
      <c r="AM427" s="246"/>
      <c r="AN427" s="261"/>
      <c r="AO427" s="132"/>
      <c r="AP427" s="246"/>
      <c r="AQ427" s="132"/>
      <c r="AR427" s="246"/>
      <c r="AS427" s="132"/>
      <c r="AT427" s="254" t="str">
        <f t="shared" si="83"/>
        <v/>
      </c>
      <c r="AU427" s="269"/>
      <c r="AV427" s="269"/>
    </row>
    <row r="428">
      <c r="A428" s="94"/>
      <c r="B428" s="702" t="s">
        <v>717</v>
      </c>
      <c r="C428" s="703" t="s">
        <v>718</v>
      </c>
      <c r="D428" s="363"/>
      <c r="E428" s="259"/>
      <c r="F428" s="132"/>
      <c r="G428" s="246"/>
      <c r="H428" s="132"/>
      <c r="I428" s="246"/>
      <c r="J428" s="132"/>
      <c r="K428" s="246"/>
      <c r="L428" s="261"/>
      <c r="M428" s="132"/>
      <c r="N428" s="246"/>
      <c r="O428" s="132"/>
      <c r="P428" s="246"/>
      <c r="Q428" s="132"/>
      <c r="R428" s="246"/>
      <c r="S428" s="261"/>
      <c r="T428" s="132"/>
      <c r="U428" s="246"/>
      <c r="V428" s="132"/>
      <c r="W428" s="246"/>
      <c r="X428" s="132"/>
      <c r="Y428" s="246"/>
      <c r="Z428" s="261"/>
      <c r="AA428" s="132"/>
      <c r="AB428" s="246"/>
      <c r="AC428" s="132"/>
      <c r="AD428" s="246"/>
      <c r="AE428" s="132"/>
      <c r="AF428" s="246"/>
      <c r="AG428" s="261"/>
      <c r="AH428" s="132"/>
      <c r="AI428" s="246"/>
      <c r="AJ428" s="132"/>
      <c r="AK428" s="246"/>
      <c r="AL428" s="132"/>
      <c r="AM428" s="246"/>
      <c r="AN428" s="261"/>
      <c r="AO428" s="132"/>
      <c r="AP428" s="246"/>
      <c r="AQ428" s="132"/>
      <c r="AR428" s="246"/>
      <c r="AS428" s="132"/>
      <c r="AT428" s="254" t="str">
        <f t="shared" si="83"/>
        <v/>
      </c>
      <c r="AU428" s="269"/>
      <c r="AV428" s="269"/>
    </row>
    <row r="429">
      <c r="A429" s="94"/>
      <c r="B429" s="704" t="s">
        <v>719</v>
      </c>
      <c r="C429" s="705" t="s">
        <v>720</v>
      </c>
      <c r="D429" s="330"/>
      <c r="E429" s="259"/>
      <c r="F429" s="132"/>
      <c r="G429" s="246"/>
      <c r="H429" s="132"/>
      <c r="I429" s="246"/>
      <c r="J429" s="132"/>
      <c r="K429" s="246"/>
      <c r="L429" s="261"/>
      <c r="M429" s="132"/>
      <c r="N429" s="246"/>
      <c r="O429" s="132"/>
      <c r="P429" s="246"/>
      <c r="Q429" s="132"/>
      <c r="R429" s="246"/>
      <c r="S429" s="261"/>
      <c r="T429" s="132"/>
      <c r="U429" s="246"/>
      <c r="V429" s="132"/>
      <c r="W429" s="246"/>
      <c r="X429" s="132"/>
      <c r="Y429" s="246"/>
      <c r="Z429" s="261"/>
      <c r="AA429" s="132"/>
      <c r="AB429" s="246"/>
      <c r="AC429" s="132"/>
      <c r="AD429" s="246"/>
      <c r="AE429" s="132"/>
      <c r="AF429" s="246"/>
      <c r="AG429" s="261"/>
      <c r="AH429" s="132"/>
      <c r="AI429" s="246"/>
      <c r="AJ429" s="132"/>
      <c r="AK429" s="246"/>
      <c r="AL429" s="132"/>
      <c r="AM429" s="246"/>
      <c r="AN429" s="261"/>
      <c r="AO429" s="132"/>
      <c r="AP429" s="246"/>
      <c r="AQ429" s="132"/>
      <c r="AR429" s="246"/>
      <c r="AS429" s="132"/>
      <c r="AT429" s="254" t="str">
        <f t="shared" si="83"/>
        <v/>
      </c>
      <c r="AU429" s="269"/>
      <c r="AV429" s="269"/>
    </row>
    <row r="430">
      <c r="A430" s="94"/>
      <c r="B430" s="706" t="s">
        <v>721</v>
      </c>
      <c r="C430" s="707" t="s">
        <v>722</v>
      </c>
      <c r="D430" s="330"/>
      <c r="E430" s="259"/>
      <c r="F430" s="132"/>
      <c r="G430" s="246"/>
      <c r="H430" s="132"/>
      <c r="I430" s="246"/>
      <c r="J430" s="132"/>
      <c r="K430" s="246"/>
      <c r="L430" s="261"/>
      <c r="M430" s="132"/>
      <c r="N430" s="246"/>
      <c r="O430" s="132"/>
      <c r="P430" s="246"/>
      <c r="Q430" s="132"/>
      <c r="R430" s="246"/>
      <c r="S430" s="261"/>
      <c r="T430" s="132"/>
      <c r="U430" s="246"/>
      <c r="V430" s="132"/>
      <c r="W430" s="246"/>
      <c r="X430" s="132"/>
      <c r="Y430" s="246"/>
      <c r="Z430" s="261"/>
      <c r="AA430" s="132"/>
      <c r="AB430" s="246"/>
      <c r="AC430" s="132"/>
      <c r="AD430" s="246"/>
      <c r="AE430" s="132"/>
      <c r="AF430" s="246"/>
      <c r="AG430" s="261"/>
      <c r="AH430" s="132"/>
      <c r="AI430" s="246"/>
      <c r="AJ430" s="132"/>
      <c r="AK430" s="246"/>
      <c r="AL430" s="132"/>
      <c r="AM430" s="246"/>
      <c r="AN430" s="261"/>
      <c r="AO430" s="132"/>
      <c r="AP430" s="246"/>
      <c r="AQ430" s="132"/>
      <c r="AR430" s="246"/>
      <c r="AS430" s="132"/>
      <c r="AT430" s="254" t="str">
        <f t="shared" si="83"/>
        <v/>
      </c>
      <c r="AU430" s="269"/>
      <c r="AV430" s="269"/>
    </row>
    <row r="431">
      <c r="A431" s="94"/>
      <c r="B431" s="706" t="s">
        <v>723</v>
      </c>
      <c r="C431" s="708" t="s">
        <v>724</v>
      </c>
      <c r="D431" s="330"/>
      <c r="E431" s="259"/>
      <c r="F431" s="132"/>
      <c r="G431" s="246"/>
      <c r="H431" s="132"/>
      <c r="I431" s="246"/>
      <c r="J431" s="132"/>
      <c r="K431" s="246"/>
      <c r="L431" s="261"/>
      <c r="M431" s="132"/>
      <c r="N431" s="246"/>
      <c r="O431" s="132"/>
      <c r="P431" s="246"/>
      <c r="Q431" s="132"/>
      <c r="R431" s="246"/>
      <c r="S431" s="261"/>
      <c r="T431" s="132"/>
      <c r="U431" s="246"/>
      <c r="V431" s="132"/>
      <c r="W431" s="246"/>
      <c r="X431" s="132"/>
      <c r="Y431" s="246"/>
      <c r="Z431" s="261"/>
      <c r="AA431" s="132"/>
      <c r="AB431" s="246"/>
      <c r="AC431" s="132"/>
      <c r="AD431" s="246"/>
      <c r="AE431" s="132"/>
      <c r="AF431" s="246"/>
      <c r="AG431" s="261"/>
      <c r="AH431" s="132"/>
      <c r="AI431" s="246"/>
      <c r="AJ431" s="132"/>
      <c r="AK431" s="246"/>
      <c r="AL431" s="132"/>
      <c r="AM431" s="246"/>
      <c r="AN431" s="261"/>
      <c r="AO431" s="132"/>
      <c r="AP431" s="246"/>
      <c r="AQ431" s="132"/>
      <c r="AR431" s="246"/>
      <c r="AS431" s="132"/>
      <c r="AT431" s="254" t="str">
        <f t="shared" si="83"/>
        <v/>
      </c>
      <c r="AU431" s="269"/>
      <c r="AV431" s="269"/>
    </row>
    <row r="432">
      <c r="A432" s="94"/>
      <c r="B432" s="709" t="s">
        <v>725</v>
      </c>
      <c r="C432" s="707" t="s">
        <v>726</v>
      </c>
      <c r="D432" s="330"/>
      <c r="E432" s="259"/>
      <c r="F432" s="446"/>
      <c r="G432" s="246"/>
      <c r="H432" s="446"/>
      <c r="I432" s="246"/>
      <c r="J432" s="446"/>
      <c r="K432" s="246"/>
      <c r="L432" s="261"/>
      <c r="M432" s="446"/>
      <c r="N432" s="246"/>
      <c r="O432" s="446"/>
      <c r="P432" s="246"/>
      <c r="Q432" s="446"/>
      <c r="R432" s="246"/>
      <c r="S432" s="261"/>
      <c r="T432" s="446"/>
      <c r="U432" s="246"/>
      <c r="V432" s="446"/>
      <c r="W432" s="246"/>
      <c r="X432" s="446"/>
      <c r="Y432" s="246"/>
      <c r="Z432" s="261"/>
      <c r="AA432" s="446"/>
      <c r="AB432" s="246"/>
      <c r="AC432" s="446"/>
      <c r="AD432" s="246"/>
      <c r="AE432" s="446"/>
      <c r="AF432" s="246"/>
      <c r="AG432" s="261"/>
      <c r="AH432" s="446"/>
      <c r="AI432" s="246"/>
      <c r="AJ432" s="446"/>
      <c r="AK432" s="246"/>
      <c r="AL432" s="446"/>
      <c r="AM432" s="246"/>
      <c r="AN432" s="261"/>
      <c r="AO432" s="446"/>
      <c r="AP432" s="246"/>
      <c r="AQ432" s="446"/>
      <c r="AR432" s="246"/>
      <c r="AS432" s="446"/>
      <c r="AT432" s="254" t="str">
        <f>IF(COUNTIF($AO$89:$AT$91, #REF!) &gt; 0, "X", "")</f>
        <v/>
      </c>
      <c r="AU432" s="269"/>
      <c r="AV432" s="269"/>
    </row>
    <row r="433">
      <c r="A433" s="94"/>
      <c r="B433" s="710" t="s">
        <v>729</v>
      </c>
      <c r="C433" s="711" t="s">
        <v>730</v>
      </c>
      <c r="D433" s="330"/>
      <c r="E433" s="259"/>
      <c r="F433" s="446"/>
      <c r="G433" s="246"/>
      <c r="H433" s="446"/>
      <c r="I433" s="246"/>
      <c r="J433" s="446"/>
      <c r="K433" s="246"/>
      <c r="L433" s="261"/>
      <c r="M433" s="446"/>
      <c r="N433" s="246"/>
      <c r="O433" s="446"/>
      <c r="P433" s="246"/>
      <c r="Q433" s="446"/>
      <c r="R433" s="246"/>
      <c r="S433" s="261"/>
      <c r="T433" s="446"/>
      <c r="U433" s="246"/>
      <c r="V433" s="446"/>
      <c r="W433" s="246"/>
      <c r="X433" s="446"/>
      <c r="Y433" s="246"/>
      <c r="Z433" s="261"/>
      <c r="AA433" s="446"/>
      <c r="AB433" s="246"/>
      <c r="AC433" s="446"/>
      <c r="AD433" s="246"/>
      <c r="AE433" s="446"/>
      <c r="AF433" s="246"/>
      <c r="AG433" s="261"/>
      <c r="AH433" s="446"/>
      <c r="AI433" s="246"/>
      <c r="AJ433" s="446"/>
      <c r="AK433" s="246"/>
      <c r="AL433" s="446"/>
      <c r="AM433" s="246"/>
      <c r="AN433" s="261"/>
      <c r="AO433" s="446"/>
      <c r="AP433" s="246"/>
      <c r="AQ433" s="446"/>
      <c r="AR433" s="246"/>
      <c r="AS433" s="446"/>
      <c r="AT433" s="254" t="str">
        <f t="shared" ref="AT433:AT435" si="84">IF(COUNTIF($AO$89:$AT$91, AS433) &gt; 0, "X", "")</f>
        <v/>
      </c>
      <c r="AU433" s="269"/>
      <c r="AV433" s="269"/>
    </row>
    <row r="434">
      <c r="A434" s="94"/>
      <c r="B434" s="712" t="s">
        <v>731</v>
      </c>
      <c r="C434" s="713" t="s">
        <v>732</v>
      </c>
      <c r="D434" s="363"/>
      <c r="E434" s="259"/>
      <c r="F434" s="556"/>
      <c r="G434" s="246"/>
      <c r="H434" s="556"/>
      <c r="I434" s="246"/>
      <c r="J434" s="556"/>
      <c r="K434" s="246"/>
      <c r="L434" s="261"/>
      <c r="M434" s="556"/>
      <c r="N434" s="246"/>
      <c r="O434" s="556"/>
      <c r="P434" s="246"/>
      <c r="Q434" s="556"/>
      <c r="R434" s="246"/>
      <c r="S434" s="261"/>
      <c r="T434" s="556"/>
      <c r="U434" s="246"/>
      <c r="V434" s="556"/>
      <c r="W434" s="246"/>
      <c r="X434" s="556"/>
      <c r="Y434" s="246"/>
      <c r="Z434" s="261"/>
      <c r="AA434" s="556"/>
      <c r="AB434" s="246"/>
      <c r="AC434" s="556"/>
      <c r="AD434" s="246"/>
      <c r="AE434" s="556"/>
      <c r="AF434" s="246"/>
      <c r="AG434" s="261"/>
      <c r="AH434" s="556"/>
      <c r="AI434" s="246"/>
      <c r="AJ434" s="556"/>
      <c r="AK434" s="246"/>
      <c r="AL434" s="556"/>
      <c r="AM434" s="246"/>
      <c r="AN434" s="261"/>
      <c r="AO434" s="556"/>
      <c r="AP434" s="246"/>
      <c r="AQ434" s="556"/>
      <c r="AR434" s="246"/>
      <c r="AS434" s="556"/>
      <c r="AT434" s="254" t="str">
        <f t="shared" si="84"/>
        <v/>
      </c>
      <c r="AU434" s="269"/>
      <c r="AV434" s="269"/>
    </row>
    <row r="435">
      <c r="A435" s="94"/>
      <c r="B435" s="714" t="s">
        <v>733</v>
      </c>
      <c r="C435" s="715" t="s">
        <v>734</v>
      </c>
      <c r="D435" s="363"/>
      <c r="E435" s="259"/>
      <c r="F435" s="545"/>
      <c r="G435" s="246"/>
      <c r="H435" s="545"/>
      <c r="I435" s="246"/>
      <c r="J435" s="545"/>
      <c r="K435" s="246"/>
      <c r="L435" s="261"/>
      <c r="M435" s="545"/>
      <c r="N435" s="246"/>
      <c r="O435" s="545"/>
      <c r="P435" s="246"/>
      <c r="Q435" s="545"/>
      <c r="R435" s="246"/>
      <c r="S435" s="261"/>
      <c r="T435" s="545"/>
      <c r="U435" s="246"/>
      <c r="V435" s="545"/>
      <c r="W435" s="246"/>
      <c r="X435" s="545"/>
      <c r="Y435" s="246"/>
      <c r="Z435" s="261"/>
      <c r="AA435" s="545"/>
      <c r="AB435" s="246"/>
      <c r="AC435" s="545"/>
      <c r="AD435" s="246"/>
      <c r="AE435" s="545"/>
      <c r="AF435" s="246"/>
      <c r="AG435" s="261"/>
      <c r="AH435" s="545"/>
      <c r="AI435" s="246"/>
      <c r="AJ435" s="545"/>
      <c r="AK435" s="246"/>
      <c r="AL435" s="545"/>
      <c r="AM435" s="246"/>
      <c r="AN435" s="261"/>
      <c r="AO435" s="545"/>
      <c r="AP435" s="246"/>
      <c r="AQ435" s="545"/>
      <c r="AR435" s="246"/>
      <c r="AS435" s="545"/>
      <c r="AT435" s="254" t="str">
        <f t="shared" si="84"/>
        <v/>
      </c>
      <c r="AU435" s="269"/>
      <c r="AV435" s="269"/>
    </row>
    <row r="436">
      <c r="A436" s="94"/>
      <c r="B436" s="716"/>
      <c r="C436" s="717"/>
      <c r="D436" s="363"/>
      <c r="E436" s="259"/>
      <c r="F436" s="446"/>
      <c r="G436" s="246"/>
      <c r="H436" s="446"/>
      <c r="I436" s="246"/>
      <c r="J436" s="446"/>
      <c r="K436" s="246"/>
      <c r="L436" s="462"/>
      <c r="M436" s="446"/>
      <c r="N436" s="246"/>
      <c r="O436" s="446"/>
      <c r="P436" s="246"/>
      <c r="Q436" s="446"/>
      <c r="R436" s="246"/>
      <c r="S436" s="462"/>
      <c r="T436" s="446"/>
      <c r="U436" s="246"/>
      <c r="V436" s="446"/>
      <c r="W436" s="246"/>
      <c r="X436" s="446"/>
      <c r="Y436" s="246"/>
      <c r="Z436" s="462"/>
      <c r="AA436" s="446"/>
      <c r="AB436" s="246"/>
      <c r="AC436" s="446"/>
      <c r="AD436" s="246"/>
      <c r="AE436" s="446"/>
      <c r="AF436" s="246"/>
      <c r="AG436" s="462"/>
      <c r="AH436" s="446"/>
      <c r="AI436" s="246"/>
      <c r="AJ436" s="446"/>
      <c r="AK436" s="246"/>
      <c r="AL436" s="446"/>
      <c r="AM436" s="246"/>
      <c r="AN436" s="462"/>
      <c r="AO436" s="446"/>
      <c r="AP436" s="246"/>
      <c r="AQ436" s="446"/>
      <c r="AR436" s="246"/>
      <c r="AS436" s="446"/>
      <c r="AT436" s="254"/>
      <c r="AU436" s="269"/>
      <c r="AV436" s="269"/>
    </row>
    <row r="437">
      <c r="A437" s="94"/>
      <c r="B437" s="710" t="s">
        <v>735</v>
      </c>
      <c r="C437" s="718" t="s">
        <v>736</v>
      </c>
      <c r="D437" s="363"/>
      <c r="E437" s="259"/>
      <c r="F437" s="446"/>
      <c r="G437" s="246"/>
      <c r="H437" s="446"/>
      <c r="I437" s="246"/>
      <c r="J437" s="446"/>
      <c r="K437" s="246"/>
      <c r="L437" s="261"/>
      <c r="M437" s="446"/>
      <c r="N437" s="246"/>
      <c r="O437" s="446"/>
      <c r="P437" s="246"/>
      <c r="Q437" s="446"/>
      <c r="R437" s="246"/>
      <c r="S437" s="261"/>
      <c r="T437" s="446"/>
      <c r="U437" s="246"/>
      <c r="V437" s="446"/>
      <c r="W437" s="246"/>
      <c r="X437" s="446"/>
      <c r="Y437" s="246"/>
      <c r="Z437" s="261"/>
      <c r="AA437" s="446"/>
      <c r="AB437" s="246"/>
      <c r="AC437" s="446"/>
      <c r="AD437" s="246"/>
      <c r="AE437" s="446"/>
      <c r="AF437" s="246"/>
      <c r="AG437" s="261"/>
      <c r="AH437" s="446"/>
      <c r="AI437" s="246"/>
      <c r="AJ437" s="446"/>
      <c r="AK437" s="246"/>
      <c r="AL437" s="446"/>
      <c r="AM437" s="246"/>
      <c r="AN437" s="261"/>
      <c r="AO437" s="446"/>
      <c r="AP437" s="246"/>
      <c r="AQ437" s="446"/>
      <c r="AR437" s="246"/>
      <c r="AS437" s="446"/>
      <c r="AT437" s="254" t="str">
        <f t="shared" ref="AT437:AT439" si="85">IF(COUNTIF($AO$89:$AT$91, AS437) &gt; 0, "X", "")</f>
        <v/>
      </c>
      <c r="AU437" s="269"/>
      <c r="AV437" s="269"/>
    </row>
    <row r="438">
      <c r="A438" s="94"/>
      <c r="B438" s="710" t="s">
        <v>735</v>
      </c>
      <c r="C438" s="707" t="s">
        <v>736</v>
      </c>
      <c r="D438" s="363"/>
      <c r="E438" s="259"/>
      <c r="F438" s="446"/>
      <c r="G438" s="246"/>
      <c r="H438" s="446"/>
      <c r="I438" s="246"/>
      <c r="J438" s="446"/>
      <c r="K438" s="246"/>
      <c r="L438" s="261"/>
      <c r="M438" s="446"/>
      <c r="N438" s="246"/>
      <c r="O438" s="446"/>
      <c r="P438" s="246"/>
      <c r="Q438" s="446"/>
      <c r="R438" s="246"/>
      <c r="S438" s="261"/>
      <c r="T438" s="446"/>
      <c r="U438" s="246"/>
      <c r="V438" s="446"/>
      <c r="W438" s="246"/>
      <c r="X438" s="446"/>
      <c r="Y438" s="246"/>
      <c r="Z438" s="261"/>
      <c r="AA438" s="446"/>
      <c r="AB438" s="246"/>
      <c r="AC438" s="446"/>
      <c r="AD438" s="246"/>
      <c r="AE438" s="446"/>
      <c r="AF438" s="246"/>
      <c r="AG438" s="261"/>
      <c r="AH438" s="446"/>
      <c r="AI438" s="246"/>
      <c r="AJ438" s="446"/>
      <c r="AK438" s="246"/>
      <c r="AL438" s="446"/>
      <c r="AM438" s="246"/>
      <c r="AN438" s="261"/>
      <c r="AO438" s="446"/>
      <c r="AP438" s="246"/>
      <c r="AQ438" s="446"/>
      <c r="AR438" s="246"/>
      <c r="AS438" s="446"/>
      <c r="AT438" s="254" t="str">
        <f t="shared" si="85"/>
        <v/>
      </c>
      <c r="AU438" s="269"/>
      <c r="AV438" s="269"/>
    </row>
    <row r="439">
      <c r="A439" s="94"/>
      <c r="B439" s="719" t="s">
        <v>735</v>
      </c>
      <c r="C439" s="711" t="s">
        <v>737</v>
      </c>
      <c r="D439" s="363"/>
      <c r="E439" s="259"/>
      <c r="F439" s="132"/>
      <c r="G439" s="246"/>
      <c r="H439" s="132"/>
      <c r="I439" s="246"/>
      <c r="J439" s="132"/>
      <c r="K439" s="246"/>
      <c r="L439" s="261"/>
      <c r="M439" s="132"/>
      <c r="N439" s="246"/>
      <c r="O439" s="132"/>
      <c r="P439" s="246"/>
      <c r="Q439" s="132"/>
      <c r="R439" s="246"/>
      <c r="S439" s="261"/>
      <c r="T439" s="132"/>
      <c r="U439" s="246"/>
      <c r="V439" s="132"/>
      <c r="W439" s="246"/>
      <c r="X439" s="132"/>
      <c r="Y439" s="246"/>
      <c r="Z439" s="261"/>
      <c r="AA439" s="132"/>
      <c r="AB439" s="246"/>
      <c r="AC439" s="132"/>
      <c r="AD439" s="246"/>
      <c r="AE439" s="132"/>
      <c r="AF439" s="246"/>
      <c r="AG439" s="261"/>
      <c r="AH439" s="132"/>
      <c r="AI439" s="246"/>
      <c r="AJ439" s="132"/>
      <c r="AK439" s="246"/>
      <c r="AL439" s="132"/>
      <c r="AM439" s="246"/>
      <c r="AN439" s="261"/>
      <c r="AO439" s="132"/>
      <c r="AP439" s="246"/>
      <c r="AQ439" s="132"/>
      <c r="AR439" s="246"/>
      <c r="AS439" s="132"/>
      <c r="AT439" s="254" t="str">
        <f t="shared" si="85"/>
        <v/>
      </c>
      <c r="AU439" s="269"/>
      <c r="AV439" s="269"/>
    </row>
    <row r="440">
      <c r="A440" s="94"/>
      <c r="B440" s="459"/>
      <c r="C440" s="460" t="s">
        <v>738</v>
      </c>
      <c r="D440" s="363"/>
      <c r="E440" s="259"/>
      <c r="F440" s="461"/>
      <c r="G440" s="246"/>
      <c r="H440" s="132"/>
      <c r="I440" s="246"/>
      <c r="J440" s="132"/>
      <c r="K440" s="246"/>
      <c r="L440" s="261"/>
      <c r="M440" s="461"/>
      <c r="N440" s="246"/>
      <c r="O440" s="132"/>
      <c r="P440" s="246"/>
      <c r="Q440" s="132"/>
      <c r="R440" s="246"/>
      <c r="S440" s="261"/>
      <c r="T440" s="461"/>
      <c r="U440" s="246"/>
      <c r="V440" s="132"/>
      <c r="W440" s="246"/>
      <c r="X440" s="132"/>
      <c r="Y440" s="246"/>
      <c r="Z440" s="261"/>
      <c r="AA440" s="461"/>
      <c r="AB440" s="246"/>
      <c r="AC440" s="132"/>
      <c r="AD440" s="246"/>
      <c r="AE440" s="132"/>
      <c r="AF440" s="246"/>
      <c r="AG440" s="261"/>
      <c r="AH440" s="461"/>
      <c r="AI440" s="246"/>
      <c r="AJ440" s="132"/>
      <c r="AK440" s="246"/>
      <c r="AL440" s="132"/>
      <c r="AM440" s="246"/>
      <c r="AN440" s="261"/>
      <c r="AO440" s="461"/>
      <c r="AP440" s="246"/>
      <c r="AQ440" s="132"/>
      <c r="AR440" s="246"/>
      <c r="AS440" s="132"/>
      <c r="AT440" s="460"/>
      <c r="AU440" s="269"/>
      <c r="AV440" s="269"/>
    </row>
    <row r="441">
      <c r="A441" s="270"/>
      <c r="B441" s="459"/>
      <c r="C441" s="460" t="s">
        <v>738</v>
      </c>
      <c r="D441" s="363"/>
      <c r="E441" s="259"/>
      <c r="F441" s="132"/>
      <c r="G441" s="246"/>
      <c r="H441" s="132"/>
      <c r="I441" s="246"/>
      <c r="J441" s="132"/>
      <c r="K441" s="246"/>
      <c r="L441" s="261"/>
      <c r="M441" s="132"/>
      <c r="N441" s="246"/>
      <c r="O441" s="132"/>
      <c r="P441" s="246"/>
      <c r="Q441" s="132"/>
      <c r="R441" s="246"/>
      <c r="S441" s="261"/>
      <c r="T441" s="132"/>
      <c r="U441" s="246"/>
      <c r="V441" s="132"/>
      <c r="W441" s="246"/>
      <c r="X441" s="132"/>
      <c r="Y441" s="246"/>
      <c r="Z441" s="261"/>
      <c r="AA441" s="132"/>
      <c r="AB441" s="246"/>
      <c r="AC441" s="132"/>
      <c r="AD441" s="246"/>
      <c r="AE441" s="132"/>
      <c r="AF441" s="246"/>
      <c r="AG441" s="261"/>
      <c r="AH441" s="132"/>
      <c r="AI441" s="246"/>
      <c r="AJ441" s="132"/>
      <c r="AK441" s="246"/>
      <c r="AL441" s="132"/>
      <c r="AM441" s="246"/>
      <c r="AN441" s="261"/>
      <c r="AO441" s="132"/>
      <c r="AP441" s="246"/>
      <c r="AQ441" s="132"/>
      <c r="AR441" s="246"/>
      <c r="AS441" s="132"/>
      <c r="AT441" s="460"/>
      <c r="AU441" s="236"/>
      <c r="AV441" s="236"/>
    </row>
    <row r="442">
      <c r="A442" s="236"/>
      <c r="B442" s="459"/>
      <c r="C442" s="460" t="s">
        <v>738</v>
      </c>
      <c r="D442" s="363"/>
      <c r="E442" s="259"/>
      <c r="F442" s="132"/>
      <c r="G442" s="246"/>
      <c r="H442" s="132"/>
      <c r="I442" s="246"/>
      <c r="J442" s="132"/>
      <c r="K442" s="246"/>
      <c r="L442" s="261"/>
      <c r="M442" s="132"/>
      <c r="N442" s="246"/>
      <c r="O442" s="132"/>
      <c r="P442" s="246"/>
      <c r="Q442" s="132"/>
      <c r="R442" s="246"/>
      <c r="S442" s="261"/>
      <c r="T442" s="132"/>
      <c r="U442" s="246"/>
      <c r="V442" s="132"/>
      <c r="W442" s="246"/>
      <c r="X442" s="132"/>
      <c r="Y442" s="246"/>
      <c r="Z442" s="261"/>
      <c r="AA442" s="132"/>
      <c r="AB442" s="246"/>
      <c r="AC442" s="132"/>
      <c r="AD442" s="246"/>
      <c r="AE442" s="132"/>
      <c r="AF442" s="246"/>
      <c r="AG442" s="261"/>
      <c r="AH442" s="132"/>
      <c r="AI442" s="246"/>
      <c r="AJ442" s="132"/>
      <c r="AK442" s="246"/>
      <c r="AL442" s="132"/>
      <c r="AM442" s="246"/>
      <c r="AN442" s="261"/>
      <c r="AO442" s="132"/>
      <c r="AP442" s="246"/>
      <c r="AQ442" s="132"/>
      <c r="AR442" s="246"/>
      <c r="AS442" s="132"/>
      <c r="AT442" s="460"/>
      <c r="AU442" s="236"/>
      <c r="AV442" s="236"/>
    </row>
    <row r="443">
      <c r="A443" s="236"/>
      <c r="B443" s="459"/>
      <c r="C443" s="460"/>
      <c r="D443" s="460"/>
      <c r="E443" s="559"/>
      <c r="F443" s="460"/>
      <c r="G443" s="460"/>
      <c r="H443" s="460"/>
      <c r="I443" s="460"/>
      <c r="J443" s="460"/>
      <c r="K443" s="460"/>
      <c r="L443" s="460"/>
      <c r="M443" s="460"/>
      <c r="N443" s="460"/>
      <c r="O443" s="460"/>
      <c r="P443" s="460"/>
      <c r="Q443" s="460"/>
      <c r="R443" s="460"/>
      <c r="S443" s="460"/>
      <c r="T443" s="460"/>
      <c r="U443" s="460"/>
      <c r="V443" s="460"/>
      <c r="W443" s="460"/>
      <c r="X443" s="460"/>
      <c r="Y443" s="460"/>
      <c r="Z443" s="460"/>
      <c r="AA443" s="460"/>
      <c r="AB443" s="460"/>
      <c r="AC443" s="460"/>
      <c r="AD443" s="460"/>
      <c r="AE443" s="460"/>
      <c r="AF443" s="460"/>
      <c r="AG443" s="460"/>
      <c r="AH443" s="460"/>
      <c r="AI443" s="460"/>
      <c r="AJ443" s="460"/>
      <c r="AK443" s="460"/>
      <c r="AL443" s="460"/>
      <c r="AM443" s="460"/>
      <c r="AN443" s="460"/>
      <c r="AO443" s="460"/>
      <c r="AP443" s="460"/>
      <c r="AQ443" s="460"/>
      <c r="AR443" s="460"/>
      <c r="AS443" s="460"/>
      <c r="AT443" s="460"/>
      <c r="AU443" s="236"/>
      <c r="AV443" s="236"/>
    </row>
  </sheetData>
  <mergeCells count="103">
    <mergeCell ref="F93:L93"/>
    <mergeCell ref="M93:S93"/>
    <mergeCell ref="T93:Z93"/>
    <mergeCell ref="AA93:AG93"/>
    <mergeCell ref="AH93:AN93"/>
    <mergeCell ref="AO93:AT93"/>
    <mergeCell ref="F94:L94"/>
    <mergeCell ref="AO94:AT94"/>
    <mergeCell ref="M94:S94"/>
    <mergeCell ref="T94:Z94"/>
    <mergeCell ref="H95:I95"/>
    <mergeCell ref="J95:L95"/>
    <mergeCell ref="Q95:R95"/>
    <mergeCell ref="X95:Y95"/>
    <mergeCell ref="AE95:AF95"/>
    <mergeCell ref="M1:V2"/>
    <mergeCell ref="W1:AT2"/>
    <mergeCell ref="M3:S3"/>
    <mergeCell ref="T3:Z3"/>
    <mergeCell ref="AA3:AG3"/>
    <mergeCell ref="AH3:AN3"/>
    <mergeCell ref="AO3:AT3"/>
    <mergeCell ref="F3:L3"/>
    <mergeCell ref="M4:S4"/>
    <mergeCell ref="T4:Z4"/>
    <mergeCell ref="AA4:AG4"/>
    <mergeCell ref="AH4:AN4"/>
    <mergeCell ref="AO4:AT4"/>
    <mergeCell ref="F4:L4"/>
    <mergeCell ref="H5:I5"/>
    <mergeCell ref="J5:L5"/>
    <mergeCell ref="Q5:R5"/>
    <mergeCell ref="X5:Y5"/>
    <mergeCell ref="AE5:AF5"/>
    <mergeCell ref="AL5:AM5"/>
    <mergeCell ref="AA94:AG94"/>
    <mergeCell ref="AH94:AN94"/>
    <mergeCell ref="AL95:AM95"/>
    <mergeCell ref="AS95:AT95"/>
    <mergeCell ref="M182:S182"/>
    <mergeCell ref="T182:Z182"/>
    <mergeCell ref="AS5:AT5"/>
    <mergeCell ref="AA358:AG358"/>
    <mergeCell ref="AH358:AN358"/>
    <mergeCell ref="F357:L357"/>
    <mergeCell ref="M357:S357"/>
    <mergeCell ref="T357:Z357"/>
    <mergeCell ref="AA357:AG357"/>
    <mergeCell ref="AH357:AN357"/>
    <mergeCell ref="AO357:AT357"/>
    <mergeCell ref="F358:L358"/>
    <mergeCell ref="AO358:AT358"/>
    <mergeCell ref="AL359:AM359"/>
    <mergeCell ref="AS359:AT359"/>
    <mergeCell ref="AU361:AV361"/>
    <mergeCell ref="AU362:AV362"/>
    <mergeCell ref="AU363:AV363"/>
    <mergeCell ref="AU364:AV364"/>
    <mergeCell ref="AU365:AV365"/>
    <mergeCell ref="AU366:AV366"/>
    <mergeCell ref="M358:S358"/>
    <mergeCell ref="T358:Z358"/>
    <mergeCell ref="H359:I359"/>
    <mergeCell ref="J359:L359"/>
    <mergeCell ref="Q359:R359"/>
    <mergeCell ref="X359:Y359"/>
    <mergeCell ref="AE359:AF359"/>
    <mergeCell ref="AA182:AG182"/>
    <mergeCell ref="AH182:AN182"/>
    <mergeCell ref="F181:L181"/>
    <mergeCell ref="M181:S181"/>
    <mergeCell ref="T181:Z181"/>
    <mergeCell ref="AA181:AG181"/>
    <mergeCell ref="AH181:AN181"/>
    <mergeCell ref="AO181:AT181"/>
    <mergeCell ref="AO182:AT182"/>
    <mergeCell ref="F182:L182"/>
    <mergeCell ref="H183:I183"/>
    <mergeCell ref="Q183:R183"/>
    <mergeCell ref="X183:Y183"/>
    <mergeCell ref="AE183:AF183"/>
    <mergeCell ref="AL183:AM183"/>
    <mergeCell ref="AS183:AT183"/>
    <mergeCell ref="J183:L183"/>
    <mergeCell ref="F269:L269"/>
    <mergeCell ref="M269:S269"/>
    <mergeCell ref="T269:Z269"/>
    <mergeCell ref="AA269:AG269"/>
    <mergeCell ref="AH269:AN269"/>
    <mergeCell ref="AO269:AT269"/>
    <mergeCell ref="F270:L270"/>
    <mergeCell ref="M270:S270"/>
    <mergeCell ref="T270:Z270"/>
    <mergeCell ref="AA270:AG270"/>
    <mergeCell ref="AH270:AN270"/>
    <mergeCell ref="AO270:AT270"/>
    <mergeCell ref="H271:I271"/>
    <mergeCell ref="J271:L271"/>
    <mergeCell ref="Q271:R271"/>
    <mergeCell ref="X271:Y271"/>
    <mergeCell ref="AE271:AF271"/>
    <mergeCell ref="AL271:AM271"/>
    <mergeCell ref="AS271:AT271"/>
  </mergeCells>
  <dataValidations>
    <dataValidation type="list" allowBlank="1" showErrorMessage="1" sqref="C3 C93 C181 C269 C357">
      <formula1>"RTC,RG,PUB,Working on it"</formula1>
    </dataValidation>
  </dataValidations>
  <drawing r:id="rId2"/>
  <legacyDrawing r:id="rId3"/>
</worksheet>
</file>